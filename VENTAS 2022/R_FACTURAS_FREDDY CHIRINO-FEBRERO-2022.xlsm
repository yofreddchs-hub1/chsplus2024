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CHS+ CONSTRUCCIONES Y MATERIALES\GERENCIA GENERAL\GERENCIA DE MERCADEO Y VENTAS\COORDINACION DE VENTAS\VENTAS CORO\VENTAS 2022\"/>
    </mc:Choice>
  </mc:AlternateContent>
  <bookViews>
    <workbookView xWindow="0" yWindow="0" windowWidth="28800" windowHeight="12345" tabRatio="919" firstSheet="3" activeTab="9"/>
  </bookViews>
  <sheets>
    <sheet name="GUIA DE TRASLADO formato" sheetId="2716" r:id="rId1"/>
    <sheet name="GUIA DE TRASLADO blanco" sheetId="2713" r:id="rId2"/>
    <sheet name="NOTA DE ENTREGA FORMATO" sheetId="2717" r:id="rId3"/>
    <sheet name="NOTA DE ENTREGA" sheetId="2711" r:id="rId4"/>
    <sheet name="DATOS CLIENTES" sheetId="1" r:id="rId5"/>
    <sheet name="FACTURAS" sheetId="16" r:id="rId6"/>
    <sheet name="LISTA DE PRECIOS" sheetId="2710" r:id="rId7"/>
    <sheet name="RELACION VTAS - CHS" sheetId="17" r:id="rId8"/>
    <sheet name="COBRANZA" sheetId="18" r:id="rId9"/>
    <sheet name="REPORTE GASTOS" sheetId="2715" r:id="rId10"/>
    <sheet name="REPORTE-CORO" sheetId="2718" r:id="rId11"/>
  </sheets>
  <externalReferences>
    <externalReference r:id="rId12"/>
    <externalReference r:id="rId13"/>
    <externalReference r:id="rId14"/>
    <externalReference r:id="rId15"/>
  </externalReferences>
  <definedNames>
    <definedName name="_xlnm._FilterDatabase" localSheetId="8" hidden="1">COBRANZA!$B$6:$J$203</definedName>
    <definedName name="_xlnm._FilterDatabase" localSheetId="4" hidden="1">'DATOS CLIENTES'!$A$4:$G$244</definedName>
    <definedName name="_xlnm._FilterDatabase" localSheetId="1" hidden="1">'GUIA DE TRASLADO blanco'!$B$12:$L$20</definedName>
    <definedName name="_xlnm._FilterDatabase" localSheetId="0" hidden="1">'GUIA DE TRASLADO formato'!#REF!</definedName>
    <definedName name="_xlnm._FilterDatabase" localSheetId="3" hidden="1">'NOTA DE ENTREGA'!$B$12:$L$20</definedName>
    <definedName name="_xlnm._FilterDatabase" localSheetId="2" hidden="1">'NOTA DE ENTREGA FORMATO'!#REF!</definedName>
    <definedName name="_xlnm._FilterDatabase" localSheetId="7" hidden="1">'RELACION VTAS - CHS'!$B$6:$O$251</definedName>
    <definedName name="_xlnm._FilterDatabase" localSheetId="9" hidden="1">'REPORTE GASTOS'!$B$5:$I$211</definedName>
    <definedName name="_xlnm._FilterDatabase" localSheetId="10" hidden="1">'REPORTE-CORO'!$A$1:$AB$245</definedName>
    <definedName name="ACTIVIDAD">'[1]LISTAS DE SELECCION'!$B$80:$B$82</definedName>
    <definedName name="ap">#REF!</definedName>
    <definedName name="_xlnm.Print_Area" localSheetId="5">FACTURAS!$A$1:$L$40</definedName>
    <definedName name="_xlnm.Print_Area" localSheetId="1">'GUIA DE TRASLADO blanco'!$B$1:$L$33</definedName>
    <definedName name="_xlnm.Print_Area" localSheetId="0">'GUIA DE TRASLADO formato'!$B$1:$L$28</definedName>
    <definedName name="_xlnm.Print_Area" localSheetId="6">'LISTA DE PRECIOS'!$C$3:$F$21</definedName>
    <definedName name="_xlnm.Print_Area" localSheetId="3">'NOTA DE ENTREGA'!$B$1:$L$34</definedName>
    <definedName name="_xlnm.Print_Area" localSheetId="2">'NOTA DE ENTREGA FORMATO'!$B$1:$L$22</definedName>
    <definedName name="ARTICULO_COMPRA" localSheetId="1">#REF!</definedName>
    <definedName name="ARTICULO_COMPRA" localSheetId="0">#REF!</definedName>
    <definedName name="ARTICULO_COMPRA" localSheetId="3">#REF!</definedName>
    <definedName name="ARTICULO_COMPRA" localSheetId="2">#REF!</definedName>
    <definedName name="ARTICULO_COMPRA" localSheetId="9">#REF!</definedName>
    <definedName name="ARTICULO_COMPRA">#REF!</definedName>
    <definedName name="ARTICULO_INVENTARIO" localSheetId="1">#REF!</definedName>
    <definedName name="ARTICULO_INVENTARIO" localSheetId="0">#REF!</definedName>
    <definedName name="ARTICULO_INVENTARIO" localSheetId="3">#REF!</definedName>
    <definedName name="ARTICULO_INVENTARIO" localSheetId="2">#REF!</definedName>
    <definedName name="ARTICULO_INVENTARIO" localSheetId="9">#REF!</definedName>
    <definedName name="ARTICULO_INVENTARIO">#REF!</definedName>
    <definedName name="ARTICULO_PRODUCCION" localSheetId="1">#REF!</definedName>
    <definedName name="ARTICULO_PRODUCCION" localSheetId="0">#REF!</definedName>
    <definedName name="ARTICULO_PRODUCCION" localSheetId="3">#REF!</definedName>
    <definedName name="ARTICULO_PRODUCCION" localSheetId="2">#REF!</definedName>
    <definedName name="ARTICULO_PRODUCCION" localSheetId="9">#REF!</definedName>
    <definedName name="ARTICULO_PRODUCCION">#REF!</definedName>
    <definedName name="ARTICULO_VENTA" localSheetId="1">#REF!</definedName>
    <definedName name="ARTICULO_VENTA" localSheetId="0">#REF!</definedName>
    <definedName name="ARTICULO_VENTA" localSheetId="3">#REF!</definedName>
    <definedName name="ARTICULO_VENTA" localSheetId="2">#REF!</definedName>
    <definedName name="ARTICULO_VENTA" localSheetId="9">#REF!</definedName>
    <definedName name="ARTICULO_VENTA">#REF!</definedName>
    <definedName name="ARTVENT">#REF!</definedName>
    <definedName name="CHS___PEGO_GRIS___SACO_10KG" localSheetId="1">'RELACION VTAS - CHS'!#REF!</definedName>
    <definedName name="CHS___PEGO_GRIS___SACO_10KG" localSheetId="0">'RELACION VTAS - CHS'!#REF!</definedName>
    <definedName name="CHS___PEGO_GRIS___SACO_10KG" localSheetId="3">'RELACION VTAS - CHS'!#REF!</definedName>
    <definedName name="CHS___PEGO_GRIS___SACO_10KG" localSheetId="2">'RELACION VTAS - CHS'!#REF!</definedName>
    <definedName name="CHS___PEGO_GRIS___SACO_10KG" localSheetId="9">'RELACION VTAS - CHS'!#REF!</definedName>
    <definedName name="CHS___PEGO_GRIS___SACO_10KG">'[2]RELACION VTAS - CHS'!#REF!</definedName>
    <definedName name="COLABORADORES">'[1]LISTAS DE SELECCION'!$B$50:$B$56</definedName>
    <definedName name="COMERCIAL_HERMANOS_FARAH_DE_PARAGUANA__C._A." localSheetId="1">'RELACION VTAS - CHS'!#REF!</definedName>
    <definedName name="COMERCIAL_HERMANOS_FARAH_DE_PARAGUANA__C._A." localSheetId="0">'RELACION VTAS - CHS'!#REF!</definedName>
    <definedName name="COMERCIAL_HERMANOS_FARAH_DE_PARAGUANA__C._A." localSheetId="3">'RELACION VTAS - CHS'!#REF!</definedName>
    <definedName name="COMERCIAL_HERMANOS_FARAH_DE_PARAGUANA__C._A." localSheetId="2">'RELACION VTAS - CHS'!#REF!</definedName>
    <definedName name="COMERCIAL_HERMANOS_FARAH_DE_PARAGUANA__C._A." localSheetId="9">'RELACION VTAS - CHS'!#REF!</definedName>
    <definedName name="COMERCIAL_HERMANOS_FARAH_DE_PARAGUANA__C._A.">'[2]RELACION VTAS - CHS'!#REF!</definedName>
    <definedName name="COMISIONESXPAGAR">'[1]DATOS MAESTROS - CTAS BALANCE'!$B$79:$B$84</definedName>
    <definedName name="CONCILIACION_BANCARIA">'[1]LISTAS DE SELECCION'!$B$46:$B$48</definedName>
    <definedName name="COTIZACION">'[1]LISTAS DE SELECCION'!$B$7:$B$12</definedName>
    <definedName name="CTAS_BALANCE_CODIGOS">'[1]DATOS MAESTROS - CTAS BALANCE'!$B$6:$B$102</definedName>
    <definedName name="CTAS_BCOS">'[1]DATOS MAESTROS - CTAS BALANCE'!$B$10:$B$14</definedName>
    <definedName name="CTAS_INGRESOS">'[1]DATOS MAESTROS - CTAS RESULTADO'!$B$10:$B$17</definedName>
    <definedName name="CTAS_INVENTARIO">'[1]DATOS MAESTROS - CTAS BALANCE'!$B$26:$B$33</definedName>
    <definedName name="CTAS_PUBLICIDAD_PROMOCION">'[1]DATOS MAESTROS - CTAS RESULTADO'!$B$69:$B$76</definedName>
    <definedName name="CTAS_RESULTADOS_CODIGOS">'[1]DATOS MAESTROS - CTAS RESULTADO'!$B$6:$B$103</definedName>
    <definedName name="CUENTASXPAGAR">'[1]DATOS MAESTROS - CTAS BALANCE'!$B$67:$B$69</definedName>
    <definedName name="CURRIER">'[1]LISTAS DE SELECCION'!$B$68:$B$74</definedName>
    <definedName name="DEPOSITANTES">'[1]LISTAS DE SELECCION'!$B$40:$B$44</definedName>
    <definedName name="ESTATUS_CONTEO_FISICO">'[1]LISTAS DE SELECCION'!$B$109:$B$112</definedName>
    <definedName name="ESTATUS_EM">'[1]LISTAS DE SELECCION'!$B$105:$B$107</definedName>
    <definedName name="ESTATUS_ENTREGA">'[1]LISTAS DE SELECCION'!$B$98:$B$103</definedName>
    <definedName name="ESTATUS_ORD_PROD">'[1]LISTAS DE SELECCION'!$B$58:$B$61</definedName>
    <definedName name="FARAH">'[2]RELACION VTAS - CHS'!#REF!</definedName>
    <definedName name="GRAF" localSheetId="0">#REF!</definedName>
    <definedName name="GRAF" localSheetId="2">#REF!</definedName>
    <definedName name="GRAF" localSheetId="9">#REF!</definedName>
    <definedName name="GRAF">#REF!</definedName>
    <definedName name="GRF">#REF!</definedName>
    <definedName name="GUIA">#REF!</definedName>
    <definedName name="MEDIO_PAGO_COMISION">'[1]LISTAS DE SELECCION'!$B$84:$B$88</definedName>
    <definedName name="METODO_REPARTO">'[1]LISTAS DE SELECCION'!$B$76:$B$78</definedName>
    <definedName name="SI">#REF!</definedName>
    <definedName name="TIPO_COMPRA">'[1]LISTAS DE SELECCION'!$B$14:$B$27</definedName>
    <definedName name="TIPO_OPERACION">'[1]LISTAS DE SELECCION'!$B$29:$B$38</definedName>
    <definedName name="UNIDAD_CALCULO">'[1]LISTAS DE SELECCION'!$B$90:$B$92</definedName>
    <definedName name="VENDEDORES">'[1]DATOS MAESTROS - VENDEDORES'!$D$6:$D$25</definedName>
    <definedName name="Y">#REF!</definedName>
    <definedName name="YE">#REF!</definedName>
    <definedName name="YES" localSheetId="0">#REF!</definedName>
    <definedName name="YES" localSheetId="2">#REF!</definedName>
    <definedName name="YES" localSheetId="9">#REF!</definedName>
    <definedName name="YES">#REF!</definedName>
    <definedName name="YESO" localSheetId="0">#REF!</definedName>
    <definedName name="YESO" localSheetId="2">#REF!</definedName>
    <definedName name="YESO" localSheetId="9">#REF!</definedName>
    <definedName name="YESO">#REF!</definedName>
    <definedName name="YN" localSheetId="0">#REF!</definedName>
    <definedName name="YN" localSheetId="2">#REF!</definedName>
    <definedName name="YN" localSheetId="9">#REF!</definedName>
    <definedName name="YN">#REF!</definedName>
    <definedName name="Z_2EDA8CC3_84EB_4F05_BF1F_BD8B14370E50_.wvu.Cols" localSheetId="7" hidden="1">'RELACION VTAS - CHS'!$A:$A,'RELACION VTAS - CHS'!$D:$E</definedName>
    <definedName name="Z_2EDA8CC3_84EB_4F05_BF1F_BD8B14370E50_.wvu.FilterData" localSheetId="8" hidden="1">COBRANZA!$A$6:$K$201</definedName>
    <definedName name="Z_2EDA8CC3_84EB_4F05_BF1F_BD8B14370E50_.wvu.FilterData" localSheetId="4" hidden="1">'DATOS CLIENTES'!$A$4:$F$148</definedName>
    <definedName name="Z_2EDA8CC3_84EB_4F05_BF1F_BD8B14370E50_.wvu.FilterData" localSheetId="7" hidden="1">'RELACION VTAS - CHS'!$A$6:$O$251</definedName>
    <definedName name="Z_9C7DF5E1_0B31_456B_8B95_9E84EC8BB2AA_.wvu.Cols" localSheetId="7" hidden="1">'RELACION VTAS - CHS'!$A:$A,'RELACION VTAS - CHS'!$D:$E</definedName>
    <definedName name="Z_9C7DF5E1_0B31_456B_8B95_9E84EC8BB2AA_.wvu.FilterData" localSheetId="8" hidden="1">COBRANZA!$A$6:$K$201</definedName>
    <definedName name="Z_9C7DF5E1_0B31_456B_8B95_9E84EC8BB2AA_.wvu.FilterData" localSheetId="4" hidden="1">'DATOS CLIENTES'!$A$4:$F$148</definedName>
    <definedName name="Z_9C7DF5E1_0B31_456B_8B95_9E84EC8BB2AA_.wvu.FilterData" localSheetId="7" hidden="1">'RELACION VTAS - CHS'!$A$6:$O$251</definedName>
  </definedNames>
  <calcPr calcId="162913"/>
  <customWorkbookViews>
    <customWorkbookView name="admin - Vista personalizada" guid="{9C7DF5E1-0B31-456B-8B95-9E84EC8BB2AA}" mergeInterval="0" personalView="1" maximized="1" xWindow="-8" yWindow="-8" windowWidth="1382" windowHeight="744" tabRatio="922" activeSheetId="13"/>
    <customWorkbookView name="Yofreddle - Vista personalizada" guid="{2EDA8CC3-84EB-4F05-BF1F-BD8B14370E50}" mergeInterval="0" personalView="1" maximized="1" windowWidth="1276" windowHeight="574" tabRatio="922" activeSheetId="19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80" i="17" l="1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K47" i="17"/>
  <c r="K46" i="17"/>
  <c r="K45" i="17"/>
  <c r="K44" i="17"/>
  <c r="K43" i="17"/>
  <c r="K42" i="17"/>
  <c r="K41" i="17"/>
  <c r="K81" i="17"/>
  <c r="L253" i="17" l="1"/>
  <c r="L250" i="17"/>
  <c r="L249" i="17"/>
  <c r="L248" i="17"/>
  <c r="L247" i="17"/>
  <c r="L246" i="17"/>
  <c r="L245" i="17"/>
  <c r="L244" i="17"/>
  <c r="L243" i="17"/>
  <c r="L242" i="17"/>
  <c r="L241" i="17"/>
  <c r="L240" i="17"/>
  <c r="L239" i="17"/>
  <c r="L238" i="17"/>
  <c r="L237" i="17"/>
  <c r="L236" i="17"/>
  <c r="L235" i="17"/>
  <c r="L234" i="17"/>
  <c r="L233" i="17"/>
  <c r="L232" i="17"/>
  <c r="L231" i="17"/>
  <c r="L230" i="17"/>
  <c r="L229" i="17"/>
  <c r="L228" i="17"/>
  <c r="L227" i="17"/>
  <c r="L226" i="17"/>
  <c r="L225" i="17"/>
  <c r="L224" i="17"/>
  <c r="L223" i="17"/>
  <c r="L222" i="17"/>
  <c r="L221" i="17"/>
  <c r="L220" i="17"/>
  <c r="L219" i="17"/>
  <c r="L218" i="17"/>
  <c r="L217" i="17"/>
  <c r="L216" i="17"/>
  <c r="L215" i="17"/>
  <c r="L214" i="17"/>
  <c r="L213" i="17"/>
  <c r="L212" i="17"/>
  <c r="L211" i="17"/>
  <c r="L210" i="17"/>
  <c r="L209" i="17"/>
  <c r="L208" i="17"/>
  <c r="L207" i="17"/>
  <c r="L206" i="17"/>
  <c r="L205" i="17"/>
  <c r="L204" i="17"/>
  <c r="L203" i="17"/>
  <c r="L202" i="17"/>
  <c r="L201" i="17"/>
  <c r="L200" i="17"/>
  <c r="L199" i="17"/>
  <c r="L198" i="17"/>
  <c r="L197" i="17"/>
  <c r="L196" i="17"/>
  <c r="L195" i="17"/>
  <c r="L194" i="17"/>
  <c r="L193" i="17"/>
  <c r="L192" i="17"/>
  <c r="L191" i="17"/>
  <c r="L190" i="17"/>
  <c r="L189" i="17"/>
  <c r="L188" i="17"/>
  <c r="L187" i="17"/>
  <c r="L186" i="17"/>
  <c r="L185" i="17"/>
  <c r="L184" i="17"/>
  <c r="L183" i="17"/>
  <c r="L182" i="17"/>
  <c r="L181" i="17"/>
  <c r="L180" i="17"/>
  <c r="L179" i="17"/>
  <c r="L178" i="17"/>
  <c r="L177" i="17"/>
  <c r="L176" i="17"/>
  <c r="L175" i="17"/>
  <c r="L174" i="17"/>
  <c r="L173" i="17"/>
  <c r="L172" i="17"/>
  <c r="L171" i="17"/>
  <c r="L170" i="17"/>
  <c r="L169" i="17"/>
  <c r="L168" i="17"/>
  <c r="L167" i="17"/>
  <c r="L166" i="17"/>
  <c r="L165" i="17"/>
  <c r="L164" i="17"/>
  <c r="L163" i="17"/>
  <c r="L162" i="17"/>
  <c r="L161" i="17"/>
  <c r="L160" i="17"/>
  <c r="L159" i="17"/>
  <c r="L158" i="17"/>
  <c r="L157" i="17"/>
  <c r="L156" i="17"/>
  <c r="L155" i="17"/>
  <c r="L154" i="17"/>
  <c r="L153" i="17"/>
  <c r="L152" i="17"/>
  <c r="L151" i="17"/>
  <c r="L150" i="17"/>
  <c r="L149" i="17"/>
  <c r="L148" i="17"/>
  <c r="L147" i="17"/>
  <c r="L146" i="17"/>
  <c r="L145" i="17"/>
  <c r="L144" i="17"/>
  <c r="L143" i="17"/>
  <c r="L142" i="17"/>
  <c r="L141" i="17"/>
  <c r="L140" i="17"/>
  <c r="L139" i="17"/>
  <c r="L138" i="17"/>
  <c r="L137" i="17"/>
  <c r="L136" i="17"/>
  <c r="L135" i="17"/>
  <c r="L134" i="17"/>
  <c r="L133" i="17"/>
  <c r="L132" i="17"/>
  <c r="L131" i="17"/>
  <c r="L130" i="17"/>
  <c r="L129" i="17"/>
  <c r="L128" i="17"/>
  <c r="L127" i="17"/>
  <c r="L126" i="17"/>
  <c r="L125" i="17"/>
  <c r="L124" i="17"/>
  <c r="L123" i="17"/>
  <c r="L122" i="17"/>
  <c r="L121" i="17"/>
  <c r="L120" i="17"/>
  <c r="L119" i="17"/>
  <c r="L118" i="17"/>
  <c r="L117" i="17"/>
  <c r="L116" i="17"/>
  <c r="L115" i="17"/>
  <c r="L114" i="17"/>
  <c r="L113" i="17"/>
  <c r="L112" i="17"/>
  <c r="L111" i="17"/>
  <c r="L110" i="17"/>
  <c r="L109" i="17"/>
  <c r="L108" i="17"/>
  <c r="L107" i="17"/>
  <c r="L106" i="17"/>
  <c r="L105" i="17"/>
  <c r="L104" i="17"/>
  <c r="L103" i="17"/>
  <c r="L102" i="17"/>
  <c r="L101" i="17"/>
  <c r="L100" i="17"/>
  <c r="L99" i="17"/>
  <c r="L98" i="17"/>
  <c r="L97" i="17"/>
  <c r="L96" i="17"/>
  <c r="L95" i="17"/>
  <c r="L94" i="17"/>
  <c r="L93" i="17"/>
  <c r="L92" i="17"/>
  <c r="L91" i="17"/>
  <c r="L90" i="17"/>
  <c r="L89" i="17"/>
  <c r="L88" i="17"/>
  <c r="L87" i="17"/>
  <c r="L86" i="17"/>
  <c r="L85" i="17"/>
  <c r="L84" i="17"/>
  <c r="L83" i="17"/>
  <c r="L82" i="17"/>
  <c r="L81" i="17"/>
  <c r="L80" i="17"/>
  <c r="L79" i="17"/>
  <c r="L78" i="17"/>
  <c r="L77" i="17"/>
  <c r="L76" i="17"/>
  <c r="L75" i="17"/>
  <c r="L74" i="17"/>
  <c r="L73" i="17"/>
  <c r="L72" i="17"/>
  <c r="L71" i="17"/>
  <c r="L70" i="17"/>
  <c r="L69" i="17"/>
  <c r="L68" i="17"/>
  <c r="L67" i="17"/>
  <c r="L66" i="17"/>
  <c r="L65" i="17"/>
  <c r="L64" i="17"/>
  <c r="L63" i="17"/>
  <c r="L62" i="17"/>
  <c r="L61" i="17"/>
  <c r="L60" i="17"/>
  <c r="L59" i="17"/>
  <c r="L58" i="17"/>
  <c r="L57" i="17"/>
  <c r="L56" i="17"/>
  <c r="L55" i="17"/>
  <c r="L54" i="17"/>
  <c r="L53" i="17"/>
  <c r="L52" i="17"/>
  <c r="L51" i="17"/>
  <c r="L50" i="17"/>
  <c r="L49" i="17"/>
  <c r="L48" i="17"/>
  <c r="L4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L26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G116" i="2715"/>
  <c r="F81" i="17"/>
  <c r="E81" i="17" s="1"/>
  <c r="F82" i="17"/>
  <c r="M82" i="17" s="1"/>
  <c r="N82" i="17" s="1"/>
  <c r="O82" i="17" s="1"/>
  <c r="K82" i="17"/>
  <c r="F83" i="17"/>
  <c r="E83" i="17" s="1"/>
  <c r="K83" i="17"/>
  <c r="F84" i="17"/>
  <c r="E84" i="17" s="1"/>
  <c r="K84" i="17"/>
  <c r="F85" i="17"/>
  <c r="E85" i="17" s="1"/>
  <c r="K85" i="17"/>
  <c r="F86" i="17"/>
  <c r="E86" i="17" s="1"/>
  <c r="K86" i="17"/>
  <c r="M86" i="17" l="1"/>
  <c r="N86" i="17" s="1"/>
  <c r="O86" i="17" s="1"/>
  <c r="M84" i="17"/>
  <c r="N84" i="17" s="1"/>
  <c r="O84" i="17" s="1"/>
  <c r="E82" i="17"/>
  <c r="M85" i="17"/>
  <c r="N85" i="17" s="1"/>
  <c r="O85" i="17" s="1"/>
  <c r="M83" i="17"/>
  <c r="N83" i="17" s="1"/>
  <c r="O83" i="17" s="1"/>
  <c r="M81" i="17"/>
  <c r="N81" i="17" s="1"/>
  <c r="O81" i="17" s="1"/>
  <c r="I118" i="2715"/>
  <c r="Q4" i="17" l="1"/>
  <c r="R4" i="17" s="1"/>
  <c r="T4" i="17"/>
  <c r="G87" i="2715" l="1"/>
  <c r="G57" i="2715" l="1"/>
  <c r="I47" i="2715" l="1"/>
  <c r="I46" i="2715"/>
  <c r="I45" i="2715"/>
  <c r="I44" i="2715"/>
  <c r="I43" i="2715"/>
  <c r="I42" i="2715"/>
  <c r="I41" i="2715"/>
  <c r="G40" i="2715"/>
  <c r="C6" i="2711" l="1"/>
  <c r="G14" i="2715" l="1"/>
  <c r="D7" i="17"/>
  <c r="D8" i="17" s="1"/>
  <c r="D9" i="17" s="1"/>
  <c r="D10" i="17" s="1"/>
  <c r="D11" i="17" s="1"/>
  <c r="D12" i="17" s="1"/>
  <c r="D13" i="17" s="1"/>
  <c r="D14" i="17" s="1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35" i="17" s="1"/>
  <c r="D36" i="17" s="1"/>
  <c r="D37" i="17" s="1"/>
  <c r="D38" i="17" s="1"/>
  <c r="D39" i="17" s="1"/>
  <c r="D40" i="17" s="1"/>
  <c r="D41" i="17" s="1"/>
  <c r="D42" i="17" s="1"/>
  <c r="D43" i="17" s="1"/>
  <c r="D44" i="17" s="1"/>
  <c r="D45" i="17" s="1"/>
  <c r="D46" i="17" s="1"/>
  <c r="D47" i="17" s="1"/>
  <c r="D48" i="17" s="1"/>
  <c r="D49" i="17" s="1"/>
  <c r="D50" i="17" s="1"/>
  <c r="D51" i="17" s="1"/>
  <c r="D52" i="17" s="1"/>
  <c r="D53" i="17" s="1"/>
  <c r="D54" i="17" s="1"/>
  <c r="D55" i="17" s="1"/>
  <c r="D56" i="17" s="1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D68" i="17" s="1"/>
  <c r="D69" i="17" s="1"/>
  <c r="D70" i="17" s="1"/>
  <c r="D71" i="17" s="1"/>
  <c r="D72" i="17" s="1"/>
  <c r="D73" i="17" s="1"/>
  <c r="D74" i="17" s="1"/>
  <c r="D75" i="17" s="1"/>
  <c r="D76" i="17" s="1"/>
  <c r="D77" i="17" s="1"/>
  <c r="D78" i="17" s="1"/>
  <c r="D79" i="17" s="1"/>
  <c r="D80" i="17" s="1"/>
  <c r="D81" i="17" s="1"/>
  <c r="D82" i="17" s="1"/>
  <c r="D83" i="17" s="1"/>
  <c r="D84" i="17" s="1"/>
  <c r="D85" i="17" s="1"/>
  <c r="D86" i="17" s="1"/>
  <c r="I211" i="2715" l="1"/>
  <c r="I210" i="2715"/>
  <c r="I209" i="2715"/>
  <c r="I208" i="2715"/>
  <c r="I207" i="2715"/>
  <c r="I206" i="2715"/>
  <c r="I205" i="2715"/>
  <c r="I204" i="2715"/>
  <c r="I203" i="2715"/>
  <c r="I202" i="2715"/>
  <c r="I201" i="2715"/>
  <c r="I200" i="2715"/>
  <c r="I199" i="2715"/>
  <c r="I198" i="2715"/>
  <c r="I197" i="2715"/>
  <c r="I196" i="2715"/>
  <c r="I195" i="2715"/>
  <c r="I194" i="2715"/>
  <c r="I193" i="2715"/>
  <c r="I192" i="2715"/>
  <c r="I191" i="2715"/>
  <c r="I190" i="2715"/>
  <c r="I189" i="2715"/>
  <c r="I188" i="2715"/>
  <c r="I187" i="2715"/>
  <c r="I186" i="2715"/>
  <c r="I185" i="2715"/>
  <c r="I184" i="2715"/>
  <c r="I183" i="2715"/>
  <c r="I182" i="2715"/>
  <c r="I181" i="2715"/>
  <c r="I180" i="2715"/>
  <c r="I179" i="2715"/>
  <c r="I178" i="2715"/>
  <c r="I177" i="2715"/>
  <c r="I176" i="2715"/>
  <c r="I175" i="2715"/>
  <c r="I174" i="2715"/>
  <c r="I173" i="2715"/>
  <c r="I172" i="2715"/>
  <c r="I171" i="2715"/>
  <c r="I170" i="2715"/>
  <c r="I169" i="2715"/>
  <c r="I168" i="2715"/>
  <c r="I167" i="2715"/>
  <c r="I166" i="2715"/>
  <c r="I165" i="2715"/>
  <c r="I164" i="2715"/>
  <c r="I163" i="2715"/>
  <c r="I162" i="2715"/>
  <c r="I161" i="2715"/>
  <c r="I160" i="2715"/>
  <c r="I159" i="2715"/>
  <c r="I158" i="2715"/>
  <c r="I157" i="2715"/>
  <c r="I156" i="2715"/>
  <c r="I155" i="2715"/>
  <c r="I154" i="2715"/>
  <c r="I153" i="2715"/>
  <c r="I152" i="2715"/>
  <c r="I151" i="2715"/>
  <c r="I150" i="2715"/>
  <c r="I149" i="2715"/>
  <c r="I148" i="2715"/>
  <c r="I147" i="2715"/>
  <c r="I146" i="2715"/>
  <c r="I145" i="2715"/>
  <c r="I144" i="2715"/>
  <c r="I143" i="2715"/>
  <c r="I142" i="2715"/>
  <c r="I141" i="2715"/>
  <c r="I140" i="2715"/>
  <c r="I139" i="2715"/>
  <c r="I138" i="2715"/>
  <c r="I137" i="2715"/>
  <c r="I136" i="2715"/>
  <c r="I135" i="2715"/>
  <c r="I134" i="2715"/>
  <c r="I133" i="2715"/>
  <c r="I132" i="2715"/>
  <c r="I131" i="2715"/>
  <c r="I130" i="2715"/>
  <c r="I129" i="2715"/>
  <c r="I128" i="2715"/>
  <c r="I127" i="2715"/>
  <c r="I126" i="2715"/>
  <c r="I125" i="2715"/>
  <c r="I124" i="2715"/>
  <c r="I123" i="2715"/>
  <c r="I122" i="2715"/>
  <c r="I121" i="2715"/>
  <c r="I120" i="2715"/>
  <c r="I119" i="2715"/>
  <c r="I117" i="2715"/>
  <c r="I116" i="2715"/>
  <c r="I115" i="2715"/>
  <c r="I114" i="2715"/>
  <c r="I113" i="2715"/>
  <c r="I112" i="2715"/>
  <c r="I111" i="2715"/>
  <c r="I110" i="2715"/>
  <c r="I109" i="2715"/>
  <c r="I108" i="2715"/>
  <c r="I107" i="2715"/>
  <c r="I106" i="2715"/>
  <c r="I105" i="2715"/>
  <c r="I104" i="2715"/>
  <c r="I103" i="2715"/>
  <c r="I102" i="2715"/>
  <c r="I101" i="2715"/>
  <c r="I100" i="2715"/>
  <c r="I99" i="2715"/>
  <c r="I98" i="2715"/>
  <c r="I97" i="2715"/>
  <c r="I96" i="2715"/>
  <c r="I95" i="2715"/>
  <c r="I94" i="2715"/>
  <c r="I93" i="2715"/>
  <c r="I92" i="2715"/>
  <c r="I91" i="2715"/>
  <c r="I90" i="2715"/>
  <c r="I89" i="2715"/>
  <c r="I88" i="2715"/>
  <c r="I87" i="2715"/>
  <c r="I86" i="2715"/>
  <c r="I85" i="2715"/>
  <c r="I84" i="2715"/>
  <c r="I83" i="2715"/>
  <c r="I82" i="2715"/>
  <c r="I81" i="2715"/>
  <c r="I80" i="2715"/>
  <c r="I79" i="2715"/>
  <c r="I78" i="2715"/>
  <c r="I77" i="2715"/>
  <c r="I76" i="2715"/>
  <c r="I75" i="2715"/>
  <c r="I74" i="2715"/>
  <c r="I73" i="2715"/>
  <c r="I72" i="2715"/>
  <c r="I71" i="2715"/>
  <c r="I70" i="2715"/>
  <c r="I69" i="2715"/>
  <c r="I68" i="2715"/>
  <c r="I67" i="2715"/>
  <c r="I66" i="2715"/>
  <c r="I65" i="2715"/>
  <c r="I64" i="2715"/>
  <c r="I63" i="2715"/>
  <c r="I62" i="2715"/>
  <c r="I61" i="2715"/>
  <c r="I60" i="2715"/>
  <c r="I59" i="2715"/>
  <c r="I58" i="2715"/>
  <c r="I57" i="2715"/>
  <c r="I56" i="2715"/>
  <c r="I55" i="2715"/>
  <c r="I54" i="2715"/>
  <c r="I53" i="2715"/>
  <c r="I52" i="2715"/>
  <c r="I51" i="2715"/>
  <c r="I50" i="2715"/>
  <c r="I49" i="2715"/>
  <c r="I48" i="2715"/>
  <c r="I40" i="2715"/>
  <c r="I39" i="2715"/>
  <c r="I38" i="2715"/>
  <c r="I37" i="2715"/>
  <c r="I36" i="2715"/>
  <c r="I35" i="2715"/>
  <c r="I34" i="2715"/>
  <c r="I33" i="2715"/>
  <c r="I32" i="2715"/>
  <c r="I31" i="2715"/>
  <c r="I30" i="2715"/>
  <c r="I29" i="2715"/>
  <c r="I28" i="2715"/>
  <c r="I27" i="2715"/>
  <c r="I26" i="2715"/>
  <c r="I25" i="2715"/>
  <c r="I24" i="2715"/>
  <c r="I23" i="2715"/>
  <c r="I22" i="2715"/>
  <c r="I21" i="2715"/>
  <c r="I20" i="2715"/>
  <c r="I19" i="2715"/>
  <c r="I18" i="2715"/>
  <c r="I17" i="2715"/>
  <c r="I16" i="2715"/>
  <c r="I15" i="2715"/>
  <c r="I14" i="2715"/>
  <c r="I13" i="2715"/>
  <c r="I12" i="2715"/>
  <c r="I11" i="2715"/>
  <c r="I10" i="2715"/>
  <c r="I9" i="2715"/>
  <c r="I8" i="2715"/>
  <c r="I7" i="2715"/>
  <c r="I6" i="2715"/>
  <c r="K250" i="17"/>
  <c r="F250" i="17"/>
  <c r="M250" i="17" s="1"/>
  <c r="K249" i="17"/>
  <c r="F249" i="17"/>
  <c r="M249" i="17" s="1"/>
  <c r="K248" i="17"/>
  <c r="F248" i="17"/>
  <c r="M248" i="17" s="1"/>
  <c r="K247" i="17"/>
  <c r="F247" i="17"/>
  <c r="M247" i="17" s="1"/>
  <c r="K246" i="17"/>
  <c r="F246" i="17"/>
  <c r="M246" i="17" s="1"/>
  <c r="K245" i="17"/>
  <c r="F245" i="17"/>
  <c r="M245" i="17" s="1"/>
  <c r="K244" i="17"/>
  <c r="F244" i="17"/>
  <c r="M244" i="17" s="1"/>
  <c r="K243" i="17"/>
  <c r="F243" i="17"/>
  <c r="M243" i="17" s="1"/>
  <c r="K242" i="17"/>
  <c r="F242" i="17"/>
  <c r="M242" i="17" s="1"/>
  <c r="K241" i="17"/>
  <c r="F241" i="17"/>
  <c r="M241" i="17" s="1"/>
  <c r="K240" i="17"/>
  <c r="F240" i="17"/>
  <c r="M240" i="17" s="1"/>
  <c r="K239" i="17"/>
  <c r="F239" i="17"/>
  <c r="M239" i="17" s="1"/>
  <c r="K238" i="17"/>
  <c r="F238" i="17"/>
  <c r="M238" i="17" s="1"/>
  <c r="K237" i="17"/>
  <c r="F237" i="17"/>
  <c r="M237" i="17" s="1"/>
  <c r="K236" i="17"/>
  <c r="F236" i="17"/>
  <c r="M236" i="17" s="1"/>
  <c r="K235" i="17"/>
  <c r="F235" i="17"/>
  <c r="M235" i="17" s="1"/>
  <c r="K234" i="17"/>
  <c r="F234" i="17"/>
  <c r="M234" i="17" s="1"/>
  <c r="K233" i="17"/>
  <c r="F233" i="17"/>
  <c r="M233" i="17" s="1"/>
  <c r="K232" i="17"/>
  <c r="F232" i="17"/>
  <c r="M232" i="17" s="1"/>
  <c r="K231" i="17"/>
  <c r="F231" i="17"/>
  <c r="M231" i="17" s="1"/>
  <c r="K230" i="17"/>
  <c r="F230" i="17"/>
  <c r="M230" i="17" s="1"/>
  <c r="K229" i="17"/>
  <c r="F229" i="17"/>
  <c r="K228" i="17"/>
  <c r="F228" i="17"/>
  <c r="K227" i="17"/>
  <c r="F227" i="17"/>
  <c r="K226" i="17"/>
  <c r="F226" i="17"/>
  <c r="K225" i="17"/>
  <c r="F225" i="17"/>
  <c r="K224" i="17"/>
  <c r="F224" i="17"/>
  <c r="K223" i="17"/>
  <c r="F223" i="17"/>
  <c r="K222" i="17"/>
  <c r="F222" i="17"/>
  <c r="K221" i="17"/>
  <c r="F221" i="17"/>
  <c r="K220" i="17"/>
  <c r="F220" i="17"/>
  <c r="K219" i="17"/>
  <c r="F219" i="17"/>
  <c r="K218" i="17"/>
  <c r="F218" i="17"/>
  <c r="K217" i="17"/>
  <c r="F217" i="17"/>
  <c r="K216" i="17"/>
  <c r="F216" i="17"/>
  <c r="K215" i="17"/>
  <c r="F215" i="17"/>
  <c r="K214" i="17"/>
  <c r="F214" i="17"/>
  <c r="K213" i="17"/>
  <c r="F213" i="17"/>
  <c r="K212" i="17"/>
  <c r="F212" i="17"/>
  <c r="K211" i="17"/>
  <c r="F211" i="17"/>
  <c r="K210" i="17"/>
  <c r="F210" i="17"/>
  <c r="K209" i="17"/>
  <c r="F209" i="17"/>
  <c r="K208" i="17"/>
  <c r="F208" i="17"/>
  <c r="M208" i="17" s="1"/>
  <c r="K207" i="17"/>
  <c r="F207" i="17"/>
  <c r="E207" i="17" s="1"/>
  <c r="K206" i="17"/>
  <c r="F206" i="17"/>
  <c r="E206" i="17" s="1"/>
  <c r="K205" i="17"/>
  <c r="F205" i="17"/>
  <c r="E205" i="17" s="1"/>
  <c r="K204" i="17"/>
  <c r="F204" i="17"/>
  <c r="E204" i="17" s="1"/>
  <c r="K203" i="17"/>
  <c r="F203" i="17"/>
  <c r="E203" i="17" s="1"/>
  <c r="K202" i="17"/>
  <c r="F202" i="17"/>
  <c r="E202" i="17" s="1"/>
  <c r="K201" i="17"/>
  <c r="F201" i="17"/>
  <c r="M201" i="17" s="1"/>
  <c r="K200" i="17"/>
  <c r="F200" i="17"/>
  <c r="M200" i="17" s="1"/>
  <c r="K199" i="17"/>
  <c r="F199" i="17"/>
  <c r="K198" i="17"/>
  <c r="F198" i="17"/>
  <c r="M198" i="17" s="1"/>
  <c r="K197" i="17"/>
  <c r="F197" i="17"/>
  <c r="M197" i="17" s="1"/>
  <c r="K196" i="17"/>
  <c r="F196" i="17"/>
  <c r="M196" i="17" s="1"/>
  <c r="K195" i="17"/>
  <c r="F195" i="17"/>
  <c r="K194" i="17"/>
  <c r="F194" i="17"/>
  <c r="M194" i="17" s="1"/>
  <c r="K193" i="17"/>
  <c r="F193" i="17"/>
  <c r="M193" i="17" s="1"/>
  <c r="K192" i="17"/>
  <c r="F192" i="17"/>
  <c r="M192" i="17" s="1"/>
  <c r="K191" i="17"/>
  <c r="F191" i="17"/>
  <c r="K190" i="17"/>
  <c r="F190" i="17"/>
  <c r="M190" i="17" s="1"/>
  <c r="K189" i="17"/>
  <c r="F189" i="17"/>
  <c r="M189" i="17" s="1"/>
  <c r="K188" i="17"/>
  <c r="F188" i="17"/>
  <c r="M188" i="17" s="1"/>
  <c r="K187" i="17"/>
  <c r="F187" i="17"/>
  <c r="K186" i="17"/>
  <c r="F186" i="17"/>
  <c r="M186" i="17" s="1"/>
  <c r="K185" i="17"/>
  <c r="F185" i="17"/>
  <c r="M185" i="17" s="1"/>
  <c r="K184" i="17"/>
  <c r="F184" i="17"/>
  <c r="M184" i="17" s="1"/>
  <c r="K183" i="17"/>
  <c r="F183" i="17"/>
  <c r="K182" i="17"/>
  <c r="F182" i="17"/>
  <c r="M182" i="17" s="1"/>
  <c r="K181" i="17"/>
  <c r="F181" i="17"/>
  <c r="M181" i="17" s="1"/>
  <c r="K180" i="17"/>
  <c r="F180" i="17"/>
  <c r="M180" i="17" s="1"/>
  <c r="K179" i="17"/>
  <c r="F179" i="17"/>
  <c r="K178" i="17"/>
  <c r="F178" i="17"/>
  <c r="M178" i="17" s="1"/>
  <c r="K177" i="17"/>
  <c r="F177" i="17"/>
  <c r="M177" i="17" s="1"/>
  <c r="K176" i="17"/>
  <c r="F176" i="17"/>
  <c r="M176" i="17" s="1"/>
  <c r="K175" i="17"/>
  <c r="F175" i="17"/>
  <c r="K174" i="17"/>
  <c r="F174" i="17"/>
  <c r="M174" i="17" s="1"/>
  <c r="K173" i="17"/>
  <c r="F173" i="17"/>
  <c r="M173" i="17" s="1"/>
  <c r="K172" i="17"/>
  <c r="F172" i="17"/>
  <c r="M172" i="17" s="1"/>
  <c r="K171" i="17"/>
  <c r="F171" i="17"/>
  <c r="K170" i="17"/>
  <c r="F170" i="17"/>
  <c r="M170" i="17" s="1"/>
  <c r="K169" i="17"/>
  <c r="F169" i="17"/>
  <c r="M169" i="17" s="1"/>
  <c r="K168" i="17"/>
  <c r="F168" i="17"/>
  <c r="M168" i="17" s="1"/>
  <c r="K167" i="17"/>
  <c r="F167" i="17"/>
  <c r="K166" i="17"/>
  <c r="F166" i="17"/>
  <c r="M166" i="17" s="1"/>
  <c r="K165" i="17"/>
  <c r="F165" i="17"/>
  <c r="M165" i="17" s="1"/>
  <c r="K164" i="17"/>
  <c r="F164" i="17"/>
  <c r="M164" i="17" s="1"/>
  <c r="K163" i="17"/>
  <c r="F163" i="17"/>
  <c r="K162" i="17"/>
  <c r="F162" i="17"/>
  <c r="M162" i="17" s="1"/>
  <c r="K161" i="17"/>
  <c r="F161" i="17"/>
  <c r="M161" i="17" s="1"/>
  <c r="K160" i="17"/>
  <c r="F160" i="17"/>
  <c r="M160" i="17" s="1"/>
  <c r="K159" i="17"/>
  <c r="F159" i="17"/>
  <c r="K158" i="17"/>
  <c r="F158" i="17"/>
  <c r="M158" i="17" s="1"/>
  <c r="K157" i="17"/>
  <c r="F157" i="17"/>
  <c r="M157" i="17" s="1"/>
  <c r="K156" i="17"/>
  <c r="F156" i="17"/>
  <c r="M156" i="17" s="1"/>
  <c r="K155" i="17"/>
  <c r="F155" i="17"/>
  <c r="K154" i="17"/>
  <c r="F154" i="17"/>
  <c r="M154" i="17" s="1"/>
  <c r="K153" i="17"/>
  <c r="F153" i="17"/>
  <c r="M153" i="17" s="1"/>
  <c r="K152" i="17"/>
  <c r="F152" i="17"/>
  <c r="M152" i="17" s="1"/>
  <c r="K151" i="17"/>
  <c r="F151" i="17"/>
  <c r="K150" i="17"/>
  <c r="F150" i="17"/>
  <c r="M150" i="17" s="1"/>
  <c r="K149" i="17"/>
  <c r="F149" i="17"/>
  <c r="M149" i="17" s="1"/>
  <c r="K148" i="17"/>
  <c r="F148" i="17"/>
  <c r="M148" i="17" s="1"/>
  <c r="K147" i="17"/>
  <c r="F147" i="17"/>
  <c r="K146" i="17"/>
  <c r="F146" i="17"/>
  <c r="M146" i="17" s="1"/>
  <c r="K145" i="17"/>
  <c r="F145" i="17"/>
  <c r="M145" i="17" s="1"/>
  <c r="K144" i="17"/>
  <c r="F144" i="17"/>
  <c r="M144" i="17" s="1"/>
  <c r="K143" i="17"/>
  <c r="F143" i="17"/>
  <c r="K142" i="17"/>
  <c r="F142" i="17"/>
  <c r="M142" i="17" s="1"/>
  <c r="K141" i="17"/>
  <c r="F141" i="17"/>
  <c r="M141" i="17" s="1"/>
  <c r="K140" i="17"/>
  <c r="F140" i="17"/>
  <c r="M140" i="17" s="1"/>
  <c r="K139" i="17"/>
  <c r="F139" i="17"/>
  <c r="K138" i="17"/>
  <c r="F138" i="17"/>
  <c r="K137" i="17"/>
  <c r="F137" i="17"/>
  <c r="K136" i="17"/>
  <c r="F136" i="17"/>
  <c r="K135" i="17"/>
  <c r="F135" i="17"/>
  <c r="K134" i="17"/>
  <c r="F134" i="17"/>
  <c r="K133" i="17"/>
  <c r="F133" i="17"/>
  <c r="K132" i="17"/>
  <c r="F132" i="17"/>
  <c r="K131" i="17"/>
  <c r="F131" i="17"/>
  <c r="K130" i="17"/>
  <c r="F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K119" i="17"/>
  <c r="F119" i="17"/>
  <c r="K118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E112" i="17" s="1"/>
  <c r="K111" i="17"/>
  <c r="F111" i="17"/>
  <c r="E111" i="17" s="1"/>
  <c r="K110" i="17"/>
  <c r="F110" i="17"/>
  <c r="E110" i="17" s="1"/>
  <c r="K109" i="17"/>
  <c r="F109" i="17"/>
  <c r="E109" i="17" s="1"/>
  <c r="K108" i="17"/>
  <c r="F108" i="17"/>
  <c r="E108" i="17" s="1"/>
  <c r="K107" i="17"/>
  <c r="F107" i="17"/>
  <c r="E107" i="17" s="1"/>
  <c r="K106" i="17"/>
  <c r="F106" i="17"/>
  <c r="E106" i="17" s="1"/>
  <c r="K105" i="17"/>
  <c r="F105" i="17"/>
  <c r="E105" i="17" s="1"/>
  <c r="K104" i="17"/>
  <c r="F104" i="17"/>
  <c r="E104" i="17" s="1"/>
  <c r="K103" i="17"/>
  <c r="F103" i="17"/>
  <c r="E103" i="17" s="1"/>
  <c r="K102" i="17"/>
  <c r="F102" i="17"/>
  <c r="E102" i="17" s="1"/>
  <c r="K101" i="17"/>
  <c r="F101" i="17"/>
  <c r="E101" i="17" s="1"/>
  <c r="K100" i="17"/>
  <c r="F100" i="17"/>
  <c r="E100" i="17" s="1"/>
  <c r="K99" i="17"/>
  <c r="F99" i="17"/>
  <c r="E99" i="17" s="1"/>
  <c r="K98" i="17"/>
  <c r="F98" i="17"/>
  <c r="E98" i="17" s="1"/>
  <c r="K97" i="17"/>
  <c r="F97" i="17"/>
  <c r="E97" i="17" s="1"/>
  <c r="K96" i="17"/>
  <c r="F96" i="17"/>
  <c r="E96" i="17" s="1"/>
  <c r="K95" i="17"/>
  <c r="F95" i="17"/>
  <c r="E95" i="17" s="1"/>
  <c r="K94" i="17"/>
  <c r="F94" i="17"/>
  <c r="M94" i="17" s="1"/>
  <c r="K93" i="17"/>
  <c r="F93" i="17"/>
  <c r="M93" i="17" s="1"/>
  <c r="K92" i="17"/>
  <c r="F92" i="17"/>
  <c r="M92" i="17" s="1"/>
  <c r="K91" i="17"/>
  <c r="F91" i="17"/>
  <c r="K90" i="17"/>
  <c r="F90" i="17"/>
  <c r="M90" i="17" s="1"/>
  <c r="K89" i="17"/>
  <c r="F89" i="17"/>
  <c r="E89" i="17" s="1"/>
  <c r="K88" i="17"/>
  <c r="F88" i="17"/>
  <c r="M88" i="17" s="1"/>
  <c r="K87" i="17"/>
  <c r="F87" i="17"/>
  <c r="M87" i="17" s="1"/>
  <c r="D87" i="17"/>
  <c r="D88" i="17" s="1"/>
  <c r="D89" i="17" s="1"/>
  <c r="D90" i="17" s="1"/>
  <c r="D91" i="17" s="1"/>
  <c r="D92" i="17" s="1"/>
  <c r="D93" i="17" s="1"/>
  <c r="D94" i="17" s="1"/>
  <c r="D95" i="17" s="1"/>
  <c r="D96" i="17" s="1"/>
  <c r="D97" i="17" s="1"/>
  <c r="D98" i="17" s="1"/>
  <c r="D99" i="17" s="1"/>
  <c r="D100" i="17" s="1"/>
  <c r="D101" i="17" s="1"/>
  <c r="D102" i="17" s="1"/>
  <c r="D103" i="17" s="1"/>
  <c r="D104" i="17" s="1"/>
  <c r="D105" i="17" s="1"/>
  <c r="D106" i="17" s="1"/>
  <c r="D107" i="17" s="1"/>
  <c r="D108" i="17" s="1"/>
  <c r="D109" i="17" s="1"/>
  <c r="D110" i="17" s="1"/>
  <c r="D111" i="17" s="1"/>
  <c r="D112" i="17" s="1"/>
  <c r="D113" i="17" s="1"/>
  <c r="D114" i="17" s="1"/>
  <c r="D115" i="17" s="1"/>
  <c r="D116" i="17" s="1"/>
  <c r="D117" i="17" s="1"/>
  <c r="D118" i="17" s="1"/>
  <c r="D119" i="17" s="1"/>
  <c r="D120" i="17" s="1"/>
  <c r="D121" i="17" s="1"/>
  <c r="D122" i="17" s="1"/>
  <c r="D123" i="17" s="1"/>
  <c r="D124" i="17" s="1"/>
  <c r="D125" i="17" s="1"/>
  <c r="D126" i="17" s="1"/>
  <c r="D127" i="17" s="1"/>
  <c r="D128" i="17" s="1"/>
  <c r="D129" i="17" s="1"/>
  <c r="D130" i="17" s="1"/>
  <c r="D131" i="17" s="1"/>
  <c r="D132" i="17" s="1"/>
  <c r="D133" i="17" s="1"/>
  <c r="D134" i="17" s="1"/>
  <c r="D135" i="17" s="1"/>
  <c r="D136" i="17" s="1"/>
  <c r="D137" i="17" s="1"/>
  <c r="D138" i="17" s="1"/>
  <c r="D139" i="17" s="1"/>
  <c r="D140" i="17" s="1"/>
  <c r="D141" i="17" s="1"/>
  <c r="D142" i="17" s="1"/>
  <c r="D143" i="17" s="1"/>
  <c r="D144" i="17" s="1"/>
  <c r="D145" i="17" s="1"/>
  <c r="D146" i="17" s="1"/>
  <c r="D147" i="17" s="1"/>
  <c r="D148" i="17" s="1"/>
  <c r="D149" i="17" s="1"/>
  <c r="D150" i="17" s="1"/>
  <c r="D151" i="17" s="1"/>
  <c r="D152" i="17" s="1"/>
  <c r="D153" i="17" s="1"/>
  <c r="D154" i="17" s="1"/>
  <c r="D155" i="17" s="1"/>
  <c r="D156" i="17" s="1"/>
  <c r="D157" i="17" s="1"/>
  <c r="D158" i="17" s="1"/>
  <c r="D159" i="17" s="1"/>
  <c r="D160" i="17" s="1"/>
  <c r="D161" i="17" s="1"/>
  <c r="D162" i="17" s="1"/>
  <c r="D163" i="17" s="1"/>
  <c r="D164" i="17" s="1"/>
  <c r="D165" i="17" s="1"/>
  <c r="D166" i="17" s="1"/>
  <c r="D167" i="17" s="1"/>
  <c r="D168" i="17" s="1"/>
  <c r="D169" i="17" s="1"/>
  <c r="D170" i="17" s="1"/>
  <c r="D171" i="17" s="1"/>
  <c r="D172" i="17" s="1"/>
  <c r="D173" i="17" s="1"/>
  <c r="D174" i="17" s="1"/>
  <c r="D175" i="17" s="1"/>
  <c r="D176" i="17" s="1"/>
  <c r="D177" i="17" s="1"/>
  <c r="D178" i="17" s="1"/>
  <c r="D179" i="17" s="1"/>
  <c r="D180" i="17" s="1"/>
  <c r="D181" i="17" s="1"/>
  <c r="D182" i="17" s="1"/>
  <c r="D183" i="17" s="1"/>
  <c r="D184" i="17" s="1"/>
  <c r="D185" i="17" s="1"/>
  <c r="D186" i="17" s="1"/>
  <c r="D187" i="17" s="1"/>
  <c r="D188" i="17" s="1"/>
  <c r="D189" i="17" s="1"/>
  <c r="D190" i="17" s="1"/>
  <c r="D191" i="17" s="1"/>
  <c r="D192" i="17" s="1"/>
  <c r="D193" i="17" s="1"/>
  <c r="D194" i="17" s="1"/>
  <c r="D195" i="17" s="1"/>
  <c r="D196" i="17" s="1"/>
  <c r="D197" i="17" s="1"/>
  <c r="D198" i="17" s="1"/>
  <c r="D199" i="17" s="1"/>
  <c r="D200" i="17" s="1"/>
  <c r="D201" i="17" s="1"/>
  <c r="D202" i="17" s="1"/>
  <c r="D203" i="17" s="1"/>
  <c r="D204" i="17" s="1"/>
  <c r="D205" i="17" s="1"/>
  <c r="D206" i="17" s="1"/>
  <c r="D207" i="17" s="1"/>
  <c r="D208" i="17" s="1"/>
  <c r="D209" i="17" s="1"/>
  <c r="D210" i="17" s="1"/>
  <c r="D211" i="17" s="1"/>
  <c r="D212" i="17" s="1"/>
  <c r="D213" i="17" s="1"/>
  <c r="D214" i="17" s="1"/>
  <c r="D215" i="17" s="1"/>
  <c r="D216" i="17" s="1"/>
  <c r="D217" i="17" s="1"/>
  <c r="D218" i="17" s="1"/>
  <c r="D219" i="17" s="1"/>
  <c r="D220" i="17" s="1"/>
  <c r="D221" i="17" s="1"/>
  <c r="D222" i="17" s="1"/>
  <c r="D223" i="17" s="1"/>
  <c r="D224" i="17" s="1"/>
  <c r="D225" i="17" s="1"/>
  <c r="D226" i="17" s="1"/>
  <c r="D227" i="17" s="1"/>
  <c r="D228" i="17" s="1"/>
  <c r="D229" i="17" s="1"/>
  <c r="D230" i="17" s="1"/>
  <c r="D231" i="17" s="1"/>
  <c r="D232" i="17" s="1"/>
  <c r="D233" i="17" s="1"/>
  <c r="D234" i="17" s="1"/>
  <c r="D235" i="17" s="1"/>
  <c r="D236" i="17" s="1"/>
  <c r="D237" i="17" s="1"/>
  <c r="D238" i="17" s="1"/>
  <c r="D239" i="17" s="1"/>
  <c r="D240" i="17" s="1"/>
  <c r="D241" i="17" s="1"/>
  <c r="D242" i="17" s="1"/>
  <c r="D243" i="17" s="1"/>
  <c r="D244" i="17" s="1"/>
  <c r="D245" i="17" s="1"/>
  <c r="D246" i="17" s="1"/>
  <c r="D247" i="17" s="1"/>
  <c r="D248" i="17" s="1"/>
  <c r="D249" i="17" s="1"/>
  <c r="D250" i="17" s="1"/>
  <c r="N181" i="17" l="1"/>
  <c r="O181" i="17" s="1"/>
  <c r="N140" i="17"/>
  <c r="O140" i="17" s="1"/>
  <c r="N250" i="17"/>
  <c r="O250" i="17" s="1"/>
  <c r="N231" i="17"/>
  <c r="O231" i="17" s="1"/>
  <c r="N168" i="17"/>
  <c r="O168" i="17" s="1"/>
  <c r="N170" i="17"/>
  <c r="O170" i="17" s="1"/>
  <c r="N152" i="17"/>
  <c r="O152" i="17" s="1"/>
  <c r="N154" i="17"/>
  <c r="O154" i="17" s="1"/>
  <c r="N156" i="17"/>
  <c r="O156" i="17" s="1"/>
  <c r="N160" i="17"/>
  <c r="O160" i="17" s="1"/>
  <c r="N162" i="17"/>
  <c r="O162" i="17" s="1"/>
  <c r="N164" i="17"/>
  <c r="O164" i="17" s="1"/>
  <c r="N172" i="17"/>
  <c r="O172" i="17" s="1"/>
  <c r="N193" i="17"/>
  <c r="O193" i="17" s="1"/>
  <c r="N197" i="17"/>
  <c r="O197" i="17" s="1"/>
  <c r="N184" i="17"/>
  <c r="O184" i="17" s="1"/>
  <c r="N186" i="17"/>
  <c r="O186" i="17" s="1"/>
  <c r="N190" i="17"/>
  <c r="O190" i="17" s="1"/>
  <c r="N173" i="17"/>
  <c r="O173" i="17" s="1"/>
  <c r="N233" i="17"/>
  <c r="O233" i="17" s="1"/>
  <c r="N237" i="17"/>
  <c r="O237" i="17" s="1"/>
  <c r="N241" i="17"/>
  <c r="O241" i="17" s="1"/>
  <c r="N192" i="17"/>
  <c r="O192" i="17" s="1"/>
  <c r="N194" i="17"/>
  <c r="O194" i="17" s="1"/>
  <c r="N198" i="17"/>
  <c r="O198" i="17" s="1"/>
  <c r="N200" i="17"/>
  <c r="O200" i="17" s="1"/>
  <c r="N208" i="17"/>
  <c r="O208" i="17" s="1"/>
  <c r="N230" i="17"/>
  <c r="O230" i="17" s="1"/>
  <c r="N232" i="17"/>
  <c r="O232" i="17" s="1"/>
  <c r="N245" i="17"/>
  <c r="O245" i="17" s="1"/>
  <c r="N249" i="17"/>
  <c r="O249" i="17" s="1"/>
  <c r="N87" i="17"/>
  <c r="O87" i="17" s="1"/>
  <c r="N144" i="17"/>
  <c r="O144" i="17" s="1"/>
  <c r="N146" i="17"/>
  <c r="O146" i="17" s="1"/>
  <c r="N148" i="17"/>
  <c r="O148" i="17" s="1"/>
  <c r="N176" i="17"/>
  <c r="O176" i="17" s="1"/>
  <c r="N180" i="17"/>
  <c r="O180" i="17" s="1"/>
  <c r="N185" i="17"/>
  <c r="O185" i="17" s="1"/>
  <c r="N189" i="17"/>
  <c r="O189" i="17" s="1"/>
  <c r="N238" i="17"/>
  <c r="O238" i="17" s="1"/>
  <c r="N240" i="17"/>
  <c r="O240" i="17" s="1"/>
  <c r="N242" i="17"/>
  <c r="O242" i="17" s="1"/>
  <c r="N244" i="17"/>
  <c r="O244" i="17" s="1"/>
  <c r="N88" i="17"/>
  <c r="O88" i="17" s="1"/>
  <c r="N142" i="17"/>
  <c r="O142" i="17" s="1"/>
  <c r="N150" i="17"/>
  <c r="O150" i="17" s="1"/>
  <c r="N158" i="17"/>
  <c r="O158" i="17" s="1"/>
  <c r="N166" i="17"/>
  <c r="O166" i="17" s="1"/>
  <c r="N174" i="17"/>
  <c r="O174" i="17" s="1"/>
  <c r="N177" i="17"/>
  <c r="O177" i="17" s="1"/>
  <c r="N182" i="17"/>
  <c r="O182" i="17" s="1"/>
  <c r="N188" i="17"/>
  <c r="O188" i="17" s="1"/>
  <c r="N196" i="17"/>
  <c r="O196" i="17" s="1"/>
  <c r="N201" i="17"/>
  <c r="O201" i="17" s="1"/>
  <c r="N234" i="17"/>
  <c r="O234" i="17" s="1"/>
  <c r="N236" i="17"/>
  <c r="O236" i="17" s="1"/>
  <c r="N246" i="17"/>
  <c r="O246" i="17" s="1"/>
  <c r="N248" i="17"/>
  <c r="O248" i="17" s="1"/>
  <c r="N141" i="17"/>
  <c r="O141" i="17" s="1"/>
  <c r="N145" i="17"/>
  <c r="O145" i="17" s="1"/>
  <c r="N149" i="17"/>
  <c r="O149" i="17" s="1"/>
  <c r="N153" i="17"/>
  <c r="O153" i="17" s="1"/>
  <c r="N157" i="17"/>
  <c r="O157" i="17" s="1"/>
  <c r="N161" i="17"/>
  <c r="O161" i="17" s="1"/>
  <c r="N165" i="17"/>
  <c r="O165" i="17" s="1"/>
  <c r="N169" i="17"/>
  <c r="O169" i="17" s="1"/>
  <c r="N92" i="17"/>
  <c r="O92" i="17" s="1"/>
  <c r="N235" i="17"/>
  <c r="O235" i="17" s="1"/>
  <c r="N239" i="17"/>
  <c r="O239" i="17" s="1"/>
  <c r="N243" i="17"/>
  <c r="O243" i="17" s="1"/>
  <c r="N247" i="17"/>
  <c r="O247" i="17" s="1"/>
  <c r="N178" i="17"/>
  <c r="O178" i="17" s="1"/>
  <c r="M105" i="17"/>
  <c r="N105" i="17" s="1"/>
  <c r="O105" i="17" s="1"/>
  <c r="M97" i="17"/>
  <c r="N97" i="17" s="1"/>
  <c r="O97" i="17" s="1"/>
  <c r="M106" i="17"/>
  <c r="N106" i="17" s="1"/>
  <c r="O106" i="17" s="1"/>
  <c r="M89" i="17"/>
  <c r="N89" i="17" s="1"/>
  <c r="O89" i="17" s="1"/>
  <c r="E165" i="17"/>
  <c r="E93" i="17"/>
  <c r="E88" i="17"/>
  <c r="E94" i="17"/>
  <c r="M102" i="17"/>
  <c r="N102" i="17" s="1"/>
  <c r="O102" i="17" s="1"/>
  <c r="M110" i="17"/>
  <c r="N110" i="17" s="1"/>
  <c r="O110" i="17" s="1"/>
  <c r="E170" i="17"/>
  <c r="E185" i="17"/>
  <c r="E201" i="17"/>
  <c r="M206" i="17"/>
  <c r="N206" i="17" s="1"/>
  <c r="O206" i="17" s="1"/>
  <c r="M101" i="17"/>
  <c r="N101" i="17" s="1"/>
  <c r="O101" i="17" s="1"/>
  <c r="M109" i="17"/>
  <c r="N109" i="17" s="1"/>
  <c r="O109" i="17" s="1"/>
  <c r="M205" i="17"/>
  <c r="N205" i="17" s="1"/>
  <c r="O205" i="17" s="1"/>
  <c r="M98" i="17"/>
  <c r="N98" i="17" s="1"/>
  <c r="O98" i="17" s="1"/>
  <c r="E177" i="17"/>
  <c r="E193" i="17"/>
  <c r="E141" i="17"/>
  <c r="E149" i="17"/>
  <c r="E157" i="17"/>
  <c r="M204" i="17"/>
  <c r="N204" i="17" s="1"/>
  <c r="O204" i="17" s="1"/>
  <c r="E90" i="17"/>
  <c r="M96" i="17"/>
  <c r="N96" i="17" s="1"/>
  <c r="O96" i="17" s="1"/>
  <c r="M100" i="17"/>
  <c r="N100" i="17" s="1"/>
  <c r="O100" i="17" s="1"/>
  <c r="M104" i="17"/>
  <c r="N104" i="17" s="1"/>
  <c r="O104" i="17" s="1"/>
  <c r="M108" i="17"/>
  <c r="N108" i="17" s="1"/>
  <c r="O108" i="17" s="1"/>
  <c r="M112" i="17"/>
  <c r="N112" i="17" s="1"/>
  <c r="O112" i="17" s="1"/>
  <c r="E173" i="17"/>
  <c r="E181" i="17"/>
  <c r="E189" i="17"/>
  <c r="E197" i="17"/>
  <c r="M203" i="17"/>
  <c r="N203" i="17" s="1"/>
  <c r="O203" i="17" s="1"/>
  <c r="M207" i="17"/>
  <c r="N207" i="17" s="1"/>
  <c r="O207" i="17" s="1"/>
  <c r="M95" i="17"/>
  <c r="N95" i="17" s="1"/>
  <c r="O95" i="17" s="1"/>
  <c r="M99" i="17"/>
  <c r="N99" i="17" s="1"/>
  <c r="O99" i="17" s="1"/>
  <c r="M103" i="17"/>
  <c r="N103" i="17" s="1"/>
  <c r="O103" i="17" s="1"/>
  <c r="M107" i="17"/>
  <c r="N107" i="17" s="1"/>
  <c r="O107" i="17" s="1"/>
  <c r="M111" i="17"/>
  <c r="N111" i="17" s="1"/>
  <c r="O111" i="17" s="1"/>
  <c r="E145" i="17"/>
  <c r="E153" i="17"/>
  <c r="E161" i="17"/>
  <c r="E169" i="17"/>
  <c r="M202" i="17"/>
  <c r="N202" i="17" s="1"/>
  <c r="O202" i="17" s="1"/>
  <c r="M171" i="17"/>
  <c r="N171" i="17" s="1"/>
  <c r="O171" i="17" s="1"/>
  <c r="E171" i="17"/>
  <c r="M179" i="17"/>
  <c r="N179" i="17" s="1"/>
  <c r="O179" i="17" s="1"/>
  <c r="E179" i="17"/>
  <c r="M183" i="17"/>
  <c r="N183" i="17" s="1"/>
  <c r="O183" i="17" s="1"/>
  <c r="E183" i="17"/>
  <c r="M187" i="17"/>
  <c r="N187" i="17" s="1"/>
  <c r="O187" i="17" s="1"/>
  <c r="E187" i="17"/>
  <c r="M199" i="17"/>
  <c r="N199" i="17" s="1"/>
  <c r="O199" i="17" s="1"/>
  <c r="E199" i="17"/>
  <c r="E114" i="17"/>
  <c r="M114" i="17"/>
  <c r="N114" i="17" s="1"/>
  <c r="O114" i="17" s="1"/>
  <c r="E116" i="17"/>
  <c r="M116" i="17"/>
  <c r="N116" i="17" s="1"/>
  <c r="O116" i="17" s="1"/>
  <c r="E118" i="17"/>
  <c r="M118" i="17"/>
  <c r="N118" i="17" s="1"/>
  <c r="O118" i="17" s="1"/>
  <c r="E120" i="17"/>
  <c r="M120" i="17"/>
  <c r="N120" i="17" s="1"/>
  <c r="O120" i="17" s="1"/>
  <c r="E122" i="17"/>
  <c r="M122" i="17"/>
  <c r="N122" i="17" s="1"/>
  <c r="O122" i="17" s="1"/>
  <c r="E124" i="17"/>
  <c r="M124" i="17"/>
  <c r="N124" i="17" s="1"/>
  <c r="O124" i="17" s="1"/>
  <c r="E126" i="17"/>
  <c r="M126" i="17"/>
  <c r="N126" i="17" s="1"/>
  <c r="O126" i="17" s="1"/>
  <c r="E128" i="17"/>
  <c r="M128" i="17"/>
  <c r="N128" i="17" s="1"/>
  <c r="O128" i="17" s="1"/>
  <c r="E130" i="17"/>
  <c r="M130" i="17"/>
  <c r="N130" i="17" s="1"/>
  <c r="O130" i="17" s="1"/>
  <c r="E132" i="17"/>
  <c r="M132" i="17"/>
  <c r="N132" i="17" s="1"/>
  <c r="O132" i="17" s="1"/>
  <c r="E134" i="17"/>
  <c r="M134" i="17"/>
  <c r="N134" i="17" s="1"/>
  <c r="O134" i="17" s="1"/>
  <c r="E136" i="17"/>
  <c r="M136" i="17"/>
  <c r="N136" i="17" s="1"/>
  <c r="O136" i="17" s="1"/>
  <c r="E138" i="17"/>
  <c r="M138" i="17"/>
  <c r="N138" i="17" s="1"/>
  <c r="O138" i="17" s="1"/>
  <c r="M91" i="17"/>
  <c r="N91" i="17" s="1"/>
  <c r="O91" i="17" s="1"/>
  <c r="E91" i="17"/>
  <c r="M175" i="17"/>
  <c r="N175" i="17" s="1"/>
  <c r="O175" i="17" s="1"/>
  <c r="E175" i="17"/>
  <c r="M191" i="17"/>
  <c r="N191" i="17" s="1"/>
  <c r="O191" i="17" s="1"/>
  <c r="E191" i="17"/>
  <c r="M195" i="17"/>
  <c r="N195" i="17" s="1"/>
  <c r="O195" i="17" s="1"/>
  <c r="E195" i="17"/>
  <c r="E87" i="17"/>
  <c r="E140" i="17"/>
  <c r="E144" i="17"/>
  <c r="E148" i="17"/>
  <c r="E152" i="17"/>
  <c r="E156" i="17"/>
  <c r="E160" i="17"/>
  <c r="E164" i="17"/>
  <c r="E168" i="17"/>
  <c r="E92" i="17"/>
  <c r="E113" i="17"/>
  <c r="M113" i="17"/>
  <c r="N113" i="17" s="1"/>
  <c r="O113" i="17" s="1"/>
  <c r="E115" i="17"/>
  <c r="M115" i="17"/>
  <c r="N115" i="17" s="1"/>
  <c r="O115" i="17" s="1"/>
  <c r="E117" i="17"/>
  <c r="M117" i="17"/>
  <c r="N117" i="17" s="1"/>
  <c r="O117" i="17" s="1"/>
  <c r="E119" i="17"/>
  <c r="M119" i="17"/>
  <c r="N119" i="17" s="1"/>
  <c r="O119" i="17" s="1"/>
  <c r="E121" i="17"/>
  <c r="M121" i="17"/>
  <c r="N121" i="17" s="1"/>
  <c r="O121" i="17" s="1"/>
  <c r="E123" i="17"/>
  <c r="M123" i="17"/>
  <c r="N123" i="17" s="1"/>
  <c r="O123" i="17" s="1"/>
  <c r="E125" i="17"/>
  <c r="M125" i="17"/>
  <c r="N125" i="17" s="1"/>
  <c r="O125" i="17" s="1"/>
  <c r="E127" i="17"/>
  <c r="M127" i="17"/>
  <c r="N127" i="17" s="1"/>
  <c r="O127" i="17" s="1"/>
  <c r="E129" i="17"/>
  <c r="M129" i="17"/>
  <c r="N129" i="17" s="1"/>
  <c r="O129" i="17" s="1"/>
  <c r="E131" i="17"/>
  <c r="M131" i="17"/>
  <c r="N131" i="17" s="1"/>
  <c r="O131" i="17" s="1"/>
  <c r="E133" i="17"/>
  <c r="M133" i="17"/>
  <c r="N133" i="17" s="1"/>
  <c r="O133" i="17" s="1"/>
  <c r="E135" i="17"/>
  <c r="M135" i="17"/>
  <c r="N135" i="17" s="1"/>
  <c r="O135" i="17" s="1"/>
  <c r="E137" i="17"/>
  <c r="M137" i="17"/>
  <c r="N137" i="17" s="1"/>
  <c r="O137" i="17" s="1"/>
  <c r="M139" i="17"/>
  <c r="N139" i="17" s="1"/>
  <c r="O139" i="17" s="1"/>
  <c r="E139" i="17"/>
  <c r="M143" i="17"/>
  <c r="N143" i="17" s="1"/>
  <c r="O143" i="17" s="1"/>
  <c r="E143" i="17"/>
  <c r="M147" i="17"/>
  <c r="N147" i="17" s="1"/>
  <c r="O147" i="17" s="1"/>
  <c r="E147" i="17"/>
  <c r="M151" i="17"/>
  <c r="N151" i="17" s="1"/>
  <c r="O151" i="17" s="1"/>
  <c r="E151" i="17"/>
  <c r="M155" i="17"/>
  <c r="N155" i="17" s="1"/>
  <c r="O155" i="17" s="1"/>
  <c r="E155" i="17"/>
  <c r="M159" i="17"/>
  <c r="N159" i="17" s="1"/>
  <c r="O159" i="17" s="1"/>
  <c r="E159" i="17"/>
  <c r="M163" i="17"/>
  <c r="N163" i="17" s="1"/>
  <c r="O163" i="17" s="1"/>
  <c r="E163" i="17"/>
  <c r="M167" i="17"/>
  <c r="N167" i="17" s="1"/>
  <c r="O167" i="17" s="1"/>
  <c r="E167" i="17"/>
  <c r="E172" i="17"/>
  <c r="E176" i="17"/>
  <c r="E180" i="17"/>
  <c r="E184" i="17"/>
  <c r="E188" i="17"/>
  <c r="E192" i="17"/>
  <c r="E196" i="17"/>
  <c r="E200" i="17"/>
  <c r="E142" i="17"/>
  <c r="E146" i="17"/>
  <c r="E150" i="17"/>
  <c r="E154" i="17"/>
  <c r="E158" i="17"/>
  <c r="E162" i="17"/>
  <c r="E166" i="17"/>
  <c r="E174" i="17"/>
  <c r="E178" i="17"/>
  <c r="E182" i="17"/>
  <c r="E186" i="17"/>
  <c r="E190" i="17"/>
  <c r="E194" i="17"/>
  <c r="E198" i="17"/>
  <c r="E208" i="17"/>
  <c r="N90" i="17"/>
  <c r="O90" i="17" s="1"/>
  <c r="N94" i="17"/>
  <c r="O94" i="17" s="1"/>
  <c r="N93" i="17"/>
  <c r="O93" i="17" s="1"/>
  <c r="M221" i="17"/>
  <c r="N221" i="17" s="1"/>
  <c r="O221" i="17" s="1"/>
  <c r="E221" i="17"/>
  <c r="M229" i="17"/>
  <c r="N229" i="17" s="1"/>
  <c r="O229" i="17" s="1"/>
  <c r="E229" i="17"/>
  <c r="M217" i="17"/>
  <c r="N217" i="17" s="1"/>
  <c r="O217" i="17" s="1"/>
  <c r="E217" i="17"/>
  <c r="M225" i="17"/>
  <c r="N225" i="17" s="1"/>
  <c r="O225" i="17" s="1"/>
  <c r="E225" i="17"/>
  <c r="M210" i="17"/>
  <c r="N210" i="17" s="1"/>
  <c r="O210" i="17" s="1"/>
  <c r="E210" i="17"/>
  <c r="M212" i="17"/>
  <c r="N212" i="17" s="1"/>
  <c r="O212" i="17" s="1"/>
  <c r="E212" i="17"/>
  <c r="M214" i="17"/>
  <c r="N214" i="17" s="1"/>
  <c r="O214" i="17" s="1"/>
  <c r="E214" i="17"/>
  <c r="M218" i="17"/>
  <c r="N218" i="17" s="1"/>
  <c r="O218" i="17" s="1"/>
  <c r="E218" i="17"/>
  <c r="M222" i="17"/>
  <c r="N222" i="17" s="1"/>
  <c r="O222" i="17" s="1"/>
  <c r="E222" i="17"/>
  <c r="M226" i="17"/>
  <c r="N226" i="17" s="1"/>
  <c r="O226" i="17" s="1"/>
  <c r="E226" i="17"/>
  <c r="M215" i="17"/>
  <c r="N215" i="17" s="1"/>
  <c r="O215" i="17" s="1"/>
  <c r="E215" i="17"/>
  <c r="M219" i="17"/>
  <c r="N219" i="17" s="1"/>
  <c r="O219" i="17" s="1"/>
  <c r="E219" i="17"/>
  <c r="M223" i="17"/>
  <c r="N223" i="17" s="1"/>
  <c r="O223" i="17" s="1"/>
  <c r="E223" i="17"/>
  <c r="M227" i="17"/>
  <c r="N227" i="17" s="1"/>
  <c r="O227" i="17" s="1"/>
  <c r="E227" i="17"/>
  <c r="M209" i="17"/>
  <c r="N209" i="17" s="1"/>
  <c r="O209" i="17" s="1"/>
  <c r="E209" i="17"/>
  <c r="M211" i="17"/>
  <c r="N211" i="17" s="1"/>
  <c r="O211" i="17" s="1"/>
  <c r="E211" i="17"/>
  <c r="M213" i="17"/>
  <c r="N213" i="17" s="1"/>
  <c r="O213" i="17" s="1"/>
  <c r="E213" i="17"/>
  <c r="M216" i="17"/>
  <c r="N216" i="17" s="1"/>
  <c r="O216" i="17" s="1"/>
  <c r="E216" i="17"/>
  <c r="M220" i="17"/>
  <c r="N220" i="17" s="1"/>
  <c r="O220" i="17" s="1"/>
  <c r="E220" i="17"/>
  <c r="M224" i="17"/>
  <c r="N224" i="17" s="1"/>
  <c r="O224" i="17" s="1"/>
  <c r="E224" i="17"/>
  <c r="M228" i="17"/>
  <c r="N228" i="17" s="1"/>
  <c r="O228" i="17" s="1"/>
  <c r="E228" i="17"/>
  <c r="E230" i="17"/>
  <c r="E231" i="17"/>
  <c r="E232" i="17"/>
  <c r="E233" i="17"/>
  <c r="E234" i="17"/>
  <c r="E235" i="17"/>
  <c r="E236" i="17"/>
  <c r="E237" i="17"/>
  <c r="E238" i="17"/>
  <c r="E239" i="17"/>
  <c r="E240" i="17"/>
  <c r="E241" i="17"/>
  <c r="E242" i="17"/>
  <c r="E243" i="17"/>
  <c r="E244" i="17"/>
  <c r="E245" i="17"/>
  <c r="E246" i="17"/>
  <c r="E247" i="17"/>
  <c r="E248" i="17"/>
  <c r="E249" i="17"/>
  <c r="E250" i="17"/>
  <c r="O10" i="2716"/>
  <c r="O23" i="2716"/>
  <c r="O22" i="2716"/>
  <c r="O21" i="2716"/>
  <c r="I9" i="18" l="1"/>
  <c r="I7" i="18" l="1"/>
  <c r="I11" i="18"/>
  <c r="I10" i="18"/>
  <c r="I8" i="18"/>
  <c r="I12" i="18"/>
  <c r="O20" i="2716" l="1"/>
  <c r="O19" i="2716"/>
  <c r="O18" i="2716"/>
  <c r="O17" i="2716"/>
  <c r="O16" i="2716"/>
  <c r="O15" i="2716"/>
  <c r="O14" i="2716"/>
  <c r="O13" i="2716"/>
  <c r="O12" i="2716"/>
  <c r="O11" i="2716"/>
  <c r="O9" i="2716"/>
  <c r="O25" i="2716" l="1"/>
  <c r="I43" i="16" l="1"/>
  <c r="I44" i="16" s="1"/>
  <c r="A7" i="2715" l="1"/>
  <c r="A8" i="2715" s="1"/>
  <c r="A9" i="2715" s="1"/>
  <c r="A10" i="2715" s="1"/>
  <c r="A11" i="2715" s="1"/>
  <c r="A12" i="2715" s="1"/>
  <c r="A13" i="2715" s="1"/>
  <c r="A14" i="2715" s="1"/>
  <c r="A15" i="2715" s="1"/>
  <c r="A16" i="2715" s="1"/>
  <c r="A17" i="2715" s="1"/>
  <c r="A18" i="2715" s="1"/>
  <c r="A19" i="2715" s="1"/>
  <c r="A20" i="2715" s="1"/>
  <c r="A21" i="2715" s="1"/>
  <c r="A22" i="2715" s="1"/>
  <c r="A23" i="2715" s="1"/>
  <c r="A24" i="2715" s="1"/>
  <c r="A25" i="2715" s="1"/>
  <c r="A26" i="2715" s="1"/>
  <c r="A27" i="2715" s="1"/>
  <c r="A28" i="2715" s="1"/>
  <c r="A29" i="2715" s="1"/>
  <c r="A30" i="2715" s="1"/>
  <c r="A31" i="2715" s="1"/>
  <c r="A32" i="2715" s="1"/>
  <c r="A33" i="2715" s="1"/>
  <c r="A34" i="2715" s="1"/>
  <c r="A35" i="2715" s="1"/>
  <c r="A36" i="2715" s="1"/>
  <c r="A37" i="2715" s="1"/>
  <c r="A38" i="2715" s="1"/>
  <c r="A39" i="2715" s="1"/>
  <c r="A40" i="2715" s="1"/>
  <c r="A41" i="2715" s="1"/>
  <c r="A42" i="2715" s="1"/>
  <c r="A43" i="2715" s="1"/>
  <c r="A44" i="2715" s="1"/>
  <c r="A45" i="2715" s="1"/>
  <c r="A46" i="2715" s="1"/>
  <c r="A47" i="2715" s="1"/>
  <c r="A48" i="2715" s="1"/>
  <c r="A49" i="2715" s="1"/>
  <c r="A50" i="2715" s="1"/>
  <c r="A51" i="2715" s="1"/>
  <c r="A52" i="2715" s="1"/>
  <c r="A53" i="2715" s="1"/>
  <c r="A54" i="2715" s="1"/>
  <c r="A55" i="2715" s="1"/>
  <c r="A56" i="2715" s="1"/>
  <c r="A57" i="2715" s="1"/>
  <c r="A58" i="2715" s="1"/>
  <c r="A59" i="2715" s="1"/>
  <c r="A60" i="2715" s="1"/>
  <c r="A61" i="2715" s="1"/>
  <c r="A62" i="2715" s="1"/>
  <c r="A63" i="2715" s="1"/>
  <c r="A64" i="2715" s="1"/>
  <c r="A65" i="2715" s="1"/>
  <c r="A66" i="2715" s="1"/>
  <c r="A67" i="2715" s="1"/>
  <c r="A68" i="2715" s="1"/>
  <c r="A69" i="2715" s="1"/>
  <c r="A70" i="2715" s="1"/>
  <c r="A71" i="2715" s="1"/>
  <c r="A72" i="2715" s="1"/>
  <c r="A73" i="2715" s="1"/>
  <c r="A74" i="2715" s="1"/>
  <c r="A75" i="2715" s="1"/>
  <c r="A76" i="2715" s="1"/>
  <c r="A77" i="2715" s="1"/>
  <c r="A78" i="2715" s="1"/>
  <c r="A79" i="2715" s="1"/>
  <c r="A80" i="2715" s="1"/>
  <c r="A81" i="2715" s="1"/>
  <c r="A82" i="2715" s="1"/>
  <c r="A83" i="2715" s="1"/>
  <c r="A84" i="2715" s="1"/>
  <c r="A85" i="2715" s="1"/>
  <c r="A86" i="2715" s="1"/>
  <c r="A87" i="2715" s="1"/>
  <c r="A88" i="2715" s="1"/>
  <c r="A89" i="2715" s="1"/>
  <c r="A90" i="2715" s="1"/>
  <c r="A91" i="2715" s="1"/>
  <c r="A92" i="2715" s="1"/>
  <c r="A93" i="2715" s="1"/>
  <c r="A94" i="2715" s="1"/>
  <c r="A95" i="2715" s="1"/>
  <c r="A96" i="2715" s="1"/>
  <c r="A97" i="2715" s="1"/>
  <c r="A98" i="2715" s="1"/>
  <c r="A99" i="2715" s="1"/>
  <c r="A100" i="2715" s="1"/>
  <c r="A101" i="2715" s="1"/>
  <c r="A102" i="2715" s="1"/>
  <c r="A103" i="2715" s="1"/>
  <c r="A104" i="2715" s="1"/>
  <c r="A105" i="2715" s="1"/>
  <c r="A106" i="2715" s="1"/>
  <c r="A107" i="2715" s="1"/>
  <c r="A108" i="2715" s="1"/>
  <c r="A109" i="2715" s="1"/>
  <c r="A110" i="2715" s="1"/>
  <c r="A111" i="2715" s="1"/>
  <c r="A112" i="2715" s="1"/>
  <c r="A113" i="2715" s="1"/>
  <c r="A114" i="2715" s="1"/>
  <c r="A115" i="2715" s="1"/>
  <c r="A116" i="2715" s="1"/>
  <c r="A117" i="2715" s="1"/>
  <c r="A118" i="2715" s="1"/>
  <c r="A119" i="2715" s="1"/>
  <c r="A120" i="2715" s="1"/>
  <c r="A121" i="2715" s="1"/>
  <c r="A122" i="2715" s="1"/>
  <c r="A123" i="2715" s="1"/>
  <c r="A124" i="2715" s="1"/>
  <c r="A125" i="2715" s="1"/>
  <c r="A126" i="2715" s="1"/>
  <c r="A127" i="2715" s="1"/>
  <c r="A128" i="2715" s="1"/>
  <c r="A129" i="2715" s="1"/>
  <c r="A130" i="2715" s="1"/>
  <c r="A131" i="2715" s="1"/>
  <c r="A132" i="2715" s="1"/>
  <c r="A133" i="2715" s="1"/>
  <c r="A134" i="2715" s="1"/>
  <c r="A135" i="2715" s="1"/>
  <c r="A136" i="2715" s="1"/>
  <c r="A137" i="2715" s="1"/>
  <c r="A138" i="2715" s="1"/>
  <c r="A139" i="2715" s="1"/>
  <c r="A140" i="2715" s="1"/>
  <c r="A141" i="2715" s="1"/>
  <c r="A142" i="2715" s="1"/>
  <c r="A143" i="2715" s="1"/>
  <c r="A144" i="2715" s="1"/>
  <c r="A145" i="2715" s="1"/>
  <c r="A146" i="2715" s="1"/>
  <c r="A147" i="2715" s="1"/>
  <c r="A148" i="2715" s="1"/>
  <c r="A149" i="2715" s="1"/>
  <c r="A150" i="2715" s="1"/>
  <c r="A151" i="2715" s="1"/>
  <c r="A152" i="2715" s="1"/>
  <c r="A153" i="2715" s="1"/>
  <c r="A154" i="2715" s="1"/>
  <c r="A155" i="2715" s="1"/>
  <c r="A156" i="2715" s="1"/>
  <c r="A157" i="2715" s="1"/>
  <c r="A158" i="2715" s="1"/>
  <c r="A159" i="2715" s="1"/>
  <c r="A160" i="2715" s="1"/>
  <c r="A161" i="2715" s="1"/>
  <c r="A162" i="2715" s="1"/>
  <c r="A163" i="2715" s="1"/>
  <c r="A164" i="2715" s="1"/>
  <c r="A165" i="2715" s="1"/>
  <c r="A166" i="2715" s="1"/>
  <c r="A167" i="2715" s="1"/>
  <c r="A168" i="2715" s="1"/>
  <c r="A169" i="2715" s="1"/>
  <c r="A170" i="2715" s="1"/>
  <c r="A171" i="2715" s="1"/>
  <c r="A172" i="2715" s="1"/>
  <c r="A173" i="2715" s="1"/>
  <c r="A174" i="2715" s="1"/>
  <c r="A175" i="2715" s="1"/>
  <c r="A176" i="2715" s="1"/>
  <c r="A177" i="2715" s="1"/>
  <c r="A178" i="2715" s="1"/>
  <c r="A179" i="2715" s="1"/>
  <c r="A180" i="2715" s="1"/>
  <c r="A181" i="2715" s="1"/>
  <c r="A182" i="2715" s="1"/>
  <c r="A183" i="2715" s="1"/>
  <c r="A184" i="2715" s="1"/>
  <c r="A185" i="2715" s="1"/>
  <c r="A186" i="2715" s="1"/>
  <c r="A187" i="2715" s="1"/>
  <c r="A188" i="2715" s="1"/>
  <c r="A189" i="2715" s="1"/>
  <c r="A190" i="2715" s="1"/>
  <c r="A191" i="2715" s="1"/>
  <c r="A192" i="2715" s="1"/>
  <c r="A193" i="2715" s="1"/>
  <c r="A194" i="2715" s="1"/>
  <c r="A195" i="2715" s="1"/>
  <c r="A196" i="2715" s="1"/>
  <c r="A197" i="2715" s="1"/>
  <c r="A198" i="2715" s="1"/>
  <c r="A199" i="2715" s="1"/>
  <c r="A200" i="2715" s="1"/>
  <c r="A201" i="2715" s="1"/>
  <c r="A202" i="2715" s="1"/>
  <c r="A203" i="2715" s="1"/>
  <c r="A204" i="2715" s="1"/>
  <c r="A205" i="2715" s="1"/>
  <c r="A206" i="2715" s="1"/>
  <c r="A207" i="2715" s="1"/>
  <c r="A208" i="2715" s="1"/>
  <c r="A209" i="2715" s="1"/>
  <c r="A210" i="2715" s="1"/>
  <c r="A211" i="2715" s="1"/>
  <c r="X3" i="2718" l="1"/>
  <c r="X4" i="2718"/>
  <c r="X5" i="2718"/>
  <c r="X6" i="2718"/>
  <c r="X7" i="2718"/>
  <c r="X8" i="2718"/>
  <c r="X9" i="2718"/>
  <c r="X10" i="2718"/>
  <c r="X11" i="2718"/>
  <c r="X12" i="2718"/>
  <c r="X13" i="2718"/>
  <c r="X14" i="2718"/>
  <c r="X15" i="2718"/>
  <c r="X16" i="2718"/>
  <c r="X17" i="2718"/>
  <c r="X18" i="2718"/>
  <c r="X19" i="2718"/>
  <c r="X20" i="2718"/>
  <c r="X21" i="2718"/>
  <c r="X22" i="2718"/>
  <c r="X23" i="2718"/>
  <c r="X24" i="2718"/>
  <c r="X25" i="2718"/>
  <c r="X26" i="2718"/>
  <c r="X27" i="2718"/>
  <c r="X28" i="2718"/>
  <c r="X29" i="2718"/>
  <c r="X30" i="2718"/>
  <c r="X31" i="2718"/>
  <c r="X32" i="2718"/>
  <c r="X33" i="2718"/>
  <c r="X34" i="2718"/>
  <c r="X35" i="2718"/>
  <c r="X36" i="2718"/>
  <c r="X37" i="2718"/>
  <c r="X38" i="2718"/>
  <c r="X39" i="2718"/>
  <c r="X40" i="2718"/>
  <c r="X41" i="2718"/>
  <c r="X42" i="2718"/>
  <c r="X43" i="2718"/>
  <c r="X44" i="2718"/>
  <c r="X45" i="2718"/>
  <c r="X46" i="2718"/>
  <c r="X47" i="2718"/>
  <c r="X48" i="2718"/>
  <c r="X49" i="2718"/>
  <c r="X50" i="2718"/>
  <c r="X51" i="2718"/>
  <c r="X52" i="2718"/>
  <c r="X53" i="2718"/>
  <c r="X54" i="2718"/>
  <c r="X55" i="2718"/>
  <c r="X56" i="2718"/>
  <c r="X57" i="2718"/>
  <c r="X58" i="2718"/>
  <c r="X59" i="2718"/>
  <c r="X60" i="2718"/>
  <c r="X61" i="2718"/>
  <c r="X62" i="2718"/>
  <c r="X63" i="2718"/>
  <c r="X64" i="2718"/>
  <c r="X65" i="2718"/>
  <c r="X66" i="2718"/>
  <c r="X67" i="2718"/>
  <c r="X68" i="2718"/>
  <c r="X69" i="2718"/>
  <c r="X70" i="2718"/>
  <c r="X71" i="2718"/>
  <c r="X72" i="2718"/>
  <c r="X73" i="2718"/>
  <c r="X74" i="2718"/>
  <c r="X75" i="2718"/>
  <c r="X76" i="2718"/>
  <c r="X77" i="2718"/>
  <c r="X78" i="2718"/>
  <c r="X79" i="2718"/>
  <c r="X80" i="2718"/>
  <c r="X81" i="2718"/>
  <c r="X82" i="2718"/>
  <c r="X83" i="2718"/>
  <c r="X84" i="2718"/>
  <c r="X85" i="2718"/>
  <c r="X86" i="2718"/>
  <c r="X87" i="2718"/>
  <c r="X88" i="2718"/>
  <c r="X89" i="2718"/>
  <c r="X90" i="2718"/>
  <c r="X91" i="2718"/>
  <c r="X92" i="2718"/>
  <c r="X93" i="2718"/>
  <c r="X94" i="2718"/>
  <c r="X95" i="2718"/>
  <c r="X96" i="2718"/>
  <c r="X97" i="2718"/>
  <c r="X98" i="2718"/>
  <c r="X99" i="2718"/>
  <c r="X100" i="2718"/>
  <c r="X101" i="2718"/>
  <c r="X102" i="2718"/>
  <c r="X103" i="2718"/>
  <c r="X104" i="2718"/>
  <c r="X105" i="2718"/>
  <c r="X106" i="2718"/>
  <c r="X107" i="2718"/>
  <c r="X108" i="2718"/>
  <c r="X109" i="2718"/>
  <c r="X110" i="2718"/>
  <c r="X111" i="2718"/>
  <c r="X112" i="2718"/>
  <c r="X113" i="2718"/>
  <c r="X114" i="2718"/>
  <c r="X115" i="2718"/>
  <c r="X116" i="2718"/>
  <c r="X117" i="2718"/>
  <c r="X118" i="2718"/>
  <c r="X119" i="2718"/>
  <c r="X120" i="2718"/>
  <c r="X121" i="2718"/>
  <c r="X122" i="2718"/>
  <c r="X123" i="2718"/>
  <c r="X124" i="2718"/>
  <c r="X125" i="2718"/>
  <c r="X126" i="2718"/>
  <c r="X127" i="2718"/>
  <c r="X128" i="2718"/>
  <c r="X129" i="2718"/>
  <c r="X130" i="2718"/>
  <c r="X131" i="2718"/>
  <c r="X132" i="2718"/>
  <c r="X133" i="2718"/>
  <c r="X134" i="2718"/>
  <c r="X135" i="2718"/>
  <c r="X136" i="2718"/>
  <c r="X137" i="2718"/>
  <c r="X138" i="2718"/>
  <c r="X139" i="2718"/>
  <c r="X140" i="2718"/>
  <c r="X141" i="2718"/>
  <c r="X142" i="2718"/>
  <c r="X143" i="2718"/>
  <c r="X144" i="2718"/>
  <c r="X145" i="2718"/>
  <c r="X146" i="2718"/>
  <c r="X147" i="2718"/>
  <c r="X148" i="2718"/>
  <c r="X149" i="2718"/>
  <c r="X150" i="2718"/>
  <c r="X151" i="2718"/>
  <c r="X152" i="2718"/>
  <c r="X153" i="2718"/>
  <c r="X154" i="2718"/>
  <c r="X155" i="2718"/>
  <c r="X156" i="2718"/>
  <c r="X157" i="2718"/>
  <c r="X158" i="2718"/>
  <c r="X159" i="2718"/>
  <c r="X160" i="2718"/>
  <c r="X161" i="2718"/>
  <c r="X162" i="2718"/>
  <c r="X163" i="2718"/>
  <c r="X164" i="2718"/>
  <c r="X165" i="2718"/>
  <c r="X166" i="2718"/>
  <c r="X167" i="2718"/>
  <c r="X168" i="2718"/>
  <c r="X169" i="2718"/>
  <c r="X170" i="2718"/>
  <c r="X171" i="2718"/>
  <c r="X172" i="2718"/>
  <c r="X173" i="2718"/>
  <c r="X174" i="2718"/>
  <c r="X175" i="2718"/>
  <c r="X176" i="2718"/>
  <c r="X177" i="2718"/>
  <c r="X178" i="2718"/>
  <c r="X179" i="2718"/>
  <c r="X180" i="2718"/>
  <c r="X181" i="2718"/>
  <c r="X182" i="2718"/>
  <c r="X183" i="2718"/>
  <c r="X184" i="2718"/>
  <c r="X185" i="2718"/>
  <c r="X186" i="2718"/>
  <c r="X187" i="2718"/>
  <c r="X188" i="2718"/>
  <c r="X189" i="2718"/>
  <c r="X190" i="2718"/>
  <c r="X191" i="2718"/>
  <c r="X192" i="2718"/>
  <c r="X193" i="2718"/>
  <c r="X194" i="2718"/>
  <c r="X195" i="2718"/>
  <c r="X196" i="2718"/>
  <c r="X197" i="2718"/>
  <c r="X198" i="2718"/>
  <c r="X199" i="2718"/>
  <c r="X200" i="2718"/>
  <c r="X201" i="2718"/>
  <c r="X202" i="2718"/>
  <c r="X203" i="2718"/>
  <c r="X204" i="2718"/>
  <c r="X205" i="2718"/>
  <c r="X206" i="2718"/>
  <c r="X207" i="2718"/>
  <c r="X208" i="2718"/>
  <c r="X209" i="2718"/>
  <c r="X210" i="2718"/>
  <c r="X211" i="2718"/>
  <c r="X212" i="2718"/>
  <c r="X213" i="2718"/>
  <c r="X214" i="2718"/>
  <c r="X215" i="2718"/>
  <c r="X216" i="2718"/>
  <c r="X217" i="2718"/>
  <c r="X218" i="2718"/>
  <c r="X219" i="2718"/>
  <c r="X220" i="2718"/>
  <c r="X221" i="2718"/>
  <c r="X222" i="2718"/>
  <c r="X223" i="2718"/>
  <c r="X224" i="2718"/>
  <c r="X225" i="2718"/>
  <c r="X226" i="2718"/>
  <c r="X227" i="2718"/>
  <c r="X228" i="2718"/>
  <c r="X229" i="2718"/>
  <c r="X230" i="2718"/>
  <c r="X231" i="2718"/>
  <c r="X232" i="2718"/>
  <c r="X233" i="2718"/>
  <c r="X234" i="2718"/>
  <c r="X235" i="2718"/>
  <c r="X236" i="2718"/>
  <c r="X237" i="2718"/>
  <c r="X238" i="2718"/>
  <c r="X239" i="2718"/>
  <c r="X240" i="2718"/>
  <c r="X241" i="2718"/>
  <c r="X242" i="2718"/>
  <c r="X243" i="2718"/>
  <c r="X244" i="2718"/>
  <c r="X245" i="2718"/>
  <c r="X2" i="2718"/>
  <c r="K22" i="2716" l="1"/>
  <c r="K10" i="2716" l="1"/>
  <c r="K9" i="2716"/>
  <c r="E35" i="2710" l="1"/>
  <c r="D35" i="2710"/>
  <c r="M30" i="2713" l="1"/>
  <c r="M27" i="2713"/>
  <c r="M26" i="2713"/>
  <c r="M24" i="2713"/>
  <c r="M31" i="2713" l="1"/>
  <c r="I214" i="2715"/>
  <c r="V213" i="2715"/>
  <c r="U213" i="2715"/>
  <c r="T213" i="2715"/>
  <c r="S213" i="2715"/>
  <c r="R213" i="2715"/>
  <c r="Q213" i="2715"/>
  <c r="P213" i="2715"/>
  <c r="O213" i="2715"/>
  <c r="N213" i="2715"/>
  <c r="H213" i="2715"/>
  <c r="G213" i="2715"/>
  <c r="E213" i="2715"/>
  <c r="D213" i="2715"/>
  <c r="A5" i="2715"/>
  <c r="F3" i="2715"/>
  <c r="C4" i="18"/>
  <c r="K253" i="17"/>
  <c r="F253" i="17"/>
  <c r="M253" i="17" s="1"/>
  <c r="D253" i="17"/>
  <c r="R250" i="17"/>
  <c r="AF250" i="17" s="1"/>
  <c r="R249" i="17"/>
  <c r="AG249" i="17" s="1"/>
  <c r="R248" i="17"/>
  <c r="AD248" i="17" s="1"/>
  <c r="R247" i="17"/>
  <c r="AD247" i="17" s="1"/>
  <c r="R246" i="17"/>
  <c r="AF246" i="17" s="1"/>
  <c r="R245" i="17"/>
  <c r="AG245" i="17" s="1"/>
  <c r="R244" i="17"/>
  <c r="AD244" i="17" s="1"/>
  <c r="R243" i="17"/>
  <c r="R242" i="17"/>
  <c r="AF242" i="17" s="1"/>
  <c r="R241" i="17"/>
  <c r="AG241" i="17" s="1"/>
  <c r="R240" i="17"/>
  <c r="AF240" i="17" s="1"/>
  <c r="R239" i="17"/>
  <c r="AD239" i="17" s="1"/>
  <c r="R238" i="17"/>
  <c r="AF238" i="17" s="1"/>
  <c r="R237" i="17"/>
  <c r="R236" i="17"/>
  <c r="R235" i="17"/>
  <c r="AG235" i="17" s="1"/>
  <c r="R234" i="17"/>
  <c r="AF234" i="17" s="1"/>
  <c r="R233" i="17"/>
  <c r="R232" i="17"/>
  <c r="AF232" i="17" s="1"/>
  <c r="R231" i="17"/>
  <c r="AE231" i="17" s="1"/>
  <c r="R230" i="17"/>
  <c r="AG230" i="17" s="1"/>
  <c r="R229" i="17"/>
  <c r="AG229" i="17" s="1"/>
  <c r="R228" i="17"/>
  <c r="AF228" i="17" s="1"/>
  <c r="R227" i="17"/>
  <c r="AF227" i="17" s="1"/>
  <c r="R226" i="17"/>
  <c r="AF226" i="17" s="1"/>
  <c r="R225" i="17"/>
  <c r="AG225" i="17" s="1"/>
  <c r="R224" i="17"/>
  <c r="AB224" i="17" s="1"/>
  <c r="R223" i="17"/>
  <c r="AG223" i="17" s="1"/>
  <c r="R222" i="17"/>
  <c r="AF222" i="17" s="1"/>
  <c r="R221" i="17"/>
  <c r="AE221" i="17" s="1"/>
  <c r="R220" i="17"/>
  <c r="R219" i="17"/>
  <c r="AF219" i="17" s="1"/>
  <c r="R218" i="17"/>
  <c r="AF218" i="17" s="1"/>
  <c r="R217" i="17"/>
  <c r="AF217" i="17" s="1"/>
  <c r="R216" i="17"/>
  <c r="Z216" i="17" s="1"/>
  <c r="R215" i="17"/>
  <c r="AE215" i="17" s="1"/>
  <c r="R214" i="17"/>
  <c r="AG214" i="17" s="1"/>
  <c r="R213" i="17"/>
  <c r="Z213" i="17" s="1"/>
  <c r="R212" i="17"/>
  <c r="AF212" i="17" s="1"/>
  <c r="R211" i="17"/>
  <c r="AD211" i="17" s="1"/>
  <c r="R210" i="17"/>
  <c r="AC210" i="17" s="1"/>
  <c r="R209" i="17"/>
  <c r="Z209" i="17" s="1"/>
  <c r="R208" i="17"/>
  <c r="AF208" i="17" s="1"/>
  <c r="R207" i="17"/>
  <c r="R206" i="17"/>
  <c r="AF206" i="17" s="1"/>
  <c r="R205" i="17"/>
  <c r="Z205" i="17" s="1"/>
  <c r="R204" i="17"/>
  <c r="AE204" i="17" s="1"/>
  <c r="R203" i="17"/>
  <c r="R202" i="17"/>
  <c r="AF202" i="17" s="1"/>
  <c r="R201" i="17"/>
  <c r="R200" i="17"/>
  <c r="R199" i="17"/>
  <c r="Z199" i="17" s="1"/>
  <c r="R198" i="17"/>
  <c r="AC198" i="17" s="1"/>
  <c r="R197" i="17"/>
  <c r="Z197" i="17" s="1"/>
  <c r="R196" i="17"/>
  <c r="AF196" i="17" s="1"/>
  <c r="R195" i="17"/>
  <c r="AB195" i="17" s="1"/>
  <c r="R194" i="17"/>
  <c r="R193" i="17"/>
  <c r="AD193" i="17" s="1"/>
  <c r="R192" i="17"/>
  <c r="R191" i="17"/>
  <c r="R190" i="17"/>
  <c r="AF190" i="17" s="1"/>
  <c r="R189" i="17"/>
  <c r="Z189" i="17" s="1"/>
  <c r="R188" i="17"/>
  <c r="AB188" i="17" s="1"/>
  <c r="R187" i="17"/>
  <c r="AG187" i="17" s="1"/>
  <c r="R186" i="17"/>
  <c r="AD186" i="17" s="1"/>
  <c r="R185" i="17"/>
  <c r="AC185" i="17" s="1"/>
  <c r="R184" i="17"/>
  <c r="AD184" i="17" s="1"/>
  <c r="R183" i="17"/>
  <c r="AF183" i="17" s="1"/>
  <c r="R182" i="17"/>
  <c r="AB182" i="17" s="1"/>
  <c r="R181" i="17"/>
  <c r="AD181" i="17" s="1"/>
  <c r="R180" i="17"/>
  <c r="AB180" i="17" s="1"/>
  <c r="R179" i="17"/>
  <c r="AF179" i="17" s="1"/>
  <c r="R178" i="17"/>
  <c r="AD178" i="17" s="1"/>
  <c r="R177" i="17"/>
  <c r="AD177" i="17" s="1"/>
  <c r="R176" i="17"/>
  <c r="AD176" i="17" s="1"/>
  <c r="R175" i="17"/>
  <c r="AG175" i="17" s="1"/>
  <c r="R174" i="17"/>
  <c r="AB174" i="17" s="1"/>
  <c r="R173" i="17"/>
  <c r="AF173" i="17" s="1"/>
  <c r="R172" i="17"/>
  <c r="AF172" i="17" s="1"/>
  <c r="R171" i="17"/>
  <c r="AD171" i="17" s="1"/>
  <c r="R170" i="17"/>
  <c r="R169" i="17"/>
  <c r="AG169" i="17" s="1"/>
  <c r="R168" i="17"/>
  <c r="AC168" i="17" s="1"/>
  <c r="R167" i="17"/>
  <c r="R166" i="17"/>
  <c r="R165" i="17"/>
  <c r="R164" i="17"/>
  <c r="R163" i="17"/>
  <c r="AF163" i="17" s="1"/>
  <c r="R162" i="17"/>
  <c r="AF162" i="17" s="1"/>
  <c r="R161" i="17"/>
  <c r="AF161" i="17" s="1"/>
  <c r="R160" i="17"/>
  <c r="AE160" i="17" s="1"/>
  <c r="R159" i="17"/>
  <c r="R158" i="17"/>
  <c r="R157" i="17"/>
  <c r="R156" i="17"/>
  <c r="R155" i="17"/>
  <c r="AE155" i="17" s="1"/>
  <c r="R154" i="17"/>
  <c r="R153" i="17"/>
  <c r="AF153" i="17" s="1"/>
  <c r="R152" i="17"/>
  <c r="AE152" i="17" s="1"/>
  <c r="R151" i="17"/>
  <c r="R150" i="17"/>
  <c r="R149" i="17"/>
  <c r="AC149" i="17" s="1"/>
  <c r="R148" i="17"/>
  <c r="R147" i="17"/>
  <c r="R146" i="17"/>
  <c r="R145" i="17"/>
  <c r="AF145" i="17" s="1"/>
  <c r="R144" i="17"/>
  <c r="R143" i="17"/>
  <c r="R142" i="17"/>
  <c r="R141" i="17"/>
  <c r="R140" i="17"/>
  <c r="R139" i="17"/>
  <c r="R138" i="17"/>
  <c r="R137" i="17"/>
  <c r="R136" i="17"/>
  <c r="R135" i="17"/>
  <c r="R134" i="17"/>
  <c r="R133" i="17"/>
  <c r="R132" i="17"/>
  <c r="R131" i="17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5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S7" i="17"/>
  <c r="F7" i="17" s="1"/>
  <c r="R7" i="17"/>
  <c r="K7" i="17" s="1"/>
  <c r="L7" i="17" s="1"/>
  <c r="D64" i="2710"/>
  <c r="G35" i="2710"/>
  <c r="H35" i="2710"/>
  <c r="H34" i="2710"/>
  <c r="G34" i="2710"/>
  <c r="G32" i="2710"/>
  <c r="E32" i="2710"/>
  <c r="F32" i="2710" s="1"/>
  <c r="T27" i="2710"/>
  <c r="S27" i="2710"/>
  <c r="R27" i="2710"/>
  <c r="Q27" i="2710"/>
  <c r="T26" i="2710"/>
  <c r="S26" i="2710"/>
  <c r="R26" i="2710"/>
  <c r="Q26" i="2710"/>
  <c r="T25" i="2710"/>
  <c r="S25" i="2710"/>
  <c r="R25" i="2710"/>
  <c r="Q25" i="2710"/>
  <c r="T24" i="2710"/>
  <c r="S24" i="2710"/>
  <c r="R24" i="2710"/>
  <c r="Q24" i="2710"/>
  <c r="T23" i="2710"/>
  <c r="S23" i="2710"/>
  <c r="R23" i="2710"/>
  <c r="Q23" i="2710"/>
  <c r="T22" i="2710"/>
  <c r="S22" i="2710"/>
  <c r="R22" i="2710"/>
  <c r="Q22" i="2710"/>
  <c r="T21" i="2710"/>
  <c r="S21" i="2710"/>
  <c r="R21" i="2710"/>
  <c r="Q21" i="2710"/>
  <c r="T20" i="2710"/>
  <c r="S20" i="2710"/>
  <c r="R20" i="2710"/>
  <c r="Q20" i="2710"/>
  <c r="T19" i="2710"/>
  <c r="S19" i="2710"/>
  <c r="R19" i="2710"/>
  <c r="Q19" i="2710"/>
  <c r="T18" i="2710"/>
  <c r="S18" i="2710"/>
  <c r="R18" i="2710"/>
  <c r="Q18" i="2710"/>
  <c r="T17" i="2710"/>
  <c r="S17" i="2710"/>
  <c r="R17" i="2710"/>
  <c r="Q17" i="2710"/>
  <c r="T16" i="2710"/>
  <c r="S16" i="2710"/>
  <c r="R16" i="2710"/>
  <c r="Q16" i="2710"/>
  <c r="T15" i="2710"/>
  <c r="S15" i="2710"/>
  <c r="R15" i="2710"/>
  <c r="Q15" i="2710"/>
  <c r="T14" i="2710"/>
  <c r="S14" i="2710"/>
  <c r="R14" i="2710"/>
  <c r="Q14" i="2710"/>
  <c r="T13" i="2710"/>
  <c r="S13" i="2710"/>
  <c r="R13" i="2710"/>
  <c r="Q13" i="2710"/>
  <c r="T12" i="2710"/>
  <c r="S12" i="2710"/>
  <c r="R12" i="2710"/>
  <c r="Q12" i="2710"/>
  <c r="T11" i="2710"/>
  <c r="S11" i="2710"/>
  <c r="R11" i="2710"/>
  <c r="Q11" i="2710"/>
  <c r="T10" i="2710"/>
  <c r="S10" i="2710"/>
  <c r="R10" i="2710"/>
  <c r="Q10" i="2710"/>
  <c r="T9" i="2710"/>
  <c r="S9" i="2710"/>
  <c r="R9" i="2710"/>
  <c r="Q9" i="2710"/>
  <c r="T8" i="2710"/>
  <c r="S8" i="2710"/>
  <c r="R8" i="2710"/>
  <c r="Q8" i="2710"/>
  <c r="T7" i="2710"/>
  <c r="S7" i="2710"/>
  <c r="R7" i="2710"/>
  <c r="Q7" i="2710"/>
  <c r="T6" i="2710"/>
  <c r="S6" i="2710"/>
  <c r="R6" i="2710"/>
  <c r="Q6" i="2710"/>
  <c r="T5" i="2710"/>
  <c r="S5" i="2710"/>
  <c r="R5" i="2710"/>
  <c r="Q5" i="2710"/>
  <c r="G39" i="16"/>
  <c r="J23" i="2711"/>
  <c r="J22" i="2711"/>
  <c r="I19" i="2711"/>
  <c r="J19" i="2711" s="1"/>
  <c r="I17" i="2711"/>
  <c r="J17" i="2711" s="1"/>
  <c r="I16" i="2711"/>
  <c r="J16" i="2711" s="1"/>
  <c r="I15" i="2711"/>
  <c r="J15" i="2711" s="1"/>
  <c r="J14" i="2711"/>
  <c r="I13" i="2711"/>
  <c r="J13" i="2711" s="1"/>
  <c r="J106" i="2713"/>
  <c r="J118" i="2713" s="1"/>
  <c r="J119" i="2713" s="1"/>
  <c r="L120" i="2713" s="1"/>
  <c r="J87" i="2713"/>
  <c r="J86" i="2713"/>
  <c r="J85" i="2713"/>
  <c r="I84" i="2713"/>
  <c r="J84" i="2713" s="1"/>
  <c r="J83" i="2713"/>
  <c r="J82" i="2713"/>
  <c r="J81" i="2713"/>
  <c r="J80" i="2713"/>
  <c r="J79" i="2713"/>
  <c r="I78" i="2713"/>
  <c r="J78" i="2713" s="1"/>
  <c r="J50" i="2713"/>
  <c r="J49" i="2713"/>
  <c r="J30" i="2713"/>
  <c r="J29" i="2713"/>
  <c r="J28" i="2713"/>
  <c r="J27" i="2713"/>
  <c r="J26" i="2713"/>
  <c r="J25" i="2713"/>
  <c r="J24" i="2713"/>
  <c r="J23" i="2713"/>
  <c r="J22" i="2713"/>
  <c r="J21" i="2713"/>
  <c r="J20" i="2713"/>
  <c r="J18" i="2713"/>
  <c r="I17" i="2713"/>
  <c r="J17" i="2713" s="1"/>
  <c r="I16" i="2713"/>
  <c r="J16" i="2713" s="1"/>
  <c r="I15" i="2713"/>
  <c r="J15" i="2713" s="1"/>
  <c r="J14" i="2713"/>
  <c r="I13" i="2713"/>
  <c r="J13" i="2713" s="1"/>
  <c r="K39" i="2716"/>
  <c r="K52" i="2716" s="1"/>
  <c r="K24" i="2716"/>
  <c r="K23" i="2716"/>
  <c r="K21" i="2716"/>
  <c r="K20" i="2716"/>
  <c r="K19" i="2716"/>
  <c r="K18" i="2716"/>
  <c r="K17" i="2716"/>
  <c r="K16" i="2716"/>
  <c r="K15" i="2716"/>
  <c r="K14" i="2716"/>
  <c r="K13" i="2716"/>
  <c r="K12" i="2716"/>
  <c r="K11" i="2716"/>
  <c r="K48" i="2717"/>
  <c r="K47" i="2717"/>
  <c r="K46" i="2717"/>
  <c r="K45" i="2717"/>
  <c r="K44" i="2717"/>
  <c r="K43" i="2717"/>
  <c r="K42" i="2717"/>
  <c r="K41" i="2717"/>
  <c r="K40" i="2717"/>
  <c r="K39" i="2717"/>
  <c r="K38" i="2717"/>
  <c r="K37" i="2717"/>
  <c r="K36" i="2717"/>
  <c r="K21" i="2717"/>
  <c r="K20" i="2717"/>
  <c r="K19" i="2717"/>
  <c r="K18" i="2717"/>
  <c r="K17" i="2717"/>
  <c r="K16" i="2717"/>
  <c r="B96" i="18" l="1"/>
  <c r="B138" i="18"/>
  <c r="B180" i="18"/>
  <c r="B200" i="18"/>
  <c r="B171" i="18"/>
  <c r="B161" i="18"/>
  <c r="B132" i="18"/>
  <c r="B173" i="18"/>
  <c r="B187" i="18"/>
  <c r="B126" i="18"/>
  <c r="B123" i="18"/>
  <c r="B111" i="18"/>
  <c r="B92" i="18"/>
  <c r="B53" i="18"/>
  <c r="B192" i="18"/>
  <c r="B113" i="18"/>
  <c r="B86" i="18"/>
  <c r="B182" i="18"/>
  <c r="B134" i="18"/>
  <c r="B110" i="18"/>
  <c r="B82" i="18"/>
  <c r="B144" i="18"/>
  <c r="B105" i="18"/>
  <c r="B91" i="18"/>
  <c r="B54" i="18"/>
  <c r="B183" i="18"/>
  <c r="B71" i="18"/>
  <c r="B142" i="18"/>
  <c r="B199" i="18"/>
  <c r="B177" i="18"/>
  <c r="B186" i="18"/>
  <c r="B78" i="18"/>
  <c r="B83" i="18"/>
  <c r="B80" i="18"/>
  <c r="B52" i="18"/>
  <c r="B99" i="18"/>
  <c r="B90" i="18"/>
  <c r="B198" i="18"/>
  <c r="B190" i="18"/>
  <c r="B158" i="18"/>
  <c r="B153" i="18"/>
  <c r="B193" i="18"/>
  <c r="B160" i="18"/>
  <c r="B157" i="18"/>
  <c r="B172" i="18"/>
  <c r="B164" i="18"/>
  <c r="B72" i="18"/>
  <c r="B197" i="18"/>
  <c r="B100" i="18"/>
  <c r="B170" i="18"/>
  <c r="B120" i="18"/>
  <c r="B109" i="18"/>
  <c r="B73" i="18"/>
  <c r="B51" i="18"/>
  <c r="B155" i="18"/>
  <c r="B174" i="18"/>
  <c r="B74" i="18"/>
  <c r="B107" i="18"/>
  <c r="B139" i="18"/>
  <c r="B62" i="18"/>
  <c r="B196" i="18"/>
  <c r="B167" i="18"/>
  <c r="B149" i="18"/>
  <c r="F149" i="18" s="1"/>
  <c r="B102" i="18"/>
  <c r="F102" i="18" s="1"/>
  <c r="B168" i="18"/>
  <c r="B98" i="18"/>
  <c r="B136" i="18"/>
  <c r="F136" i="18" s="1"/>
  <c r="B79" i="18"/>
  <c r="F79" i="18" s="1"/>
  <c r="B133" i="18"/>
  <c r="F133" i="18" s="1"/>
  <c r="B127" i="18"/>
  <c r="B166" i="18"/>
  <c r="F166" i="18" s="1"/>
  <c r="B179" i="18"/>
  <c r="B87" i="18"/>
  <c r="B117" i="18"/>
  <c r="B176" i="18"/>
  <c r="B129" i="18"/>
  <c r="F129" i="18" s="1"/>
  <c r="B195" i="18"/>
  <c r="B163" i="18"/>
  <c r="B59" i="18"/>
  <c r="F59" i="18" s="1"/>
  <c r="B77" i="18"/>
  <c r="B191" i="18"/>
  <c r="B67" i="18"/>
  <c r="B104" i="18"/>
  <c r="F104" i="18" s="1"/>
  <c r="B189" i="18"/>
  <c r="B88" i="18"/>
  <c r="B57" i="18"/>
  <c r="B118" i="18"/>
  <c r="F118" i="18" s="1"/>
  <c r="B194" i="18"/>
  <c r="F194" i="18" s="1"/>
  <c r="B119" i="18"/>
  <c r="F119" i="18" s="1"/>
  <c r="B150" i="18"/>
  <c r="B128" i="18"/>
  <c r="F128" i="18" s="1"/>
  <c r="B124" i="18"/>
  <c r="F124" i="18" s="1"/>
  <c r="B125" i="18"/>
  <c r="F125" i="18" s="1"/>
  <c r="B122" i="18"/>
  <c r="B131" i="18"/>
  <c r="B159" i="18"/>
  <c r="F159" i="18" s="1"/>
  <c r="B185" i="18"/>
  <c r="B165" i="18"/>
  <c r="B147" i="18"/>
  <c r="B130" i="18"/>
  <c r="F130" i="18" s="1"/>
  <c r="B146" i="18"/>
  <c r="F146" i="18" s="1"/>
  <c r="B115" i="18"/>
  <c r="B137" i="18"/>
  <c r="B178" i="18"/>
  <c r="B76" i="18"/>
  <c r="F76" i="18" s="1"/>
  <c r="B156" i="18"/>
  <c r="B69" i="18"/>
  <c r="F69" i="18" s="1"/>
  <c r="B81" i="18"/>
  <c r="B66" i="18"/>
  <c r="F66" i="18" s="1"/>
  <c r="B93" i="18"/>
  <c r="B89" i="18"/>
  <c r="F89" i="18" s="1"/>
  <c r="B64" i="18"/>
  <c r="F64" i="18" s="1"/>
  <c r="B68" i="18"/>
  <c r="F68" i="18" s="1"/>
  <c r="B108" i="18"/>
  <c r="B162" i="18"/>
  <c r="F162" i="18" s="1"/>
  <c r="B84" i="18"/>
  <c r="B56" i="18"/>
  <c r="B101" i="18"/>
  <c r="B106" i="18"/>
  <c r="F106" i="18" s="1"/>
  <c r="B184" i="18"/>
  <c r="F184" i="18" s="1"/>
  <c r="B63" i="18"/>
  <c r="B140" i="18"/>
  <c r="B60" i="18"/>
  <c r="B65" i="18"/>
  <c r="B141" i="18"/>
  <c r="B181" i="18"/>
  <c r="B70" i="18"/>
  <c r="B58" i="18"/>
  <c r="B143" i="18"/>
  <c r="B169" i="18"/>
  <c r="B112" i="18"/>
  <c r="F112" i="18" s="1"/>
  <c r="B121" i="18"/>
  <c r="B201" i="18"/>
  <c r="B154" i="18"/>
  <c r="B95" i="18"/>
  <c r="F95" i="18" s="1"/>
  <c r="B148" i="18"/>
  <c r="F148" i="18" s="1"/>
  <c r="B103" i="18"/>
  <c r="F103" i="18" s="1"/>
  <c r="B75" i="18"/>
  <c r="B135" i="18"/>
  <c r="B175" i="18"/>
  <c r="B61" i="18"/>
  <c r="B188" i="18"/>
  <c r="B97" i="18"/>
  <c r="B94" i="18"/>
  <c r="F94" i="18" s="1"/>
  <c r="B85" i="18"/>
  <c r="B116" i="18"/>
  <c r="B55" i="18"/>
  <c r="B151" i="18"/>
  <c r="B145" i="18"/>
  <c r="B152" i="18"/>
  <c r="B114" i="18"/>
  <c r="K10" i="17"/>
  <c r="K11" i="17"/>
  <c r="E7" i="17"/>
  <c r="A7" i="17" s="1"/>
  <c r="M7" i="17"/>
  <c r="N7" i="17" s="1"/>
  <c r="O7" i="17" s="1"/>
  <c r="F13" i="18"/>
  <c r="F178" i="18"/>
  <c r="F187" i="18"/>
  <c r="F111" i="18"/>
  <c r="F114" i="18"/>
  <c r="F86" i="18"/>
  <c r="F70" i="18"/>
  <c r="F83" i="18"/>
  <c r="F84" i="18"/>
  <c r="F107" i="18"/>
  <c r="F197" i="18"/>
  <c r="F132" i="18"/>
  <c r="F53" i="18"/>
  <c r="F126" i="18"/>
  <c r="F188" i="18"/>
  <c r="F161" i="18"/>
  <c r="F198" i="18"/>
  <c r="F165" i="18"/>
  <c r="F180" i="18"/>
  <c r="F190" i="18"/>
  <c r="F201" i="18"/>
  <c r="F100" i="18"/>
  <c r="F135" i="18"/>
  <c r="F113" i="18"/>
  <c r="F139" i="18"/>
  <c r="F96" i="18"/>
  <c r="F171" i="18"/>
  <c r="F62" i="18"/>
  <c r="F55" i="18"/>
  <c r="F99" i="18"/>
  <c r="F65" i="18"/>
  <c r="F73" i="18"/>
  <c r="F77" i="18"/>
  <c r="F81" i="18"/>
  <c r="F138" i="18"/>
  <c r="F163" i="18"/>
  <c r="F72" i="18"/>
  <c r="F71" i="18"/>
  <c r="F60" i="18"/>
  <c r="F127" i="18"/>
  <c r="F189" i="18"/>
  <c r="F152" i="18"/>
  <c r="F181" i="18"/>
  <c r="F91" i="18"/>
  <c r="F97" i="18"/>
  <c r="F101" i="18"/>
  <c r="F144" i="18"/>
  <c r="F54" i="18"/>
  <c r="F57" i="18"/>
  <c r="F115" i="18"/>
  <c r="F134" i="18"/>
  <c r="F150" i="18"/>
  <c r="F160" i="18"/>
  <c r="F186" i="18"/>
  <c r="F164" i="18"/>
  <c r="F110" i="18"/>
  <c r="F92" i="18"/>
  <c r="F75" i="18"/>
  <c r="F177" i="18"/>
  <c r="F93" i="18"/>
  <c r="F80" i="18"/>
  <c r="F182" i="18"/>
  <c r="F192" i="18"/>
  <c r="F200" i="18"/>
  <c r="F153" i="18"/>
  <c r="F169" i="18"/>
  <c r="F157" i="18"/>
  <c r="F173" i="18"/>
  <c r="F109" i="18"/>
  <c r="F74" i="18"/>
  <c r="F82" i="18"/>
  <c r="F105" i="18"/>
  <c r="F120" i="18"/>
  <c r="F131" i="18"/>
  <c r="F155" i="18"/>
  <c r="F179" i="18"/>
  <c r="F170" i="18"/>
  <c r="F52" i="18"/>
  <c r="F123" i="18"/>
  <c r="F116" i="18"/>
  <c r="F140" i="18"/>
  <c r="F78" i="18"/>
  <c r="F137" i="18"/>
  <c r="F174" i="18"/>
  <c r="F193" i="18"/>
  <c r="F143" i="18"/>
  <c r="F156" i="18"/>
  <c r="F158" i="18"/>
  <c r="F108" i="18"/>
  <c r="F121" i="18"/>
  <c r="F90" i="18"/>
  <c r="F147" i="18"/>
  <c r="F58" i="18"/>
  <c r="F51" i="18"/>
  <c r="F142" i="18"/>
  <c r="F175" i="18"/>
  <c r="F151" i="18"/>
  <c r="F172" i="18"/>
  <c r="F199" i="18"/>
  <c r="F176" i="18"/>
  <c r="F183" i="18"/>
  <c r="F9" i="18"/>
  <c r="F11" i="18"/>
  <c r="F10" i="18"/>
  <c r="F7" i="18"/>
  <c r="F12" i="18"/>
  <c r="F8" i="18"/>
  <c r="AC138" i="17"/>
  <c r="AB139" i="17"/>
  <c r="AC129" i="17"/>
  <c r="AB130" i="17"/>
  <c r="AE131" i="17"/>
  <c r="Y126" i="17"/>
  <c r="AC121" i="17"/>
  <c r="AC122" i="17"/>
  <c r="AE123" i="17"/>
  <c r="AE111" i="17"/>
  <c r="Z108" i="17"/>
  <c r="AC109" i="17"/>
  <c r="AC104" i="17"/>
  <c r="AB98" i="17"/>
  <c r="AB94" i="17"/>
  <c r="AE93" i="17"/>
  <c r="AE89" i="17"/>
  <c r="AE85" i="17"/>
  <c r="AD82" i="17"/>
  <c r="Y84" i="17"/>
  <c r="AE81" i="17"/>
  <c r="K25" i="2716"/>
  <c r="L26" i="2716" s="1"/>
  <c r="L27" i="2716" s="1"/>
  <c r="AD78" i="17"/>
  <c r="AE73" i="17"/>
  <c r="AD74" i="17"/>
  <c r="AE77" i="17"/>
  <c r="K49" i="2717"/>
  <c r="J90" i="2713"/>
  <c r="J91" i="2713" s="1"/>
  <c r="L92" i="2713" s="1"/>
  <c r="H32" i="2710"/>
  <c r="J31" i="2713"/>
  <c r="J60" i="2713"/>
  <c r="J61" i="2713" s="1"/>
  <c r="L62" i="2713" s="1"/>
  <c r="AD63" i="17"/>
  <c r="AB55" i="17"/>
  <c r="AD34" i="17"/>
  <c r="AD38" i="17"/>
  <c r="AC35" i="17"/>
  <c r="AD39" i="17"/>
  <c r="AE36" i="17"/>
  <c r="AE40" i="17"/>
  <c r="AE47" i="17"/>
  <c r="Z49" i="17"/>
  <c r="AC46" i="17"/>
  <c r="AC42" i="17"/>
  <c r="AE43" i="17"/>
  <c r="AD45" i="17"/>
  <c r="Z44" i="17"/>
  <c r="AE32" i="17"/>
  <c r="AD31" i="17"/>
  <c r="AD30" i="17"/>
  <c r="AD149" i="17"/>
  <c r="Z215" i="17"/>
  <c r="AD190" i="17"/>
  <c r="AE22" i="17"/>
  <c r="AE234" i="17"/>
  <c r="AC23" i="17"/>
  <c r="AD27" i="17"/>
  <c r="AE24" i="17"/>
  <c r="Z84" i="17"/>
  <c r="Y145" i="17"/>
  <c r="AA198" i="17"/>
  <c r="AB213" i="17"/>
  <c r="Z227" i="17"/>
  <c r="Z234" i="17"/>
  <c r="AE29" i="17"/>
  <c r="AD28" i="17"/>
  <c r="AE26" i="17"/>
  <c r="AD25" i="17"/>
  <c r="AD7" i="17"/>
  <c r="AD21" i="17"/>
  <c r="AD10" i="17"/>
  <c r="AE14" i="17"/>
  <c r="AE18" i="17"/>
  <c r="AD9" i="17"/>
  <c r="AD13" i="17"/>
  <c r="AD8" i="17"/>
  <c r="AD15" i="17"/>
  <c r="AC19" i="17"/>
  <c r="AD17" i="17"/>
  <c r="AE8" i="17"/>
  <c r="AD12" i="17"/>
  <c r="AE16" i="17"/>
  <c r="N253" i="17"/>
  <c r="O253" i="17" s="1"/>
  <c r="AC44" i="17"/>
  <c r="Z145" i="17"/>
  <c r="AD246" i="17"/>
  <c r="AE249" i="17"/>
  <c r="AD145" i="17"/>
  <c r="AA171" i="17"/>
  <c r="AB31" i="17"/>
  <c r="AE82" i="17"/>
  <c r="AB197" i="17"/>
  <c r="AE10" i="17"/>
  <c r="Z107" i="17"/>
  <c r="AG177" i="17"/>
  <c r="AB22" i="17"/>
  <c r="AC80" i="17"/>
  <c r="Z88" i="17"/>
  <c r="AE107" i="17"/>
  <c r="Y113" i="17"/>
  <c r="AB122" i="17"/>
  <c r="AD128" i="17"/>
  <c r="AA175" i="17"/>
  <c r="AD197" i="17"/>
  <c r="AD199" i="17"/>
  <c r="Y202" i="17"/>
  <c r="AD219" i="17"/>
  <c r="Z238" i="17"/>
  <c r="AD242" i="17"/>
  <c r="Z250" i="17"/>
  <c r="Y219" i="17"/>
  <c r="AF221" i="17"/>
  <c r="Y242" i="17"/>
  <c r="Y8" i="17"/>
  <c r="Y9" i="17"/>
  <c r="AC8" i="17"/>
  <c r="AB9" i="17"/>
  <c r="AE30" i="17"/>
  <c r="Z40" i="17"/>
  <c r="AE103" i="17"/>
  <c r="AD106" i="17"/>
  <c r="AD113" i="17"/>
  <c r="Y149" i="17"/>
  <c r="Z171" i="17"/>
  <c r="Y190" i="17"/>
  <c r="AC196" i="17"/>
  <c r="Z206" i="17"/>
  <c r="AD209" i="17"/>
  <c r="AE238" i="17"/>
  <c r="AE241" i="17"/>
  <c r="Y246" i="17"/>
  <c r="D43" i="2710"/>
  <c r="G43" i="2710" s="1"/>
  <c r="E42" i="2710"/>
  <c r="H42" i="2710" s="1"/>
  <c r="F41" i="2710"/>
  <c r="D39" i="2710"/>
  <c r="G39" i="2710" s="1"/>
  <c r="E38" i="2710"/>
  <c r="H38" i="2710" s="1"/>
  <c r="F37" i="2710"/>
  <c r="D33" i="2710"/>
  <c r="E31" i="2710"/>
  <c r="H31" i="2710" s="1"/>
  <c r="F30" i="2710"/>
  <c r="G29" i="2710"/>
  <c r="F28" i="2710"/>
  <c r="I28" i="2710" s="1"/>
  <c r="D27" i="2710"/>
  <c r="F26" i="2710"/>
  <c r="I26" i="2710" s="1"/>
  <c r="D25" i="2710"/>
  <c r="F24" i="2710"/>
  <c r="I24" i="2710" s="1"/>
  <c r="D23" i="2710"/>
  <c r="F22" i="2710"/>
  <c r="I22" i="2710" s="1"/>
  <c r="D21" i="2710"/>
  <c r="G21" i="2710" s="1"/>
  <c r="D19" i="2710"/>
  <c r="G19" i="2710" s="1"/>
  <c r="F18" i="2710"/>
  <c r="I18" i="2710" s="1"/>
  <c r="D17" i="2710"/>
  <c r="F16" i="2710"/>
  <c r="I16" i="2710" s="1"/>
  <c r="F7" i="2710"/>
  <c r="I7" i="2710" s="1"/>
  <c r="F9" i="2710"/>
  <c r="I9" i="2710" s="1"/>
  <c r="D14" i="2710"/>
  <c r="E19" i="2710"/>
  <c r="H19" i="2710" s="1"/>
  <c r="F34" i="2710"/>
  <c r="E36" i="2710"/>
  <c r="H36" i="2710" s="1"/>
  <c r="E37" i="2710"/>
  <c r="H37" i="2710" s="1"/>
  <c r="F38" i="2710"/>
  <c r="F39" i="2710"/>
  <c r="F40" i="2710"/>
  <c r="AD157" i="17"/>
  <c r="AC157" i="17"/>
  <c r="E8" i="2710"/>
  <c r="H8" i="2710" s="1"/>
  <c r="E10" i="2710"/>
  <c r="H10" i="2710" s="1"/>
  <c r="E12" i="2710"/>
  <c r="H12" i="2710" s="1"/>
  <c r="E14" i="2710"/>
  <c r="H14" i="2710" s="1"/>
  <c r="F19" i="2710"/>
  <c r="I19" i="2710" s="1"/>
  <c r="E21" i="2710"/>
  <c r="H21" i="2710" s="1"/>
  <c r="D22" i="2710"/>
  <c r="G22" i="2710" s="1"/>
  <c r="F27" i="2710"/>
  <c r="I27" i="2710" s="1"/>
  <c r="E28" i="2710"/>
  <c r="H28" i="2710" s="1"/>
  <c r="H29" i="2710"/>
  <c r="D30" i="2710"/>
  <c r="G30" i="2710" s="1"/>
  <c r="D31" i="2710"/>
  <c r="E33" i="2710"/>
  <c r="H33" i="2710" s="1"/>
  <c r="F35" i="2710"/>
  <c r="F36" i="2710"/>
  <c r="AE20" i="17"/>
  <c r="AB20" i="17"/>
  <c r="AD95" i="17"/>
  <c r="AC95" i="17"/>
  <c r="AE156" i="17"/>
  <c r="AD156" i="17"/>
  <c r="AG164" i="17"/>
  <c r="Z164" i="17"/>
  <c r="D6" i="2710"/>
  <c r="D10" i="2710"/>
  <c r="K33" i="17" s="1"/>
  <c r="F17" i="2710"/>
  <c r="I17" i="2710" s="1"/>
  <c r="E18" i="2710"/>
  <c r="H18" i="2710" s="1"/>
  <c r="F25" i="2710"/>
  <c r="I25" i="2710" s="1"/>
  <c r="E26" i="2710"/>
  <c r="H26" i="2710" s="1"/>
  <c r="E27" i="2710"/>
  <c r="H27" i="2710" s="1"/>
  <c r="D28" i="2710"/>
  <c r="K28" i="17" s="1"/>
  <c r="Z136" i="17"/>
  <c r="AE147" i="17"/>
  <c r="AA147" i="17"/>
  <c r="AE169" i="17"/>
  <c r="AB169" i="17"/>
  <c r="AA169" i="17"/>
  <c r="Y169" i="17"/>
  <c r="AG194" i="17"/>
  <c r="AC194" i="17"/>
  <c r="E6" i="2710"/>
  <c r="D5" i="2710"/>
  <c r="K25" i="17" s="1"/>
  <c r="F6" i="2710"/>
  <c r="I6" i="2710" s="1"/>
  <c r="D7" i="2710"/>
  <c r="F8" i="2710"/>
  <c r="I8" i="2710" s="1"/>
  <c r="D9" i="2710"/>
  <c r="G9" i="2710" s="1"/>
  <c r="F10" i="2710"/>
  <c r="I10" i="2710" s="1"/>
  <c r="D11" i="2710"/>
  <c r="F12" i="2710"/>
  <c r="I12" i="2710" s="1"/>
  <c r="D13" i="2710"/>
  <c r="F14" i="2710"/>
  <c r="I14" i="2710" s="1"/>
  <c r="D16" i="2710"/>
  <c r="F21" i="2710"/>
  <c r="I21" i="2710" s="1"/>
  <c r="E22" i="2710"/>
  <c r="H22" i="2710" s="1"/>
  <c r="E23" i="2710"/>
  <c r="H23" i="2710" s="1"/>
  <c r="D24" i="2710"/>
  <c r="F29" i="2710"/>
  <c r="I29" i="2710" s="1"/>
  <c r="E30" i="2710"/>
  <c r="H30" i="2710" s="1"/>
  <c r="F31" i="2710"/>
  <c r="F33" i="2710"/>
  <c r="D40" i="2710"/>
  <c r="G40" i="2710" s="1"/>
  <c r="D41" i="2710"/>
  <c r="G41" i="2710" s="1"/>
  <c r="D42" i="2710"/>
  <c r="G42" i="2710" s="1"/>
  <c r="E43" i="2710"/>
  <c r="H43" i="2710" s="1"/>
  <c r="AC76" i="17"/>
  <c r="Z76" i="17"/>
  <c r="Y76" i="17"/>
  <c r="AD102" i="17"/>
  <c r="Z102" i="17"/>
  <c r="AF167" i="17"/>
  <c r="Z167" i="17"/>
  <c r="AF192" i="17"/>
  <c r="AC192" i="17"/>
  <c r="Y192" i="17"/>
  <c r="F5" i="2710"/>
  <c r="I5" i="2710" s="1"/>
  <c r="D8" i="2710"/>
  <c r="K8" i="17" s="1"/>
  <c r="F11" i="2710"/>
  <c r="I11" i="2710" s="1"/>
  <c r="D12" i="2710"/>
  <c r="K26" i="17" s="1"/>
  <c r="F13" i="2710"/>
  <c r="AF165" i="17"/>
  <c r="AG165" i="17"/>
  <c r="Z165" i="17"/>
  <c r="AE200" i="17"/>
  <c r="AC200" i="17"/>
  <c r="E5" i="2710"/>
  <c r="E7" i="2710"/>
  <c r="E9" i="2710"/>
  <c r="H9" i="2710" s="1"/>
  <c r="E11" i="2710"/>
  <c r="E13" i="2710"/>
  <c r="F15" i="2710"/>
  <c r="I15" i="2710" s="1"/>
  <c r="E16" i="2710"/>
  <c r="E17" i="2710"/>
  <c r="H17" i="2710" s="1"/>
  <c r="D18" i="2710"/>
  <c r="G18" i="2710" s="1"/>
  <c r="F23" i="2710"/>
  <c r="I23" i="2710" s="1"/>
  <c r="E24" i="2710"/>
  <c r="H24" i="2710" s="1"/>
  <c r="E25" i="2710"/>
  <c r="H25" i="2710" s="1"/>
  <c r="D26" i="2710"/>
  <c r="K19" i="17" s="1"/>
  <c r="D36" i="2710"/>
  <c r="G36" i="2710" s="1"/>
  <c r="D37" i="2710"/>
  <c r="G37" i="2710" s="1"/>
  <c r="D38" i="2710"/>
  <c r="G38" i="2710" s="1"/>
  <c r="E39" i="2710"/>
  <c r="H39" i="2710" s="1"/>
  <c r="E40" i="2710"/>
  <c r="H40" i="2710" s="1"/>
  <c r="E41" i="2710"/>
  <c r="H41" i="2710" s="1"/>
  <c r="F42" i="2710"/>
  <c r="F43" i="2710"/>
  <c r="AD11" i="17"/>
  <c r="AC11" i="17"/>
  <c r="AD141" i="17"/>
  <c r="Y141" i="17"/>
  <c r="AC150" i="17"/>
  <c r="AG150" i="17"/>
  <c r="Y150" i="17"/>
  <c r="AC158" i="17"/>
  <c r="AG158" i="17"/>
  <c r="Y158" i="17"/>
  <c r="Z190" i="17"/>
  <c r="AD202" i="17"/>
  <c r="E253" i="17"/>
  <c r="A253" i="17" s="1"/>
  <c r="Y92" i="17"/>
  <c r="Z106" i="17"/>
  <c r="Y111" i="17"/>
  <c r="Z124" i="17"/>
  <c r="Z132" i="17"/>
  <c r="AG171" i="17"/>
  <c r="Z172" i="17"/>
  <c r="AA181" i="17"/>
  <c r="Z32" i="17"/>
  <c r="Y88" i="17"/>
  <c r="Z98" i="17"/>
  <c r="Z99" i="17"/>
  <c r="Z103" i="17"/>
  <c r="AD120" i="17"/>
  <c r="AC130" i="17"/>
  <c r="Z152" i="17"/>
  <c r="Z153" i="17"/>
  <c r="Z160" i="17"/>
  <c r="Z161" i="17"/>
  <c r="Y171" i="17"/>
  <c r="Y177" i="17"/>
  <c r="AG198" i="17"/>
  <c r="AB211" i="17"/>
  <c r="AD213" i="17"/>
  <c r="Y217" i="17"/>
  <c r="Z219" i="17"/>
  <c r="Y221" i="17"/>
  <c r="AC223" i="17"/>
  <c r="AE227" i="17"/>
  <c r="AA229" i="17"/>
  <c r="AA238" i="17"/>
  <c r="Z246" i="17"/>
  <c r="Y7" i="17"/>
  <c r="X7" i="17" s="1"/>
  <c r="AB11" i="17"/>
  <c r="AE42" i="17"/>
  <c r="AB46" i="17"/>
  <c r="AC47" i="17"/>
  <c r="AC48" i="17"/>
  <c r="Z31" i="17"/>
  <c r="AE34" i="17"/>
  <c r="AC45" i="17"/>
  <c r="AE46" i="17"/>
  <c r="AE7" i="17"/>
  <c r="AB29" i="17"/>
  <c r="AD48" i="17"/>
  <c r="AB48" i="17"/>
  <c r="AC50" i="17"/>
  <c r="AB52" i="17"/>
  <c r="AB14" i="17"/>
  <c r="Y11" i="17"/>
  <c r="AE31" i="17"/>
  <c r="AC32" i="17"/>
  <c r="AB40" i="17"/>
  <c r="AB42" i="17"/>
  <c r="Y47" i="17"/>
  <c r="Y48" i="17"/>
  <c r="AC52" i="17"/>
  <c r="AE54" i="17"/>
  <c r="AE74" i="17"/>
  <c r="AE78" i="17"/>
  <c r="Z80" i="17"/>
  <c r="Z92" i="17"/>
  <c r="Y95" i="17"/>
  <c r="Y99" i="17"/>
  <c r="Z113" i="17"/>
  <c r="AE117" i="17"/>
  <c r="AE125" i="17"/>
  <c r="AE133" i="17"/>
  <c r="AE139" i="17"/>
  <c r="Z141" i="17"/>
  <c r="AE145" i="17"/>
  <c r="AB147" i="17"/>
  <c r="Y153" i="17"/>
  <c r="Y157" i="17"/>
  <c r="Y161" i="17"/>
  <c r="AA164" i="17"/>
  <c r="Y165" i="17"/>
  <c r="AE165" i="17"/>
  <c r="Y167" i="17"/>
  <c r="AD179" i="17"/>
  <c r="AD183" i="17"/>
  <c r="AE190" i="17"/>
  <c r="AA192" i="17"/>
  <c r="AA194" i="17"/>
  <c r="AD195" i="17"/>
  <c r="AA196" i="17"/>
  <c r="Z202" i="17"/>
  <c r="AG204" i="17"/>
  <c r="Y206" i="17"/>
  <c r="AG208" i="17"/>
  <c r="AG210" i="17"/>
  <c r="Z211" i="17"/>
  <c r="AG221" i="17"/>
  <c r="AA222" i="17"/>
  <c r="AA223" i="17"/>
  <c r="AB226" i="17"/>
  <c r="AG227" i="17"/>
  <c r="AB228" i="17"/>
  <c r="AC231" i="17"/>
  <c r="AG234" i="17"/>
  <c r="AG239" i="17"/>
  <c r="AE242" i="17"/>
  <c r="AA249" i="17"/>
  <c r="AE137" i="17"/>
  <c r="AE179" i="17"/>
  <c r="AE183" i="17"/>
  <c r="AG231" i="17"/>
  <c r="AB96" i="17"/>
  <c r="AD99" i="17"/>
  <c r="AE113" i="17"/>
  <c r="Z117" i="17"/>
  <c r="Z125" i="17"/>
  <c r="Z133" i="17"/>
  <c r="Y137" i="17"/>
  <c r="AB138" i="17"/>
  <c r="AE141" i="17"/>
  <c r="AD153" i="17"/>
  <c r="AA155" i="17"/>
  <c r="AD161" i="17"/>
  <c r="AA163" i="17"/>
  <c r="AA165" i="17"/>
  <c r="AD167" i="17"/>
  <c r="AF169" i="17"/>
  <c r="AC175" i="17"/>
  <c r="AA177" i="17"/>
  <c r="Y179" i="17"/>
  <c r="AC181" i="17"/>
  <c r="Y183" i="17"/>
  <c r="AG192" i="17"/>
  <c r="Z193" i="17"/>
  <c r="Z195" i="17"/>
  <c r="AE202" i="17"/>
  <c r="Y204" i="17"/>
  <c r="AD206" i="17"/>
  <c r="Y208" i="17"/>
  <c r="AA210" i="17"/>
  <c r="AA212" i="17"/>
  <c r="AB217" i="17"/>
  <c r="AA218" i="17"/>
  <c r="AE219" i="17"/>
  <c r="AA221" i="17"/>
  <c r="AA227" i="17"/>
  <c r="AC229" i="17"/>
  <c r="Y231" i="17"/>
  <c r="AA234" i="17"/>
  <c r="AG238" i="17"/>
  <c r="Y239" i="17"/>
  <c r="Z242" i="17"/>
  <c r="AA245" i="17"/>
  <c r="AE246" i="17"/>
  <c r="AC247" i="17"/>
  <c r="AA250" i="17"/>
  <c r="Y80" i="17"/>
  <c r="AC91" i="17"/>
  <c r="AE99" i="17"/>
  <c r="Z137" i="17"/>
  <c r="AE153" i="17"/>
  <c r="AB155" i="17"/>
  <c r="AE161" i="17"/>
  <c r="AE163" i="17"/>
  <c r="AD165" i="17"/>
  <c r="AE167" i="17"/>
  <c r="Z179" i="17"/>
  <c r="Z183" i="17"/>
  <c r="AE206" i="17"/>
  <c r="AA208" i="17"/>
  <c r="AC212" i="17"/>
  <c r="Z231" i="17"/>
  <c r="AE245" i="17"/>
  <c r="AD70" i="17"/>
  <c r="AE69" i="17"/>
  <c r="J32" i="2713"/>
  <c r="L33" i="2713" s="1"/>
  <c r="Y72" i="17"/>
  <c r="AC68" i="17"/>
  <c r="AE70" i="17"/>
  <c r="Z72" i="17"/>
  <c r="AC72" i="17"/>
  <c r="AE65" i="17"/>
  <c r="AD66" i="17"/>
  <c r="AD64" i="17"/>
  <c r="Y63" i="17"/>
  <c r="Z63" i="17"/>
  <c r="Y68" i="17"/>
  <c r="AE66" i="17"/>
  <c r="Z68" i="17"/>
  <c r="AD61" i="17"/>
  <c r="AE28" i="17"/>
  <c r="AC71" i="17"/>
  <c r="AC75" i="17"/>
  <c r="AE87" i="17"/>
  <c r="Z87" i="17"/>
  <c r="AD87" i="17"/>
  <c r="Y87" i="17"/>
  <c r="AC134" i="17"/>
  <c r="AB26" i="17"/>
  <c r="Y28" i="17"/>
  <c r="Y33" i="17"/>
  <c r="Z39" i="17"/>
  <c r="Y64" i="17"/>
  <c r="Y67" i="17"/>
  <c r="AD67" i="17"/>
  <c r="Y71" i="17"/>
  <c r="AD71" i="17"/>
  <c r="Y75" i="17"/>
  <c r="AD75" i="17"/>
  <c r="Y79" i="17"/>
  <c r="AD79" i="17"/>
  <c r="Y83" i="17"/>
  <c r="AD83" i="17"/>
  <c r="AC100" i="17"/>
  <c r="Y100" i="17"/>
  <c r="AB105" i="17"/>
  <c r="AE119" i="17"/>
  <c r="Y134" i="17"/>
  <c r="AD140" i="17"/>
  <c r="AC142" i="17"/>
  <c r="Y142" i="17"/>
  <c r="AG144" i="17"/>
  <c r="AD144" i="17"/>
  <c r="AA144" i="17"/>
  <c r="AC146" i="17"/>
  <c r="AB146" i="17"/>
  <c r="AG148" i="17"/>
  <c r="AA148" i="17"/>
  <c r="Z148" i="17"/>
  <c r="AF170" i="17"/>
  <c r="AB170" i="17"/>
  <c r="AF220" i="17"/>
  <c r="Z220" i="17"/>
  <c r="AG237" i="17"/>
  <c r="AE237" i="17"/>
  <c r="AA237" i="17"/>
  <c r="AE243" i="17"/>
  <c r="Z243" i="17"/>
  <c r="AG243" i="17"/>
  <c r="Y243" i="17"/>
  <c r="AD243" i="17"/>
  <c r="AC83" i="17"/>
  <c r="AD86" i="17"/>
  <c r="AE86" i="17"/>
  <c r="Y12" i="17"/>
  <c r="AB18" i="17"/>
  <c r="AB7" i="17"/>
  <c r="AC9" i="17"/>
  <c r="Y10" i="17"/>
  <c r="AE11" i="17"/>
  <c r="AC12" i="17"/>
  <c r="Z13" i="17"/>
  <c r="AB24" i="17"/>
  <c r="AB28" i="17"/>
  <c r="AD33" i="17"/>
  <c r="Z34" i="17"/>
  <c r="Z35" i="17"/>
  <c r="AD36" i="17"/>
  <c r="AB38" i="17"/>
  <c r="AD40" i="17"/>
  <c r="Y45" i="17"/>
  <c r="AE52" i="17"/>
  <c r="Y54" i="17"/>
  <c r="Z67" i="17"/>
  <c r="AE67" i="17"/>
  <c r="AD68" i="17"/>
  <c r="Z71" i="17"/>
  <c r="AE71" i="17"/>
  <c r="AD72" i="17"/>
  <c r="Z75" i="17"/>
  <c r="AE75" i="17"/>
  <c r="AD76" i="17"/>
  <c r="Z79" i="17"/>
  <c r="AE79" i="17"/>
  <c r="AD80" i="17"/>
  <c r="Z83" i="17"/>
  <c r="AE83" i="17"/>
  <c r="AD84" i="17"/>
  <c r="AC84" i="17"/>
  <c r="AC87" i="17"/>
  <c r="AE95" i="17"/>
  <c r="Z95" i="17"/>
  <c r="AE105" i="17"/>
  <c r="AE108" i="17"/>
  <c r="AD108" i="17"/>
  <c r="AE109" i="17"/>
  <c r="Z109" i="17"/>
  <c r="AD109" i="17"/>
  <c r="Y109" i="17"/>
  <c r="AB114" i="17"/>
  <c r="Z114" i="17"/>
  <c r="AE121" i="17"/>
  <c r="Z121" i="17"/>
  <c r="AD121" i="17"/>
  <c r="Y121" i="17"/>
  <c r="AB123" i="17"/>
  <c r="AC126" i="17"/>
  <c r="Z140" i="17"/>
  <c r="Z144" i="17"/>
  <c r="AD148" i="17"/>
  <c r="AF149" i="17"/>
  <c r="AG149" i="17"/>
  <c r="AA149" i="17"/>
  <c r="AE149" i="17"/>
  <c r="Z149" i="17"/>
  <c r="AG152" i="17"/>
  <c r="AD152" i="17"/>
  <c r="AA152" i="17"/>
  <c r="AC154" i="17"/>
  <c r="AB154" i="17"/>
  <c r="AG156" i="17"/>
  <c r="AA156" i="17"/>
  <c r="Z156" i="17"/>
  <c r="AA170" i="17"/>
  <c r="AD205" i="17"/>
  <c r="AB205" i="17"/>
  <c r="AF230" i="17"/>
  <c r="AE230" i="17"/>
  <c r="Z230" i="17"/>
  <c r="AD230" i="17"/>
  <c r="Y230" i="17"/>
  <c r="AC230" i="17"/>
  <c r="AA230" i="17"/>
  <c r="AC243" i="17"/>
  <c r="AC67" i="17"/>
  <c r="AC79" i="17"/>
  <c r="AE129" i="17"/>
  <c r="Z129" i="17"/>
  <c r="AD129" i="17"/>
  <c r="Y129" i="17"/>
  <c r="AB131" i="17"/>
  <c r="AB203" i="17"/>
  <c r="Z203" i="17"/>
  <c r="AD203" i="17"/>
  <c r="AF216" i="17"/>
  <c r="AC216" i="17"/>
  <c r="AF225" i="17"/>
  <c r="AC225" i="17"/>
  <c r="AA225" i="17"/>
  <c r="AE225" i="17"/>
  <c r="Y225" i="17"/>
  <c r="AE235" i="17"/>
  <c r="AC235" i="17"/>
  <c r="Z235" i="17"/>
  <c r="AD235" i="17"/>
  <c r="Y235" i="17"/>
  <c r="AC7" i="17"/>
  <c r="AE9" i="17"/>
  <c r="AC10" i="17"/>
  <c r="AE12" i="17"/>
  <c r="AC28" i="17"/>
  <c r="AB34" i="17"/>
  <c r="AB45" i="17"/>
  <c r="AE48" i="17"/>
  <c r="Y50" i="17"/>
  <c r="AB51" i="17"/>
  <c r="Y52" i="17"/>
  <c r="AC54" i="17"/>
  <c r="AE63" i="17"/>
  <c r="AD90" i="17"/>
  <c r="AE90" i="17"/>
  <c r="AE91" i="17"/>
  <c r="Z91" i="17"/>
  <c r="AD91" i="17"/>
  <c r="Y91" i="17"/>
  <c r="AB112" i="17"/>
  <c r="AE116" i="17"/>
  <c r="AD116" i="17"/>
  <c r="Z116" i="17"/>
  <c r="AE140" i="17"/>
  <c r="AE144" i="17"/>
  <c r="AE148" i="17"/>
  <c r="AF157" i="17"/>
  <c r="AG157" i="17"/>
  <c r="AA157" i="17"/>
  <c r="AE157" i="17"/>
  <c r="Z157" i="17"/>
  <c r="AG160" i="17"/>
  <c r="AD160" i="17"/>
  <c r="AA160" i="17"/>
  <c r="AB173" i="17"/>
  <c r="AG173" i="17"/>
  <c r="AA173" i="17"/>
  <c r="AE173" i="17"/>
  <c r="Y173" i="17"/>
  <c r="AD185" i="17"/>
  <c r="AA185" i="17"/>
  <c r="AG185" i="17"/>
  <c r="Y185" i="17"/>
  <c r="AE185" i="17"/>
  <c r="AF187" i="17"/>
  <c r="AE187" i="17"/>
  <c r="Z187" i="17"/>
  <c r="AD187" i="17"/>
  <c r="Y187" i="17"/>
  <c r="AC187" i="17"/>
  <c r="AA187" i="17"/>
  <c r="AF214" i="17"/>
  <c r="AE214" i="17"/>
  <c r="Z214" i="17"/>
  <c r="AD214" i="17"/>
  <c r="Y214" i="17"/>
  <c r="AC214" i="17"/>
  <c r="AA214" i="17"/>
  <c r="AC88" i="17"/>
  <c r="AC92" i="17"/>
  <c r="AE98" i="17"/>
  <c r="AC103" i="17"/>
  <c r="AC107" i="17"/>
  <c r="AB111" i="17"/>
  <c r="AC117" i="17"/>
  <c r="AE120" i="17"/>
  <c r="AD124" i="17"/>
  <c r="AC125" i="17"/>
  <c r="AE128" i="17"/>
  <c r="AD132" i="17"/>
  <c r="AC133" i="17"/>
  <c r="AD136" i="17"/>
  <c r="AC137" i="17"/>
  <c r="AA145" i="17"/>
  <c r="AG145" i="17"/>
  <c r="AA153" i="17"/>
  <c r="AG153" i="17"/>
  <c r="AA161" i="17"/>
  <c r="AG161" i="17"/>
  <c r="AD164" i="17"/>
  <c r="AC165" i="17"/>
  <c r="AA167" i="17"/>
  <c r="AG167" i="17"/>
  <c r="AF171" i="17"/>
  <c r="AE171" i="17"/>
  <c r="AC171" i="17"/>
  <c r="AD191" i="17"/>
  <c r="Z191" i="17"/>
  <c r="AF194" i="17"/>
  <c r="AE194" i="17"/>
  <c r="Z194" i="17"/>
  <c r="AD194" i="17"/>
  <c r="Y194" i="17"/>
  <c r="AF198" i="17"/>
  <c r="AE198" i="17"/>
  <c r="Z198" i="17"/>
  <c r="AD198" i="17"/>
  <c r="Y198" i="17"/>
  <c r="AF200" i="17"/>
  <c r="AA200" i="17"/>
  <c r="AG200" i="17"/>
  <c r="Y200" i="17"/>
  <c r="AF204" i="17"/>
  <c r="AC204" i="17"/>
  <c r="AA204" i="17"/>
  <c r="AF210" i="17"/>
  <c r="AE210" i="17"/>
  <c r="Z210" i="17"/>
  <c r="AD210" i="17"/>
  <c r="Y210" i="17"/>
  <c r="AE239" i="17"/>
  <c r="AC239" i="17"/>
  <c r="Z239" i="17"/>
  <c r="AE247" i="17"/>
  <c r="Z247" i="17"/>
  <c r="AG247" i="17"/>
  <c r="Y247" i="17"/>
  <c r="AD88" i="17"/>
  <c r="AD92" i="17"/>
  <c r="AC99" i="17"/>
  <c r="AE102" i="17"/>
  <c r="Y103" i="17"/>
  <c r="AD103" i="17"/>
  <c r="AE106" i="17"/>
  <c r="Y107" i="17"/>
  <c r="AD107" i="17"/>
  <c r="AC113" i="17"/>
  <c r="Y117" i="17"/>
  <c r="AD117" i="17"/>
  <c r="Z120" i="17"/>
  <c r="AE124" i="17"/>
  <c r="Y125" i="17"/>
  <c r="AD125" i="17"/>
  <c r="Z128" i="17"/>
  <c r="AE132" i="17"/>
  <c r="Y133" i="17"/>
  <c r="AD133" i="17"/>
  <c r="AE136" i="17"/>
  <c r="AD137" i="17"/>
  <c r="AC141" i="17"/>
  <c r="AC145" i="17"/>
  <c r="AC153" i="17"/>
  <c r="AC161" i="17"/>
  <c r="AE164" i="17"/>
  <c r="AC167" i="17"/>
  <c r="AF175" i="17"/>
  <c r="AE175" i="17"/>
  <c r="Z175" i="17"/>
  <c r="AD175" i="17"/>
  <c r="Y175" i="17"/>
  <c r="AE189" i="17"/>
  <c r="AB189" i="17"/>
  <c r="AD201" i="17"/>
  <c r="Z201" i="17"/>
  <c r="AD207" i="17"/>
  <c r="Z207" i="17"/>
  <c r="AF223" i="17"/>
  <c r="AE223" i="17"/>
  <c r="Z223" i="17"/>
  <c r="AD223" i="17"/>
  <c r="Y223" i="17"/>
  <c r="AG233" i="17"/>
  <c r="AE233" i="17"/>
  <c r="AA233" i="17"/>
  <c r="AC177" i="17"/>
  <c r="AA179" i="17"/>
  <c r="AG179" i="17"/>
  <c r="AE181" i="17"/>
  <c r="AA183" i="17"/>
  <c r="AG183" i="17"/>
  <c r="AA190" i="17"/>
  <c r="AG190" i="17"/>
  <c r="AE196" i="17"/>
  <c r="AA202" i="17"/>
  <c r="AG202" i="17"/>
  <c r="AA206" i="17"/>
  <c r="AG206" i="17"/>
  <c r="AC208" i="17"/>
  <c r="AE212" i="17"/>
  <c r="AE217" i="17"/>
  <c r="AA219" i="17"/>
  <c r="AG219" i="17"/>
  <c r="AB221" i="17"/>
  <c r="AC227" i="17"/>
  <c r="AE229" i="17"/>
  <c r="AC234" i="17"/>
  <c r="AC238" i="17"/>
  <c r="AA242" i="17"/>
  <c r="AG242" i="17"/>
  <c r="AA246" i="17"/>
  <c r="AG246" i="17"/>
  <c r="AD250" i="17"/>
  <c r="AE177" i="17"/>
  <c r="AC179" i="17"/>
  <c r="Y181" i="17"/>
  <c r="AG181" i="17"/>
  <c r="AC183" i="17"/>
  <c r="AC190" i="17"/>
  <c r="AE192" i="17"/>
  <c r="Y196" i="17"/>
  <c r="AG196" i="17"/>
  <c r="AC202" i="17"/>
  <c r="AC206" i="17"/>
  <c r="AE208" i="17"/>
  <c r="Y212" i="17"/>
  <c r="AG212" i="17"/>
  <c r="AG217" i="17"/>
  <c r="AC219" i="17"/>
  <c r="Y227" i="17"/>
  <c r="AD227" i="17"/>
  <c r="Y229" i="17"/>
  <c r="AD231" i="17"/>
  <c r="Y234" i="17"/>
  <c r="AD234" i="17"/>
  <c r="Y238" i="17"/>
  <c r="AD238" i="17"/>
  <c r="AA241" i="17"/>
  <c r="AC242" i="17"/>
  <c r="AC246" i="17"/>
  <c r="AE250" i="17"/>
  <c r="AA7" i="17"/>
  <c r="S8" i="17"/>
  <c r="F8" i="17" s="1"/>
  <c r="AC13" i="17"/>
  <c r="Y13" i="17"/>
  <c r="AB13" i="17"/>
  <c r="AE13" i="17"/>
  <c r="AB16" i="17"/>
  <c r="Z19" i="17"/>
  <c r="AD19" i="17"/>
  <c r="Z23" i="17"/>
  <c r="AD23" i="17"/>
  <c r="Z7" i="17"/>
  <c r="AB8" i="17"/>
  <c r="Z9" i="17"/>
  <c r="AB10" i="17"/>
  <c r="Z11" i="17"/>
  <c r="AB12" i="17"/>
  <c r="Y14" i="17"/>
  <c r="AC14" i="17"/>
  <c r="AE15" i="17"/>
  <c r="Y16" i="17"/>
  <c r="AC16" i="17"/>
  <c r="AE17" i="17"/>
  <c r="Y18" i="17"/>
  <c r="AC18" i="17"/>
  <c r="AE19" i="17"/>
  <c r="Y20" i="17"/>
  <c r="AC20" i="17"/>
  <c r="AE21" i="17"/>
  <c r="Y22" i="17"/>
  <c r="AC22" i="17"/>
  <c r="AE23" i="17"/>
  <c r="Y24" i="17"/>
  <c r="AC24" i="17"/>
  <c r="AE25" i="17"/>
  <c r="Y26" i="17"/>
  <c r="AC26" i="17"/>
  <c r="AE27" i="17"/>
  <c r="Z28" i="17"/>
  <c r="Y29" i="17"/>
  <c r="AC29" i="17"/>
  <c r="AB30" i="17"/>
  <c r="AB32" i="17"/>
  <c r="Z33" i="17"/>
  <c r="AE35" i="17"/>
  <c r="AB35" i="17"/>
  <c r="Z36" i="17"/>
  <c r="AC37" i="17"/>
  <c r="AC38" i="17"/>
  <c r="Y38" i="17"/>
  <c r="Y39" i="17"/>
  <c r="Z41" i="17"/>
  <c r="AB43" i="17"/>
  <c r="AC43" i="17"/>
  <c r="Y43" i="17"/>
  <c r="AD43" i="17"/>
  <c r="AB49" i="17"/>
  <c r="AE49" i="17"/>
  <c r="AC49" i="17"/>
  <c r="Y49" i="17"/>
  <c r="Z14" i="17"/>
  <c r="AD14" i="17"/>
  <c r="AB15" i="17"/>
  <c r="Z18" i="17"/>
  <c r="AD18" i="17"/>
  <c r="AB19" i="17"/>
  <c r="Z20" i="17"/>
  <c r="AD20" i="17"/>
  <c r="AB21" i="17"/>
  <c r="Z22" i="17"/>
  <c r="AD22" i="17"/>
  <c r="AB23" i="17"/>
  <c r="Z24" i="17"/>
  <c r="AD24" i="17"/>
  <c r="AB25" i="17"/>
  <c r="Z26" i="17"/>
  <c r="AD26" i="17"/>
  <c r="AB27" i="17"/>
  <c r="Z29" i="17"/>
  <c r="AD29" i="17"/>
  <c r="Y30" i="17"/>
  <c r="AC30" i="17"/>
  <c r="AE33" i="17"/>
  <c r="AB33" i="17"/>
  <c r="AC36" i="17"/>
  <c r="Y36" i="17"/>
  <c r="Y37" i="17"/>
  <c r="AD37" i="17"/>
  <c r="AE41" i="17"/>
  <c r="AB41" i="17"/>
  <c r="AB53" i="17"/>
  <c r="AE53" i="17"/>
  <c r="AC53" i="17"/>
  <c r="Y53" i="17"/>
  <c r="Z16" i="17"/>
  <c r="AD16" i="17"/>
  <c r="AB17" i="17"/>
  <c r="Z8" i="17"/>
  <c r="Z10" i="17"/>
  <c r="Z12" i="17"/>
  <c r="Y15" i="17"/>
  <c r="AC15" i="17"/>
  <c r="Y17" i="17"/>
  <c r="AC17" i="17"/>
  <c r="Y19" i="17"/>
  <c r="Y21" i="17"/>
  <c r="AC21" i="17"/>
  <c r="Y23" i="17"/>
  <c r="Y25" i="17"/>
  <c r="AC25" i="17"/>
  <c r="Y27" i="17"/>
  <c r="AC27" i="17"/>
  <c r="Z30" i="17"/>
  <c r="AC31" i="17"/>
  <c r="Y31" i="17"/>
  <c r="Y32" i="17"/>
  <c r="AD32" i="17"/>
  <c r="AC33" i="17"/>
  <c r="AC34" i="17"/>
  <c r="Y34" i="17"/>
  <c r="Y35" i="17"/>
  <c r="AD35" i="17"/>
  <c r="AB36" i="17"/>
  <c r="Z37" i="17"/>
  <c r="AE39" i="17"/>
  <c r="AB39" i="17"/>
  <c r="AC41" i="17"/>
  <c r="Z43" i="17"/>
  <c r="AE44" i="17"/>
  <c r="AB44" i="17"/>
  <c r="AD44" i="17"/>
  <c r="AD49" i="17"/>
  <c r="Z53" i="17"/>
  <c r="Z15" i="17"/>
  <c r="Z17" i="17"/>
  <c r="Z21" i="17"/>
  <c r="Z25" i="17"/>
  <c r="Z27" i="17"/>
  <c r="AE37" i="17"/>
  <c r="AB37" i="17"/>
  <c r="Z38" i="17"/>
  <c r="AE38" i="17"/>
  <c r="AC39" i="17"/>
  <c r="AC40" i="17"/>
  <c r="Y40" i="17"/>
  <c r="Y41" i="17"/>
  <c r="AD41" i="17"/>
  <c r="Y44" i="17"/>
  <c r="AD53" i="17"/>
  <c r="Z42" i="17"/>
  <c r="AD42" i="17"/>
  <c r="AE45" i="17"/>
  <c r="Z46" i="17"/>
  <c r="AD46" i="17"/>
  <c r="AB47" i="17"/>
  <c r="Z48" i="17"/>
  <c r="AB50" i="17"/>
  <c r="AE51" i="17"/>
  <c r="Z52" i="17"/>
  <c r="AD52" i="17"/>
  <c r="AB54" i="17"/>
  <c r="AE55" i="17"/>
  <c r="AC57" i="17"/>
  <c r="AE62" i="17"/>
  <c r="AB65" i="17"/>
  <c r="AB69" i="17"/>
  <c r="AB73" i="17"/>
  <c r="AB77" i="17"/>
  <c r="AB81" i="17"/>
  <c r="AB85" i="17"/>
  <c r="AB89" i="17"/>
  <c r="AB93" i="17"/>
  <c r="AD97" i="17"/>
  <c r="Z97" i="17"/>
  <c r="AC97" i="17"/>
  <c r="AD101" i="17"/>
  <c r="Z101" i="17"/>
  <c r="AC101" i="17"/>
  <c r="Y101" i="17"/>
  <c r="AE110" i="17"/>
  <c r="AB110" i="17"/>
  <c r="Z110" i="17"/>
  <c r="AE118" i="17"/>
  <c r="AD118" i="17"/>
  <c r="Z118" i="17"/>
  <c r="AC118" i="17"/>
  <c r="AB118" i="17"/>
  <c r="AD151" i="17"/>
  <c r="Z151" i="17"/>
  <c r="AG151" i="17"/>
  <c r="AC151" i="17"/>
  <c r="Y151" i="17"/>
  <c r="AE151" i="17"/>
  <c r="AB151" i="17"/>
  <c r="AA151" i="17"/>
  <c r="Z62" i="17"/>
  <c r="Y65" i="17"/>
  <c r="AC65" i="17"/>
  <c r="AB66" i="17"/>
  <c r="Y69" i="17"/>
  <c r="AC69" i="17"/>
  <c r="AB70" i="17"/>
  <c r="Y73" i="17"/>
  <c r="AC73" i="17"/>
  <c r="AB74" i="17"/>
  <c r="Y77" i="17"/>
  <c r="AC77" i="17"/>
  <c r="AB78" i="17"/>
  <c r="Y81" i="17"/>
  <c r="AC81" i="17"/>
  <c r="AB82" i="17"/>
  <c r="Y85" i="17"/>
  <c r="AC85" i="17"/>
  <c r="AB86" i="17"/>
  <c r="Y89" i="17"/>
  <c r="AC89" i="17"/>
  <c r="AB90" i="17"/>
  <c r="Y93" i="17"/>
  <c r="AC93" i="17"/>
  <c r="AC94" i="17"/>
  <c r="Y94" i="17"/>
  <c r="AD94" i="17"/>
  <c r="AE96" i="17"/>
  <c r="AC96" i="17"/>
  <c r="Y97" i="17"/>
  <c r="AE97" i="17"/>
  <c r="AB100" i="17"/>
  <c r="AE104" i="17"/>
  <c r="AD104" i="17"/>
  <c r="Z104" i="17"/>
  <c r="Y110" i="17"/>
  <c r="AD115" i="17"/>
  <c r="Z115" i="17"/>
  <c r="AE115" i="17"/>
  <c r="Y115" i="17"/>
  <c r="Y118" i="17"/>
  <c r="AD127" i="17"/>
  <c r="Z127" i="17"/>
  <c r="AC127" i="17"/>
  <c r="Y127" i="17"/>
  <c r="AE127" i="17"/>
  <c r="AB127" i="17"/>
  <c r="AF151" i="17"/>
  <c r="AD159" i="17"/>
  <c r="Z159" i="17"/>
  <c r="AG159" i="17"/>
  <c r="AC159" i="17"/>
  <c r="Y159" i="17"/>
  <c r="AE159" i="17"/>
  <c r="AB159" i="17"/>
  <c r="AA159" i="17"/>
  <c r="Z47" i="17"/>
  <c r="AD47" i="17"/>
  <c r="Z50" i="17"/>
  <c r="AD50" i="17"/>
  <c r="Y51" i="17"/>
  <c r="AC51" i="17"/>
  <c r="Z54" i="17"/>
  <c r="AD54" i="17"/>
  <c r="Y55" i="17"/>
  <c r="AC55" i="17"/>
  <c r="AC61" i="17"/>
  <c r="AC64" i="17"/>
  <c r="Z65" i="17"/>
  <c r="AD65" i="17"/>
  <c r="Y66" i="17"/>
  <c r="AC66" i="17"/>
  <c r="AB67" i="17"/>
  <c r="AE68" i="17"/>
  <c r="Z69" i="17"/>
  <c r="AD69" i="17"/>
  <c r="Y70" i="17"/>
  <c r="AC70" i="17"/>
  <c r="AB71" i="17"/>
  <c r="AE72" i="17"/>
  <c r="Z73" i="17"/>
  <c r="AD73" i="17"/>
  <c r="Y74" i="17"/>
  <c r="AC74" i="17"/>
  <c r="AB75" i="17"/>
  <c r="AE76" i="17"/>
  <c r="Z77" i="17"/>
  <c r="AD77" i="17"/>
  <c r="Y78" i="17"/>
  <c r="AC78" i="17"/>
  <c r="AB79" i="17"/>
  <c r="AE80" i="17"/>
  <c r="Z81" i="17"/>
  <c r="AD81" i="17"/>
  <c r="Y82" i="17"/>
  <c r="AC82" i="17"/>
  <c r="AB83" i="17"/>
  <c r="AE84" i="17"/>
  <c r="Z85" i="17"/>
  <c r="AD85" i="17"/>
  <c r="Y86" i="17"/>
  <c r="AC86" i="17"/>
  <c r="AB87" i="17"/>
  <c r="AE88" i="17"/>
  <c r="Z89" i="17"/>
  <c r="AD89" i="17"/>
  <c r="Y90" i="17"/>
  <c r="AC90" i="17"/>
  <c r="AB91" i="17"/>
  <c r="AE92" i="17"/>
  <c r="Z93" i="17"/>
  <c r="AD93" i="17"/>
  <c r="Z94" i="17"/>
  <c r="AE94" i="17"/>
  <c r="Y96" i="17"/>
  <c r="AD96" i="17"/>
  <c r="AB101" i="17"/>
  <c r="Y104" i="17"/>
  <c r="AD105" i="17"/>
  <c r="Z105" i="17"/>
  <c r="AC105" i="17"/>
  <c r="Y105" i="17"/>
  <c r="AC110" i="17"/>
  <c r="AB115" i="17"/>
  <c r="AD135" i="17"/>
  <c r="Z135" i="17"/>
  <c r="AC135" i="17"/>
  <c r="Y135" i="17"/>
  <c r="AE135" i="17"/>
  <c r="AB135" i="17"/>
  <c r="AF159" i="17"/>
  <c r="Y42" i="17"/>
  <c r="Z45" i="17"/>
  <c r="Y46" i="17"/>
  <c r="AE50" i="17"/>
  <c r="Z51" i="17"/>
  <c r="AD51" i="17"/>
  <c r="Z55" i="17"/>
  <c r="AD55" i="17"/>
  <c r="AB62" i="17"/>
  <c r="AC63" i="17"/>
  <c r="AE64" i="17"/>
  <c r="Z66" i="17"/>
  <c r="AB68" i="17"/>
  <c r="Z70" i="17"/>
  <c r="AB72" i="17"/>
  <c r="Z74" i="17"/>
  <c r="AB76" i="17"/>
  <c r="Z78" i="17"/>
  <c r="AB80" i="17"/>
  <c r="Z82" i="17"/>
  <c r="AB84" i="17"/>
  <c r="Z86" i="17"/>
  <c r="AB88" i="17"/>
  <c r="Z90" i="17"/>
  <c r="AB92" i="17"/>
  <c r="Z96" i="17"/>
  <c r="AB97" i="17"/>
  <c r="AC98" i="17"/>
  <c r="Y98" i="17"/>
  <c r="AD98" i="17"/>
  <c r="AE100" i="17"/>
  <c r="AD100" i="17"/>
  <c r="Z100" i="17"/>
  <c r="AE101" i="17"/>
  <c r="AB104" i="17"/>
  <c r="AC108" i="17"/>
  <c r="Y108" i="17"/>
  <c r="AB108" i="17"/>
  <c r="AD110" i="17"/>
  <c r="AC115" i="17"/>
  <c r="AC116" i="17"/>
  <c r="Y116" i="17"/>
  <c r="AB116" i="17"/>
  <c r="AD119" i="17"/>
  <c r="Z119" i="17"/>
  <c r="AC119" i="17"/>
  <c r="Y119" i="17"/>
  <c r="AB119" i="17"/>
  <c r="AD143" i="17"/>
  <c r="Z143" i="17"/>
  <c r="AC143" i="17"/>
  <c r="Y143" i="17"/>
  <c r="AE143" i="17"/>
  <c r="AB143" i="17"/>
  <c r="AB102" i="17"/>
  <c r="AB106" i="17"/>
  <c r="AC112" i="17"/>
  <c r="Y112" i="17"/>
  <c r="AD112" i="17"/>
  <c r="AE114" i="17"/>
  <c r="AC114" i="17"/>
  <c r="AE122" i="17"/>
  <c r="AD122" i="17"/>
  <c r="Z122" i="17"/>
  <c r="AB126" i="17"/>
  <c r="AE130" i="17"/>
  <c r="AD130" i="17"/>
  <c r="Z130" i="17"/>
  <c r="AB134" i="17"/>
  <c r="AE138" i="17"/>
  <c r="AD138" i="17"/>
  <c r="Z138" i="17"/>
  <c r="AB142" i="17"/>
  <c r="AE146" i="17"/>
  <c r="AA146" i="17"/>
  <c r="AD146" i="17"/>
  <c r="Z146" i="17"/>
  <c r="AF146" i="17"/>
  <c r="AB150" i="17"/>
  <c r="AE154" i="17"/>
  <c r="AA154" i="17"/>
  <c r="AD154" i="17"/>
  <c r="Z154" i="17"/>
  <c r="AF154" i="17"/>
  <c r="AB158" i="17"/>
  <c r="AG162" i="17"/>
  <c r="AC162" i="17"/>
  <c r="Y162" i="17"/>
  <c r="AE162" i="17"/>
  <c r="AA162" i="17"/>
  <c r="AD162" i="17"/>
  <c r="Z162" i="17"/>
  <c r="AG166" i="17"/>
  <c r="AC166" i="17"/>
  <c r="Y166" i="17"/>
  <c r="AE166" i="17"/>
  <c r="Z166" i="17"/>
  <c r="AB166" i="17"/>
  <c r="AF166" i="17"/>
  <c r="AA166" i="17"/>
  <c r="AB95" i="17"/>
  <c r="AB99" i="17"/>
  <c r="Y102" i="17"/>
  <c r="AC102" i="17"/>
  <c r="AB103" i="17"/>
  <c r="Y106" i="17"/>
  <c r="AC106" i="17"/>
  <c r="AB107" i="17"/>
  <c r="AD111" i="17"/>
  <c r="Z111" i="17"/>
  <c r="AC111" i="17"/>
  <c r="Z112" i="17"/>
  <c r="AE112" i="17"/>
  <c r="Y114" i="17"/>
  <c r="AD114" i="17"/>
  <c r="Y122" i="17"/>
  <c r="AD123" i="17"/>
  <c r="Z123" i="17"/>
  <c r="AC123" i="17"/>
  <c r="Y123" i="17"/>
  <c r="Y130" i="17"/>
  <c r="AD131" i="17"/>
  <c r="Z131" i="17"/>
  <c r="AC131" i="17"/>
  <c r="Y131" i="17"/>
  <c r="Y138" i="17"/>
  <c r="AD139" i="17"/>
  <c r="Z139" i="17"/>
  <c r="AC139" i="17"/>
  <c r="Y139" i="17"/>
  <c r="Y146" i="17"/>
  <c r="AG146" i="17"/>
  <c r="AD147" i="17"/>
  <c r="Z147" i="17"/>
  <c r="AG147" i="17"/>
  <c r="AC147" i="17"/>
  <c r="Y147" i="17"/>
  <c r="AF147" i="17"/>
  <c r="Y154" i="17"/>
  <c r="AG154" i="17"/>
  <c r="AD155" i="17"/>
  <c r="Z155" i="17"/>
  <c r="AG155" i="17"/>
  <c r="AC155" i="17"/>
  <c r="Y155" i="17"/>
  <c r="AF155" i="17"/>
  <c r="AB162" i="17"/>
  <c r="AD166" i="17"/>
  <c r="AE126" i="17"/>
  <c r="AD126" i="17"/>
  <c r="Z126" i="17"/>
  <c r="AE134" i="17"/>
  <c r="AD134" i="17"/>
  <c r="Z134" i="17"/>
  <c r="AE142" i="17"/>
  <c r="AD142" i="17"/>
  <c r="Z142" i="17"/>
  <c r="AE150" i="17"/>
  <c r="AA150" i="17"/>
  <c r="AD150" i="17"/>
  <c r="Z150" i="17"/>
  <c r="AF150" i="17"/>
  <c r="AE158" i="17"/>
  <c r="AA158" i="17"/>
  <c r="AD158" i="17"/>
  <c r="Z158" i="17"/>
  <c r="AF158" i="17"/>
  <c r="AE168" i="17"/>
  <c r="AA168" i="17"/>
  <c r="AD168" i="17"/>
  <c r="Y168" i="17"/>
  <c r="AG168" i="17"/>
  <c r="AB168" i="17"/>
  <c r="AF168" i="17"/>
  <c r="Z168" i="17"/>
  <c r="AB120" i="17"/>
  <c r="AB124" i="17"/>
  <c r="AB128" i="17"/>
  <c r="AB132" i="17"/>
  <c r="AB136" i="17"/>
  <c r="AF136" i="17"/>
  <c r="AB140" i="17"/>
  <c r="AB144" i="17"/>
  <c r="AF144" i="17"/>
  <c r="AB148" i="17"/>
  <c r="AF148" i="17"/>
  <c r="AB152" i="17"/>
  <c r="AF152" i="17"/>
  <c r="AB156" i="17"/>
  <c r="AF156" i="17"/>
  <c r="AB160" i="17"/>
  <c r="AF160" i="17"/>
  <c r="Y163" i="17"/>
  <c r="AC163" i="17"/>
  <c r="AG163" i="17"/>
  <c r="AB164" i="17"/>
  <c r="AF164" i="17"/>
  <c r="AG170" i="17"/>
  <c r="AC170" i="17"/>
  <c r="Y170" i="17"/>
  <c r="AD170" i="17"/>
  <c r="AE172" i="17"/>
  <c r="AA172" i="17"/>
  <c r="AC172" i="17"/>
  <c r="AA174" i="17"/>
  <c r="AF174" i="17"/>
  <c r="AB176" i="17"/>
  <c r="AB178" i="17"/>
  <c r="AE180" i="17"/>
  <c r="AA180" i="17"/>
  <c r="AG180" i="17"/>
  <c r="AC180" i="17"/>
  <c r="Y180" i="17"/>
  <c r="AF180" i="17"/>
  <c r="AG182" i="17"/>
  <c r="AC182" i="17"/>
  <c r="Y182" i="17"/>
  <c r="AE182" i="17"/>
  <c r="AA182" i="17"/>
  <c r="AF182" i="17"/>
  <c r="AB184" i="17"/>
  <c r="AB186" i="17"/>
  <c r="AE188" i="17"/>
  <c r="AA188" i="17"/>
  <c r="AG188" i="17"/>
  <c r="AC188" i="17"/>
  <c r="Y188" i="17"/>
  <c r="AF188" i="17"/>
  <c r="AB109" i="17"/>
  <c r="AB113" i="17"/>
  <c r="AB117" i="17"/>
  <c r="Y120" i="17"/>
  <c r="AC120" i="17"/>
  <c r="AB121" i="17"/>
  <c r="Y124" i="17"/>
  <c r="AC124" i="17"/>
  <c r="AB125" i="17"/>
  <c r="Y128" i="17"/>
  <c r="AC128" i="17"/>
  <c r="AB129" i="17"/>
  <c r="Y132" i="17"/>
  <c r="AC132" i="17"/>
  <c r="AB133" i="17"/>
  <c r="Y136" i="17"/>
  <c r="AC136" i="17"/>
  <c r="AB137" i="17"/>
  <c r="Y140" i="17"/>
  <c r="AC140" i="17"/>
  <c r="AB141" i="17"/>
  <c r="Y144" i="17"/>
  <c r="AC144" i="17"/>
  <c r="AB145" i="17"/>
  <c r="Y148" i="17"/>
  <c r="AC148" i="17"/>
  <c r="AB149" i="17"/>
  <c r="Y152" i="17"/>
  <c r="AC152" i="17"/>
  <c r="AB153" i="17"/>
  <c r="Y156" i="17"/>
  <c r="AC156" i="17"/>
  <c r="AB157" i="17"/>
  <c r="Y160" i="17"/>
  <c r="AC160" i="17"/>
  <c r="AB161" i="17"/>
  <c r="Z163" i="17"/>
  <c r="AD163" i="17"/>
  <c r="Y164" i="17"/>
  <c r="AC164" i="17"/>
  <c r="AB165" i="17"/>
  <c r="AD169" i="17"/>
  <c r="Z169" i="17"/>
  <c r="AC169" i="17"/>
  <c r="Z170" i="17"/>
  <c r="AE170" i="17"/>
  <c r="Y172" i="17"/>
  <c r="AD172" i="17"/>
  <c r="Z180" i="17"/>
  <c r="Z182" i="17"/>
  <c r="Z188" i="17"/>
  <c r="AD236" i="17"/>
  <c r="Z236" i="17"/>
  <c r="AG236" i="17"/>
  <c r="AC236" i="17"/>
  <c r="Y236" i="17"/>
  <c r="AE236" i="17"/>
  <c r="AA236" i="17"/>
  <c r="AB236" i="17"/>
  <c r="AF236" i="17"/>
  <c r="AG174" i="17"/>
  <c r="AC174" i="17"/>
  <c r="Y174" i="17"/>
  <c r="AD174" i="17"/>
  <c r="AE176" i="17"/>
  <c r="AA176" i="17"/>
  <c r="AG176" i="17"/>
  <c r="AC176" i="17"/>
  <c r="Y176" i="17"/>
  <c r="AF176" i="17"/>
  <c r="AG178" i="17"/>
  <c r="AC178" i="17"/>
  <c r="Y178" i="17"/>
  <c r="AE178" i="17"/>
  <c r="AA178" i="17"/>
  <c r="AF178" i="17"/>
  <c r="AE184" i="17"/>
  <c r="AA184" i="17"/>
  <c r="AG184" i="17"/>
  <c r="AC184" i="17"/>
  <c r="Y184" i="17"/>
  <c r="AF184" i="17"/>
  <c r="AG186" i="17"/>
  <c r="AC186" i="17"/>
  <c r="Y186" i="17"/>
  <c r="AE186" i="17"/>
  <c r="AA186" i="17"/>
  <c r="AF186" i="17"/>
  <c r="AB163" i="17"/>
  <c r="AB172" i="17"/>
  <c r="AG172" i="17"/>
  <c r="AD173" i="17"/>
  <c r="Z173" i="17"/>
  <c r="AC173" i="17"/>
  <c r="Z174" i="17"/>
  <c r="AE174" i="17"/>
  <c r="Z176" i="17"/>
  <c r="Z178" i="17"/>
  <c r="AD180" i="17"/>
  <c r="AD182" i="17"/>
  <c r="Z184" i="17"/>
  <c r="Z186" i="17"/>
  <c r="AD188" i="17"/>
  <c r="AB177" i="17"/>
  <c r="AF177" i="17"/>
  <c r="AB181" i="17"/>
  <c r="AF181" i="17"/>
  <c r="AB185" i="17"/>
  <c r="AF185" i="17"/>
  <c r="AG189" i="17"/>
  <c r="AC189" i="17"/>
  <c r="Y189" i="17"/>
  <c r="AD189" i="17"/>
  <c r="AG191" i="17"/>
  <c r="AC191" i="17"/>
  <c r="Y191" i="17"/>
  <c r="AE191" i="17"/>
  <c r="AA191" i="17"/>
  <c r="AF191" i="17"/>
  <c r="AE193" i="17"/>
  <c r="AA193" i="17"/>
  <c r="AG193" i="17"/>
  <c r="AC193" i="17"/>
  <c r="Y193" i="17"/>
  <c r="AF193" i="17"/>
  <c r="AG199" i="17"/>
  <c r="AC199" i="17"/>
  <c r="Y199" i="17"/>
  <c r="AE199" i="17"/>
  <c r="AA199" i="17"/>
  <c r="AF199" i="17"/>
  <c r="AE201" i="17"/>
  <c r="AA201" i="17"/>
  <c r="AG201" i="17"/>
  <c r="AC201" i="17"/>
  <c r="Y201" i="17"/>
  <c r="AF201" i="17"/>
  <c r="AG207" i="17"/>
  <c r="AC207" i="17"/>
  <c r="Y207" i="17"/>
  <c r="AE207" i="17"/>
  <c r="AA207" i="17"/>
  <c r="AF207" i="17"/>
  <c r="AE209" i="17"/>
  <c r="AA209" i="17"/>
  <c r="AG209" i="17"/>
  <c r="AC209" i="17"/>
  <c r="Y209" i="17"/>
  <c r="AF209" i="17"/>
  <c r="AF215" i="17"/>
  <c r="AB215" i="17"/>
  <c r="AD215" i="17"/>
  <c r="Y215" i="17"/>
  <c r="AG215" i="17"/>
  <c r="AA215" i="17"/>
  <c r="AG218" i="17"/>
  <c r="AC218" i="17"/>
  <c r="Y218" i="17"/>
  <c r="AE218" i="17"/>
  <c r="Z218" i="17"/>
  <c r="AB218" i="17"/>
  <c r="AE220" i="17"/>
  <c r="AA220" i="17"/>
  <c r="AD220" i="17"/>
  <c r="Y220" i="17"/>
  <c r="AG220" i="17"/>
  <c r="AB220" i="17"/>
  <c r="AG222" i="17"/>
  <c r="AC222" i="17"/>
  <c r="Y222" i="17"/>
  <c r="AB222" i="17"/>
  <c r="AE222" i="17"/>
  <c r="Z222" i="17"/>
  <c r="AG224" i="17"/>
  <c r="AC224" i="17"/>
  <c r="Y224" i="17"/>
  <c r="AE224" i="17"/>
  <c r="AA224" i="17"/>
  <c r="AD224" i="17"/>
  <c r="Z224" i="17"/>
  <c r="AD240" i="17"/>
  <c r="Z240" i="17"/>
  <c r="AG240" i="17"/>
  <c r="AC240" i="17"/>
  <c r="Y240" i="17"/>
  <c r="AE240" i="17"/>
  <c r="AA240" i="17"/>
  <c r="AB240" i="17"/>
  <c r="AB167" i="17"/>
  <c r="AB171" i="17"/>
  <c r="AB175" i="17"/>
  <c r="Z177" i="17"/>
  <c r="AB179" i="17"/>
  <c r="Z181" i="17"/>
  <c r="AB183" i="17"/>
  <c r="Z185" i="17"/>
  <c r="AB187" i="17"/>
  <c r="AA189" i="17"/>
  <c r="AF189" i="17"/>
  <c r="AB191" i="17"/>
  <c r="AB193" i="17"/>
  <c r="AG195" i="17"/>
  <c r="AC195" i="17"/>
  <c r="Y195" i="17"/>
  <c r="AE195" i="17"/>
  <c r="AA195" i="17"/>
  <c r="AF195" i="17"/>
  <c r="AE197" i="17"/>
  <c r="AA197" i="17"/>
  <c r="AG197" i="17"/>
  <c r="AC197" i="17"/>
  <c r="Y197" i="17"/>
  <c r="AF197" i="17"/>
  <c r="AB199" i="17"/>
  <c r="AB201" i="17"/>
  <c r="AG203" i="17"/>
  <c r="AC203" i="17"/>
  <c r="Y203" i="17"/>
  <c r="AE203" i="17"/>
  <c r="AA203" i="17"/>
  <c r="AF203" i="17"/>
  <c r="AE205" i="17"/>
  <c r="AA205" i="17"/>
  <c r="AG205" i="17"/>
  <c r="AC205" i="17"/>
  <c r="Y205" i="17"/>
  <c r="AF205" i="17"/>
  <c r="AB207" i="17"/>
  <c r="AB209" i="17"/>
  <c r="AG211" i="17"/>
  <c r="AC211" i="17"/>
  <c r="Y211" i="17"/>
  <c r="AE211" i="17"/>
  <c r="AA211" i="17"/>
  <c r="AF211" i="17"/>
  <c r="AE213" i="17"/>
  <c r="AA213" i="17"/>
  <c r="AG213" i="17"/>
  <c r="AC213" i="17"/>
  <c r="Y213" i="17"/>
  <c r="AF213" i="17"/>
  <c r="AC215" i="17"/>
  <c r="AE216" i="17"/>
  <c r="AA216" i="17"/>
  <c r="AG216" i="17"/>
  <c r="AB216" i="17"/>
  <c r="AD216" i="17"/>
  <c r="Y216" i="17"/>
  <c r="AD218" i="17"/>
  <c r="AC220" i="17"/>
  <c r="AD222" i="17"/>
  <c r="AF224" i="17"/>
  <c r="AE226" i="17"/>
  <c r="AA226" i="17"/>
  <c r="AG226" i="17"/>
  <c r="AC226" i="17"/>
  <c r="Y226" i="17"/>
  <c r="AD226" i="17"/>
  <c r="Z226" i="17"/>
  <c r="AG228" i="17"/>
  <c r="AC228" i="17"/>
  <c r="Y228" i="17"/>
  <c r="AE228" i="17"/>
  <c r="AA228" i="17"/>
  <c r="Z228" i="17"/>
  <c r="AD228" i="17"/>
  <c r="AD232" i="17"/>
  <c r="Z232" i="17"/>
  <c r="AG232" i="17"/>
  <c r="AC232" i="17"/>
  <c r="Y232" i="17"/>
  <c r="AE232" i="17"/>
  <c r="AA232" i="17"/>
  <c r="AB232" i="17"/>
  <c r="AB190" i="17"/>
  <c r="Z192" i="17"/>
  <c r="AD192" i="17"/>
  <c r="AB194" i="17"/>
  <c r="Z196" i="17"/>
  <c r="AD196" i="17"/>
  <c r="AB198" i="17"/>
  <c r="Z200" i="17"/>
  <c r="AD200" i="17"/>
  <c r="AB202" i="17"/>
  <c r="Z204" i="17"/>
  <c r="AD204" i="17"/>
  <c r="AB206" i="17"/>
  <c r="Z208" i="17"/>
  <c r="AD208" i="17"/>
  <c r="AB210" i="17"/>
  <c r="Z212" i="17"/>
  <c r="AD212" i="17"/>
  <c r="AB214" i="17"/>
  <c r="AA217" i="17"/>
  <c r="AD221" i="17"/>
  <c r="Z221" i="17"/>
  <c r="AC221" i="17"/>
  <c r="AB192" i="17"/>
  <c r="AB196" i="17"/>
  <c r="AB200" i="17"/>
  <c r="AB204" i="17"/>
  <c r="AB208" i="17"/>
  <c r="AB212" i="17"/>
  <c r="AD217" i="17"/>
  <c r="Z217" i="17"/>
  <c r="AC217" i="17"/>
  <c r="AB219" i="17"/>
  <c r="AB223" i="17"/>
  <c r="Z225" i="17"/>
  <c r="AD225" i="17"/>
  <c r="AB227" i="17"/>
  <c r="Z229" i="17"/>
  <c r="AD229" i="17"/>
  <c r="AB231" i="17"/>
  <c r="AF231" i="17"/>
  <c r="Z233" i="17"/>
  <c r="AD233" i="17"/>
  <c r="AB235" i="17"/>
  <c r="AF235" i="17"/>
  <c r="Z237" i="17"/>
  <c r="AD237" i="17"/>
  <c r="AB239" i="17"/>
  <c r="AF239" i="17"/>
  <c r="Z241" i="17"/>
  <c r="AD241" i="17"/>
  <c r="AB243" i="17"/>
  <c r="AF243" i="17"/>
  <c r="AA244" i="17"/>
  <c r="AE244" i="17"/>
  <c r="Z245" i="17"/>
  <c r="AD245" i="17"/>
  <c r="AB247" i="17"/>
  <c r="AF247" i="17"/>
  <c r="AA248" i="17"/>
  <c r="AE248" i="17"/>
  <c r="Z249" i="17"/>
  <c r="AD249" i="17"/>
  <c r="Y250" i="17"/>
  <c r="AC250" i="17"/>
  <c r="AG250" i="17"/>
  <c r="AB244" i="17"/>
  <c r="AF244" i="17"/>
  <c r="AB248" i="17"/>
  <c r="AF248" i="17"/>
  <c r="AB225" i="17"/>
  <c r="AB229" i="17"/>
  <c r="AF229" i="17"/>
  <c r="AB233" i="17"/>
  <c r="AF233" i="17"/>
  <c r="AB237" i="17"/>
  <c r="AF237" i="17"/>
  <c r="AB241" i="17"/>
  <c r="AF241" i="17"/>
  <c r="Y244" i="17"/>
  <c r="AC244" i="17"/>
  <c r="AG244" i="17"/>
  <c r="AB245" i="17"/>
  <c r="AF245" i="17"/>
  <c r="Y248" i="17"/>
  <c r="AC248" i="17"/>
  <c r="AG248" i="17"/>
  <c r="AB249" i="17"/>
  <c r="AF249" i="17"/>
  <c r="AB230" i="17"/>
  <c r="AA231" i="17"/>
  <c r="Y233" i="17"/>
  <c r="AC233" i="17"/>
  <c r="AB234" i="17"/>
  <c r="AA235" i="17"/>
  <c r="Y237" i="17"/>
  <c r="AC237" i="17"/>
  <c r="AB238" i="17"/>
  <c r="AA239" i="17"/>
  <c r="Y241" i="17"/>
  <c r="AC241" i="17"/>
  <c r="AB242" i="17"/>
  <c r="AA243" i="17"/>
  <c r="Z244" i="17"/>
  <c r="Y245" i="17"/>
  <c r="AC245" i="17"/>
  <c r="AB246" i="17"/>
  <c r="AA247" i="17"/>
  <c r="Z248" i="17"/>
  <c r="Y249" i="17"/>
  <c r="AC249" i="17"/>
  <c r="AB250" i="17"/>
  <c r="Z58" i="17"/>
  <c r="AE58" i="17"/>
  <c r="AB60" i="17"/>
  <c r="AB64" i="17"/>
  <c r="AD58" i="17"/>
  <c r="AD60" i="17"/>
  <c r="AB58" i="17"/>
  <c r="Z60" i="17"/>
  <c r="AE60" i="17"/>
  <c r="AB61" i="17"/>
  <c r="AD62" i="17"/>
  <c r="AB63" i="17"/>
  <c r="Z64" i="17"/>
  <c r="AB57" i="17"/>
  <c r="AD57" i="17"/>
  <c r="A194" i="17"/>
  <c r="A210" i="17"/>
  <c r="A226" i="17"/>
  <c r="A234" i="17"/>
  <c r="A242" i="17"/>
  <c r="A250" i="17"/>
  <c r="A202" i="17"/>
  <c r="A218" i="17"/>
  <c r="A230" i="17"/>
  <c r="A238" i="17"/>
  <c r="A246" i="17"/>
  <c r="A145" i="17"/>
  <c r="A149" i="17"/>
  <c r="A153" i="17"/>
  <c r="A157" i="17"/>
  <c r="A161" i="17"/>
  <c r="A165" i="17"/>
  <c r="A169" i="17"/>
  <c r="A173" i="17"/>
  <c r="A177" i="17"/>
  <c r="A181" i="17"/>
  <c r="A185" i="17"/>
  <c r="A189" i="17"/>
  <c r="A193" i="17"/>
  <c r="A195" i="17"/>
  <c r="A205" i="17"/>
  <c r="A209" i="17"/>
  <c r="A211" i="17"/>
  <c r="A221" i="17"/>
  <c r="A225" i="17"/>
  <c r="A233" i="17"/>
  <c r="A241" i="17"/>
  <c r="A249" i="17"/>
  <c r="AE56" i="17"/>
  <c r="AD56" i="17"/>
  <c r="Z56" i="17"/>
  <c r="A147" i="17"/>
  <c r="A151" i="17"/>
  <c r="A155" i="17"/>
  <c r="A159" i="17"/>
  <c r="A163" i="17"/>
  <c r="A167" i="17"/>
  <c r="A171" i="17"/>
  <c r="A175" i="17"/>
  <c r="A179" i="17"/>
  <c r="A183" i="17"/>
  <c r="A187" i="17"/>
  <c r="A191" i="17"/>
  <c r="A197" i="17"/>
  <c r="A201" i="17"/>
  <c r="A203" i="17"/>
  <c r="A213" i="17"/>
  <c r="A217" i="17"/>
  <c r="A219" i="17"/>
  <c r="A229" i="17"/>
  <c r="A237" i="17"/>
  <c r="A245" i="17"/>
  <c r="AB56" i="17"/>
  <c r="A144" i="17"/>
  <c r="A146" i="17"/>
  <c r="A152" i="17"/>
  <c r="A154" i="17"/>
  <c r="A160" i="17"/>
  <c r="A162" i="17"/>
  <c r="A168" i="17"/>
  <c r="A170" i="17"/>
  <c r="A176" i="17"/>
  <c r="A178" i="17"/>
  <c r="A184" i="17"/>
  <c r="A186" i="17"/>
  <c r="A192" i="17"/>
  <c r="A200" i="17"/>
  <c r="A208" i="17"/>
  <c r="A216" i="17"/>
  <c r="A224" i="17"/>
  <c r="A199" i="17"/>
  <c r="A207" i="17"/>
  <c r="A215" i="17"/>
  <c r="A223" i="17"/>
  <c r="A148" i="17"/>
  <c r="A150" i="17"/>
  <c r="A156" i="17"/>
  <c r="A158" i="17"/>
  <c r="A164" i="17"/>
  <c r="A166" i="17"/>
  <c r="A172" i="17"/>
  <c r="A174" i="17"/>
  <c r="A180" i="17"/>
  <c r="A182" i="17"/>
  <c r="A188" i="17"/>
  <c r="A190" i="17"/>
  <c r="A196" i="17"/>
  <c r="A198" i="17"/>
  <c r="A204" i="17"/>
  <c r="A206" i="17"/>
  <c r="A212" i="17"/>
  <c r="A214" i="17"/>
  <c r="A220" i="17"/>
  <c r="A222" i="17"/>
  <c r="A227" i="17"/>
  <c r="A231" i="17"/>
  <c r="A235" i="17"/>
  <c r="A239" i="17"/>
  <c r="A243" i="17"/>
  <c r="A247" i="17"/>
  <c r="A228" i="17"/>
  <c r="A232" i="17"/>
  <c r="A236" i="17"/>
  <c r="A240" i="17"/>
  <c r="A244" i="17"/>
  <c r="A248" i="17"/>
  <c r="AE59" i="17"/>
  <c r="AD59" i="17"/>
  <c r="Y59" i="17"/>
  <c r="AC59" i="17"/>
  <c r="AB59" i="17"/>
  <c r="Z59" i="17"/>
  <c r="Y57" i="17"/>
  <c r="Y61" i="17"/>
  <c r="AE57" i="17"/>
  <c r="Z57" i="17"/>
  <c r="AE61" i="17"/>
  <c r="Z61" i="17"/>
  <c r="Y56" i="17"/>
  <c r="AC56" i="17"/>
  <c r="Y58" i="17"/>
  <c r="AC58" i="17"/>
  <c r="Y60" i="17"/>
  <c r="AC60" i="17"/>
  <c r="Y62" i="17"/>
  <c r="AC62" i="17"/>
  <c r="N46" i="17" l="1"/>
  <c r="O46" i="17" s="1"/>
  <c r="N33" i="17"/>
  <c r="O33" i="17" s="1"/>
  <c r="N43" i="17"/>
  <c r="O43" i="17" s="1"/>
  <c r="N44" i="17"/>
  <c r="O44" i="17" s="1"/>
  <c r="N52" i="17"/>
  <c r="O52" i="17" s="1"/>
  <c r="K9" i="17"/>
  <c r="K13" i="17"/>
  <c r="K18" i="17"/>
  <c r="D152" i="18"/>
  <c r="C152" i="18"/>
  <c r="I152" i="18"/>
  <c r="I116" i="18"/>
  <c r="D116" i="18"/>
  <c r="C116" i="18"/>
  <c r="C188" i="18"/>
  <c r="D188" i="18"/>
  <c r="I188" i="18"/>
  <c r="C75" i="18"/>
  <c r="D75" i="18"/>
  <c r="I75" i="18"/>
  <c r="C154" i="18"/>
  <c r="D154" i="18"/>
  <c r="I154" i="18"/>
  <c r="D169" i="18"/>
  <c r="C169" i="18"/>
  <c r="I169" i="18"/>
  <c r="C181" i="18"/>
  <c r="D181" i="18"/>
  <c r="I181" i="18"/>
  <c r="C140" i="18"/>
  <c r="I140" i="18"/>
  <c r="D140" i="18"/>
  <c r="C101" i="18"/>
  <c r="D101" i="18"/>
  <c r="I101" i="18"/>
  <c r="D108" i="18"/>
  <c r="I108" i="18"/>
  <c r="C108" i="18"/>
  <c r="C93" i="18"/>
  <c r="I93" i="18"/>
  <c r="D93" i="18"/>
  <c r="I156" i="18"/>
  <c r="D156" i="18"/>
  <c r="C156" i="18"/>
  <c r="I115" i="18"/>
  <c r="C115" i="18"/>
  <c r="D115" i="18"/>
  <c r="D165" i="18"/>
  <c r="C165" i="18"/>
  <c r="I165" i="18"/>
  <c r="I122" i="18"/>
  <c r="D122" i="18"/>
  <c r="C122" i="18"/>
  <c r="C150" i="18"/>
  <c r="I150" i="18"/>
  <c r="D150" i="18"/>
  <c r="I57" i="18"/>
  <c r="C57" i="18"/>
  <c r="D57" i="18"/>
  <c r="I67" i="18"/>
  <c r="C67" i="18"/>
  <c r="D67" i="18"/>
  <c r="D163" i="18"/>
  <c r="I163" i="18"/>
  <c r="C163" i="18"/>
  <c r="D117" i="18"/>
  <c r="I117" i="18"/>
  <c r="C117" i="18"/>
  <c r="C127" i="18"/>
  <c r="I127" i="18"/>
  <c r="D127" i="18"/>
  <c r="D98" i="18"/>
  <c r="C98" i="18"/>
  <c r="I98" i="18"/>
  <c r="D167" i="18"/>
  <c r="C167" i="18"/>
  <c r="I167" i="18"/>
  <c r="C107" i="18"/>
  <c r="I107" i="18"/>
  <c r="D107" i="18"/>
  <c r="C51" i="18"/>
  <c r="D51" i="18"/>
  <c r="I51" i="18"/>
  <c r="C170" i="18"/>
  <c r="D170" i="18"/>
  <c r="I170" i="18"/>
  <c r="C164" i="18"/>
  <c r="D164" i="18"/>
  <c r="I164" i="18"/>
  <c r="D193" i="18"/>
  <c r="I193" i="18"/>
  <c r="C193" i="18"/>
  <c r="I198" i="18"/>
  <c r="C198" i="18"/>
  <c r="D198" i="18"/>
  <c r="D80" i="18"/>
  <c r="C80" i="18"/>
  <c r="I80" i="18"/>
  <c r="I177" i="18"/>
  <c r="C177" i="18"/>
  <c r="D177" i="18"/>
  <c r="I183" i="18"/>
  <c r="D183" i="18"/>
  <c r="C183" i="18"/>
  <c r="I144" i="18"/>
  <c r="C144" i="18"/>
  <c r="D144" i="18"/>
  <c r="I182" i="18"/>
  <c r="C182" i="18"/>
  <c r="D182" i="18"/>
  <c r="C53" i="18"/>
  <c r="D53" i="18"/>
  <c r="I53" i="18"/>
  <c r="C126" i="18"/>
  <c r="I126" i="18"/>
  <c r="D126" i="18"/>
  <c r="C161" i="18"/>
  <c r="I161" i="18"/>
  <c r="D161" i="18"/>
  <c r="C138" i="18"/>
  <c r="I138" i="18"/>
  <c r="D138" i="18"/>
  <c r="K39" i="17"/>
  <c r="K23" i="17"/>
  <c r="K38" i="17"/>
  <c r="K22" i="17"/>
  <c r="K37" i="17"/>
  <c r="K21" i="17"/>
  <c r="K40" i="17"/>
  <c r="K24" i="17"/>
  <c r="K12" i="17"/>
  <c r="D145" i="18"/>
  <c r="I145" i="18"/>
  <c r="C145" i="18"/>
  <c r="D85" i="18"/>
  <c r="C85" i="18"/>
  <c r="I85" i="18"/>
  <c r="C61" i="18"/>
  <c r="I61" i="18"/>
  <c r="D61" i="18"/>
  <c r="C103" i="18"/>
  <c r="I103" i="18"/>
  <c r="D103" i="18"/>
  <c r="C201" i="18"/>
  <c r="D201" i="18"/>
  <c r="I201" i="18"/>
  <c r="I143" i="18"/>
  <c r="D143" i="18"/>
  <c r="C143" i="18"/>
  <c r="D141" i="18"/>
  <c r="I141" i="18"/>
  <c r="C141" i="18"/>
  <c r="I63" i="18"/>
  <c r="D63" i="18"/>
  <c r="C63" i="18"/>
  <c r="C56" i="18"/>
  <c r="I56" i="18"/>
  <c r="D56" i="18"/>
  <c r="C68" i="18"/>
  <c r="I68" i="18"/>
  <c r="D68" i="18"/>
  <c r="C66" i="18"/>
  <c r="I66" i="18"/>
  <c r="D66" i="18"/>
  <c r="D76" i="18"/>
  <c r="C76" i="18"/>
  <c r="I76" i="18"/>
  <c r="C146" i="18"/>
  <c r="I146" i="18"/>
  <c r="D146" i="18"/>
  <c r="C185" i="18"/>
  <c r="I185" i="18"/>
  <c r="D185" i="18"/>
  <c r="I125" i="18"/>
  <c r="D125" i="18"/>
  <c r="C125" i="18"/>
  <c r="C119" i="18"/>
  <c r="D119" i="18"/>
  <c r="I119" i="18"/>
  <c r="I88" i="18"/>
  <c r="D88" i="18"/>
  <c r="C88" i="18"/>
  <c r="C191" i="18"/>
  <c r="D191" i="18"/>
  <c r="I191" i="18"/>
  <c r="C195" i="18"/>
  <c r="I195" i="18"/>
  <c r="D195" i="18"/>
  <c r="C87" i="18"/>
  <c r="D87" i="18"/>
  <c r="I87" i="18"/>
  <c r="C133" i="18"/>
  <c r="D133" i="18"/>
  <c r="I133" i="18"/>
  <c r="D168" i="18"/>
  <c r="C168" i="18"/>
  <c r="I168" i="18"/>
  <c r="D196" i="18"/>
  <c r="C196" i="18"/>
  <c r="I196" i="18"/>
  <c r="I74" i="18"/>
  <c r="D74" i="18"/>
  <c r="C74" i="18"/>
  <c r="I73" i="18"/>
  <c r="D73" i="18"/>
  <c r="C73" i="18"/>
  <c r="I100" i="18"/>
  <c r="C100" i="18"/>
  <c r="D100" i="18"/>
  <c r="C172" i="18"/>
  <c r="I172" i="18"/>
  <c r="D172" i="18"/>
  <c r="I153" i="18"/>
  <c r="C153" i="18"/>
  <c r="D153" i="18"/>
  <c r="C90" i="18"/>
  <c r="D90" i="18"/>
  <c r="I90" i="18"/>
  <c r="D83" i="18"/>
  <c r="C83" i="18"/>
  <c r="I83" i="18"/>
  <c r="I199" i="18"/>
  <c r="C199" i="18"/>
  <c r="D199" i="18"/>
  <c r="I54" i="18"/>
  <c r="C54" i="18"/>
  <c r="D54" i="18"/>
  <c r="D82" i="18"/>
  <c r="C82" i="18"/>
  <c r="I82" i="18"/>
  <c r="C86" i="18"/>
  <c r="I86" i="18"/>
  <c r="D86" i="18"/>
  <c r="D92" i="18"/>
  <c r="I92" i="18"/>
  <c r="C92" i="18"/>
  <c r="I187" i="18"/>
  <c r="C187" i="18"/>
  <c r="D187" i="18"/>
  <c r="D171" i="18"/>
  <c r="C171" i="18"/>
  <c r="I171" i="18"/>
  <c r="C96" i="18"/>
  <c r="I96" i="18"/>
  <c r="D96" i="18"/>
  <c r="K35" i="17"/>
  <c r="K34" i="17"/>
  <c r="K14" i="17"/>
  <c r="K17" i="17"/>
  <c r="K36" i="17"/>
  <c r="K20" i="17"/>
  <c r="F167" i="18"/>
  <c r="F117" i="18"/>
  <c r="F98" i="18"/>
  <c r="F63" i="18"/>
  <c r="F61" i="18"/>
  <c r="F56" i="18"/>
  <c r="F195" i="18"/>
  <c r="F87" i="18"/>
  <c r="F154" i="18"/>
  <c r="F122" i="18"/>
  <c r="F141" i="18"/>
  <c r="F145" i="18"/>
  <c r="F191" i="18"/>
  <c r="F88" i="18"/>
  <c r="C151" i="18"/>
  <c r="I151" i="18"/>
  <c r="D151" i="18"/>
  <c r="C94" i="18"/>
  <c r="D94" i="18"/>
  <c r="I94" i="18"/>
  <c r="C175" i="18"/>
  <c r="D175" i="18"/>
  <c r="I175" i="18"/>
  <c r="C148" i="18"/>
  <c r="D148" i="18"/>
  <c r="I148" i="18"/>
  <c r="C121" i="18"/>
  <c r="D121" i="18"/>
  <c r="I121" i="18"/>
  <c r="I58" i="18"/>
  <c r="C58" i="18"/>
  <c r="D58" i="18"/>
  <c r="C65" i="18"/>
  <c r="I65" i="18"/>
  <c r="D65" i="18"/>
  <c r="C184" i="18"/>
  <c r="I184" i="18"/>
  <c r="D184" i="18"/>
  <c r="I84" i="18"/>
  <c r="D84" i="18"/>
  <c r="C84" i="18"/>
  <c r="I64" i="18"/>
  <c r="C64" i="18"/>
  <c r="D64" i="18"/>
  <c r="I81" i="18"/>
  <c r="D81" i="18"/>
  <c r="C81" i="18"/>
  <c r="C178" i="18"/>
  <c r="I178" i="18"/>
  <c r="D178" i="18"/>
  <c r="D130" i="18"/>
  <c r="I130" i="18"/>
  <c r="C130" i="18"/>
  <c r="D159" i="18"/>
  <c r="C159" i="18"/>
  <c r="I159" i="18"/>
  <c r="I124" i="18"/>
  <c r="C124" i="18"/>
  <c r="D124" i="18"/>
  <c r="C194" i="18"/>
  <c r="I194" i="18"/>
  <c r="D194" i="18"/>
  <c r="C189" i="18"/>
  <c r="D189" i="18"/>
  <c r="I189" i="18"/>
  <c r="I77" i="18"/>
  <c r="D77" i="18"/>
  <c r="C77" i="18"/>
  <c r="D129" i="18"/>
  <c r="C129" i="18"/>
  <c r="I129" i="18"/>
  <c r="C179" i="18"/>
  <c r="I179" i="18"/>
  <c r="D179" i="18"/>
  <c r="I79" i="18"/>
  <c r="C79" i="18"/>
  <c r="D79" i="18"/>
  <c r="D102" i="18"/>
  <c r="C102" i="18"/>
  <c r="I102" i="18"/>
  <c r="D62" i="18"/>
  <c r="C62" i="18"/>
  <c r="I62" i="18"/>
  <c r="C174" i="18"/>
  <c r="D174" i="18"/>
  <c r="I174" i="18"/>
  <c r="D109" i="18"/>
  <c r="C109" i="18"/>
  <c r="I109" i="18"/>
  <c r="D197" i="18"/>
  <c r="C197" i="18"/>
  <c r="I197" i="18"/>
  <c r="D157" i="18"/>
  <c r="I157" i="18"/>
  <c r="C157" i="18"/>
  <c r="I158" i="18"/>
  <c r="C158" i="18"/>
  <c r="D158" i="18"/>
  <c r="I99" i="18"/>
  <c r="D99" i="18"/>
  <c r="C99" i="18"/>
  <c r="C78" i="18"/>
  <c r="I78" i="18"/>
  <c r="D78" i="18"/>
  <c r="I142" i="18"/>
  <c r="D142" i="18"/>
  <c r="C142" i="18"/>
  <c r="D91" i="18"/>
  <c r="C91" i="18"/>
  <c r="I91" i="18"/>
  <c r="I110" i="18"/>
  <c r="D110" i="18"/>
  <c r="C110" i="18"/>
  <c r="D113" i="18"/>
  <c r="C113" i="18"/>
  <c r="I113" i="18"/>
  <c r="I111" i="18"/>
  <c r="D111" i="18"/>
  <c r="C111" i="18"/>
  <c r="C173" i="18"/>
  <c r="D173" i="18"/>
  <c r="I173" i="18"/>
  <c r="D200" i="18"/>
  <c r="C200" i="18"/>
  <c r="I200" i="18"/>
  <c r="K31" i="17"/>
  <c r="K15" i="17"/>
  <c r="K30" i="17"/>
  <c r="K29" i="17"/>
  <c r="K32" i="17"/>
  <c r="K16" i="17"/>
  <c r="F168" i="18"/>
  <c r="F185" i="18"/>
  <c r="F85" i="18"/>
  <c r="F196" i="18"/>
  <c r="F67" i="18"/>
  <c r="I114" i="18"/>
  <c r="D114" i="18"/>
  <c r="C114" i="18"/>
  <c r="I55" i="18"/>
  <c r="C55" i="18"/>
  <c r="D55" i="18"/>
  <c r="C97" i="18"/>
  <c r="D97" i="18"/>
  <c r="I97" i="18"/>
  <c r="C135" i="18"/>
  <c r="D135" i="18"/>
  <c r="I135" i="18"/>
  <c r="I95" i="18"/>
  <c r="D95" i="18"/>
  <c r="C95" i="18"/>
  <c r="D112" i="18"/>
  <c r="C112" i="18"/>
  <c r="I112" i="18"/>
  <c r="C70" i="18"/>
  <c r="I70" i="18"/>
  <c r="D70" i="18"/>
  <c r="C60" i="18"/>
  <c r="I60" i="18"/>
  <c r="D60" i="18"/>
  <c r="I106" i="18"/>
  <c r="C106" i="18"/>
  <c r="D106" i="18"/>
  <c r="D162" i="18"/>
  <c r="I162" i="18"/>
  <c r="C162" i="18"/>
  <c r="C89" i="18"/>
  <c r="I89" i="18"/>
  <c r="D89" i="18"/>
  <c r="I69" i="18"/>
  <c r="D69" i="18"/>
  <c r="C69" i="18"/>
  <c r="D137" i="18"/>
  <c r="I137" i="18"/>
  <c r="C137" i="18"/>
  <c r="D147" i="18"/>
  <c r="I147" i="18"/>
  <c r="C147" i="18"/>
  <c r="I131" i="18"/>
  <c r="C131" i="18"/>
  <c r="D131" i="18"/>
  <c r="D128" i="18"/>
  <c r="I128" i="18"/>
  <c r="C128" i="18"/>
  <c r="I118" i="18"/>
  <c r="C118" i="18"/>
  <c r="D118" i="18"/>
  <c r="C104" i="18"/>
  <c r="I104" i="18"/>
  <c r="D104" i="18"/>
  <c r="C59" i="18"/>
  <c r="I59" i="18"/>
  <c r="D59" i="18"/>
  <c r="C176" i="18"/>
  <c r="D176" i="18"/>
  <c r="I176" i="18"/>
  <c r="I166" i="18"/>
  <c r="D166" i="18"/>
  <c r="C166" i="18"/>
  <c r="C136" i="18"/>
  <c r="D136" i="18"/>
  <c r="I136" i="18"/>
  <c r="D149" i="18"/>
  <c r="I149" i="18"/>
  <c r="C149" i="18"/>
  <c r="I139" i="18"/>
  <c r="C139" i="18"/>
  <c r="D139" i="18"/>
  <c r="I155" i="18"/>
  <c r="C155" i="18"/>
  <c r="D155" i="18"/>
  <c r="D120" i="18"/>
  <c r="I120" i="18"/>
  <c r="C120" i="18"/>
  <c r="D72" i="18"/>
  <c r="C72" i="18"/>
  <c r="I72" i="18"/>
  <c r="C160" i="18"/>
  <c r="I160" i="18"/>
  <c r="D160" i="18"/>
  <c r="C190" i="18"/>
  <c r="D190" i="18"/>
  <c r="I190" i="18"/>
  <c r="I52" i="18"/>
  <c r="D52" i="18"/>
  <c r="C52" i="18"/>
  <c r="I186" i="18"/>
  <c r="C186" i="18"/>
  <c r="D186" i="18"/>
  <c r="I71" i="18"/>
  <c r="D71" i="18"/>
  <c r="C71" i="18"/>
  <c r="I105" i="18"/>
  <c r="D105" i="18"/>
  <c r="C105" i="18"/>
  <c r="I134" i="18"/>
  <c r="C134" i="18"/>
  <c r="D134" i="18"/>
  <c r="D192" i="18"/>
  <c r="C192" i="18"/>
  <c r="I192" i="18"/>
  <c r="I123" i="18"/>
  <c r="D123" i="18"/>
  <c r="C123" i="18"/>
  <c r="C132" i="18"/>
  <c r="D132" i="18"/>
  <c r="I132" i="18"/>
  <c r="I180" i="18"/>
  <c r="D180" i="18"/>
  <c r="C180" i="18"/>
  <c r="K27" i="17"/>
  <c r="E8" i="17"/>
  <c r="A8" i="17" s="1"/>
  <c r="M8" i="17"/>
  <c r="N8" i="17" s="1"/>
  <c r="O8" i="17" s="1"/>
  <c r="I13" i="18"/>
  <c r="AF135" i="17"/>
  <c r="AF133" i="17"/>
  <c r="AF126" i="17"/>
  <c r="AF30" i="17"/>
  <c r="G26" i="2710"/>
  <c r="H5" i="2710"/>
  <c r="H7" i="2710"/>
  <c r="G12" i="2710"/>
  <c r="G5" i="2710"/>
  <c r="G17" i="2710"/>
  <c r="G23" i="2710"/>
  <c r="G27" i="2710"/>
  <c r="H6" i="2710"/>
  <c r="H11" i="2710"/>
  <c r="G8" i="2710"/>
  <c r="G24" i="2710"/>
  <c r="G11" i="2710"/>
  <c r="G10" i="2710"/>
  <c r="G33" i="2710"/>
  <c r="G6" i="2710"/>
  <c r="G31" i="2710"/>
  <c r="G25" i="2710"/>
  <c r="AF119" i="17"/>
  <c r="AF117" i="17"/>
  <c r="AF113" i="17"/>
  <c r="AF112" i="17"/>
  <c r="AF105" i="17"/>
  <c r="AF104" i="17"/>
  <c r="AF107" i="17"/>
  <c r="AF65" i="17"/>
  <c r="AF99" i="17"/>
  <c r="AF83" i="17"/>
  <c r="X8" i="17"/>
  <c r="X9" i="17" s="1"/>
  <c r="X10" i="17" s="1"/>
  <c r="X11" i="17" s="1"/>
  <c r="X12" i="17" s="1"/>
  <c r="X13" i="17" s="1"/>
  <c r="X14" i="17" s="1"/>
  <c r="X15" i="17" s="1"/>
  <c r="X16" i="17" s="1"/>
  <c r="X17" i="17" s="1"/>
  <c r="X18" i="17" s="1"/>
  <c r="X19" i="17" s="1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X52" i="17" s="1"/>
  <c r="X53" i="17" s="1"/>
  <c r="X54" i="17" s="1"/>
  <c r="X55" i="17" s="1"/>
  <c r="X56" i="17" s="1"/>
  <c r="X57" i="17" s="1"/>
  <c r="X58" i="17" s="1"/>
  <c r="X59" i="17" s="1"/>
  <c r="X60" i="17" s="1"/>
  <c r="X61" i="17" s="1"/>
  <c r="AG7" i="17"/>
  <c r="H13" i="2710"/>
  <c r="H20" i="2710"/>
  <c r="D15" i="2710"/>
  <c r="G15" i="2710" s="1"/>
  <c r="G16" i="2710"/>
  <c r="G7" i="2710"/>
  <c r="E15" i="2710"/>
  <c r="H15" i="2710" s="1"/>
  <c r="H16" i="2710"/>
  <c r="G13" i="2710"/>
  <c r="G20" i="2710"/>
  <c r="G28" i="2710"/>
  <c r="G14" i="2710"/>
  <c r="F20" i="2710"/>
  <c r="I20" i="2710" s="1"/>
  <c r="I13" i="2710"/>
  <c r="AA8" i="17"/>
  <c r="S9" i="17"/>
  <c r="F9" i="17" s="1"/>
  <c r="N48" i="17" l="1"/>
  <c r="O48" i="17" s="1"/>
  <c r="N45" i="17"/>
  <c r="O45" i="17" s="1"/>
  <c r="N34" i="17"/>
  <c r="O34" i="17" s="1"/>
  <c r="N51" i="17"/>
  <c r="O51" i="17" s="1"/>
  <c r="N50" i="17"/>
  <c r="O50" i="17" s="1"/>
  <c r="N42" i="17"/>
  <c r="O42" i="17" s="1"/>
  <c r="N31" i="17"/>
  <c r="O31" i="17" s="1"/>
  <c r="N49" i="17"/>
  <c r="O49" i="17" s="1"/>
  <c r="N41" i="17"/>
  <c r="O41" i="17" s="1"/>
  <c r="N32" i="17"/>
  <c r="O32" i="17" s="1"/>
  <c r="N47" i="17"/>
  <c r="O47" i="17" s="1"/>
  <c r="N40" i="17"/>
  <c r="O40" i="17" s="1"/>
  <c r="E9" i="17"/>
  <c r="M9" i="17"/>
  <c r="N9" i="17" s="1"/>
  <c r="O9" i="17" s="1"/>
  <c r="AF129" i="17"/>
  <c r="AF131" i="17"/>
  <c r="AF122" i="17"/>
  <c r="AF127" i="17"/>
  <c r="AF137" i="17"/>
  <c r="AF134" i="17"/>
  <c r="AF128" i="17"/>
  <c r="AF143" i="17"/>
  <c r="AF130" i="17"/>
  <c r="AF139" i="17"/>
  <c r="AF142" i="17"/>
  <c r="AF140" i="17"/>
  <c r="AF141" i="17"/>
  <c r="AF138" i="17"/>
  <c r="AF124" i="17"/>
  <c r="AF125" i="17"/>
  <c r="AF121" i="17"/>
  <c r="AF123" i="17"/>
  <c r="AF132" i="17"/>
  <c r="AF74" i="17"/>
  <c r="AF89" i="17"/>
  <c r="AF76" i="17"/>
  <c r="AF19" i="17"/>
  <c r="AF33" i="17"/>
  <c r="AF103" i="17"/>
  <c r="AF60" i="17"/>
  <c r="AF114" i="17"/>
  <c r="AF108" i="17"/>
  <c r="AF90" i="17"/>
  <c r="AF118" i="17"/>
  <c r="AF110" i="17"/>
  <c r="AF120" i="17"/>
  <c r="AF91" i="17"/>
  <c r="AF116" i="17"/>
  <c r="AF95" i="17"/>
  <c r="AF101" i="17"/>
  <c r="AF115" i="17"/>
  <c r="AF102" i="17"/>
  <c r="AF96" i="17"/>
  <c r="AF106" i="17"/>
  <c r="AF111" i="17"/>
  <c r="AF92" i="17"/>
  <c r="AF109" i="17"/>
  <c r="AF21" i="17"/>
  <c r="AF23" i="17"/>
  <c r="AF20" i="17"/>
  <c r="AF13" i="17"/>
  <c r="AF100" i="17"/>
  <c r="AF97" i="17"/>
  <c r="AF98" i="17"/>
  <c r="AF67" i="17"/>
  <c r="AF47" i="17"/>
  <c r="AF72" i="17"/>
  <c r="AF56" i="17"/>
  <c r="AF80" i="17"/>
  <c r="AF25" i="17"/>
  <c r="AF79" i="17"/>
  <c r="AF75" i="17"/>
  <c r="AF17" i="17"/>
  <c r="AF68" i="17"/>
  <c r="AF71" i="17"/>
  <c r="AF88" i="17"/>
  <c r="AF66" i="17"/>
  <c r="AF63" i="17"/>
  <c r="AF87" i="17"/>
  <c r="AF78" i="17"/>
  <c r="AF77" i="17"/>
  <c r="AF93" i="17"/>
  <c r="AF85" i="17"/>
  <c r="AF69" i="17"/>
  <c r="AF81" i="17"/>
  <c r="AF86" i="17"/>
  <c r="AF84" i="17"/>
  <c r="AF82" i="17"/>
  <c r="AF94" i="17"/>
  <c r="AF73" i="17"/>
  <c r="AF16" i="17"/>
  <c r="AF55" i="17"/>
  <c r="AF37" i="17"/>
  <c r="AF53" i="17"/>
  <c r="AF35" i="17"/>
  <c r="AF49" i="17"/>
  <c r="AF12" i="17"/>
  <c r="AF41" i="17"/>
  <c r="AF15" i="17"/>
  <c r="AF44" i="17"/>
  <c r="AF48" i="17"/>
  <c r="AF18" i="17"/>
  <c r="AF26" i="17"/>
  <c r="AF22" i="17"/>
  <c r="AF27" i="17"/>
  <c r="AF52" i="17"/>
  <c r="AF57" i="17"/>
  <c r="AF36" i="17"/>
  <c r="AF24" i="17"/>
  <c r="AF39" i="17"/>
  <c r="AF46" i="17"/>
  <c r="AF43" i="17"/>
  <c r="AF34" i="17"/>
  <c r="AF54" i="17"/>
  <c r="AF51" i="17"/>
  <c r="AF32" i="17"/>
  <c r="AF7" i="17"/>
  <c r="AF9" i="17"/>
  <c r="AF42" i="17"/>
  <c r="AF62" i="17"/>
  <c r="AF59" i="17"/>
  <c r="AF29" i="17"/>
  <c r="AF50" i="17"/>
  <c r="AF61" i="17"/>
  <c r="AF28" i="17"/>
  <c r="AF31" i="17"/>
  <c r="AF14" i="17"/>
  <c r="AF45" i="17"/>
  <c r="AF58" i="17"/>
  <c r="AF64" i="17"/>
  <c r="AF8" i="17"/>
  <c r="AF70" i="17"/>
  <c r="AF40" i="17"/>
  <c r="AF38" i="17"/>
  <c r="AF11" i="17"/>
  <c r="AF10" i="17"/>
  <c r="S10" i="17"/>
  <c r="F10" i="17" s="1"/>
  <c r="AG8" i="17"/>
  <c r="X62" i="17"/>
  <c r="X63" i="17" s="1"/>
  <c r="X64" i="17" s="1"/>
  <c r="X65" i="17" s="1"/>
  <c r="X66" i="17" s="1"/>
  <c r="X67" i="17" s="1"/>
  <c r="X68" i="17" s="1"/>
  <c r="X69" i="17" s="1"/>
  <c r="X70" i="17" s="1"/>
  <c r="X71" i="17" s="1"/>
  <c r="X72" i="17" s="1"/>
  <c r="X73" i="17" s="1"/>
  <c r="X74" i="17" s="1"/>
  <c r="X75" i="17" s="1"/>
  <c r="X76" i="17" s="1"/>
  <c r="X77" i="17" s="1"/>
  <c r="X78" i="17" s="1"/>
  <c r="X79" i="17" s="1"/>
  <c r="X80" i="17" s="1"/>
  <c r="X81" i="17" s="1"/>
  <c r="X82" i="17" s="1"/>
  <c r="X83" i="17" s="1"/>
  <c r="X84" i="17" s="1"/>
  <c r="X85" i="17" s="1"/>
  <c r="X86" i="17" s="1"/>
  <c r="X87" i="17" s="1"/>
  <c r="X88" i="17" s="1"/>
  <c r="X89" i="17" s="1"/>
  <c r="X90" i="17" s="1"/>
  <c r="X91" i="17" s="1"/>
  <c r="X92" i="17" s="1"/>
  <c r="X93" i="17" s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105" i="17" s="1"/>
  <c r="X106" i="17" s="1"/>
  <c r="X107" i="17" s="1"/>
  <c r="X108" i="17" s="1"/>
  <c r="X109" i="17" s="1"/>
  <c r="X110" i="17" s="1"/>
  <c r="X111" i="17" s="1"/>
  <c r="X112" i="17" s="1"/>
  <c r="X113" i="17" s="1"/>
  <c r="X114" i="17" s="1"/>
  <c r="X115" i="17" s="1"/>
  <c r="X116" i="17" s="1"/>
  <c r="X117" i="17" s="1"/>
  <c r="X118" i="17" s="1"/>
  <c r="X119" i="17" s="1"/>
  <c r="X120" i="17" s="1"/>
  <c r="X121" i="17" s="1"/>
  <c r="X122" i="17" s="1"/>
  <c r="X123" i="17" s="1"/>
  <c r="X124" i="17" s="1"/>
  <c r="X125" i="17" s="1"/>
  <c r="X126" i="17" s="1"/>
  <c r="X127" i="17" s="1"/>
  <c r="X128" i="17" s="1"/>
  <c r="X129" i="17" s="1"/>
  <c r="X130" i="17" s="1"/>
  <c r="X131" i="17" s="1"/>
  <c r="X132" i="17" s="1"/>
  <c r="X133" i="17" s="1"/>
  <c r="X134" i="17" s="1"/>
  <c r="X135" i="17" s="1"/>
  <c r="X136" i="17" s="1"/>
  <c r="X137" i="17" s="1"/>
  <c r="X138" i="17" s="1"/>
  <c r="X139" i="17" s="1"/>
  <c r="X140" i="17" s="1"/>
  <c r="X141" i="17" s="1"/>
  <c r="X142" i="17" s="1"/>
  <c r="X143" i="17" s="1"/>
  <c r="X144" i="17" s="1"/>
  <c r="X145" i="17" s="1"/>
  <c r="X146" i="17" s="1"/>
  <c r="X147" i="17" s="1"/>
  <c r="X148" i="17" s="1"/>
  <c r="X149" i="17" s="1"/>
  <c r="X150" i="17" s="1"/>
  <c r="X151" i="17" s="1"/>
  <c r="X152" i="17" s="1"/>
  <c r="X153" i="17" s="1"/>
  <c r="X154" i="17" s="1"/>
  <c r="X155" i="17" s="1"/>
  <c r="X156" i="17" s="1"/>
  <c r="X157" i="17" s="1"/>
  <c r="X158" i="17" s="1"/>
  <c r="X159" i="17" s="1"/>
  <c r="X160" i="17" s="1"/>
  <c r="X161" i="17" s="1"/>
  <c r="X162" i="17" s="1"/>
  <c r="X163" i="17" s="1"/>
  <c r="X164" i="17" s="1"/>
  <c r="X165" i="17" s="1"/>
  <c r="X166" i="17" s="1"/>
  <c r="X167" i="17" s="1"/>
  <c r="X168" i="17" s="1"/>
  <c r="X169" i="17" s="1"/>
  <c r="X170" i="17" s="1"/>
  <c r="X171" i="17" s="1"/>
  <c r="X172" i="17" s="1"/>
  <c r="X173" i="17" s="1"/>
  <c r="X174" i="17" s="1"/>
  <c r="X175" i="17" s="1"/>
  <c r="X176" i="17" s="1"/>
  <c r="X177" i="17" s="1"/>
  <c r="X178" i="17" s="1"/>
  <c r="X179" i="17" s="1"/>
  <c r="X180" i="17" s="1"/>
  <c r="X181" i="17" s="1"/>
  <c r="X182" i="17" s="1"/>
  <c r="X183" i="17" s="1"/>
  <c r="X184" i="17" s="1"/>
  <c r="X185" i="17" s="1"/>
  <c r="X186" i="17" s="1"/>
  <c r="X187" i="17" s="1"/>
  <c r="X188" i="17" s="1"/>
  <c r="X189" i="17" s="1"/>
  <c r="X190" i="17" s="1"/>
  <c r="X191" i="17" s="1"/>
  <c r="X192" i="17" s="1"/>
  <c r="X193" i="17" s="1"/>
  <c r="X194" i="17" s="1"/>
  <c r="X195" i="17" s="1"/>
  <c r="X196" i="17" s="1"/>
  <c r="X197" i="17" s="1"/>
  <c r="X198" i="17" s="1"/>
  <c r="X199" i="17" s="1"/>
  <c r="X200" i="17" s="1"/>
  <c r="X201" i="17" s="1"/>
  <c r="X202" i="17" s="1"/>
  <c r="X203" i="17" s="1"/>
  <c r="X204" i="17" s="1"/>
  <c r="X205" i="17" s="1"/>
  <c r="X206" i="17" s="1"/>
  <c r="X207" i="17" s="1"/>
  <c r="X208" i="17" s="1"/>
  <c r="X209" i="17" s="1"/>
  <c r="X210" i="17" s="1"/>
  <c r="X211" i="17" s="1"/>
  <c r="X212" i="17" s="1"/>
  <c r="X213" i="17" s="1"/>
  <c r="X214" i="17" s="1"/>
  <c r="X215" i="17" s="1"/>
  <c r="X216" i="17" s="1"/>
  <c r="X217" i="17" s="1"/>
  <c r="X218" i="17" s="1"/>
  <c r="X219" i="17" s="1"/>
  <c r="X220" i="17" s="1"/>
  <c r="X221" i="17" s="1"/>
  <c r="X222" i="17" s="1"/>
  <c r="X223" i="17" s="1"/>
  <c r="X224" i="17" s="1"/>
  <c r="X225" i="17" s="1"/>
  <c r="X226" i="17" s="1"/>
  <c r="X227" i="17" s="1"/>
  <c r="X228" i="17" s="1"/>
  <c r="X229" i="17" s="1"/>
  <c r="X230" i="17" s="1"/>
  <c r="X231" i="17" s="1"/>
  <c r="X232" i="17" s="1"/>
  <c r="X233" i="17" s="1"/>
  <c r="X234" i="17" s="1"/>
  <c r="X235" i="17" s="1"/>
  <c r="X236" i="17" s="1"/>
  <c r="X237" i="17" s="1"/>
  <c r="X238" i="17" s="1"/>
  <c r="X239" i="17" s="1"/>
  <c r="X240" i="17" s="1"/>
  <c r="X241" i="17" s="1"/>
  <c r="X242" i="17" s="1"/>
  <c r="X243" i="17" s="1"/>
  <c r="X244" i="17" s="1"/>
  <c r="X245" i="17" s="1"/>
  <c r="X246" i="17" s="1"/>
  <c r="X247" i="17" s="1"/>
  <c r="X248" i="17" s="1"/>
  <c r="X249" i="17" s="1"/>
  <c r="X250" i="17" s="1"/>
  <c r="E10" i="17" l="1"/>
  <c r="M10" i="17"/>
  <c r="N10" i="17" s="1"/>
  <c r="O10" i="17" s="1"/>
  <c r="L251" i="17"/>
  <c r="L4" i="17" s="1"/>
  <c r="S11" i="17"/>
  <c r="F11" i="17" s="1"/>
  <c r="AA9" i="17"/>
  <c r="A9" i="17"/>
  <c r="G247" i="2718"/>
  <c r="E247" i="2718"/>
  <c r="K248" i="2718" s="1"/>
  <c r="C247" i="2718"/>
  <c r="H247" i="2718"/>
  <c r="J247" i="2718"/>
  <c r="B247" i="2718"/>
  <c r="AA247" i="2718" s="1"/>
  <c r="I247" i="2718"/>
  <c r="D247" i="2718"/>
  <c r="F247" i="2718"/>
  <c r="E11" i="17" l="1"/>
  <c r="M11" i="17"/>
  <c r="N11" i="17" s="1"/>
  <c r="O11" i="17" s="1"/>
  <c r="I14" i="18"/>
  <c r="F14" i="18"/>
  <c r="AB247" i="2718"/>
  <c r="K247" i="2718" s="1"/>
  <c r="AG9" i="17"/>
  <c r="S12" i="17"/>
  <c r="F12" i="17" s="1"/>
  <c r="AA10" i="17"/>
  <c r="A10" i="17"/>
  <c r="E12" i="17" l="1"/>
  <c r="M12" i="17"/>
  <c r="N12" i="17" s="1"/>
  <c r="O12" i="17" s="1"/>
  <c r="S13" i="17"/>
  <c r="F13" i="17" s="1"/>
  <c r="AA11" i="17"/>
  <c r="A11" i="17"/>
  <c r="AG10" i="17"/>
  <c r="E13" i="17" l="1"/>
  <c r="M13" i="17"/>
  <c r="N13" i="17" s="1"/>
  <c r="O13" i="17" s="1"/>
  <c r="S14" i="17"/>
  <c r="F14" i="17" s="1"/>
  <c r="AG11" i="17"/>
  <c r="A12" i="17"/>
  <c r="AA12" i="17"/>
  <c r="E14" i="17" l="1"/>
  <c r="M14" i="17"/>
  <c r="N14" i="17" s="1"/>
  <c r="O14" i="17" s="1"/>
  <c r="I15" i="18"/>
  <c r="F15" i="18"/>
  <c r="A13" i="17"/>
  <c r="AA13" i="17"/>
  <c r="AG12" i="17"/>
  <c r="S15" i="17"/>
  <c r="F15" i="17" s="1"/>
  <c r="E15" i="17" l="1"/>
  <c r="M15" i="17"/>
  <c r="N15" i="17" s="1"/>
  <c r="O15" i="17" s="1"/>
  <c r="S16" i="17"/>
  <c r="F16" i="17" s="1"/>
  <c r="A14" i="17"/>
  <c r="AA14" i="17"/>
  <c r="AG13" i="17"/>
  <c r="E16" i="17" l="1"/>
  <c r="M16" i="17"/>
  <c r="N16" i="17" s="1"/>
  <c r="O16" i="17" s="1"/>
  <c r="I16" i="18"/>
  <c r="F16" i="18"/>
  <c r="AG14" i="17"/>
  <c r="S17" i="17"/>
  <c r="F17" i="17" s="1"/>
  <c r="A15" i="17"/>
  <c r="AA15" i="17"/>
  <c r="E17" i="17" l="1"/>
  <c r="M17" i="17"/>
  <c r="N17" i="17" s="1"/>
  <c r="O17" i="17" s="1"/>
  <c r="I17" i="18"/>
  <c r="F17" i="18"/>
  <c r="AG15" i="17"/>
  <c r="A16" i="17"/>
  <c r="AA16" i="17"/>
  <c r="S18" i="17"/>
  <c r="F18" i="17" s="1"/>
  <c r="M18" i="17" l="1"/>
  <c r="N18" i="17" s="1"/>
  <c r="O18" i="17" s="1"/>
  <c r="E18" i="17"/>
  <c r="A17" i="17"/>
  <c r="S19" i="17"/>
  <c r="F19" i="17" s="1"/>
  <c r="AA17" i="17"/>
  <c r="AG16" i="17"/>
  <c r="E19" i="17" l="1"/>
  <c r="M19" i="17"/>
  <c r="N19" i="17" s="1"/>
  <c r="O19" i="17" s="1"/>
  <c r="AG17" i="17"/>
  <c r="S20" i="17"/>
  <c r="F20" i="17" s="1"/>
  <c r="A18" i="17"/>
  <c r="AA18" i="17"/>
  <c r="E20" i="17" l="1"/>
  <c r="M20" i="17"/>
  <c r="N20" i="17" s="1"/>
  <c r="O20" i="17" s="1"/>
  <c r="A19" i="17"/>
  <c r="AG18" i="17"/>
  <c r="S21" i="17"/>
  <c r="F21" i="17" s="1"/>
  <c r="AA19" i="17"/>
  <c r="E21" i="17" l="1"/>
  <c r="M21" i="17"/>
  <c r="N21" i="17" s="1"/>
  <c r="O21" i="17" s="1"/>
  <c r="I18" i="18"/>
  <c r="F18" i="18"/>
  <c r="S22" i="17"/>
  <c r="F22" i="17" s="1"/>
  <c r="AG19" i="17"/>
  <c r="A20" i="17"/>
  <c r="AA20" i="17"/>
  <c r="E22" i="17" l="1"/>
  <c r="M22" i="17"/>
  <c r="N22" i="17" s="1"/>
  <c r="O22" i="17" s="1"/>
  <c r="I19" i="18"/>
  <c r="F19" i="18"/>
  <c r="A21" i="17"/>
  <c r="AA21" i="17"/>
  <c r="AG20" i="17"/>
  <c r="S23" i="17"/>
  <c r="F23" i="17" s="1"/>
  <c r="E23" i="17" l="1"/>
  <c r="M23" i="17"/>
  <c r="N23" i="17" s="1"/>
  <c r="O23" i="17" s="1"/>
  <c r="A22" i="17"/>
  <c r="AA22" i="17"/>
  <c r="S24" i="17"/>
  <c r="F24" i="17" s="1"/>
  <c r="AG21" i="17"/>
  <c r="M24" i="17" l="1"/>
  <c r="N24" i="17" s="1"/>
  <c r="O24" i="17" s="1"/>
  <c r="E24" i="17"/>
  <c r="B20" i="18"/>
  <c r="S25" i="17"/>
  <c r="F25" i="17" s="1"/>
  <c r="A23" i="17"/>
  <c r="AA23" i="17"/>
  <c r="AG22" i="17"/>
  <c r="E25" i="17" l="1"/>
  <c r="M25" i="17"/>
  <c r="N25" i="17" s="1"/>
  <c r="O25" i="17" s="1"/>
  <c r="D20" i="18"/>
  <c r="I20" i="18"/>
  <c r="C20" i="18"/>
  <c r="F20" i="18"/>
  <c r="AG23" i="17"/>
  <c r="S26" i="17"/>
  <c r="F26" i="17" s="1"/>
  <c r="A24" i="17"/>
  <c r="AA24" i="17"/>
  <c r="M26" i="17" l="1"/>
  <c r="N26" i="17" s="1"/>
  <c r="O26" i="17" s="1"/>
  <c r="E26" i="17"/>
  <c r="S27" i="17"/>
  <c r="F27" i="17" s="1"/>
  <c r="A25" i="17"/>
  <c r="AA25" i="17"/>
  <c r="AG24" i="17"/>
  <c r="E27" i="17" l="1"/>
  <c r="M27" i="17"/>
  <c r="N27" i="17" s="1"/>
  <c r="O27" i="17" s="1"/>
  <c r="S28" i="17"/>
  <c r="F28" i="17" s="1"/>
  <c r="AA26" i="17"/>
  <c r="AG25" i="17"/>
  <c r="E28" i="17" l="1"/>
  <c r="M28" i="17"/>
  <c r="N28" i="17" s="1"/>
  <c r="O28" i="17" s="1"/>
  <c r="B21" i="18"/>
  <c r="A26" i="17"/>
  <c r="AG26" i="17"/>
  <c r="S29" i="17"/>
  <c r="F29" i="17" s="1"/>
  <c r="A27" i="17"/>
  <c r="AA27" i="17"/>
  <c r="M29" i="17" l="1"/>
  <c r="N29" i="17" s="1"/>
  <c r="O29" i="17" s="1"/>
  <c r="E29" i="17"/>
  <c r="D21" i="18"/>
  <c r="C21" i="18"/>
  <c r="I21" i="18"/>
  <c r="F21" i="18"/>
  <c r="B22" i="18"/>
  <c r="S30" i="17"/>
  <c r="F30" i="17" s="1"/>
  <c r="AA28" i="17"/>
  <c r="A28" i="17"/>
  <c r="AG27" i="17"/>
  <c r="E30" i="17" l="1"/>
  <c r="M30" i="17"/>
  <c r="N30" i="17" s="1"/>
  <c r="O30" i="17" s="1"/>
  <c r="I22" i="18"/>
  <c r="C22" i="18"/>
  <c r="D22" i="18"/>
  <c r="F22" i="18"/>
  <c r="S31" i="17"/>
  <c r="F31" i="17" s="1"/>
  <c r="E31" i="17" s="1"/>
  <c r="AA29" i="17"/>
  <c r="A29" i="17" l="1"/>
  <c r="S32" i="17"/>
  <c r="F32" i="17" s="1"/>
  <c r="E32" i="17" s="1"/>
  <c r="AA30" i="17"/>
  <c r="A30" i="17"/>
  <c r="B23" i="18" l="1"/>
  <c r="A31" i="17"/>
  <c r="AA31" i="17"/>
  <c r="S33" i="17"/>
  <c r="F33" i="17" s="1"/>
  <c r="E33" i="17" s="1"/>
  <c r="D23" i="18" l="1"/>
  <c r="I23" i="18"/>
  <c r="C23" i="18"/>
  <c r="F23" i="18"/>
  <c r="B24" i="18"/>
  <c r="S34" i="17"/>
  <c r="F34" i="17" s="1"/>
  <c r="E34" i="17" s="1"/>
  <c r="A32" i="17"/>
  <c r="AA32" i="17"/>
  <c r="I24" i="18" l="1"/>
  <c r="C24" i="18"/>
  <c r="D24" i="18"/>
  <c r="F24" i="18"/>
  <c r="A33" i="17"/>
  <c r="S35" i="17"/>
  <c r="F35" i="17" s="1"/>
  <c r="AA33" i="17"/>
  <c r="E35" i="17" l="1"/>
  <c r="M35" i="17"/>
  <c r="N35" i="17" s="1"/>
  <c r="O35" i="17" s="1"/>
  <c r="S36" i="17"/>
  <c r="F36" i="17" s="1"/>
  <c r="A34" i="17"/>
  <c r="AA34" i="17"/>
  <c r="E36" i="17" l="1"/>
  <c r="M36" i="17"/>
  <c r="N36" i="17" s="1"/>
  <c r="O36" i="17" s="1"/>
  <c r="S37" i="17"/>
  <c r="F37" i="17" s="1"/>
  <c r="A35" i="17"/>
  <c r="AA35" i="17"/>
  <c r="E37" i="17" l="1"/>
  <c r="M37" i="17"/>
  <c r="N37" i="17" s="1"/>
  <c r="O37" i="17" s="1"/>
  <c r="S38" i="17"/>
  <c r="F38" i="17" s="1"/>
  <c r="A36" i="17"/>
  <c r="AA36" i="17"/>
  <c r="AG35" i="17"/>
  <c r="E38" i="17" l="1"/>
  <c r="M38" i="17"/>
  <c r="N38" i="17" s="1"/>
  <c r="O38" i="17" s="1"/>
  <c r="AG36" i="17"/>
  <c r="S39" i="17"/>
  <c r="F39" i="17" s="1"/>
  <c r="A37" i="17"/>
  <c r="AA37" i="17"/>
  <c r="E39" i="17" l="1"/>
  <c r="M39" i="17"/>
  <c r="N39" i="17" s="1"/>
  <c r="O39" i="17" s="1"/>
  <c r="A38" i="17"/>
  <c r="AA38" i="17"/>
  <c r="AG37" i="17"/>
  <c r="S40" i="17"/>
  <c r="F40" i="17" s="1"/>
  <c r="E40" i="17" s="1"/>
  <c r="B25" i="18" l="1"/>
  <c r="A39" i="17"/>
  <c r="AA39" i="17"/>
  <c r="S41" i="17"/>
  <c r="F41" i="17" s="1"/>
  <c r="E41" i="17" s="1"/>
  <c r="AG38" i="17"/>
  <c r="C25" i="18" l="1"/>
  <c r="I25" i="18"/>
  <c r="D25" i="18"/>
  <c r="F25" i="18"/>
  <c r="S42" i="17"/>
  <c r="F42" i="17" s="1"/>
  <c r="E42" i="17" s="1"/>
  <c r="A40" i="17"/>
  <c r="AA40" i="17"/>
  <c r="AG39" i="17"/>
  <c r="B26" i="18" l="1"/>
  <c r="AA41" i="17"/>
  <c r="AG40" i="17"/>
  <c r="S43" i="17"/>
  <c r="F43" i="17" s="1"/>
  <c r="E43" i="17" s="1"/>
  <c r="I26" i="18" l="1"/>
  <c r="C26" i="18"/>
  <c r="D26" i="18"/>
  <c r="F26" i="18"/>
  <c r="A41" i="17"/>
  <c r="S44" i="17"/>
  <c r="F44" i="17" s="1"/>
  <c r="E44" i="17" s="1"/>
  <c r="AG41" i="17"/>
  <c r="A42" i="17"/>
  <c r="AA42" i="17"/>
  <c r="S45" i="17" l="1"/>
  <c r="F45" i="17" s="1"/>
  <c r="E45" i="17" s="1"/>
  <c r="AG42" i="17"/>
  <c r="A43" i="17"/>
  <c r="AA43" i="17"/>
  <c r="S46" i="17" l="1"/>
  <c r="F46" i="17" s="1"/>
  <c r="E46" i="17" s="1"/>
  <c r="AG43" i="17"/>
  <c r="A44" i="17"/>
  <c r="AA44" i="17"/>
  <c r="B27" i="18" l="1"/>
  <c r="AG44" i="17"/>
  <c r="S47" i="17"/>
  <c r="F47" i="17" s="1"/>
  <c r="E47" i="17" s="1"/>
  <c r="A45" i="17"/>
  <c r="AA45" i="17"/>
  <c r="I27" i="18" l="1"/>
  <c r="D27" i="18"/>
  <c r="C27" i="18"/>
  <c r="F27" i="18"/>
  <c r="AG45" i="17"/>
  <c r="S48" i="17"/>
  <c r="F48" i="17" s="1"/>
  <c r="E48" i="17" s="1"/>
  <c r="A46" i="17"/>
  <c r="AA46" i="17"/>
  <c r="B28" i="18" l="1"/>
  <c r="AG46" i="17"/>
  <c r="AA47" i="17"/>
  <c r="S49" i="17"/>
  <c r="F49" i="17" s="1"/>
  <c r="E49" i="17" s="1"/>
  <c r="C28" i="18" l="1"/>
  <c r="D28" i="18"/>
  <c r="I28" i="18"/>
  <c r="F28" i="18"/>
  <c r="A47" i="17"/>
  <c r="S50" i="17"/>
  <c r="F50" i="17" s="1"/>
  <c r="E50" i="17" s="1"/>
  <c r="AG47" i="17"/>
  <c r="A48" i="17"/>
  <c r="AA48" i="17"/>
  <c r="S51" i="17" l="1"/>
  <c r="F51" i="17" s="1"/>
  <c r="E51" i="17" s="1"/>
  <c r="AG48" i="17"/>
  <c r="A49" i="17"/>
  <c r="AA49" i="17"/>
  <c r="AG49" i="17" l="1"/>
  <c r="S52" i="17"/>
  <c r="F52" i="17" s="1"/>
  <c r="E52" i="17" s="1"/>
  <c r="A50" i="17"/>
  <c r="AA50" i="17"/>
  <c r="A51" i="17" l="1"/>
  <c r="AA51" i="17"/>
  <c r="AG50" i="17"/>
  <c r="S53" i="17"/>
  <c r="F53" i="17" s="1"/>
  <c r="E53" i="17" l="1"/>
  <c r="M53" i="17"/>
  <c r="N53" i="17" s="1"/>
  <c r="O53" i="17" s="1"/>
  <c r="S54" i="17"/>
  <c r="F54" i="17" s="1"/>
  <c r="AG51" i="17"/>
  <c r="A52" i="17"/>
  <c r="AA52" i="17"/>
  <c r="M54" i="17" l="1"/>
  <c r="N54" i="17" s="1"/>
  <c r="O54" i="17" s="1"/>
  <c r="E54" i="17"/>
  <c r="B29" i="18"/>
  <c r="AG52" i="17"/>
  <c r="S55" i="17"/>
  <c r="F55" i="17" s="1"/>
  <c r="A53" i="17"/>
  <c r="AA53" i="17"/>
  <c r="M55" i="17" l="1"/>
  <c r="N55" i="17" s="1"/>
  <c r="O55" i="17" s="1"/>
  <c r="E55" i="17"/>
  <c r="B30" i="18"/>
  <c r="I29" i="18"/>
  <c r="D29" i="18"/>
  <c r="C29" i="18"/>
  <c r="F29" i="18"/>
  <c r="AA54" i="17"/>
  <c r="A54" i="17"/>
  <c r="AG53" i="17"/>
  <c r="S56" i="17"/>
  <c r="F56" i="17" s="1"/>
  <c r="M56" i="17" l="1"/>
  <c r="N56" i="17" s="1"/>
  <c r="O56" i="17" s="1"/>
  <c r="E56" i="17"/>
  <c r="C30" i="18"/>
  <c r="D30" i="18"/>
  <c r="I30" i="18"/>
  <c r="F30" i="18"/>
  <c r="S57" i="17"/>
  <c r="F57" i="17" s="1"/>
  <c r="A55" i="17"/>
  <c r="AA55" i="17"/>
  <c r="AG54" i="17"/>
  <c r="E57" i="17" l="1"/>
  <c r="M57" i="17"/>
  <c r="N57" i="17" s="1"/>
  <c r="O57" i="17" s="1"/>
  <c r="B31" i="18"/>
  <c r="AG55" i="17"/>
  <c r="S58" i="17"/>
  <c r="F58" i="17" s="1"/>
  <c r="A56" i="17"/>
  <c r="AA56" i="17"/>
  <c r="M58" i="17" l="1"/>
  <c r="N58" i="17" s="1"/>
  <c r="O58" i="17" s="1"/>
  <c r="E58" i="17"/>
  <c r="I31" i="18"/>
  <c r="C31" i="18"/>
  <c r="D31" i="18"/>
  <c r="F31" i="18"/>
  <c r="S59" i="17"/>
  <c r="F59" i="17" s="1"/>
  <c r="AG56" i="17"/>
  <c r="A57" i="17"/>
  <c r="AA57" i="17"/>
  <c r="M59" i="17" l="1"/>
  <c r="N59" i="17" s="1"/>
  <c r="O59" i="17" s="1"/>
  <c r="E59" i="17"/>
  <c r="AG57" i="17"/>
  <c r="S60" i="17"/>
  <c r="F60" i="17" s="1"/>
  <c r="AA58" i="17"/>
  <c r="A58" i="17"/>
  <c r="M60" i="17" l="1"/>
  <c r="N60" i="17" s="1"/>
  <c r="O60" i="17" s="1"/>
  <c r="E60" i="17"/>
  <c r="AG58" i="17"/>
  <c r="S61" i="17"/>
  <c r="F61" i="17" s="1"/>
  <c r="AA59" i="17"/>
  <c r="A59" i="17"/>
  <c r="E61" i="17" l="1"/>
  <c r="M61" i="17"/>
  <c r="N61" i="17" s="1"/>
  <c r="O61" i="17" s="1"/>
  <c r="B32" i="18"/>
  <c r="S62" i="17"/>
  <c r="F62" i="17" s="1"/>
  <c r="AA60" i="17"/>
  <c r="A60" i="17"/>
  <c r="AG59" i="17"/>
  <c r="M62" i="17" l="1"/>
  <c r="N62" i="17" s="1"/>
  <c r="O62" i="17" s="1"/>
  <c r="E62" i="17"/>
  <c r="D32" i="18"/>
  <c r="I32" i="18"/>
  <c r="C32" i="18"/>
  <c r="F32" i="18"/>
  <c r="S63" i="17"/>
  <c r="F63" i="17" s="1"/>
  <c r="AA61" i="17"/>
  <c r="AG60" i="17"/>
  <c r="M63" i="17" l="1"/>
  <c r="N63" i="17" s="1"/>
  <c r="O63" i="17" s="1"/>
  <c r="E63" i="17"/>
  <c r="A61" i="17"/>
  <c r="S64" i="17"/>
  <c r="F64" i="17" s="1"/>
  <c r="A62" i="17"/>
  <c r="AA62" i="17"/>
  <c r="AG61" i="17"/>
  <c r="E64" i="17" l="1"/>
  <c r="M64" i="17"/>
  <c r="N64" i="17" s="1"/>
  <c r="O64" i="17" s="1"/>
  <c r="S65" i="17"/>
  <c r="F65" i="17" s="1"/>
  <c r="AA63" i="17"/>
  <c r="AG62" i="17"/>
  <c r="M65" i="17" l="1"/>
  <c r="N65" i="17" s="1"/>
  <c r="O65" i="17" s="1"/>
  <c r="E65" i="17"/>
  <c r="B33" i="18"/>
  <c r="A63" i="17"/>
  <c r="A64" i="17"/>
  <c r="S66" i="17"/>
  <c r="F66" i="17" s="1"/>
  <c r="AA64" i="17"/>
  <c r="AG63" i="17"/>
  <c r="E66" i="17" l="1"/>
  <c r="M66" i="17"/>
  <c r="N66" i="17" s="1"/>
  <c r="O66" i="17" s="1"/>
  <c r="I33" i="18"/>
  <c r="D33" i="18"/>
  <c r="C33" i="18"/>
  <c r="F33" i="18"/>
  <c r="A65" i="17"/>
  <c r="AA65" i="17"/>
  <c r="S67" i="17"/>
  <c r="F67" i="17" s="1"/>
  <c r="AG64" i="17"/>
  <c r="E67" i="17" l="1"/>
  <c r="M67" i="17"/>
  <c r="N67" i="17" s="1"/>
  <c r="O67" i="17" s="1"/>
  <c r="B34" i="18"/>
  <c r="S68" i="17"/>
  <c r="F68" i="17" s="1"/>
  <c r="B44" i="18" s="1"/>
  <c r="AA66" i="17"/>
  <c r="AG65" i="17"/>
  <c r="I44" i="18" l="1"/>
  <c r="C44" i="18"/>
  <c r="D44" i="18"/>
  <c r="F44" i="18"/>
  <c r="E68" i="17"/>
  <c r="M68" i="17"/>
  <c r="N68" i="17" s="1"/>
  <c r="O68" i="17" s="1"/>
  <c r="C34" i="18"/>
  <c r="I34" i="18"/>
  <c r="D34" i="18"/>
  <c r="F34" i="18"/>
  <c r="A66" i="17"/>
  <c r="S69" i="17"/>
  <c r="F69" i="17" s="1"/>
  <c r="A67" i="17"/>
  <c r="AA67" i="17"/>
  <c r="AG66" i="17"/>
  <c r="E69" i="17" l="1"/>
  <c r="M69" i="17"/>
  <c r="N69" i="17" s="1"/>
  <c r="O69" i="17" s="1"/>
  <c r="S70" i="17"/>
  <c r="F70" i="17" s="1"/>
  <c r="A68" i="17"/>
  <c r="AA68" i="17"/>
  <c r="AG67" i="17"/>
  <c r="E70" i="17" l="1"/>
  <c r="M70" i="17"/>
  <c r="N70" i="17" s="1"/>
  <c r="O70" i="17" s="1"/>
  <c r="S71" i="17"/>
  <c r="F71" i="17" s="1"/>
  <c r="B45" i="18" s="1"/>
  <c r="A69" i="17"/>
  <c r="AA69" i="17"/>
  <c r="AG68" i="17"/>
  <c r="C45" i="18" l="1"/>
  <c r="I45" i="18"/>
  <c r="D45" i="18"/>
  <c r="F45" i="18"/>
  <c r="E71" i="17"/>
  <c r="M71" i="17"/>
  <c r="N71" i="17" s="1"/>
  <c r="O71" i="17" s="1"/>
  <c r="A70" i="17"/>
  <c r="AA70" i="17"/>
  <c r="S72" i="17"/>
  <c r="F72" i="17" s="1"/>
  <c r="AG69" i="17"/>
  <c r="B46" i="18" l="1"/>
  <c r="D46" i="18" s="1"/>
  <c r="E72" i="17"/>
  <c r="M72" i="17"/>
  <c r="N72" i="17" s="1"/>
  <c r="O72" i="17" s="1"/>
  <c r="S73" i="17"/>
  <c r="F73" i="17" s="1"/>
  <c r="B47" i="18" s="1"/>
  <c r="A71" i="17"/>
  <c r="AA71" i="17"/>
  <c r="AG70" i="17"/>
  <c r="I47" i="18" l="1"/>
  <c r="C47" i="18"/>
  <c r="D47" i="18"/>
  <c r="F47" i="18"/>
  <c r="E73" i="17"/>
  <c r="M73" i="17"/>
  <c r="N73" i="17" s="1"/>
  <c r="O73" i="17" s="1"/>
  <c r="F46" i="18"/>
  <c r="I46" i="18"/>
  <c r="C46" i="18"/>
  <c r="S74" i="17"/>
  <c r="F74" i="17" s="1"/>
  <c r="B48" i="18" s="1"/>
  <c r="A72" i="17"/>
  <c r="AA72" i="17"/>
  <c r="AG71" i="17"/>
  <c r="I48" i="18" l="1"/>
  <c r="D48" i="18"/>
  <c r="C48" i="18"/>
  <c r="F48" i="18"/>
  <c r="E74" i="17"/>
  <c r="M74" i="17"/>
  <c r="N74" i="17" s="1"/>
  <c r="O74" i="17" s="1"/>
  <c r="S75" i="17"/>
  <c r="F75" i="17" s="1"/>
  <c r="A73" i="17"/>
  <c r="AA73" i="17"/>
  <c r="AG72" i="17"/>
  <c r="E75" i="17" l="1"/>
  <c r="M75" i="17"/>
  <c r="N75" i="17" s="1"/>
  <c r="O75" i="17" s="1"/>
  <c r="S76" i="17"/>
  <c r="F76" i="17" s="1"/>
  <c r="A74" i="17"/>
  <c r="AA74" i="17"/>
  <c r="AG73" i="17"/>
  <c r="E76" i="17" l="1"/>
  <c r="M76" i="17"/>
  <c r="N76" i="17" s="1"/>
  <c r="O76" i="17" s="1"/>
  <c r="B35" i="18"/>
  <c r="S77" i="17"/>
  <c r="F77" i="17" s="1"/>
  <c r="A75" i="17"/>
  <c r="AA75" i="17"/>
  <c r="AG74" i="17"/>
  <c r="B49" i="18" l="1"/>
  <c r="E77" i="17"/>
  <c r="M77" i="17"/>
  <c r="N77" i="17" s="1"/>
  <c r="O77" i="17" s="1"/>
  <c r="I35" i="18"/>
  <c r="D35" i="18"/>
  <c r="C35" i="18"/>
  <c r="F35" i="18"/>
  <c r="S78" i="17"/>
  <c r="F78" i="17" s="1"/>
  <c r="A76" i="17"/>
  <c r="AA76" i="17"/>
  <c r="AG75" i="17"/>
  <c r="E78" i="17" l="1"/>
  <c r="M78" i="17"/>
  <c r="N78" i="17" s="1"/>
  <c r="O78" i="17" s="1"/>
  <c r="D49" i="18"/>
  <c r="I49" i="18"/>
  <c r="C49" i="18"/>
  <c r="F49" i="18"/>
  <c r="S79" i="17"/>
  <c r="F79" i="17" s="1"/>
  <c r="A77" i="17"/>
  <c r="AA77" i="17"/>
  <c r="AG76" i="17"/>
  <c r="E79" i="17" l="1"/>
  <c r="M79" i="17"/>
  <c r="N79" i="17" s="1"/>
  <c r="O79" i="17" s="1"/>
  <c r="B36" i="18"/>
  <c r="S80" i="17"/>
  <c r="F80" i="17" s="1"/>
  <c r="B50" i="18" s="1"/>
  <c r="AA78" i="17"/>
  <c r="AG77" i="17"/>
  <c r="D50" i="18" l="1"/>
  <c r="I50" i="18"/>
  <c r="C50" i="18"/>
  <c r="F50" i="18"/>
  <c r="M80" i="17"/>
  <c r="N80" i="17" s="1"/>
  <c r="O80" i="17" s="1"/>
  <c r="E80" i="17"/>
  <c r="P5" i="17"/>
  <c r="C36" i="18"/>
  <c r="D36" i="18"/>
  <c r="I36" i="18"/>
  <c r="F36" i="18"/>
  <c r="A78" i="17"/>
  <c r="A79" i="17"/>
  <c r="AA79" i="17"/>
  <c r="S81" i="17"/>
  <c r="AG78" i="17"/>
  <c r="S82" i="17" l="1"/>
  <c r="A80" i="17"/>
  <c r="AA80" i="17"/>
  <c r="AG79" i="17"/>
  <c r="B37" i="18" l="1"/>
  <c r="S83" i="17"/>
  <c r="AA81" i="17"/>
  <c r="AG80" i="17"/>
  <c r="B38" i="18" l="1"/>
  <c r="I37" i="18"/>
  <c r="C37" i="18"/>
  <c r="D37" i="18"/>
  <c r="F37" i="18"/>
  <c r="A81" i="17"/>
  <c r="A82" i="17"/>
  <c r="AA82" i="17"/>
  <c r="S84" i="17"/>
  <c r="AG81" i="17"/>
  <c r="B39" i="18" l="1"/>
  <c r="I38" i="18"/>
  <c r="D38" i="18"/>
  <c r="C38" i="18"/>
  <c r="F38" i="18"/>
  <c r="A83" i="17"/>
  <c r="S85" i="17"/>
  <c r="AA83" i="17"/>
  <c r="AG82" i="17"/>
  <c r="B40" i="18" l="1"/>
  <c r="C39" i="18"/>
  <c r="D39" i="18"/>
  <c r="I39" i="18"/>
  <c r="F39" i="18"/>
  <c r="AG83" i="17"/>
  <c r="A84" i="17"/>
  <c r="AA84" i="17"/>
  <c r="S86" i="17"/>
  <c r="C40" i="18" l="1"/>
  <c r="I40" i="18"/>
  <c r="D40" i="18"/>
  <c r="F40" i="18"/>
  <c r="S87" i="17"/>
  <c r="AG84" i="17"/>
  <c r="A85" i="17"/>
  <c r="AA85" i="17"/>
  <c r="S88" i="17" l="1"/>
  <c r="A86" i="17"/>
  <c r="AA86" i="17"/>
  <c r="AG85" i="17"/>
  <c r="B41" i="18" l="1"/>
  <c r="S89" i="17"/>
  <c r="A87" i="17"/>
  <c r="AA87" i="17"/>
  <c r="AG86" i="17"/>
  <c r="I41" i="18" l="1"/>
  <c r="D41" i="18"/>
  <c r="C41" i="18"/>
  <c r="F41" i="18"/>
  <c r="B42" i="18"/>
  <c r="S90" i="17"/>
  <c r="A88" i="17"/>
  <c r="AA88" i="17"/>
  <c r="AG87" i="17"/>
  <c r="C42" i="18" l="1"/>
  <c r="D42" i="18"/>
  <c r="I42" i="18"/>
  <c r="F42" i="18"/>
  <c r="S91" i="17"/>
  <c r="A89" i="17"/>
  <c r="AA89" i="17"/>
  <c r="AG88" i="17"/>
  <c r="AA91" i="17" l="1"/>
  <c r="S92" i="17"/>
  <c r="A90" i="17"/>
  <c r="AA90" i="17"/>
  <c r="AG89" i="17"/>
  <c r="AA92" i="17" l="1"/>
  <c r="AG91" i="17"/>
  <c r="A91" i="17"/>
  <c r="S93" i="17"/>
  <c r="AG90" i="17"/>
  <c r="B43" i="18" l="1"/>
  <c r="AG92" i="17"/>
  <c r="S94" i="17"/>
  <c r="A92" i="17"/>
  <c r="D43" i="18" l="1"/>
  <c r="I43" i="18"/>
  <c r="C43" i="18"/>
  <c r="F43" i="18"/>
  <c r="S95" i="17"/>
  <c r="AA93" i="17"/>
  <c r="A93" i="17"/>
  <c r="S96" i="17" l="1"/>
  <c r="A94" i="17"/>
  <c r="AA94" i="17"/>
  <c r="AG93" i="17"/>
  <c r="AG95" i="17" l="1"/>
  <c r="S97" i="17"/>
  <c r="A95" i="17"/>
  <c r="AA95" i="17"/>
  <c r="AG94" i="17"/>
  <c r="S98" i="17" l="1"/>
  <c r="A96" i="17"/>
  <c r="AA96" i="17"/>
  <c r="S99" i="17" l="1"/>
  <c r="A97" i="17"/>
  <c r="AA97" i="17"/>
  <c r="AG96" i="17"/>
  <c r="S100" i="17" l="1"/>
  <c r="A98" i="17"/>
  <c r="AA98" i="17"/>
  <c r="AG97" i="17"/>
  <c r="A99" i="17" l="1"/>
  <c r="AA99" i="17"/>
  <c r="S101" i="17"/>
  <c r="AG98" i="17"/>
  <c r="S102" i="17" l="1"/>
  <c r="A100" i="17"/>
  <c r="AA100" i="17"/>
  <c r="AG99" i="17"/>
  <c r="S103" i="17" l="1"/>
  <c r="A101" i="17"/>
  <c r="AA101" i="17"/>
  <c r="AG100" i="17"/>
  <c r="S104" i="17" l="1"/>
  <c r="A102" i="17"/>
  <c r="AA102" i="17"/>
  <c r="AG101" i="17"/>
  <c r="A103" i="17" l="1"/>
  <c r="AA103" i="17"/>
  <c r="S105" i="17"/>
  <c r="AG102" i="17"/>
  <c r="S106" i="17" l="1"/>
  <c r="AG103" i="17"/>
  <c r="A104" i="17"/>
  <c r="AA104" i="17"/>
  <c r="A105" i="17" l="1"/>
  <c r="AA105" i="17"/>
  <c r="S107" i="17"/>
  <c r="AG104" i="17"/>
  <c r="S108" i="17" l="1"/>
  <c r="A106" i="17"/>
  <c r="AA106" i="17"/>
  <c r="AG105" i="17"/>
  <c r="S109" i="17" l="1"/>
  <c r="AA107" i="17"/>
  <c r="AG106" i="17"/>
  <c r="A107" i="17" l="1"/>
  <c r="S110" i="17"/>
  <c r="A108" i="17"/>
  <c r="AA108" i="17"/>
  <c r="AG107" i="17"/>
  <c r="S111" i="17" l="1"/>
  <c r="A109" i="17"/>
  <c r="AA109" i="17"/>
  <c r="AG108" i="17"/>
  <c r="S112" i="17" l="1"/>
  <c r="A110" i="17"/>
  <c r="AA110" i="17"/>
  <c r="AG109" i="17"/>
  <c r="S113" i="17" l="1"/>
  <c r="A111" i="17"/>
  <c r="AA111" i="17"/>
  <c r="AG110" i="17"/>
  <c r="A112" i="17" l="1"/>
  <c r="AA112" i="17"/>
  <c r="S114" i="17"/>
  <c r="AG111" i="17"/>
  <c r="S115" i="17" l="1"/>
  <c r="A113" i="17"/>
  <c r="AA113" i="17"/>
  <c r="AG112" i="17"/>
  <c r="A114" i="17" l="1"/>
  <c r="S116" i="17"/>
  <c r="AA114" i="17"/>
  <c r="AG113" i="17"/>
  <c r="A115" i="17" l="1"/>
  <c r="AA115" i="17"/>
  <c r="S117" i="17"/>
  <c r="AG114" i="17"/>
  <c r="A116" i="17" l="1"/>
  <c r="AA116" i="17"/>
  <c r="S118" i="17"/>
  <c r="AG115" i="17"/>
  <c r="S119" i="17" l="1"/>
  <c r="A117" i="17"/>
  <c r="AA117" i="17"/>
  <c r="AG116" i="17"/>
  <c r="S120" i="17" l="1"/>
  <c r="A118" i="17"/>
  <c r="AA118" i="17"/>
  <c r="AG117" i="17"/>
  <c r="S121" i="17" l="1"/>
  <c r="A119" i="17"/>
  <c r="AA119" i="17"/>
  <c r="AG118" i="17"/>
  <c r="S122" i="17" l="1"/>
  <c r="A120" i="17"/>
  <c r="AA120" i="17"/>
  <c r="AG119" i="17"/>
  <c r="A121" i="17" l="1"/>
  <c r="AA121" i="17"/>
  <c r="S123" i="17"/>
  <c r="AG120" i="17"/>
  <c r="A122" i="17" l="1"/>
  <c r="AA122" i="17"/>
  <c r="S124" i="17"/>
  <c r="AG121" i="17"/>
  <c r="S125" i="17" l="1"/>
  <c r="A123" i="17"/>
  <c r="AA123" i="17"/>
  <c r="AG122" i="17"/>
  <c r="S126" i="17" l="1"/>
  <c r="A124" i="17"/>
  <c r="AA124" i="17"/>
  <c r="AG123" i="17"/>
  <c r="A125" i="17" l="1"/>
  <c r="AA125" i="17"/>
  <c r="S127" i="17"/>
  <c r="AG124" i="17"/>
  <c r="S128" i="17" l="1"/>
  <c r="A126" i="17"/>
  <c r="AA126" i="17"/>
  <c r="AG125" i="17"/>
  <c r="S129" i="17" l="1"/>
  <c r="A127" i="17"/>
  <c r="AA127" i="17"/>
  <c r="AG126" i="17"/>
  <c r="A128" i="17" l="1"/>
  <c r="AA128" i="17"/>
  <c r="S130" i="17"/>
  <c r="AG127" i="17"/>
  <c r="S131" i="17" l="1"/>
  <c r="A129" i="17"/>
  <c r="AA129" i="17"/>
  <c r="AG128" i="17"/>
  <c r="AG129" i="17" l="1"/>
  <c r="S132" i="17"/>
  <c r="A130" i="17"/>
  <c r="AA130" i="17"/>
  <c r="A131" i="17" l="1"/>
  <c r="S133" i="17"/>
  <c r="AG130" i="17"/>
  <c r="AA131" i="17"/>
  <c r="S134" i="17" l="1"/>
  <c r="A132" i="17"/>
  <c r="AA132" i="17"/>
  <c r="AG131" i="17"/>
  <c r="S135" i="17" l="1"/>
  <c r="A133" i="17"/>
  <c r="AA133" i="17"/>
  <c r="AG132" i="17"/>
  <c r="A134" i="17" l="1"/>
  <c r="AA134" i="17"/>
  <c r="S136" i="17"/>
  <c r="AG133" i="17"/>
  <c r="S137" i="17" l="1"/>
  <c r="AG134" i="17"/>
  <c r="A135" i="17"/>
  <c r="AA135" i="17"/>
  <c r="S138" i="17" l="1"/>
  <c r="A136" i="17"/>
  <c r="AA136" i="17"/>
  <c r="AG135" i="17"/>
  <c r="S139" i="17" l="1"/>
  <c r="A137" i="17"/>
  <c r="AA137" i="17"/>
  <c r="AG136" i="17"/>
  <c r="S140" i="17" l="1"/>
  <c r="A138" i="17"/>
  <c r="AA138" i="17"/>
  <c r="AG137" i="17"/>
  <c r="S141" i="17" l="1"/>
  <c r="A139" i="17"/>
  <c r="AA139" i="17"/>
  <c r="AG138" i="17"/>
  <c r="A140" i="17" l="1"/>
  <c r="AA140" i="17"/>
  <c r="S142" i="17"/>
  <c r="AG139" i="17"/>
  <c r="S143" i="17" l="1"/>
  <c r="AG140" i="17"/>
  <c r="A141" i="17"/>
  <c r="AA141" i="17"/>
  <c r="S144" i="17" l="1"/>
  <c r="S145" i="17" s="1"/>
  <c r="S146" i="17" s="1"/>
  <c r="S147" i="17" s="1"/>
  <c r="S148" i="17" s="1"/>
  <c r="S149" i="17" s="1"/>
  <c r="S150" i="17" s="1"/>
  <c r="S151" i="17" s="1"/>
  <c r="S152" i="17" s="1"/>
  <c r="V151" i="17"/>
  <c r="V218" i="17"/>
  <c r="V170" i="17"/>
  <c r="A142" i="17"/>
  <c r="AA142" i="17"/>
  <c r="U142" i="17"/>
  <c r="U36" i="17"/>
  <c r="V217" i="17"/>
  <c r="V213" i="17"/>
  <c r="V245" i="17"/>
  <c r="V138" i="17"/>
  <c r="V124" i="17"/>
  <c r="V203" i="17"/>
  <c r="V249" i="17"/>
  <c r="V193" i="17"/>
  <c r="V136" i="17"/>
  <c r="AG141" i="17"/>
  <c r="V204" i="17"/>
  <c r="L7" i="16" l="1"/>
  <c r="D9" i="16"/>
  <c r="J7" i="16"/>
  <c r="K7" i="16"/>
  <c r="A143" i="17"/>
  <c r="I18" i="16" s="1"/>
  <c r="AA143" i="17"/>
  <c r="V150" i="17"/>
  <c r="V225" i="17"/>
  <c r="V206" i="17"/>
  <c r="V173" i="17"/>
  <c r="V167" i="17"/>
  <c r="V195" i="17"/>
  <c r="V220" i="17"/>
  <c r="V145" i="17"/>
  <c r="V224" i="17"/>
  <c r="V184" i="17"/>
  <c r="V205" i="17"/>
  <c r="V215" i="17"/>
  <c r="V228" i="17"/>
  <c r="V163" i="17"/>
  <c r="V187" i="17"/>
  <c r="V244" i="17"/>
  <c r="V221" i="17"/>
  <c r="V131" i="17"/>
  <c r="V235" i="17"/>
  <c r="V174" i="17"/>
  <c r="V181" i="17"/>
  <c r="V223" i="17"/>
  <c r="V242" i="17"/>
  <c r="U88" i="17"/>
  <c r="U150" i="17"/>
  <c r="U78" i="17"/>
  <c r="U220" i="17"/>
  <c r="U172" i="17"/>
  <c r="V74" i="17"/>
  <c r="V53" i="17"/>
  <c r="V41" i="17"/>
  <c r="U48" i="17"/>
  <c r="V13" i="17"/>
  <c r="U120" i="17"/>
  <c r="U18" i="17"/>
  <c r="U73" i="17"/>
  <c r="V111" i="17"/>
  <c r="V109" i="17"/>
  <c r="U154" i="17"/>
  <c r="U103" i="17"/>
  <c r="U155" i="17"/>
  <c r="U224" i="17"/>
  <c r="U122" i="17"/>
  <c r="V20" i="17"/>
  <c r="U125" i="17"/>
  <c r="U72" i="17"/>
  <c r="U209" i="17"/>
  <c r="U74" i="17"/>
  <c r="U98" i="17"/>
  <c r="V75" i="17"/>
  <c r="U40" i="17"/>
  <c r="U71" i="17"/>
  <c r="V103" i="17"/>
  <c r="V21" i="17"/>
  <c r="U53" i="17"/>
  <c r="U228" i="17"/>
  <c r="U64" i="17"/>
  <c r="U7" i="17"/>
  <c r="V112" i="17"/>
  <c r="U197" i="17"/>
  <c r="V92" i="17"/>
  <c r="V130" i="17"/>
  <c r="V55" i="17"/>
  <c r="V230" i="17"/>
  <c r="U177" i="17"/>
  <c r="V12" i="17"/>
  <c r="V231" i="17"/>
  <c r="V186" i="17"/>
  <c r="V147" i="17"/>
  <c r="V188" i="17"/>
  <c r="V199" i="17"/>
  <c r="V177" i="17"/>
  <c r="V24" i="17"/>
  <c r="V185" i="17"/>
  <c r="V238" i="17"/>
  <c r="V247" i="17"/>
  <c r="V162" i="17"/>
  <c r="V194" i="17"/>
  <c r="V219" i="17"/>
  <c r="U234" i="17"/>
  <c r="V197" i="17"/>
  <c r="V234" i="17"/>
  <c r="V135" i="17"/>
  <c r="V210" i="17"/>
  <c r="U249" i="17"/>
  <c r="V114" i="17"/>
  <c r="U126" i="17"/>
  <c r="V42" i="17"/>
  <c r="V16" i="17"/>
  <c r="U11" i="17"/>
  <c r="U243" i="17"/>
  <c r="U119" i="17"/>
  <c r="U205" i="17"/>
  <c r="U8" i="17"/>
  <c r="V108" i="17"/>
  <c r="V61" i="17"/>
  <c r="U62" i="17"/>
  <c r="U191" i="17"/>
  <c r="V59" i="17"/>
  <c r="V36" i="17"/>
  <c r="U109" i="17"/>
  <c r="U51" i="17"/>
  <c r="V122" i="17"/>
  <c r="U46" i="17"/>
  <c r="U144" i="17"/>
  <c r="V47" i="17"/>
  <c r="U93" i="17"/>
  <c r="U230" i="17"/>
  <c r="U79" i="17"/>
  <c r="V23" i="17"/>
  <c r="U242" i="17"/>
  <c r="U189" i="17"/>
  <c r="U167" i="17"/>
  <c r="U182" i="17"/>
  <c r="U65" i="17"/>
  <c r="U95" i="17"/>
  <c r="U55" i="17"/>
  <c r="U121" i="17"/>
  <c r="U99" i="17"/>
  <c r="V123" i="17"/>
  <c r="V22" i="17"/>
  <c r="U200" i="17"/>
  <c r="V67" i="17"/>
  <c r="U37" i="17"/>
  <c r="V66" i="17"/>
  <c r="U17" i="17"/>
  <c r="U221" i="17"/>
  <c r="V95" i="17"/>
  <c r="U217" i="17"/>
  <c r="V68" i="17"/>
  <c r="U244" i="17"/>
  <c r="V79" i="17"/>
  <c r="U141" i="17"/>
  <c r="U124" i="17"/>
  <c r="U29" i="17"/>
  <c r="V18" i="17"/>
  <c r="U14" i="17"/>
  <c r="V26" i="17"/>
  <c r="V120" i="17"/>
  <c r="U87" i="17"/>
  <c r="U92" i="17"/>
  <c r="U60" i="17"/>
  <c r="V15" i="17"/>
  <c r="U59" i="17"/>
  <c r="V179" i="17"/>
  <c r="U68" i="17"/>
  <c r="V180" i="17"/>
  <c r="V208" i="17"/>
  <c r="V212" i="17"/>
  <c r="V50" i="17"/>
  <c r="V132" i="17"/>
  <c r="V73" i="17"/>
  <c r="U16" i="17"/>
  <c r="V37" i="17"/>
  <c r="V198" i="17"/>
  <c r="V233" i="17"/>
  <c r="U233" i="17"/>
  <c r="U130" i="17"/>
  <c r="V88" i="17"/>
  <c r="U170" i="17"/>
  <c r="V125" i="17"/>
  <c r="U180" i="17"/>
  <c r="V196" i="17"/>
  <c r="V153" i="17"/>
  <c r="V169" i="17"/>
  <c r="V236" i="17"/>
  <c r="V248" i="17"/>
  <c r="U206" i="17"/>
  <c r="V126" i="17"/>
  <c r="U135" i="17"/>
  <c r="V113" i="17"/>
  <c r="V128" i="17"/>
  <c r="V17" i="17"/>
  <c r="U179" i="17"/>
  <c r="U108" i="17"/>
  <c r="U50" i="17"/>
  <c r="U146" i="17"/>
  <c r="U107" i="17"/>
  <c r="V65" i="17"/>
  <c r="V77" i="17"/>
  <c r="U56" i="17"/>
  <c r="U76" i="17"/>
  <c r="V63" i="17"/>
  <c r="U70" i="17"/>
  <c r="U210" i="17"/>
  <c r="V105" i="17"/>
  <c r="V48" i="17"/>
  <c r="V57" i="17"/>
  <c r="U232" i="17"/>
  <c r="V7" i="17"/>
  <c r="U19" i="17"/>
  <c r="U169" i="17"/>
  <c r="U9" i="17"/>
  <c r="U105" i="17"/>
  <c r="U248" i="17"/>
  <c r="U41" i="17"/>
  <c r="U156" i="17"/>
  <c r="U222" i="17"/>
  <c r="V51" i="17"/>
  <c r="U196" i="17"/>
  <c r="V56" i="17"/>
  <c r="V71" i="17"/>
  <c r="V45" i="17"/>
  <c r="U198" i="17"/>
  <c r="U90" i="17"/>
  <c r="V87" i="17"/>
  <c r="V118" i="17"/>
  <c r="U133" i="17"/>
  <c r="V76" i="17"/>
  <c r="U32" i="17"/>
  <c r="U139" i="17"/>
  <c r="V89" i="17"/>
  <c r="U42" i="17"/>
  <c r="V82" i="17"/>
  <c r="U181" i="17"/>
  <c r="U94" i="17"/>
  <c r="V35" i="17"/>
  <c r="U188" i="17"/>
  <c r="V115" i="17"/>
  <c r="V8" i="17"/>
  <c r="U75" i="17"/>
  <c r="V19" i="17"/>
  <c r="U211" i="17"/>
  <c r="U58" i="17"/>
  <c r="U178" i="17"/>
  <c r="U174" i="17"/>
  <c r="U22" i="17"/>
  <c r="U236" i="17"/>
  <c r="V209" i="17"/>
  <c r="V211" i="17"/>
  <c r="V160" i="17"/>
  <c r="V200" i="17"/>
  <c r="V157" i="17"/>
  <c r="V229" i="17"/>
  <c r="V207" i="17"/>
  <c r="V202" i="17"/>
  <c r="V152" i="17"/>
  <c r="V165" i="17"/>
  <c r="V222" i="17"/>
  <c r="V216" i="17"/>
  <c r="V243" i="17"/>
  <c r="V168" i="17"/>
  <c r="V178" i="17"/>
  <c r="V191" i="17"/>
  <c r="V190" i="17"/>
  <c r="V214" i="17"/>
  <c r="V158" i="17"/>
  <c r="U25" i="17"/>
  <c r="U21" i="17"/>
  <c r="U143" i="17"/>
  <c r="V227" i="17"/>
  <c r="U145" i="17"/>
  <c r="U140" i="17"/>
  <c r="U20" i="17"/>
  <c r="U49" i="17"/>
  <c r="U115" i="17"/>
  <c r="U195" i="17"/>
  <c r="U127" i="17"/>
  <c r="V119" i="17"/>
  <c r="U110" i="17"/>
  <c r="U163" i="17"/>
  <c r="U10" i="17"/>
  <c r="U193" i="17"/>
  <c r="U175" i="17"/>
  <c r="U77" i="17"/>
  <c r="U157" i="17"/>
  <c r="U227" i="17"/>
  <c r="U61" i="17"/>
  <c r="V38" i="17"/>
  <c r="V133" i="17"/>
  <c r="U158" i="17"/>
  <c r="U152" i="17"/>
  <c r="U184" i="17"/>
  <c r="V52" i="17"/>
  <c r="V127" i="17"/>
  <c r="U67" i="17"/>
  <c r="U199" i="17"/>
  <c r="U238" i="17"/>
  <c r="U207" i="17"/>
  <c r="V99" i="17"/>
  <c r="U246" i="17"/>
  <c r="U123" i="17"/>
  <c r="U215" i="17"/>
  <c r="U30" i="17"/>
  <c r="U63" i="17"/>
  <c r="V110" i="17"/>
  <c r="V102" i="17"/>
  <c r="U153" i="17"/>
  <c r="U47" i="17"/>
  <c r="U24" i="17"/>
  <c r="U52" i="17"/>
  <c r="U208" i="17"/>
  <c r="U214" i="17"/>
  <c r="U44" i="17"/>
  <c r="V11" i="17"/>
  <c r="V93" i="17"/>
  <c r="U69" i="17"/>
  <c r="U112" i="17"/>
  <c r="V107" i="17"/>
  <c r="U86" i="17"/>
  <c r="V60" i="17"/>
  <c r="U226" i="17"/>
  <c r="V90" i="17"/>
  <c r="U192" i="17"/>
  <c r="U213" i="17"/>
  <c r="U194" i="17"/>
  <c r="V117" i="17"/>
  <c r="U117" i="17"/>
  <c r="U149" i="17"/>
  <c r="V121" i="17"/>
  <c r="V134" i="17"/>
  <c r="U176" i="17"/>
  <c r="U33" i="17"/>
  <c r="U229" i="17"/>
  <c r="U212" i="17"/>
  <c r="V14" i="17"/>
  <c r="U223" i="17"/>
  <c r="V25" i="17"/>
  <c r="U245" i="17"/>
  <c r="U89" i="17"/>
  <c r="U166" i="17"/>
  <c r="U84" i="17"/>
  <c r="U118" i="17"/>
  <c r="U23" i="17"/>
  <c r="U250" i="17"/>
  <c r="U160" i="17"/>
  <c r="V44" i="17"/>
  <c r="U148" i="17"/>
  <c r="U225" i="17"/>
  <c r="U216" i="17"/>
  <c r="U128" i="17"/>
  <c r="U80" i="17"/>
  <c r="U137" i="17"/>
  <c r="U132" i="17"/>
  <c r="U35" i="17"/>
  <c r="U102" i="17"/>
  <c r="U15" i="17"/>
  <c r="V96" i="17"/>
  <c r="V62" i="17"/>
  <c r="U185" i="17"/>
  <c r="U43" i="17"/>
  <c r="V161" i="17"/>
  <c r="V241" i="17"/>
  <c r="V250" i="17"/>
  <c r="V171" i="17"/>
  <c r="V159" i="17"/>
  <c r="V201" i="17"/>
  <c r="V164" i="17"/>
  <c r="V182" i="17"/>
  <c r="U165" i="17"/>
  <c r="V10" i="17"/>
  <c r="U237" i="17"/>
  <c r="V104" i="17"/>
  <c r="V84" i="17"/>
  <c r="V239" i="17"/>
  <c r="V172" i="17"/>
  <c r="V246" i="17"/>
  <c r="V232" i="17"/>
  <c r="U66" i="17"/>
  <c r="V69" i="17"/>
  <c r="V156" i="17"/>
  <c r="V85" i="17"/>
  <c r="U28" i="17"/>
  <c r="U91" i="17"/>
  <c r="U235" i="17"/>
  <c r="V81" i="17"/>
  <c r="V94" i="17"/>
  <c r="U39" i="17"/>
  <c r="V78" i="17"/>
  <c r="U129" i="17"/>
  <c r="V100" i="17"/>
  <c r="U97" i="17"/>
  <c r="U202" i="17"/>
  <c r="U203" i="17"/>
  <c r="U219" i="17"/>
  <c r="V39" i="17"/>
  <c r="V129" i="17"/>
  <c r="U168" i="17"/>
  <c r="U218" i="17"/>
  <c r="U138" i="17"/>
  <c r="U100" i="17"/>
  <c r="V72" i="17"/>
  <c r="U173" i="17"/>
  <c r="U13" i="17"/>
  <c r="V176" i="17"/>
  <c r="U241" i="17"/>
  <c r="V148" i="17"/>
  <c r="V183" i="17"/>
  <c r="U85" i="17"/>
  <c r="V91" i="17"/>
  <c r="U240" i="17"/>
  <c r="V40" i="17"/>
  <c r="U82" i="17"/>
  <c r="U159" i="17"/>
  <c r="U31" i="17"/>
  <c r="V64" i="17"/>
  <c r="U239" i="17"/>
  <c r="V106" i="17"/>
  <c r="U45" i="17"/>
  <c r="U187" i="17"/>
  <c r="V80" i="17"/>
  <c r="V9" i="17"/>
  <c r="U54" i="17"/>
  <c r="U26" i="17"/>
  <c r="U83" i="17"/>
  <c r="U162" i="17"/>
  <c r="U27" i="17"/>
  <c r="U136" i="17"/>
  <c r="U114" i="17"/>
  <c r="U113" i="17"/>
  <c r="U104" i="17"/>
  <c r="U247" i="17"/>
  <c r="U161" i="17"/>
  <c r="U231" i="17"/>
  <c r="V58" i="17"/>
  <c r="U190" i="17"/>
  <c r="V137" i="17"/>
  <c r="U171" i="17"/>
  <c r="V97" i="17"/>
  <c r="V144" i="17"/>
  <c r="V146" i="17"/>
  <c r="V240" i="17"/>
  <c r="V166" i="17"/>
  <c r="V149" i="17"/>
  <c r="V189" i="17"/>
  <c r="V154" i="17"/>
  <c r="U147" i="17"/>
  <c r="V70" i="17"/>
  <c r="U164" i="17"/>
  <c r="U204" i="17"/>
  <c r="U12" i="17"/>
  <c r="V49" i="17"/>
  <c r="V98" i="17"/>
  <c r="V226" i="17"/>
  <c r="V237" i="17"/>
  <c r="V175" i="17"/>
  <c r="V192" i="17"/>
  <c r="V83" i="17"/>
  <c r="V27" i="17"/>
  <c r="U131" i="17"/>
  <c r="V54" i="17"/>
  <c r="U81" i="17"/>
  <c r="V46" i="17"/>
  <c r="U201" i="17"/>
  <c r="U101" i="17"/>
  <c r="V116" i="17"/>
  <c r="U134" i="17"/>
  <c r="U34" i="17"/>
  <c r="V101" i="17"/>
  <c r="U96" i="17"/>
  <c r="U183" i="17"/>
  <c r="U57" i="17"/>
  <c r="V43" i="17"/>
  <c r="U151" i="17"/>
  <c r="V86" i="17"/>
  <c r="U116" i="17"/>
  <c r="U38" i="17"/>
  <c r="U186" i="17"/>
  <c r="U111" i="17"/>
  <c r="V155" i="17"/>
  <c r="U106" i="17"/>
  <c r="AG142" i="17"/>
  <c r="S153" i="17"/>
  <c r="E96" i="18" l="1"/>
  <c r="G96" i="18" s="1"/>
  <c r="E87" i="18"/>
  <c r="G87" i="18" s="1"/>
  <c r="E99" i="18"/>
  <c r="G99" i="18" s="1"/>
  <c r="E118" i="18"/>
  <c r="G118" i="18" s="1"/>
  <c r="E193" i="18"/>
  <c r="G193" i="18" s="1"/>
  <c r="E151" i="18"/>
  <c r="G151" i="18" s="1"/>
  <c r="E116" i="18"/>
  <c r="G116" i="18" s="1"/>
  <c r="E76" i="18"/>
  <c r="G76" i="18" s="1"/>
  <c r="E145" i="18"/>
  <c r="G145" i="18" s="1"/>
  <c r="E26" i="18"/>
  <c r="G26" i="18" s="1"/>
  <c r="G16" i="18"/>
  <c r="E137" i="18"/>
  <c r="G137" i="18" s="1"/>
  <c r="G13" i="18"/>
  <c r="E71" i="18"/>
  <c r="G71" i="18" s="1"/>
  <c r="E139" i="18"/>
  <c r="G139" i="18" s="1"/>
  <c r="E107" i="18"/>
  <c r="G107" i="18" s="1"/>
  <c r="E74" i="18"/>
  <c r="G74" i="18" s="1"/>
  <c r="E125" i="18"/>
  <c r="G125" i="18" s="1"/>
  <c r="E121" i="18"/>
  <c r="G121" i="18" s="1"/>
  <c r="E194" i="18"/>
  <c r="G194" i="18" s="1"/>
  <c r="E39" i="18"/>
  <c r="G39" i="18" s="1"/>
  <c r="E89" i="18"/>
  <c r="G89" i="18" s="1"/>
  <c r="E32" i="18"/>
  <c r="G32" i="18" s="1"/>
  <c r="E133" i="18"/>
  <c r="G133" i="18" s="1"/>
  <c r="J18" i="18"/>
  <c r="E75" i="18"/>
  <c r="G75" i="18" s="1"/>
  <c r="E54" i="18"/>
  <c r="G54" i="18" s="1"/>
  <c r="E91" i="18"/>
  <c r="G91" i="18" s="1"/>
  <c r="E100" i="18"/>
  <c r="G100" i="18" s="1"/>
  <c r="E67" i="18"/>
  <c r="G67" i="18" s="1"/>
  <c r="E23" i="18"/>
  <c r="G23" i="18" s="1"/>
  <c r="E184" i="18"/>
  <c r="G184" i="18" s="1"/>
  <c r="E195" i="18"/>
  <c r="G195" i="18" s="1"/>
  <c r="E68" i="18"/>
  <c r="G68" i="18" s="1"/>
  <c r="E138" i="18"/>
  <c r="G138" i="18" s="1"/>
  <c r="E94" i="18"/>
  <c r="G94" i="18" s="1"/>
  <c r="E95" i="18"/>
  <c r="G95" i="18" s="1"/>
  <c r="E82" i="18"/>
  <c r="G82" i="18" s="1"/>
  <c r="E44" i="18"/>
  <c r="G44" i="18" s="1"/>
  <c r="E58" i="18"/>
  <c r="G58" i="18" s="1"/>
  <c r="E181" i="18"/>
  <c r="G181" i="18" s="1"/>
  <c r="E65" i="18"/>
  <c r="G65" i="18" s="1"/>
  <c r="E178" i="18"/>
  <c r="G178" i="18" s="1"/>
  <c r="E61" i="18"/>
  <c r="G61" i="18" s="1"/>
  <c r="J17" i="18"/>
  <c r="E29" i="18"/>
  <c r="G29" i="18" s="1"/>
  <c r="E154" i="18"/>
  <c r="G154" i="18" s="1"/>
  <c r="E144" i="18"/>
  <c r="G144" i="18" s="1"/>
  <c r="E77" i="18"/>
  <c r="G77" i="18" s="1"/>
  <c r="E101" i="18"/>
  <c r="G101" i="18" s="1"/>
  <c r="J19" i="18"/>
  <c r="E52" i="18"/>
  <c r="G52" i="18" s="1"/>
  <c r="E114" i="18"/>
  <c r="G114" i="18" s="1"/>
  <c r="E22" i="18"/>
  <c r="G22" i="18" s="1"/>
  <c r="H20" i="18"/>
  <c r="J20" i="18" s="1"/>
  <c r="E157" i="18"/>
  <c r="G157" i="18" s="1"/>
  <c r="E90" i="18"/>
  <c r="G90" i="18" s="1"/>
  <c r="E64" i="18"/>
  <c r="G64" i="18" s="1"/>
  <c r="E28" i="18"/>
  <c r="G28" i="18" s="1"/>
  <c r="E161" i="18"/>
  <c r="G161" i="18" s="1"/>
  <c r="E140" i="18"/>
  <c r="G140" i="18" s="1"/>
  <c r="E187" i="18"/>
  <c r="G187" i="18" s="1"/>
  <c r="J14" i="18"/>
  <c r="E179" i="18"/>
  <c r="G179" i="18" s="1"/>
  <c r="H26" i="18"/>
  <c r="J26" i="18" s="1"/>
  <c r="E110" i="18"/>
  <c r="G110" i="18" s="1"/>
  <c r="E109" i="18"/>
  <c r="G109" i="18" s="1"/>
  <c r="E80" i="18"/>
  <c r="G80" i="18" s="1"/>
  <c r="E93" i="18"/>
  <c r="G93" i="18" s="1"/>
  <c r="E47" i="18"/>
  <c r="G47" i="18" s="1"/>
  <c r="E186" i="18"/>
  <c r="G186" i="18" s="1"/>
  <c r="E149" i="18"/>
  <c r="G149" i="18" s="1"/>
  <c r="E103" i="18"/>
  <c r="G103" i="18" s="1"/>
  <c r="E148" i="18"/>
  <c r="G148" i="18" s="1"/>
  <c r="E105" i="18"/>
  <c r="G105" i="18" s="1"/>
  <c r="E174" i="18"/>
  <c r="G174" i="18" s="1"/>
  <c r="E124" i="18"/>
  <c r="G124" i="18" s="1"/>
  <c r="E169" i="18"/>
  <c r="G169" i="18" s="1"/>
  <c r="E72" i="18"/>
  <c r="G72" i="18" s="1"/>
  <c r="E104" i="18"/>
  <c r="G104" i="18" s="1"/>
  <c r="E43" i="18"/>
  <c r="G43" i="18" s="1"/>
  <c r="E129" i="18"/>
  <c r="G129" i="18" s="1"/>
  <c r="E24" i="18"/>
  <c r="G24" i="18" s="1"/>
  <c r="H25" i="18"/>
  <c r="J25" i="18" s="1"/>
  <c r="E25" i="18"/>
  <c r="G25" i="18" s="1"/>
  <c r="E30" i="18"/>
  <c r="G30" i="18" s="1"/>
  <c r="E142" i="18"/>
  <c r="G142" i="18" s="1"/>
  <c r="E183" i="18"/>
  <c r="G183" i="18" s="1"/>
  <c r="E21" i="18"/>
  <c r="G21" i="18" s="1"/>
  <c r="E37" i="18"/>
  <c r="G37" i="18" s="1"/>
  <c r="E166" i="18"/>
  <c r="G166" i="18" s="1"/>
  <c r="E45" i="18"/>
  <c r="G45" i="18" s="1"/>
  <c r="E168" i="18"/>
  <c r="G168" i="18" s="1"/>
  <c r="E49" i="18"/>
  <c r="G49" i="18" s="1"/>
  <c r="E165" i="18"/>
  <c r="G165" i="18" s="1"/>
  <c r="G17" i="18"/>
  <c r="E150" i="18"/>
  <c r="G150" i="18" s="1"/>
  <c r="E182" i="18"/>
  <c r="G182" i="18" s="1"/>
  <c r="E164" i="18"/>
  <c r="G164" i="18" s="1"/>
  <c r="E132" i="18"/>
  <c r="G132" i="18" s="1"/>
  <c r="E117" i="18"/>
  <c r="G117" i="18" s="1"/>
  <c r="E97" i="18"/>
  <c r="G97" i="18" s="1"/>
  <c r="E92" i="18"/>
  <c r="G92" i="18" s="1"/>
  <c r="E111" i="18"/>
  <c r="G111" i="18" s="1"/>
  <c r="E198" i="18"/>
  <c r="G198" i="18" s="1"/>
  <c r="E40" i="18"/>
  <c r="G40" i="18" s="1"/>
  <c r="E57" i="18"/>
  <c r="G57" i="18" s="1"/>
  <c r="E189" i="18"/>
  <c r="G189" i="18" s="1"/>
  <c r="E60" i="18"/>
  <c r="G60" i="18" s="1"/>
  <c r="E63" i="18"/>
  <c r="G63" i="18" s="1"/>
  <c r="E163" i="18"/>
  <c r="G163" i="18" s="1"/>
  <c r="E171" i="18"/>
  <c r="G171" i="18" s="1"/>
  <c r="E200" i="18"/>
  <c r="G200" i="18" s="1"/>
  <c r="E180" i="18"/>
  <c r="G180" i="18" s="1"/>
  <c r="E78" i="18"/>
  <c r="G78" i="18" s="1"/>
  <c r="E42" i="18"/>
  <c r="G42" i="18" s="1"/>
  <c r="E62" i="18"/>
  <c r="G62" i="18" s="1"/>
  <c r="E50" i="18"/>
  <c r="G50" i="18" s="1"/>
  <c r="E41" i="18"/>
  <c r="G41" i="18" s="1"/>
  <c r="E119" i="18"/>
  <c r="G119" i="18" s="1"/>
  <c r="E70" i="18"/>
  <c r="G70" i="18" s="1"/>
  <c r="E141" i="18"/>
  <c r="G141" i="18" s="1"/>
  <c r="E156" i="18"/>
  <c r="G156" i="18" s="1"/>
  <c r="E112" i="18"/>
  <c r="G112" i="18" s="1"/>
  <c r="E73" i="18"/>
  <c r="G73" i="18" s="1"/>
  <c r="E55" i="18"/>
  <c r="G55" i="18" s="1"/>
  <c r="E79" i="18"/>
  <c r="G79" i="18" s="1"/>
  <c r="E177" i="18"/>
  <c r="G177" i="18" s="1"/>
  <c r="E34" i="18"/>
  <c r="G34" i="18" s="1"/>
  <c r="E131" i="18"/>
  <c r="G131" i="18" s="1"/>
  <c r="E128" i="18"/>
  <c r="G128" i="18" s="1"/>
  <c r="E120" i="18"/>
  <c r="G120" i="18" s="1"/>
  <c r="E170" i="18"/>
  <c r="G170" i="18" s="1"/>
  <c r="E197" i="18"/>
  <c r="G197" i="18" s="1"/>
  <c r="E173" i="18"/>
  <c r="G173" i="18" s="1"/>
  <c r="E153" i="18"/>
  <c r="G153" i="18" s="1"/>
  <c r="E130" i="18"/>
  <c r="G130" i="18" s="1"/>
  <c r="E122" i="18"/>
  <c r="G122" i="18" s="1"/>
  <c r="E81" i="18"/>
  <c r="G81" i="18" s="1"/>
  <c r="E127" i="18"/>
  <c r="G127" i="18" s="1"/>
  <c r="E36" i="18"/>
  <c r="G36" i="18" s="1"/>
  <c r="E102" i="18"/>
  <c r="G102" i="18" s="1"/>
  <c r="E46" i="18"/>
  <c r="G46" i="18" s="1"/>
  <c r="E69" i="18"/>
  <c r="G69" i="18" s="1"/>
  <c r="E83" i="18"/>
  <c r="G83" i="18" s="1"/>
  <c r="G15" i="18"/>
  <c r="E147" i="18"/>
  <c r="G147" i="18" s="1"/>
  <c r="E185" i="18"/>
  <c r="G185" i="18" s="1"/>
  <c r="E159" i="18"/>
  <c r="G159" i="18" s="1"/>
  <c r="E143" i="18"/>
  <c r="G143" i="18" s="1"/>
  <c r="E86" i="18"/>
  <c r="G86" i="18" s="1"/>
  <c r="E113" i="18"/>
  <c r="G113" i="18" s="1"/>
  <c r="E192" i="18"/>
  <c r="G192" i="18" s="1"/>
  <c r="E53" i="18"/>
  <c r="G53" i="18" s="1"/>
  <c r="E27" i="18"/>
  <c r="G27" i="18" s="1"/>
  <c r="H27" i="18"/>
  <c r="J27" i="18" s="1"/>
  <c r="E191" i="18"/>
  <c r="G191" i="18" s="1"/>
  <c r="E176" i="18"/>
  <c r="G176" i="18" s="1"/>
  <c r="G19" i="18"/>
  <c r="E146" i="18"/>
  <c r="G146" i="18" s="1"/>
  <c r="E199" i="18"/>
  <c r="G199" i="18" s="1"/>
  <c r="E38" i="18"/>
  <c r="G38" i="18" s="1"/>
  <c r="E160" i="18"/>
  <c r="G160" i="18" s="1"/>
  <c r="E59" i="18"/>
  <c r="G59" i="18" s="1"/>
  <c r="H28" i="18"/>
  <c r="J28" i="18" s="1"/>
  <c r="E188" i="18"/>
  <c r="G188" i="18" s="1"/>
  <c r="E98" i="18"/>
  <c r="G98" i="18" s="1"/>
  <c r="E175" i="18"/>
  <c r="G175" i="18" s="1"/>
  <c r="J15" i="18"/>
  <c r="E201" i="18"/>
  <c r="G201" i="18" s="1"/>
  <c r="E158" i="18"/>
  <c r="G158" i="18" s="1"/>
  <c r="E190" i="18"/>
  <c r="G190" i="18" s="1"/>
  <c r="E33" i="18"/>
  <c r="G33" i="18" s="1"/>
  <c r="E88" i="18"/>
  <c r="G88" i="18" s="1"/>
  <c r="E126" i="18"/>
  <c r="G126" i="18" s="1"/>
  <c r="E56" i="18"/>
  <c r="G56" i="18" s="1"/>
  <c r="E84" i="18"/>
  <c r="G84" i="18" s="1"/>
  <c r="E167" i="18"/>
  <c r="G167" i="18" s="1"/>
  <c r="G14" i="18"/>
  <c r="J16" i="18"/>
  <c r="E35" i="18"/>
  <c r="G35" i="18" s="1"/>
  <c r="J13" i="18"/>
  <c r="E135" i="18"/>
  <c r="G135" i="18" s="1"/>
  <c r="E136" i="18"/>
  <c r="G136" i="18" s="1"/>
  <c r="E115" i="18"/>
  <c r="G115" i="18" s="1"/>
  <c r="G18" i="18"/>
  <c r="E134" i="18"/>
  <c r="G134" i="18" s="1"/>
  <c r="E48" i="18"/>
  <c r="G48" i="18" s="1"/>
  <c r="E162" i="18"/>
  <c r="G162" i="18" s="1"/>
  <c r="E108" i="18"/>
  <c r="G108" i="18" s="1"/>
  <c r="E66" i="18"/>
  <c r="G66" i="18" s="1"/>
  <c r="E196" i="18"/>
  <c r="G196" i="18" s="1"/>
  <c r="E31" i="18"/>
  <c r="G31" i="18" s="1"/>
  <c r="E85" i="18"/>
  <c r="G85" i="18" s="1"/>
  <c r="E152" i="18"/>
  <c r="G152" i="18" s="1"/>
  <c r="E155" i="18"/>
  <c r="G155" i="18" s="1"/>
  <c r="E51" i="18"/>
  <c r="G51" i="18" s="1"/>
  <c r="E172" i="18"/>
  <c r="G172" i="18" s="1"/>
  <c r="E106" i="18"/>
  <c r="G106" i="18" s="1"/>
  <c r="E20" i="18"/>
  <c r="G20" i="18" s="1"/>
  <c r="E123" i="18"/>
  <c r="G123" i="18" s="1"/>
  <c r="J10" i="18"/>
  <c r="J7" i="18"/>
  <c r="G9" i="18"/>
  <c r="J11" i="18"/>
  <c r="G11" i="18"/>
  <c r="J9" i="18"/>
  <c r="G8" i="18"/>
  <c r="G10" i="18"/>
  <c r="G7" i="18"/>
  <c r="J12" i="18"/>
  <c r="G12" i="18"/>
  <c r="J8" i="18"/>
  <c r="I24" i="2711"/>
  <c r="I12" i="2717"/>
  <c r="I11" i="16"/>
  <c r="D9" i="2711"/>
  <c r="J9" i="16"/>
  <c r="D10" i="16"/>
  <c r="E2" i="2717"/>
  <c r="I23" i="16"/>
  <c r="I29" i="2711" s="1"/>
  <c r="I30" i="16"/>
  <c r="I20" i="16"/>
  <c r="I28" i="16"/>
  <c r="I19" i="16"/>
  <c r="I27" i="16"/>
  <c r="I29" i="16"/>
  <c r="I21" i="16"/>
  <c r="I26" i="16"/>
  <c r="I24" i="16"/>
  <c r="I30" i="2711" s="1"/>
  <c r="I22" i="16"/>
  <c r="I28" i="2711" s="1"/>
  <c r="AG143" i="17"/>
  <c r="V140" i="17"/>
  <c r="S154" i="17"/>
  <c r="F4" i="2717" l="1"/>
  <c r="C11" i="2711"/>
  <c r="D3" i="2717"/>
  <c r="C10" i="2711"/>
  <c r="J9" i="2711"/>
  <c r="I4" i="2717"/>
  <c r="V143" i="17"/>
  <c r="V139" i="17"/>
  <c r="V142" i="17"/>
  <c r="V141" i="17"/>
  <c r="I13" i="2717"/>
  <c r="I25" i="2711"/>
  <c r="I15" i="2717"/>
  <c r="I27" i="2711"/>
  <c r="I14" i="2717"/>
  <c r="I26" i="2711"/>
  <c r="S155" i="17"/>
  <c r="S156" i="17" l="1"/>
  <c r="S157" i="17" l="1"/>
  <c r="S158" i="17" l="1"/>
  <c r="S159" i="17" l="1"/>
  <c r="S160" i="17" l="1"/>
  <c r="S161" i="17" l="1"/>
  <c r="S162" i="17" l="1"/>
  <c r="S163" i="17" l="1"/>
  <c r="S164" i="17" l="1"/>
  <c r="S165" i="17" l="1"/>
  <c r="S166" i="17" l="1"/>
  <c r="S167" i="17" l="1"/>
  <c r="S168" i="17" l="1"/>
  <c r="S169" i="17" l="1"/>
  <c r="S170" i="17" l="1"/>
  <c r="S171" i="17" l="1"/>
  <c r="S172" i="17" l="1"/>
  <c r="S173" i="17" l="1"/>
  <c r="S174" i="17" l="1"/>
  <c r="S175" i="17" l="1"/>
  <c r="S176" i="17" l="1"/>
  <c r="S177" i="17" l="1"/>
  <c r="S178" i="17" l="1"/>
  <c r="S179" i="17" l="1"/>
  <c r="S180" i="17" l="1"/>
  <c r="S181" i="17" l="1"/>
  <c r="S182" i="17" l="1"/>
  <c r="S183" i="17" l="1"/>
  <c r="S184" i="17" l="1"/>
  <c r="S185" i="17" l="1"/>
  <c r="S186" i="17" l="1"/>
  <c r="S187" i="17" l="1"/>
  <c r="S188" i="17" l="1"/>
  <c r="S189" i="17" l="1"/>
  <c r="S190" i="17" l="1"/>
  <c r="S191" i="17" l="1"/>
  <c r="S192" i="17" l="1"/>
  <c r="S193" i="17" l="1"/>
  <c r="S194" i="17" l="1"/>
  <c r="S195" i="17" l="1"/>
  <c r="S196" i="17" l="1"/>
  <c r="S197" i="17" l="1"/>
  <c r="S198" i="17" l="1"/>
  <c r="S199" i="17" l="1"/>
  <c r="S200" i="17" l="1"/>
  <c r="S201" i="17" l="1"/>
  <c r="S202" i="17" l="1"/>
  <c r="S203" i="17" l="1"/>
  <c r="S204" i="17" l="1"/>
  <c r="S205" i="17" l="1"/>
  <c r="S206" i="17" l="1"/>
  <c r="S207" i="17" l="1"/>
  <c r="S208" i="17" l="1"/>
  <c r="S209" i="17" l="1"/>
  <c r="S210" i="17" l="1"/>
  <c r="S211" i="17" l="1"/>
  <c r="S212" i="17" l="1"/>
  <c r="S213" i="17" l="1"/>
  <c r="S214" i="17" l="1"/>
  <c r="S215" i="17" l="1"/>
  <c r="S216" i="17" l="1"/>
  <c r="S217" i="17" l="1"/>
  <c r="S218" i="17" l="1"/>
  <c r="S219" i="17" l="1"/>
  <c r="S220" i="17" l="1"/>
  <c r="S221" i="17" l="1"/>
  <c r="S222" i="17" l="1"/>
  <c r="S223" i="17" l="1"/>
  <c r="S224" i="17" l="1"/>
  <c r="S225" i="17" l="1"/>
  <c r="S226" i="17" l="1"/>
  <c r="S227" i="17" l="1"/>
  <c r="S228" i="17" l="1"/>
  <c r="S229" i="17" l="1"/>
  <c r="S230" i="17" l="1"/>
  <c r="S231" i="17" l="1"/>
  <c r="S232" i="17" l="1"/>
  <c r="S233" i="17" l="1"/>
  <c r="S234" i="17" l="1"/>
  <c r="S235" i="17" l="1"/>
  <c r="S236" i="17" l="1"/>
  <c r="S237" i="17" l="1"/>
  <c r="S238" i="17" l="1"/>
  <c r="S239" i="17" l="1"/>
  <c r="S240" i="17" l="1"/>
  <c r="S241" i="17" l="1"/>
  <c r="S242" i="17" l="1"/>
  <c r="S243" i="17" l="1"/>
  <c r="S244" i="17" l="1"/>
  <c r="S245" i="17" l="1"/>
  <c r="S246" i="17" l="1"/>
  <c r="S247" i="17" l="1"/>
  <c r="S248" i="17" l="1"/>
  <c r="S249" i="17" l="1"/>
  <c r="B16" i="16" l="1"/>
  <c r="B24" i="16"/>
  <c r="B21" i="16"/>
  <c r="D21" i="16" s="1"/>
  <c r="B28" i="16"/>
  <c r="B20" i="16"/>
  <c r="B23" i="16"/>
  <c r="D23" i="16" s="1"/>
  <c r="B29" i="16"/>
  <c r="B27" i="16"/>
  <c r="B18" i="16"/>
  <c r="B19" i="16"/>
  <c r="B17" i="16"/>
  <c r="B26" i="16"/>
  <c r="B25" i="16"/>
  <c r="B30" i="16"/>
  <c r="B22" i="16"/>
  <c r="D22" i="16" s="1"/>
  <c r="S250" i="17"/>
  <c r="B203" i="18"/>
  <c r="J22" i="16" l="1"/>
  <c r="J28" i="2711" s="1"/>
  <c r="B28" i="2711"/>
  <c r="D28" i="2711"/>
  <c r="D17" i="16"/>
  <c r="B21" i="2711"/>
  <c r="C11" i="2717"/>
  <c r="D29" i="16"/>
  <c r="J29" i="16"/>
  <c r="D27" i="2711"/>
  <c r="C15" i="2717"/>
  <c r="J21" i="16"/>
  <c r="J27" i="2711" s="1"/>
  <c r="B27" i="2711"/>
  <c r="E203" i="18"/>
  <c r="F203" i="18"/>
  <c r="D203" i="18"/>
  <c r="I203" i="18"/>
  <c r="C203" i="18"/>
  <c r="F45" i="2711"/>
  <c r="J30" i="16"/>
  <c r="D30" i="16"/>
  <c r="B25" i="2711"/>
  <c r="J19" i="16"/>
  <c r="C13" i="2717"/>
  <c r="D19" i="16"/>
  <c r="J23" i="16"/>
  <c r="J29" i="2711" s="1"/>
  <c r="D29" i="2711"/>
  <c r="B29" i="2711"/>
  <c r="B30" i="2711"/>
  <c r="J24" i="16"/>
  <c r="J30" i="2711" s="1"/>
  <c r="D24" i="16"/>
  <c r="D30" i="2711" s="1"/>
  <c r="D25" i="16"/>
  <c r="D31" i="2711" s="1"/>
  <c r="B31" i="2711"/>
  <c r="J25" i="16"/>
  <c r="J31" i="2711" s="1"/>
  <c r="D18" i="16"/>
  <c r="B24" i="2711"/>
  <c r="C12" i="2717"/>
  <c r="J18" i="16"/>
  <c r="C14" i="2717"/>
  <c r="J20" i="16"/>
  <c r="J26" i="2711" s="1"/>
  <c r="B26" i="2711"/>
  <c r="D20" i="16"/>
  <c r="D16" i="16"/>
  <c r="B20" i="2711"/>
  <c r="C10" i="2717"/>
  <c r="J26" i="16"/>
  <c r="D26" i="16"/>
  <c r="D27" i="16"/>
  <c r="J27" i="16"/>
  <c r="J28" i="16"/>
  <c r="D28" i="16"/>
  <c r="G203" i="18" l="1"/>
  <c r="D10" i="2717"/>
  <c r="D20" i="2711"/>
  <c r="D12" i="2717"/>
  <c r="D24" i="2711"/>
  <c r="K13" i="2717"/>
  <c r="J25" i="2711"/>
  <c r="D14" i="2717"/>
  <c r="D26" i="2711"/>
  <c r="J24" i="2711"/>
  <c r="K12" i="2717"/>
  <c r="D21" i="2711"/>
  <c r="D11" i="2717"/>
  <c r="D25" i="2711"/>
  <c r="D13" i="2717"/>
  <c r="G5" i="18" l="1"/>
  <c r="AG32" i="17"/>
  <c r="AG30" i="17"/>
  <c r="V32" i="17" l="1"/>
  <c r="H23" i="18" s="1"/>
  <c r="J23" i="18" s="1"/>
  <c r="AG28" i="17"/>
  <c r="AG29" i="17"/>
  <c r="AG31" i="17"/>
  <c r="AG33" i="17"/>
  <c r="AG34" i="17"/>
  <c r="V33" i="17" l="1"/>
  <c r="H24" i="18" s="1"/>
  <c r="J24" i="18" s="1"/>
  <c r="V29" i="17"/>
  <c r="H22" i="18" s="1"/>
  <c r="J22" i="18" s="1"/>
  <c r="V28" i="17"/>
  <c r="V30" i="17"/>
  <c r="O251" i="17"/>
  <c r="I25" i="16" s="1"/>
  <c r="I31" i="2711" s="1"/>
  <c r="V34" i="17"/>
  <c r="V31" i="17"/>
  <c r="H21" i="18" l="1"/>
  <c r="J21" i="18" s="1"/>
  <c r="H87" i="18"/>
  <c r="J87" i="18" s="1"/>
  <c r="H88" i="18"/>
  <c r="J88" i="18" s="1"/>
  <c r="H62" i="18"/>
  <c r="J62" i="18" s="1"/>
  <c r="H184" i="18"/>
  <c r="J184" i="18" s="1"/>
  <c r="H162" i="18"/>
  <c r="J162" i="18" s="1"/>
  <c r="H122" i="18"/>
  <c r="J122" i="18" s="1"/>
  <c r="H152" i="18"/>
  <c r="J152" i="18" s="1"/>
  <c r="H143" i="18"/>
  <c r="J143" i="18" s="1"/>
  <c r="H191" i="18"/>
  <c r="J191" i="18" s="1"/>
  <c r="H190" i="18"/>
  <c r="J190" i="18" s="1"/>
  <c r="H33" i="18"/>
  <c r="J33" i="18" s="1"/>
  <c r="H76" i="18"/>
  <c r="J76" i="18" s="1"/>
  <c r="H139" i="18"/>
  <c r="J139" i="18" s="1"/>
  <c r="H194" i="18"/>
  <c r="J194" i="18" s="1"/>
  <c r="H177" i="18"/>
  <c r="J177" i="18" s="1"/>
  <c r="H148" i="18"/>
  <c r="J148" i="18" s="1"/>
  <c r="H134" i="18"/>
  <c r="J134" i="18" s="1"/>
  <c r="H104" i="18"/>
  <c r="J104" i="18" s="1"/>
  <c r="H129" i="18"/>
  <c r="J129" i="18" s="1"/>
  <c r="H82" i="18"/>
  <c r="J82" i="18" s="1"/>
  <c r="H49" i="18"/>
  <c r="J49" i="18" s="1"/>
  <c r="H201" i="18"/>
  <c r="J201" i="18" s="1"/>
  <c r="H158" i="18"/>
  <c r="J158" i="18" s="1"/>
  <c r="H64" i="18"/>
  <c r="J64" i="18" s="1"/>
  <c r="H84" i="18"/>
  <c r="J84" i="18" s="1"/>
  <c r="H137" i="18"/>
  <c r="J137" i="18" s="1"/>
  <c r="H125" i="18"/>
  <c r="J125" i="18" s="1"/>
  <c r="H32" i="18"/>
  <c r="J32" i="18" s="1"/>
  <c r="H48" i="18"/>
  <c r="J48" i="18" s="1"/>
  <c r="H67" i="18"/>
  <c r="J67" i="18" s="1"/>
  <c r="H46" i="18"/>
  <c r="J46" i="18" s="1"/>
  <c r="H164" i="18"/>
  <c r="J164" i="18" s="1"/>
  <c r="H92" i="18"/>
  <c r="J92" i="18" s="1"/>
  <c r="H198" i="18"/>
  <c r="J198" i="18" s="1"/>
  <c r="H118" i="18"/>
  <c r="J118" i="18" s="1"/>
  <c r="H126" i="18"/>
  <c r="J126" i="18" s="1"/>
  <c r="H41" i="18"/>
  <c r="J41" i="18" s="1"/>
  <c r="H39" i="18"/>
  <c r="J39" i="18" s="1"/>
  <c r="H124" i="18"/>
  <c r="J124" i="18" s="1"/>
  <c r="H170" i="18"/>
  <c r="J170" i="18" s="1"/>
  <c r="H153" i="18"/>
  <c r="J153" i="18" s="1"/>
  <c r="H94" i="18"/>
  <c r="J94" i="18" s="1"/>
  <c r="H183" i="18"/>
  <c r="J183" i="18" s="1"/>
  <c r="H182" i="18"/>
  <c r="J182" i="18" s="1"/>
  <c r="H114" i="18"/>
  <c r="J114" i="18" s="1"/>
  <c r="H99" i="18"/>
  <c r="J99" i="18" s="1"/>
  <c r="H60" i="18"/>
  <c r="J60" i="18" s="1"/>
  <c r="H119" i="18"/>
  <c r="J119" i="18" s="1"/>
  <c r="H89" i="18"/>
  <c r="J89" i="18" s="1"/>
  <c r="H136" i="18"/>
  <c r="J136" i="18" s="1"/>
  <c r="H103" i="18"/>
  <c r="J103" i="18" s="1"/>
  <c r="H108" i="18"/>
  <c r="J108" i="18" s="1"/>
  <c r="H188" i="18"/>
  <c r="J188" i="18" s="1"/>
  <c r="H192" i="18"/>
  <c r="J192" i="18" s="1"/>
  <c r="H176" i="18"/>
  <c r="J176" i="18" s="1"/>
  <c r="H59" i="18"/>
  <c r="J59" i="18" s="1"/>
  <c r="H90" i="18"/>
  <c r="J90" i="18" s="1"/>
  <c r="H121" i="18"/>
  <c r="J121" i="18" s="1"/>
  <c r="H54" i="18"/>
  <c r="J54" i="18" s="1"/>
  <c r="H120" i="18"/>
  <c r="J120" i="18" s="1"/>
  <c r="H181" i="18"/>
  <c r="J181" i="18" s="1"/>
  <c r="H30" i="18"/>
  <c r="J30" i="18" s="1"/>
  <c r="H37" i="18"/>
  <c r="J37" i="18" s="1"/>
  <c r="H83" i="18"/>
  <c r="J83" i="18" s="1"/>
  <c r="H144" i="18"/>
  <c r="J144" i="18" s="1"/>
  <c r="H117" i="18"/>
  <c r="J117" i="18" s="1"/>
  <c r="H151" i="18"/>
  <c r="J151" i="18" s="1"/>
  <c r="H42" i="18"/>
  <c r="J42" i="18" s="1"/>
  <c r="H145" i="18"/>
  <c r="J145" i="18" s="1"/>
  <c r="H71" i="18"/>
  <c r="J71" i="18" s="1"/>
  <c r="H149" i="18"/>
  <c r="J149" i="18" s="1"/>
  <c r="H174" i="18"/>
  <c r="J174" i="18" s="1"/>
  <c r="H44" i="18"/>
  <c r="J44" i="18" s="1"/>
  <c r="H166" i="18"/>
  <c r="J166" i="18" s="1"/>
  <c r="H168" i="18"/>
  <c r="J168" i="18" s="1"/>
  <c r="H154" i="18"/>
  <c r="J154" i="18" s="1"/>
  <c r="H187" i="18"/>
  <c r="J187" i="18" s="1"/>
  <c r="H180" i="18"/>
  <c r="J180" i="18" s="1"/>
  <c r="H135" i="18"/>
  <c r="J135" i="18" s="1"/>
  <c r="H55" i="18"/>
  <c r="J55" i="18" s="1"/>
  <c r="H128" i="18"/>
  <c r="J128" i="18" s="1"/>
  <c r="H100" i="18"/>
  <c r="J100" i="18" s="1"/>
  <c r="H196" i="18"/>
  <c r="J196" i="18" s="1"/>
  <c r="H69" i="18"/>
  <c r="J69" i="18" s="1"/>
  <c r="H113" i="18"/>
  <c r="J113" i="18" s="1"/>
  <c r="H146" i="18"/>
  <c r="J146" i="18" s="1"/>
  <c r="H160" i="18"/>
  <c r="J160" i="18" s="1"/>
  <c r="H140" i="18"/>
  <c r="J140" i="18" s="1"/>
  <c r="H141" i="18"/>
  <c r="J141" i="18" s="1"/>
  <c r="H73" i="18"/>
  <c r="J73" i="18" s="1"/>
  <c r="H47" i="18"/>
  <c r="J47" i="18" s="1"/>
  <c r="H43" i="18"/>
  <c r="J43" i="18" s="1"/>
  <c r="H95" i="18"/>
  <c r="J95" i="18" s="1"/>
  <c r="H127" i="18"/>
  <c r="J127" i="18" s="1"/>
  <c r="H102" i="18"/>
  <c r="J102" i="18" s="1"/>
  <c r="H147" i="18"/>
  <c r="J147" i="18" s="1"/>
  <c r="H53" i="18"/>
  <c r="J53" i="18" s="1"/>
  <c r="H101" i="18"/>
  <c r="J101" i="18" s="1"/>
  <c r="H40" i="18"/>
  <c r="J40" i="18" s="1"/>
  <c r="H157" i="18"/>
  <c r="J157" i="18" s="1"/>
  <c r="H193" i="18"/>
  <c r="J193" i="18" s="1"/>
  <c r="H50" i="18"/>
  <c r="J50" i="18" s="1"/>
  <c r="H156" i="18"/>
  <c r="J156" i="18" s="1"/>
  <c r="H133" i="18"/>
  <c r="J133" i="18" s="1"/>
  <c r="H115" i="18"/>
  <c r="J115" i="18" s="1"/>
  <c r="H131" i="18"/>
  <c r="J131" i="18" s="1"/>
  <c r="H197" i="18"/>
  <c r="J197" i="18" s="1"/>
  <c r="H138" i="18"/>
  <c r="J138" i="18" s="1"/>
  <c r="H65" i="18"/>
  <c r="J65" i="18" s="1"/>
  <c r="H98" i="18"/>
  <c r="J98" i="18" s="1"/>
  <c r="H155" i="18"/>
  <c r="J155" i="18" s="1"/>
  <c r="H123" i="18"/>
  <c r="J123" i="18" s="1"/>
  <c r="H200" i="18"/>
  <c r="J200" i="18" s="1"/>
  <c r="H116" i="18"/>
  <c r="J116" i="18" s="1"/>
  <c r="H167" i="18"/>
  <c r="J167" i="18" s="1"/>
  <c r="H179" i="18"/>
  <c r="J179" i="18" s="1"/>
  <c r="H107" i="18"/>
  <c r="J107" i="18" s="1"/>
  <c r="H58" i="18"/>
  <c r="J58" i="18" s="1"/>
  <c r="H61" i="18"/>
  <c r="J61" i="18" s="1"/>
  <c r="H185" i="18"/>
  <c r="J185" i="18" s="1"/>
  <c r="H51" i="18"/>
  <c r="J51" i="18" s="1"/>
  <c r="H86" i="18"/>
  <c r="J86" i="18" s="1"/>
  <c r="H77" i="18"/>
  <c r="J77" i="18" s="1"/>
  <c r="H52" i="18"/>
  <c r="J52" i="18" s="1"/>
  <c r="H142" i="18"/>
  <c r="J142" i="18" s="1"/>
  <c r="H159" i="18"/>
  <c r="J159" i="18" s="1"/>
  <c r="H63" i="18"/>
  <c r="J63" i="18" s="1"/>
  <c r="H163" i="18"/>
  <c r="J163" i="18" s="1"/>
  <c r="H112" i="18"/>
  <c r="J112" i="18" s="1"/>
  <c r="H80" i="18"/>
  <c r="J80" i="18" s="1"/>
  <c r="H72" i="18"/>
  <c r="J72" i="18" s="1"/>
  <c r="H45" i="18"/>
  <c r="J45" i="18" s="1"/>
  <c r="H199" i="18"/>
  <c r="J199" i="18" s="1"/>
  <c r="H96" i="18"/>
  <c r="J96" i="18" s="1"/>
  <c r="H57" i="18"/>
  <c r="J57" i="18" s="1"/>
  <c r="H78" i="18"/>
  <c r="J78" i="18" s="1"/>
  <c r="H91" i="18"/>
  <c r="J91" i="18" s="1"/>
  <c r="H68" i="18"/>
  <c r="J68" i="18" s="1"/>
  <c r="H36" i="18"/>
  <c r="J36" i="18" s="1"/>
  <c r="H85" i="18"/>
  <c r="J85" i="18" s="1"/>
  <c r="H165" i="18"/>
  <c r="J165" i="18" s="1"/>
  <c r="H172" i="18"/>
  <c r="J172" i="18" s="1"/>
  <c r="H111" i="18"/>
  <c r="J111" i="18" s="1"/>
  <c r="H161" i="18"/>
  <c r="J161" i="18" s="1"/>
  <c r="H189" i="18"/>
  <c r="J189" i="18" s="1"/>
  <c r="H171" i="18"/>
  <c r="J171" i="18" s="1"/>
  <c r="H70" i="18"/>
  <c r="J70" i="18" s="1"/>
  <c r="H35" i="18"/>
  <c r="J35" i="18" s="1"/>
  <c r="H93" i="18"/>
  <c r="J93" i="18" s="1"/>
  <c r="H105" i="18"/>
  <c r="J105" i="18" s="1"/>
  <c r="H195" i="18"/>
  <c r="J195" i="18" s="1"/>
  <c r="H66" i="18"/>
  <c r="J66" i="18" s="1"/>
  <c r="H130" i="18"/>
  <c r="J130" i="18" s="1"/>
  <c r="H178" i="18"/>
  <c r="J178" i="18" s="1"/>
  <c r="H132" i="18"/>
  <c r="J132" i="18" s="1"/>
  <c r="H56" i="18"/>
  <c r="J56" i="18" s="1"/>
  <c r="H74" i="18"/>
  <c r="J74" i="18" s="1"/>
  <c r="H109" i="18"/>
  <c r="J109" i="18" s="1"/>
  <c r="H186" i="18"/>
  <c r="J186" i="18" s="1"/>
  <c r="H34" i="18"/>
  <c r="J34" i="18" s="1"/>
  <c r="H169" i="18"/>
  <c r="J169" i="18" s="1"/>
  <c r="H31" i="18"/>
  <c r="J31" i="18" s="1"/>
  <c r="H175" i="18"/>
  <c r="J175" i="18" s="1"/>
  <c r="H150" i="18"/>
  <c r="J150" i="18" s="1"/>
  <c r="H106" i="18"/>
  <c r="J106" i="18" s="1"/>
  <c r="H97" i="18"/>
  <c r="J97" i="18" s="1"/>
  <c r="H38" i="18"/>
  <c r="J38" i="18" s="1"/>
  <c r="H29" i="18"/>
  <c r="J29" i="18" s="1"/>
  <c r="H110" i="18"/>
  <c r="J110" i="18" s="1"/>
  <c r="H79" i="18"/>
  <c r="J79" i="18" s="1"/>
  <c r="H75" i="18"/>
  <c r="J75" i="18" s="1"/>
  <c r="H173" i="18"/>
  <c r="J173" i="18" s="1"/>
  <c r="H81" i="18"/>
  <c r="J81" i="18" s="1"/>
  <c r="I16" i="16"/>
  <c r="I10" i="2717" s="1"/>
  <c r="I17" i="16"/>
  <c r="J17" i="16" s="1"/>
  <c r="H203" i="18"/>
  <c r="J203" i="18" s="1"/>
  <c r="I15" i="16"/>
  <c r="B15" i="16"/>
  <c r="J21" i="2711" l="1"/>
  <c r="K11" i="2717"/>
  <c r="I20" i="2711"/>
  <c r="J16" i="16"/>
  <c r="K10" i="2717" s="1"/>
  <c r="I11" i="2717"/>
  <c r="I21" i="2711"/>
  <c r="J15" i="16"/>
  <c r="C9" i="2717"/>
  <c r="B18" i="2711"/>
  <c r="D15" i="16"/>
  <c r="I9" i="2717"/>
  <c r="I18" i="2711"/>
  <c r="J20" i="2711" l="1"/>
  <c r="D18" i="2711"/>
  <c r="D9" i="2717"/>
  <c r="J18" i="2711"/>
  <c r="K9" i="2717"/>
  <c r="K22" i="2717" s="1"/>
  <c r="L24" i="2717" s="1"/>
  <c r="J38" i="16"/>
  <c r="J32" i="2711" l="1"/>
  <c r="J39" i="16"/>
  <c r="J40" i="16" s="1"/>
  <c r="I39" i="16"/>
  <c r="K33" i="2711" l="1"/>
  <c r="K34" i="2711" s="1"/>
</calcChain>
</file>

<file path=xl/comments1.xml><?xml version="1.0" encoding="utf-8"?>
<comments xmlns="http://schemas.openxmlformats.org/spreadsheetml/2006/main">
  <authors>
    <author>Javier Chirino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ubicar la factura que se está cobrando.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aquí para cargar automáticamente el nombre del cliente y fecha de factura</t>
        </r>
      </text>
    </comment>
    <comment ref="G5" authorId="0" shapeId="0">
      <text>
        <r>
          <rPr>
            <b/>
            <sz val="9"/>
            <color indexed="81"/>
            <rFont val="Tahoma"/>
            <family val="2"/>
          </rPr>
          <t>Javier Chirino:</t>
        </r>
        <r>
          <rPr>
            <sz val="9"/>
            <color indexed="81"/>
            <rFont val="Tahoma"/>
            <family val="2"/>
          </rPr>
          <t xml:space="preserve">
Hacer doble click para traer automáticamente el valor en usd y la tasa, especificadas en la factura de ventas</t>
        </r>
      </text>
    </comment>
  </commentList>
</comments>
</file>

<file path=xl/sharedStrings.xml><?xml version="1.0" encoding="utf-8"?>
<sst xmlns="http://schemas.openxmlformats.org/spreadsheetml/2006/main" count="8407" uniqueCount="1459">
  <si>
    <t>Cantidad</t>
  </si>
  <si>
    <t>FERRETERIA PEPINO, S.A.</t>
  </si>
  <si>
    <t>INVERSIONES ZAMIN</t>
  </si>
  <si>
    <t>FERREPINTURAS CORO, C.A.</t>
  </si>
  <si>
    <t>FERRE7, C.A.</t>
  </si>
  <si>
    <t>NOMBRE</t>
  </si>
  <si>
    <t>R.I.F.</t>
  </si>
  <si>
    <t>TELEFONO</t>
  </si>
  <si>
    <t>DIRECCIÓN</t>
  </si>
  <si>
    <t>0268-2511187</t>
  </si>
  <si>
    <t>AV. ROMULO GALLEGOZ, ESQ. MI CABAÑA, CORO, EDO. FALCÓN</t>
  </si>
  <si>
    <t>J-08531787-2</t>
  </si>
  <si>
    <t>V-12175433-5</t>
  </si>
  <si>
    <t>0268-2513682</t>
  </si>
  <si>
    <t>CALLE COLON, ENTRE BUELVANCARA Y BICHIVACOA, CORO, EDO. FALCÓN</t>
  </si>
  <si>
    <t>J-30120103-5</t>
  </si>
  <si>
    <t>0268-2510554</t>
  </si>
  <si>
    <t>CARRETERA VARIANTE OESTE, CON CARRETERA FALCON-ZULIA, CORO, EDO. FALCÓN</t>
  </si>
  <si>
    <t>FERRECOLORES H&amp;T, C.A.</t>
  </si>
  <si>
    <t>J-29742146-7</t>
  </si>
  <si>
    <t>0268-2523221</t>
  </si>
  <si>
    <t>AV. ALI PRIMERA, ENTRE CALLE AYACUCHO Y 23 DE ENERO, CASA 65, CORO, EDO. FALCÓN</t>
  </si>
  <si>
    <t>FERRETERIA MARCONE, C.A.</t>
  </si>
  <si>
    <t>J-08513998-2</t>
  </si>
  <si>
    <t>AV. TIRSO SALAVERRIA, EDIF. DON GIUSEPPE, SECTOR LOS CLARITOS, CORO, EDO. FALCÓN</t>
  </si>
  <si>
    <t>FERREMATERIALES SANCHEZ, C.A.</t>
  </si>
  <si>
    <t>J-40187299-9</t>
  </si>
  <si>
    <t>CALLE FALCÓN, EDIF. SANCHEZ, Nro. 166-A, CORO, EDO. FALCÓN</t>
  </si>
  <si>
    <t>INVERSIONES DON AVE</t>
  </si>
  <si>
    <t>V-13723977-5</t>
  </si>
  <si>
    <t>0268-2520603</t>
  </si>
  <si>
    <t>CALLE LA FLORIDA ENTRE MAPARARI Y ROMULO GALLEGOS, CORO, EDO. FALCÓN</t>
  </si>
  <si>
    <t>J-31133645-1</t>
  </si>
  <si>
    <t>0268-2532780</t>
  </si>
  <si>
    <t>CALLE GARCES, NRO. 116, E/COMERCIO Y AMPIES, CORO, EDO. FALCÓN.</t>
  </si>
  <si>
    <t>J-30701781-3</t>
  </si>
  <si>
    <t>0268-2513064</t>
  </si>
  <si>
    <t>CALLE OSVALDO CASTELLANO ANTES STADIUM, EDIF. DON RAFAEL REYES</t>
  </si>
  <si>
    <t>FERRETERIA EL CARDON, C.A.</t>
  </si>
  <si>
    <t>BLOQUERA DILCA, C.A.</t>
  </si>
  <si>
    <t>DISMACON, C.A.</t>
  </si>
  <si>
    <t>ASOCIACION COOPERATIVA COMIAFAR.R.L</t>
  </si>
  <si>
    <t>CONSEJO COMUNAL SUR LA PAZ</t>
  </si>
  <si>
    <t>J-30831412-9</t>
  </si>
  <si>
    <t>0268-2532961</t>
  </si>
  <si>
    <t>AV. PRINCIPAL LAS CALDERAS, LOCAL #1, MUNICIPIO COLINA, ESTADO FALCÓN</t>
  </si>
  <si>
    <t>J-30978578-8</t>
  </si>
  <si>
    <t>0268-7472311</t>
  </si>
  <si>
    <t>CARRETERA NACIONAL MORON-CORO, SECTOR LAS DELICIAS, GALPON 1. PTO. CUMAREBO</t>
  </si>
  <si>
    <t>J-30394267-9</t>
  </si>
  <si>
    <t>0268-7472226</t>
  </si>
  <si>
    <t>CALLE LA PAZ ENTE ZAMORA Y ZAVARCE, PTO. CUMAREBO-ESTADO FALCON</t>
  </si>
  <si>
    <t>J-40234765-0</t>
  </si>
  <si>
    <t>AV. BUCHIVACOA, ESQ. CALLEJON JURADO Y AV. LOS MEDANOS.</t>
  </si>
  <si>
    <t>INVERSIONES FERRE-CENTRO CORO, C.A</t>
  </si>
  <si>
    <t>J-40123216-7</t>
  </si>
  <si>
    <t>0268-253654</t>
  </si>
  <si>
    <t>CALLE GARCES ENTRE COLON Y LEON FARIAS, MERCADO VIEJO. CORO EDO. FALCÓN</t>
  </si>
  <si>
    <t>J-08511674-5</t>
  </si>
  <si>
    <t>0268-2531363</t>
  </si>
  <si>
    <t>CALLE LIBERTAD, LOCAL FERREMACO, SECTOR CHIMPIRE, CORO, EDO. FALCÓN</t>
  </si>
  <si>
    <t>FERRETERIA LA ESTRELLA AZUL, S.A.</t>
  </si>
  <si>
    <t>J-30766389-8</t>
  </si>
  <si>
    <t>0268-2531941</t>
  </si>
  <si>
    <t>CALLE PRINCIPAL LA CAÑADA, C-S/N, SECTOR LA CAÑADA, CORO, MUNICIPIO MIRANDA-FALCÓN</t>
  </si>
  <si>
    <t>FERRE ANDARA, C.A</t>
  </si>
  <si>
    <t>J-30754296-9</t>
  </si>
  <si>
    <t>0268-2515904</t>
  </si>
  <si>
    <t>CALLE ITURBE Y CALLE GARCES SECTOR SAN GABRIEL, C.A. ANDARA, P/B, CORO FALCÓN</t>
  </si>
  <si>
    <t>J-29792646-1</t>
  </si>
  <si>
    <t>0426-7013051</t>
  </si>
  <si>
    <t>SECTOR 5 DE LA CAÑADA, CORO, ESTADO FALCÓN</t>
  </si>
  <si>
    <t>J-29919950-8</t>
  </si>
  <si>
    <t xml:space="preserve"> 0426-2451288</t>
  </si>
  <si>
    <t>PARCELAMIENTO SUR LA PAZ, NEC. LOS DOS COMANDANTES EL CHE GUEVARA # 28</t>
  </si>
  <si>
    <t>MICROFIBRA POLIPROPILENO (100 GR)</t>
  </si>
  <si>
    <t>MACROFIBRA TEREFTALATO DE DIMETILO (100 GR)</t>
  </si>
  <si>
    <t>FECHA</t>
  </si>
  <si>
    <t>DESCRIPCION</t>
  </si>
  <si>
    <t>FREDDY CHIRINO</t>
  </si>
  <si>
    <t>LUGAR DE EMISION</t>
  </si>
  <si>
    <t>DIA</t>
  </si>
  <si>
    <t>MES</t>
  </si>
  <si>
    <t>AÑO</t>
  </si>
  <si>
    <t>Santa Ana de Coro</t>
  </si>
  <si>
    <t>Nombre o Razon Social:</t>
  </si>
  <si>
    <t>Dirección Fiscal:</t>
  </si>
  <si>
    <t xml:space="preserve">                         </t>
  </si>
  <si>
    <t>Concepto o Descripción</t>
  </si>
  <si>
    <t>Precio Unitario</t>
  </si>
  <si>
    <t>Nombre o Razón Social:</t>
  </si>
  <si>
    <t>Dirección:</t>
  </si>
  <si>
    <t>Teléfono:</t>
  </si>
  <si>
    <t>NRO. FACTURA:</t>
  </si>
  <si>
    <t>NOMBRE REPORTE</t>
  </si>
  <si>
    <t>NOMBRE FACTURA</t>
  </si>
  <si>
    <t>SUPERPLASTIFICANTE PARA CONCRETO - 120 CC (5 UNID X EMP)</t>
  </si>
  <si>
    <t>INVERSIONES LA ADUANA</t>
  </si>
  <si>
    <t>0424-6815069</t>
  </si>
  <si>
    <t>SUCESION GIUSEPPE STRIPPOLLI DORIA</t>
  </si>
  <si>
    <t>J-40262613-4</t>
  </si>
  <si>
    <t>0268-2518871</t>
  </si>
  <si>
    <t>AV. INDEPENDENCIA, EDIFICIO JOSVEROCHIN, PB, LOCAL #1, CORO, ESTADO FALCÓN</t>
  </si>
  <si>
    <t>DESARROLLOS INTEGRALES, C.A. (DESICA)</t>
  </si>
  <si>
    <t>J-31227656-8</t>
  </si>
  <si>
    <t>AV. ROMULO GALLEGOZ, C.C. SHOPPING CENTER, PISO # 1, LOCAL P1-22</t>
  </si>
  <si>
    <t>MATERIALES TABBAN, C.A.</t>
  </si>
  <si>
    <t>J-30470895-5</t>
  </si>
  <si>
    <t>0268-2515289</t>
  </si>
  <si>
    <t>AV. PROLONGACION SUR FINAL AV. MANAURE, LOCAL GALPON S/N SECTOR SAN ANTONIO, CORO. EDO FALCÓN</t>
  </si>
  <si>
    <t>FALCONIANA DE MATERIALES, C.A.</t>
  </si>
  <si>
    <t>J-08516906-8</t>
  </si>
  <si>
    <t>0268-7472101</t>
  </si>
  <si>
    <t>CALLE INDUSTRIA, EDIF. FALMACA, CUMAREBO, EDO. FALCON</t>
  </si>
  <si>
    <t>BLOQUERA CARORA, C.A</t>
  </si>
  <si>
    <t>J-08504551-1</t>
  </si>
  <si>
    <t>0268-2518043</t>
  </si>
  <si>
    <t>AV. CHEMA SAHER SECTOR KM7, LOCAL BLOQUERA, CORO, EDO. FALCON.</t>
  </si>
  <si>
    <t>FERRETERIA "EBENEZER", C.A.</t>
  </si>
  <si>
    <t>J-40004747-1</t>
  </si>
  <si>
    <t>0268-2526681</t>
  </si>
  <si>
    <t>CALLE PRINCIPAL SAN JOSE, SECTOR SAN JOSE, CORO, EDO. FALCON</t>
  </si>
  <si>
    <t>BLOQUES MADERAS MATERIALES, C.A.</t>
  </si>
  <si>
    <t>J-08500436-0</t>
  </si>
  <si>
    <t>0269-2452854</t>
  </si>
  <si>
    <t>AV. TACHIRA, ESQUINA LAS FLORES, PUNTO FIJO-ESTADO FALCON</t>
  </si>
  <si>
    <t>FERRETERIA RAQUIA, C.A</t>
  </si>
  <si>
    <t>J-31518492-3</t>
  </si>
  <si>
    <t>0268-2516149</t>
  </si>
  <si>
    <t>CALLE GARCES ENTRE CALLES FEDERACION Y COLON, S/N. CORO. EDO. FALCON</t>
  </si>
  <si>
    <t>FERRETERIA CORO, C.A.</t>
  </si>
  <si>
    <t>J-085017780</t>
  </si>
  <si>
    <t>0268-2511487</t>
  </si>
  <si>
    <t>CALLE FALCON # 152, ESQ. CALLE COLINA. CORO, ESTADO FALCON</t>
  </si>
  <si>
    <t>INVERSIONES FERRE LISTO COMPAÑÍA ANONIMA</t>
  </si>
  <si>
    <t>J-29637881-9</t>
  </si>
  <si>
    <t>0268-2523559</t>
  </si>
  <si>
    <t>CALLE BOLIVAR CON CHURUGUARA, CASA NRO. S/N, SECTOR SAN ANTONIO, CORO, EDO. FALCON</t>
  </si>
  <si>
    <t>COMERCIAL FERRETERIA IRAPARI</t>
  </si>
  <si>
    <t>V-14105116-0</t>
  </si>
  <si>
    <t>0268-2780307</t>
  </si>
  <si>
    <t>CALLE BOLIVAR # 84. LA VELA, EDO. FALCON</t>
  </si>
  <si>
    <t>J-29546603-0</t>
  </si>
  <si>
    <t>0268-2538316</t>
  </si>
  <si>
    <t>CALLE PRINCIPAL LA CAÑADA, FRENTE A LA PASARELA. CORO, EDO. FALCON.</t>
  </si>
  <si>
    <t>FERROTEC, C.A.</t>
  </si>
  <si>
    <t>J-30267076-4</t>
  </si>
  <si>
    <t>0268-4042220</t>
  </si>
  <si>
    <t>CARRETERA NACIONAL MORON-CORO, SECTOR LAS DELICIAS, PTO. CUMAREBO, EDO. FALCON</t>
  </si>
  <si>
    <t>SUMINISTROS MAUROA, C.A.</t>
  </si>
  <si>
    <t>J-30376772-9</t>
  </si>
  <si>
    <t>0279-8920286</t>
  </si>
  <si>
    <t>CALLE ANDRES ELOY BLANCO, CASA # 30, LOS CORTIJOS DE LOURDES, II ETAPA, MENE MAUROA, EDO. FALCON</t>
  </si>
  <si>
    <t>GLEUKOS INVERSIONES, C.A.</t>
  </si>
  <si>
    <t>J-31601858-0</t>
  </si>
  <si>
    <t>0268-2529282</t>
  </si>
  <si>
    <t>AV. INDEPENDENCIA, ENTRE CALLE SIERRALTA Y CALLEJON JANSEN, SECTOR INDIO MANAURE, LOCAL # 3.</t>
  </si>
  <si>
    <t>CONSTRUCTORA TRUSKOWSKI, C.A.</t>
  </si>
  <si>
    <t>J-29917649-4</t>
  </si>
  <si>
    <t>0268-4042222</t>
  </si>
  <si>
    <t>COLONIAS DE ARAURIMA, MUNICIPIO JACURA, ESTADO FALCON</t>
  </si>
  <si>
    <t>FERRETERIA EL ANCLA, S.A.</t>
  </si>
  <si>
    <t>J-08511379-7</t>
  </si>
  <si>
    <t>0269-2471111</t>
  </si>
  <si>
    <t>AV. JACINTO LARA, EDIFICIO "ELANCLA", PUNTO FIJO, ESTADO FALCON, VENEZUELA</t>
  </si>
  <si>
    <t xml:space="preserve">CONSTRUCCIONES Y PREFABRICADOS COSTA SUR, C.A. </t>
  </si>
  <si>
    <t>J-31441509-3</t>
  </si>
  <si>
    <t>0414-5675011</t>
  </si>
  <si>
    <t>DISTRIBUIDORA H&amp;T, C.A.</t>
  </si>
  <si>
    <t>J-31082357-0</t>
  </si>
  <si>
    <t>0424-6095405</t>
  </si>
  <si>
    <t>AV. SUCRE ENTRE CALLES BUCHIVACOA Y GARCES. CORO, EDO. FALCON</t>
  </si>
  <si>
    <t>MULTISERVICIOS Y FERRETERIA JJ EXPRESS, C.A.</t>
  </si>
  <si>
    <t>J-29380022-6</t>
  </si>
  <si>
    <t>0279-8231161</t>
  </si>
  <si>
    <t>CALLE BUCHIVACOA CON BERMUDEZ G22, CAPATARIDA, EDO. FALCON</t>
  </si>
  <si>
    <t>CONSEJO COMUNAL "PUEBLO VIEJO EL PILAR"</t>
  </si>
  <si>
    <t>J-29931220-7</t>
  </si>
  <si>
    <t>0412-8956088</t>
  </si>
  <si>
    <t>CALLE PRINCIPAL CASA NRO. E7M, SECTOR PUEBLO VIEJO, EL PILAR, MCPIO. JACURA, PQUIA. ARAURIMA, EDO. FALCON</t>
  </si>
  <si>
    <t>FERRETERIA EL NORTE DE PARAGUANA, C.A.</t>
  </si>
  <si>
    <t>J-40163679-9</t>
  </si>
  <si>
    <t>0269-9357542</t>
  </si>
  <si>
    <t>AV. FRANCISCO DE MIRANDA ENTRE CALLE RIVAS Y LUIS LOZADA, CASA Nr. 2. PUNTO FIJO, EDO. FALCON. VENEZUELA</t>
  </si>
  <si>
    <t>QUE´ FERRETERIA, C.A.</t>
  </si>
  <si>
    <t>J-29990477-5</t>
  </si>
  <si>
    <t>0269-2462347</t>
  </si>
  <si>
    <t>AV.OLLARVIDES, ESQUINA PAPELON Y ESCUQUE, LOCAL S/N, SECTOR PUERTA MARAVEN, EDO. FALCON</t>
  </si>
  <si>
    <t>FERRETORRE, C.A.</t>
  </si>
  <si>
    <t>J-30265820-9</t>
  </si>
  <si>
    <t>0269-2462265</t>
  </si>
  <si>
    <t>AV. OLLARVIDES, EDIF. FERRETORRE, PISO P/B, LOCAL 188, URB. PUERTA MARAVEN.</t>
  </si>
  <si>
    <t>FERRE 56, S.A.</t>
  </si>
  <si>
    <t>J-30285210-2</t>
  </si>
  <si>
    <t>0269-2462894</t>
  </si>
  <si>
    <t>AV. OLLARVIDES E/C PALMARITO Y MARACA, LOCAL S/N, SECTOR PUERTA MARAVEN, PTA. CARDON, EDO. FALCON</t>
  </si>
  <si>
    <t>V-03827182-9</t>
  </si>
  <si>
    <t>0268-2520042</t>
  </si>
  <si>
    <t>CARRETERA CORO - CHURUGUARA, CAJUARAO,  SECTOR LA ADUANA</t>
  </si>
  <si>
    <t>PREFABRICADOS Y MATERIALES PREMACA, C.A.</t>
  </si>
  <si>
    <t>J-30634286-9</t>
  </si>
  <si>
    <t>0269-2462356</t>
  </si>
  <si>
    <t>AV.OLLARVIDES ESQUINA SAN ROMAN SECTOR PUERTA MARAVEN.</t>
  </si>
  <si>
    <t>J-404215298</t>
  </si>
  <si>
    <t>SAN FERNANDO DE APURE</t>
  </si>
  <si>
    <t>0426-140.32.86</t>
  </si>
  <si>
    <t>J-085084975</t>
  </si>
  <si>
    <t>AV. LIBERTADOR ENTRE CALLE 29 Y 30, EDIF. IPERION BARQUISIMETO, EDO. LARA.</t>
  </si>
  <si>
    <t>0251-269.09.01</t>
  </si>
  <si>
    <t>HIDROJET CA</t>
  </si>
  <si>
    <t>PAFAR INGENIERIA Y CONSTRUCCION, C.A</t>
  </si>
  <si>
    <t>J-29439778-6</t>
  </si>
  <si>
    <t>0212-2861691</t>
  </si>
  <si>
    <t>AV. SUCRE DE LOS DOS CAMINOS. ENTRE LA 4TA. Y 5TA. TRANSVERSAL, TORRE CENTRO, PARQUE BOYANA, PISO 20</t>
  </si>
  <si>
    <t>INVERSIONES PROYCOM 7000, C.A.</t>
  </si>
  <si>
    <t>J-31641233-4</t>
  </si>
  <si>
    <t>0414-02777844</t>
  </si>
  <si>
    <t>CALLE RICAURTE CASA MENDOZA NRO. S/N OF PB02 SECTOR LA GUAIRA.</t>
  </si>
  <si>
    <t xml:space="preserve">PROYECTOS AGROINDUSTRIALES, C.A. </t>
  </si>
  <si>
    <t>J-08501794-1</t>
  </si>
  <si>
    <t>0255-6642364</t>
  </si>
  <si>
    <t>AV. CIRCUNVALACION SUR ENTRE AVS 34 Y 36 MINI CENTRO PARQUE DEL ESTE, ACARIGUA, EDO PORTUGUESA</t>
  </si>
  <si>
    <t>DANIEL GIL</t>
  </si>
  <si>
    <t>V-13871354-3</t>
  </si>
  <si>
    <t>0414-5884809</t>
  </si>
  <si>
    <t>CALLE ALI PRIMERA, EDIF. SOUBLETE LETRA B, PISO P.B. APTO 2, SECTOR LONGARAY, CARACAS,DISTRITO CAPITAL</t>
  </si>
  <si>
    <t>ASOCIACION COOPERATIVA MAPARARI 85, R.L</t>
  </si>
  <si>
    <t>J-29424490-4</t>
  </si>
  <si>
    <t>0416-6613780</t>
  </si>
  <si>
    <t>CALLE PURURECHE ENTRE COLINA Y GONZALEZ, CORO, EDO. FALCON</t>
  </si>
  <si>
    <t>REFERENCIA</t>
  </si>
  <si>
    <t>FERREMATERIALES PETIT 1974, C.A.</t>
  </si>
  <si>
    <t>J-40509689-6</t>
  </si>
  <si>
    <t>0416-7680327</t>
  </si>
  <si>
    <t>FERRE SUMINISTRO RA.CO.FC</t>
  </si>
  <si>
    <t>0414-6829287</t>
  </si>
  <si>
    <t>URB. VILLA SABANA LARGA, FALCON</t>
  </si>
  <si>
    <t>FERRE PINTURAS FORNE, C.A.</t>
  </si>
  <si>
    <t>0268-2524006</t>
  </si>
  <si>
    <t>AV. ROOSELVET ENTRE CALLE SUCRE Y GIRALDOT, LOCAL NRO. S/N SECTOR PUEBLO NUEVO, CORO, FALCON</t>
  </si>
  <si>
    <t>V-09525688-7</t>
  </si>
  <si>
    <t>J-29678007-2</t>
  </si>
  <si>
    <t>FERRETERIA FORNE H, C.A.</t>
  </si>
  <si>
    <t>FERRETERIA MEDANGER, C.A.</t>
  </si>
  <si>
    <t>J-31429539-0</t>
  </si>
  <si>
    <t>0426-8646805</t>
  </si>
  <si>
    <t>CARRETERA MORON - CORO, LOCAL S/N, SECTOR CRUZ GORDA DE TOCOPERO, EDO. FALCON</t>
  </si>
  <si>
    <t>J-08525331-9</t>
  </si>
  <si>
    <t>0269-2479447</t>
  </si>
  <si>
    <t>URB. CASACOIMA, DIAGONAL AL LICEO MARIANO TALAVERA, PUNTO FIJO, EDO. FALCON</t>
  </si>
  <si>
    <t>FERRE ALZOMARCA, C.A.</t>
  </si>
  <si>
    <t>J-40598932-7</t>
  </si>
  <si>
    <t>0414-6399495</t>
  </si>
  <si>
    <t>CALLE FEDERACION ENTRE CHURUGUARA Y BUCHIVACOA, LOCAL 70-A, CORO, EDO. FALCON</t>
  </si>
  <si>
    <t>INVERSIONES Y FERRETERIA JAVIER, C.A.</t>
  </si>
  <si>
    <t>J-40084125-9</t>
  </si>
  <si>
    <t>0269-2468346</t>
  </si>
  <si>
    <t>CENTRO CALLE GIRARDOT ENTRE BOLIVAR Y BRASIL, CASA Nro. 16-147. PTO, FIJO, EDO. FALCON</t>
  </si>
  <si>
    <t>JAIME ORTEGA ACOSTA(FERRETERIA EL LIDER)</t>
  </si>
  <si>
    <t>V-15703937-3</t>
  </si>
  <si>
    <t>0268-2539224</t>
  </si>
  <si>
    <t>CALLE GARCES ENTRE FEDERACION Y COLON. CORO, EDO. FALCON</t>
  </si>
  <si>
    <t>MACROFIBRA TEREFTALATO DE DIMETILO (4 MAZOS DE 150Gr.)</t>
  </si>
  <si>
    <t>J-40678905-4</t>
  </si>
  <si>
    <t>0424-6932674</t>
  </si>
  <si>
    <t>AV. TENIS ENTRE CALLE PROVIENCIA Y PROLONGACION SANTA ROSA, CORO, EDO. FALCON</t>
  </si>
  <si>
    <t>FERRETERIA MARIUSCA, C.A</t>
  </si>
  <si>
    <t>J-31188026-7</t>
  </si>
  <si>
    <t>CALLE CONCEPCION ESQUINA UNION S/NSECTOR CENTRO PUERTO CUMAREBO, EDO. FALCON</t>
  </si>
  <si>
    <t>HECEL, C.A.</t>
  </si>
  <si>
    <t>J-30625297-5</t>
  </si>
  <si>
    <t>0414-3914437</t>
  </si>
  <si>
    <t>CARRERA 3, CASA #16, Sector Centro, Maturin Estado Monagas</t>
  </si>
  <si>
    <t>FERRE MEGA, C.A.</t>
  </si>
  <si>
    <t>J-29807073-0</t>
  </si>
  <si>
    <t>0268-4614932</t>
  </si>
  <si>
    <t>SECTOR QUEBRADA DE HUTTER, CALLE PRINCIPAL, PUERTO CUMAREBO, EDO. FALCON</t>
  </si>
  <si>
    <t>CONSTRUCTORA VIOCA, C.A.</t>
  </si>
  <si>
    <t>J-30503123-1</t>
  </si>
  <si>
    <t>0268-2528258</t>
  </si>
  <si>
    <t>AV. RAMON ANTONIO MEDINA, ANTIGUA SEDE CLINICA SOTO, SECTOR FUDECO, CORO, EDO. FALCON</t>
  </si>
  <si>
    <t>PROMANSERCA</t>
  </si>
  <si>
    <t>J-30924883-9</t>
  </si>
  <si>
    <t>0269-2487603</t>
  </si>
  <si>
    <t>CALLE TOSTOS CON GENERA RIERA, EDIFICIO PROMANSERCA, URB. PUERTA MARAVEN, PTO FIJO, EDO. FALCON</t>
  </si>
  <si>
    <t>FERREMARJO, C.A.</t>
  </si>
  <si>
    <t>J-40604699-0</t>
  </si>
  <si>
    <t>0412-0561978</t>
  </si>
  <si>
    <t>CARRETERA NACIONAL MORON - CORO, SECTOR VISTA ALMAR, CUMAREBO, MCPI. ZAMORA, EDO. FALCON</t>
  </si>
  <si>
    <t>SUPER D´CARLOS, S.A.</t>
  </si>
  <si>
    <t>J-29724490-5</t>
  </si>
  <si>
    <t>0269-2486874</t>
  </si>
  <si>
    <t>AV. 6A CON CALLE 9, CASA N 6-2A, COMUNIDAD CARDON, ESTADO FALCON.</t>
  </si>
  <si>
    <t>INVERSIONES FERREDAR´S, C.A.</t>
  </si>
  <si>
    <t>J-29787871-8</t>
  </si>
  <si>
    <t>0412-0701151</t>
  </si>
  <si>
    <t>CARRETERA MORON-CORO, SECTOR LAS DELICIAS, CUMAREBO, EDO. FALCON</t>
  </si>
  <si>
    <t xml:space="preserve">TRAPOCA09, C.A. </t>
  </si>
  <si>
    <t>J-29880977-9</t>
  </si>
  <si>
    <t>0412-3050115</t>
  </si>
  <si>
    <t>AV. FERNANDEZ DE ZERPA, SECTOR LA COMPITA, PISO 4, OFICINA  46, CUMANA, EDO. SUCRE</t>
  </si>
  <si>
    <t>DISTRIBUIDORA DISMACONR, C.A.</t>
  </si>
  <si>
    <t>J-40232756-0</t>
  </si>
  <si>
    <t>0426-0612015</t>
  </si>
  <si>
    <t>VARIENTE SUR, SECTOR EL PLATERO, SANTA ANA DE CORO, EDO. FALCON</t>
  </si>
  <si>
    <t>ASERRADERO CAUCAGUA, C.A.</t>
  </si>
  <si>
    <t>J-00044986-4</t>
  </si>
  <si>
    <t>0234-6620263</t>
  </si>
  <si>
    <t>CARRETERA NACIONAL VIA ORIENTE, SECTOR LOS SILOS, CAUCAGUA, EDO. MIRANDA</t>
  </si>
  <si>
    <t>CONSTRUCTORA DMP, C.A.</t>
  </si>
  <si>
    <t>J-40440938-6</t>
  </si>
  <si>
    <t>0412-0908591</t>
  </si>
  <si>
    <t>URB. BOSQUE DE LA LAGUNITA, VISTA ALTA, PARCELA 106, EL HATILLO, ESTADO MIRANDA</t>
  </si>
  <si>
    <t>INVERSIONES FERREOCCIDENTE JC, C.A.</t>
  </si>
  <si>
    <t>J-40623594-6</t>
  </si>
  <si>
    <t>0424-6415737</t>
  </si>
  <si>
    <t>AV. CHEMA SAHER CON CALLE INTERMEDIA, SECTOR LA CANADA DE CORO, CORO, EDO. FALCON</t>
  </si>
  <si>
    <t>MATERIALES N.G, C.A.</t>
  </si>
  <si>
    <t>J-40190659-1</t>
  </si>
  <si>
    <t>0412-0666169</t>
  </si>
  <si>
    <t>CALLE LA PAZ LOCAL S/N SECTOR CENTRO, PTO CUMAREBO, MCIPIO ZAMORA, EDO. FALCON</t>
  </si>
  <si>
    <t>INVERSIONES BLEU, C.A.</t>
  </si>
  <si>
    <t>J-40611092-2</t>
  </si>
  <si>
    <t>0414-6841498</t>
  </si>
  <si>
    <t>CALLE DON BOSCO, ENTRE AVENIDA LOS CASTAÑOS Y LOS CLAVELES, LOCAL NRO. A. SECTOR CUJICANA, PUNTO FIJO, EDO. FALCON</t>
  </si>
  <si>
    <t>FERRETERIA BRETT, C.A.</t>
  </si>
  <si>
    <t>J-08529389-2</t>
  </si>
  <si>
    <t>0269-2481063</t>
  </si>
  <si>
    <t>CALLE JOSEFA CAMEJO, LOCAL NRO. 48, PUNTA CARDON. PTO FIJO, EDO. FALCON.</t>
  </si>
  <si>
    <t>SIDERFLEX, C.A.</t>
  </si>
  <si>
    <t>J-40355840-0</t>
  </si>
  <si>
    <t>0412-6817794</t>
  </si>
  <si>
    <t>CALLE ARACON ENTRE ALTAGRACIA Y GIRARDOT, LOCAL NRO. S/N, SECTOR CENTRO DE PUNTO FIJO, EDO. FALCON</t>
  </si>
  <si>
    <t>CHS CONSTRUCCIONES Y MATERIALES, C.A.</t>
  </si>
  <si>
    <t>J-40688784-6</t>
  </si>
  <si>
    <t>0268-2512544</t>
  </si>
  <si>
    <t>AV. RAMON ANTONIO MEDINA, CASA NRO. 2, URB. MONCHE SOTO, CORO, EDO. FALCON</t>
  </si>
  <si>
    <t>AGRO FERRETERIA LAS DELICIAS, C.A.</t>
  </si>
  <si>
    <t>J-31544058-0</t>
  </si>
  <si>
    <t>0268-7470458</t>
  </si>
  <si>
    <t>CARRETERA MORON - CORO, S/N. PUERTO CUMAREBO.EDO. FALCON</t>
  </si>
  <si>
    <t>COOPERATIVA FERREUNION, R.L.</t>
  </si>
  <si>
    <t>J-31427618-2</t>
  </si>
  <si>
    <t>0268-2770725</t>
  </si>
  <si>
    <t>AV. BOLIVAR CON CALLE ANTONIO DOLORES RAMONES, SECTOR MANAURE, CASA NRO. 126. LA VELA, EDO. FALCON</t>
  </si>
  <si>
    <t>MULTINEGOCIOS FERRE3, C.A.</t>
  </si>
  <si>
    <t>J-31512716-4</t>
  </si>
  <si>
    <t>0268-2520322</t>
  </si>
  <si>
    <t>VEREDA 28, CASA Nro: 1, URB. INDEPENDENCIA III ETAPA, CORO, EDO. FALCON</t>
  </si>
  <si>
    <t>INVERSIONES  F&amp;A 2012, C.A.</t>
  </si>
  <si>
    <t>J-40158710-0</t>
  </si>
  <si>
    <t>0424-6297356</t>
  </si>
  <si>
    <t>AV. BOLIVAR EDIF. LA ECONOMICA. PISO PB, SECTOR EL CERRO. DABAJURO, EDO. FALCON</t>
  </si>
  <si>
    <t>FERRETERIA FERRESTEEL, C.A.</t>
  </si>
  <si>
    <t>J-29596937-6</t>
  </si>
  <si>
    <t>0269-2452525</t>
  </si>
  <si>
    <t>CALLE LIBERTAD CON ESQUINA PARAGUY, NRO. 1, PUNTO FIJO, EDO. FALCON</t>
  </si>
  <si>
    <t>INVERSIONES Y SUMINISTROS EL MADRU, C.A.</t>
  </si>
  <si>
    <t>J-40569076-3</t>
  </si>
  <si>
    <t>0268-2781077</t>
  </si>
  <si>
    <t>CALLE 20 DE FERBRERO, SECTOR EL CALVARIO, LA VELA, EDO. FALCON</t>
  </si>
  <si>
    <t>ESTACION DE SERVICIO PRADOS DEL SOL,C.A.</t>
  </si>
  <si>
    <t>J-30428921-9</t>
  </si>
  <si>
    <t>0251-4453918</t>
  </si>
  <si>
    <t>AV. INTERSECCION DE CARRETERA CHIRGUA - EL CERCADO, LOCAL S/NRO. EN SECTOR LOMAS VERDES. BARQUISIMETO, LARA</t>
  </si>
  <si>
    <t>PROYCOM HORMIGONES, C.A.</t>
  </si>
  <si>
    <t>J-40369266-1</t>
  </si>
  <si>
    <t>0414-1097542</t>
  </si>
  <si>
    <t>URB. CERRO GRANDE,TANAGUARENAS, EDO. VARGAS</t>
  </si>
  <si>
    <t>MULTISERVICIOS AUTOMOTRICES DUVICHE, C.A.</t>
  </si>
  <si>
    <t>J-31719977-4</t>
  </si>
  <si>
    <t>0268-2516267</t>
  </si>
  <si>
    <t>AVENIDA LOS MEDANOS CON CALLE RAFAEL SANCHEZ LOPEZ,LOCAL 7B. CORO, ESTADO FALCON</t>
  </si>
  <si>
    <t>CAVECA</t>
  </si>
  <si>
    <t>J-30815276-5</t>
  </si>
  <si>
    <t>0268-2530758</t>
  </si>
  <si>
    <t>CALLE SAN BOSCO ESQ. CALLE UNION, DIAGONAL A "POLLO SABROSO", CORO, EDO. FALCON</t>
  </si>
  <si>
    <t>0268-2532611</t>
  </si>
  <si>
    <t>AV.MANAURE EDIF. SAN ANDRES, PISO PB LOCAL  L-2, AL LADO DEL LICEO PEDRO CURIEL RAMIREZ, CORO, EDO. FALCON</t>
  </si>
  <si>
    <t>MEGAFERRO, C.A.</t>
  </si>
  <si>
    <t>J-29474986-0</t>
  </si>
  <si>
    <t>0242-3723639</t>
  </si>
  <si>
    <t>CARRETERA PARAMERICANA, ZONA INDUSTRIAL PALMA SOLA NRO. 1, MORON ESTADO CARABOBO</t>
  </si>
  <si>
    <t xml:space="preserve">JAVIER JOSE CHIRINO </t>
  </si>
  <si>
    <t>V-14028833</t>
  </si>
  <si>
    <t>0412-5884809</t>
  </si>
  <si>
    <t>RESIDENCIAS LA MONTAÑA. APTO. 4A, CARACAS. VENEZUELA</t>
  </si>
  <si>
    <t>FERRE CONSTRUCCIONES LOS ROBLES, C.A.</t>
  </si>
  <si>
    <t>J-40273218-0</t>
  </si>
  <si>
    <t>0269-4158791</t>
  </si>
  <si>
    <t>CARRETERAPRINCIPAL DE GUACUIRA ARRIBA, CASA SN, SECTOR GUACUIRA ARRIBA, PUEBLO NUEVO, EDO. FALCON</t>
  </si>
  <si>
    <t>INVERSIONES HONORIO COELLO HTC, C.A.</t>
  </si>
  <si>
    <t>J-40335574-6</t>
  </si>
  <si>
    <t>0414-6627631</t>
  </si>
  <si>
    <t>CALLE PLAYA AZUL, CASA S/N, SECTOR ADICORA, ADICORA, ESTADO FALCON</t>
  </si>
  <si>
    <t>FERREAUTOS ABIL-CAR C.A.</t>
  </si>
  <si>
    <t>J-40161002-1</t>
  </si>
  <si>
    <t>0269-9882033</t>
  </si>
  <si>
    <t>CALLE PRINCIPAL BUENA VISTA, EDO. FALCON</t>
  </si>
  <si>
    <t>COMERCIAL ROMERO I, FP</t>
  </si>
  <si>
    <t>V-07570685-1</t>
  </si>
  <si>
    <t>0269-9881283</t>
  </si>
  <si>
    <t>COMERCIAL DIAZ ROMERO Q, C.A</t>
  </si>
  <si>
    <t>C&amp;C CONSTRUCCIONES CYD, C.A</t>
  </si>
  <si>
    <t>J-40557708-8</t>
  </si>
  <si>
    <t>0269-9881096</t>
  </si>
  <si>
    <t>CALLE BOLIVAR CASA NRO. 10, SECTOR PUEBLO NUEVO, EDO. FALCON</t>
  </si>
  <si>
    <t>J-40409754-6</t>
  </si>
  <si>
    <t>0416-7522595</t>
  </si>
  <si>
    <t>CARRETERA NACIONAL MORON - CORO, SECTOR LAS DELICIAS. PUERTO CUMAREBO, FALCON</t>
  </si>
  <si>
    <t>ENRIQUE MANTOVANI</t>
  </si>
  <si>
    <t>V-08664063-1</t>
  </si>
  <si>
    <t>CALLE ATARIGUA SECTOR EL PEDREGAL CASA 3, URBANIZACION LOS AYAMANES,BARQUISIMETO, EDO. LARA</t>
  </si>
  <si>
    <t>0414-3558822</t>
  </si>
  <si>
    <t>TIPO VTA</t>
  </si>
  <si>
    <t>REPORTE DE VENTAS - CHS</t>
  </si>
  <si>
    <t>CORO</t>
  </si>
  <si>
    <t>FECHA FACT.</t>
  </si>
  <si>
    <t/>
  </si>
  <si>
    <t>ENTREGA</t>
  </si>
  <si>
    <t>ASOCIACIÓN COOPERATIVA CONSTRUCCIONES DEL LLANO 212, RL</t>
  </si>
  <si>
    <t>LOCALIDAD</t>
  </si>
  <si>
    <t>CUMAREBO</t>
  </si>
  <si>
    <t>PUNTO FIJO</t>
  </si>
  <si>
    <t>LA VELA</t>
  </si>
  <si>
    <t>MENE MAUROA</t>
  </si>
  <si>
    <t>CAPATARIDA</t>
  </si>
  <si>
    <t>SAN FRANCISCO</t>
  </si>
  <si>
    <t>CALLE 212B CASA #43ñ-300, SECTOR RODEO, SAN FRANCISCO, EDO. ZULIA</t>
  </si>
  <si>
    <t>ACARIGUA</t>
  </si>
  <si>
    <t>SABANA LARGA</t>
  </si>
  <si>
    <t>CAUCAGUA</t>
  </si>
  <si>
    <t>DABAJURO</t>
  </si>
  <si>
    <t>ADICORA</t>
  </si>
  <si>
    <t>BARQUISIMETO</t>
  </si>
  <si>
    <t>EL PILAR</t>
  </si>
  <si>
    <t>TANAGUARENAS</t>
  </si>
  <si>
    <t>MORON</t>
  </si>
  <si>
    <t>CHURUGUARA</t>
  </si>
  <si>
    <t>CARACAS</t>
  </si>
  <si>
    <t>LA GUAIRA</t>
  </si>
  <si>
    <t>MATURIN</t>
  </si>
  <si>
    <t>CUMANA</t>
  </si>
  <si>
    <t>PUEBLO NUEVO</t>
  </si>
  <si>
    <t>BUENA VISTA</t>
  </si>
  <si>
    <t>CALLR BOLIVAR NRO.17, PUEBLO NUEVO DE PARAGUANA, EDO.FALCON</t>
  </si>
  <si>
    <t>CANTIDAD</t>
  </si>
  <si>
    <t>HERNANDEZ MACHADO, C. A.</t>
  </si>
  <si>
    <t>J-30248376-1</t>
  </si>
  <si>
    <t>0291-316.21.82</t>
  </si>
  <si>
    <t>AV. PRINCIPAL LOCAL NRO. 12, SECTOR LOS SAMANES, MATURIN, EDO. MONAGAS.</t>
  </si>
  <si>
    <t>MARUTIN</t>
  </si>
  <si>
    <t>NOMBRE CLIENTE</t>
  </si>
  <si>
    <t>STYLOSA HIDROXIETIL (85 GRAMOS)</t>
  </si>
  <si>
    <t>NRO. FACT.</t>
  </si>
  <si>
    <t>FECHA FACTURA</t>
  </si>
  <si>
    <t>DESCRIPCIÓN DEL PRODUCTO</t>
  </si>
  <si>
    <t>PERIODO:</t>
  </si>
  <si>
    <t>CTA. BANCARIA</t>
  </si>
  <si>
    <t>FERREMACO, C. A.</t>
  </si>
  <si>
    <t>FERRETERIA Y REPUESTOS ANGELO, S. R. L.</t>
  </si>
  <si>
    <t>MARACAIBO</t>
  </si>
  <si>
    <t>RELACION DE COBRANZA</t>
  </si>
  <si>
    <t>12733667</t>
  </si>
  <si>
    <t>FERRETERIA OMAR, S. R. L.</t>
  </si>
  <si>
    <t>COLOR LOS MEDANOS, C. A.</t>
  </si>
  <si>
    <t>J-30066806-1</t>
  </si>
  <si>
    <t>0268-251.53.56</t>
  </si>
  <si>
    <t>AV. PINTO SALINAS LOCAL DOÑA EMMA NRO. 0, SECTOR BOBARE, CORO, EDO. FALCON.</t>
  </si>
  <si>
    <t>AV. PINTO SALINAS LOCAL NRO. 16, SECTOR BOBARE, SANTA ANA DE CORO, FALCON</t>
  </si>
  <si>
    <t>FERRETERIA Y MATERIALES RICHIUSA, C. A.</t>
  </si>
  <si>
    <t>J-30534768-9</t>
  </si>
  <si>
    <t>AV. TIRSO SALAVERRIA ESQUINA CALLE GARCES EDIF. PARAISO, PISO PB LOCAL 1-A, SECTOR LOS TRES PLATOS. CORO, EDO. FACLON.</t>
  </si>
  <si>
    <t>PINFERCA CONSTRUCCIONES, C. A.</t>
  </si>
  <si>
    <t>J-40603374-0</t>
  </si>
  <si>
    <t>AV. FRANCISCO DE MIRANDA ANTES OLLARVIDES LOCAL DON ORLANDO NRO C SECTOR PUERTA MARAVEN PUNTA CARDON, FALCON.</t>
  </si>
  <si>
    <t>FERRETERIA Y MATERIALES BUENA ESPERANZA, C. A.</t>
  </si>
  <si>
    <t>J-31110762-2</t>
  </si>
  <si>
    <t>0268-253.09.94</t>
  </si>
  <si>
    <t>CALLE CARLOS ANDRES PEREZ E/C LAS FLORES Y ANDRES BELLO, LOCAL 4, SECTOR BARRIO LA CAÑADA, CORO, MPCIO MIRANDA EDO. FALCON.</t>
  </si>
  <si>
    <t>CHS - PASTA EN POLVO - SACO 0,75 KG</t>
  </si>
  <si>
    <t>FERPINCA REPRESENTACIONES, C. A.</t>
  </si>
  <si>
    <t>J-40603382-0</t>
  </si>
  <si>
    <t>0416-547.32.81</t>
  </si>
  <si>
    <t>AV. FRANCISCO DE MIRANDA, CENTRO COMERCIAL ZURIQUIVA NIVEL PB, LOCAL 4, SECTOR PUERTA MARAVEN. PUNTA CARDON. FALCON.</t>
  </si>
  <si>
    <t>SAN CRISTOBAL</t>
  </si>
  <si>
    <t>PARADOR TURISTICO LAS PIEDRAS, C. A.</t>
  </si>
  <si>
    <t>0424-708.10.88</t>
  </si>
  <si>
    <t>VIA LAS FLORES, SECTOR PIEDRA MOLER, ESTADO TACHIRA.</t>
  </si>
  <si>
    <t>J-08535987-7</t>
  </si>
  <si>
    <t>DISTRIBUIDORA VILORIA P, C. A.</t>
  </si>
  <si>
    <t>J-30697207-2</t>
  </si>
  <si>
    <t>0212-572.58.57</t>
  </si>
  <si>
    <t>ESQ. DE ALCABALA A PUENTE ANAUCO, EDF. ALBION PB LA CANDELARIA, CARACAS, MUNICIPIO LIBERTADOR.</t>
  </si>
  <si>
    <t>AUTOMATIZACION Y CONTROL INDUSTRIAL AKOIN, C. A.</t>
  </si>
  <si>
    <t>J-30306352-7</t>
  </si>
  <si>
    <t>0424-813.50.97</t>
  </si>
  <si>
    <t>AV. MUNICIPAL TORRE PELICANO PISO 15, OFICINA 15-3, PUERTO LA CRUZ, EDO. ANZOATEGUI.</t>
  </si>
  <si>
    <t>J-08533914-0</t>
  </si>
  <si>
    <t>0269-247.83.07</t>
  </si>
  <si>
    <t>CALLE MONAGAS CON CALLE ARISMENDI, PUNTO FIJO, EDO. FALCÓN.</t>
  </si>
  <si>
    <t>INVERSIONES Y SUMINISTROS CARVAJAL 27, C. A.</t>
  </si>
  <si>
    <t>J-40268438-0</t>
  </si>
  <si>
    <t>0414-126.65.83</t>
  </si>
  <si>
    <t>CALLE 8, EDIF. SAN CHARBEL PISO 2, APARTAMENTO 21, SECTOR LAS BRISAS, MATURIN, EDO. MONAGAS.</t>
  </si>
  <si>
    <t>FECADEA, C. A.</t>
  </si>
  <si>
    <t>J-30576796-3</t>
  </si>
  <si>
    <t>0269-247.20.79</t>
  </si>
  <si>
    <t>CALLE COMERCIO DE CAJA DE AGUA, PUNTO FIJO, EDO. FALCÓN.</t>
  </si>
  <si>
    <t>J-07005898-6</t>
  </si>
  <si>
    <t>0268-251.49.78</t>
  </si>
  <si>
    <t>TULIO INFANTE</t>
  </si>
  <si>
    <t>CHS - GRAFIADO EN POLVO - SACO 6KG</t>
  </si>
  <si>
    <t>DISTRIBUIDORA DE CERAMICAS ELEMAS, C. A.</t>
  </si>
  <si>
    <t>FERRETERIA SAN MIGUEL ARCANGEL, C. A.</t>
  </si>
  <si>
    <t>CHS - PASTA EN POLVO PLUS - SACO 3KG</t>
  </si>
  <si>
    <t>J-40426079-0</t>
  </si>
  <si>
    <t>0269-246.41.52</t>
  </si>
  <si>
    <t>CALLE COMERCIO DE CAJA DE AGUA, CASA 107, PUNTO FIJO, EDO. FALCÓN.</t>
  </si>
  <si>
    <t>J-08513928-1</t>
  </si>
  <si>
    <t>0269-247.01.33</t>
  </si>
  <si>
    <t>JHON PETIT</t>
  </si>
  <si>
    <t>JESUS LOPEZ</t>
  </si>
  <si>
    <t>CARLOS FERRER</t>
  </si>
  <si>
    <t>CHS - CEMENTO BLANCO - SACO 1 KG</t>
  </si>
  <si>
    <t>CHS - PEGO GRIS - SACO 7KG</t>
  </si>
  <si>
    <t>MADERKA, C. A.</t>
  </si>
  <si>
    <t>J-30847670-6</t>
  </si>
  <si>
    <t>0269-246.45.80</t>
  </si>
  <si>
    <t>CALLE DEMOCRACIA AL FINAL DE LA COLOMBIA CASA 05, SECTOR CENTRO PUNTO FIJO, EDO. FALCON.</t>
  </si>
  <si>
    <t>LA CASA DEL GRANITO, S.R.L.</t>
  </si>
  <si>
    <t>AV. INDEPENDENCIA NRO. 19, FRENTE AL COLEGIO MARIA AUXILIADORA, CORO, EDO. FALCON.</t>
  </si>
  <si>
    <t>INVERSIONES FERRECASA ATA, C.A.</t>
  </si>
  <si>
    <t>CONSTRUCTODO &amp; MAS, C.A.</t>
  </si>
  <si>
    <t>IMPERMEABILIZANTE EN POLVO PLUS+</t>
  </si>
  <si>
    <t>SILVIO FUGET</t>
  </si>
  <si>
    <t>JUAN CARLOS GUERRERO</t>
  </si>
  <si>
    <t>DANIEL PENZO</t>
  </si>
  <si>
    <t>CHS - CAL PREPARADA LIQUIDA (1 GAL)</t>
  </si>
  <si>
    <t>IMPERMEABILIZANTE PLUS</t>
  </si>
  <si>
    <t xml:space="preserve"> </t>
  </si>
  <si>
    <t xml:space="preserve">   </t>
  </si>
  <si>
    <t>CARLOS BERMUDEZ</t>
  </si>
  <si>
    <t>J-40768778-6</t>
  </si>
  <si>
    <t>HECTOR HERNANDEZ</t>
  </si>
  <si>
    <t>AVELINO MONTOYA</t>
  </si>
  <si>
    <t>CEMENTO BLANCO</t>
  </si>
  <si>
    <t>CAL LIQUIDA</t>
  </si>
  <si>
    <t>CHS - YESO - SACO 1 KG</t>
  </si>
  <si>
    <t>COSEIMPA, C. A.</t>
  </si>
  <si>
    <t>JUAN CARLOS PADRON</t>
  </si>
  <si>
    <t>0414-654.65.25</t>
  </si>
  <si>
    <t>JOSE ESCALONA</t>
  </si>
  <si>
    <t>0414-169.22.13</t>
  </si>
  <si>
    <t>DIBALCRO, C. A.</t>
  </si>
  <si>
    <t>J-40714614-9</t>
  </si>
  <si>
    <t>0269-246.39.06</t>
  </si>
  <si>
    <t>CALLE PIAR NRO. 52. PUNTA CARDON, ESTADO FALCON.</t>
  </si>
  <si>
    <t>FERRETERIA KABRECA, C. A.</t>
  </si>
  <si>
    <t>AV. OLLARVIDES CON CALLE PUBLICA - LOCAL N° 03. URB. PUERTA MARAVEN. PUNTO FIJO -  ESTADO FALCON.</t>
  </si>
  <si>
    <t>0269-248.72.14</t>
  </si>
  <si>
    <t>J-29375486-0</t>
  </si>
  <si>
    <t>CHS - CAL - SACO 1 KG</t>
  </si>
  <si>
    <t>CHS - CAL - SACO 3 KG</t>
  </si>
  <si>
    <t>FERRETERIA DON ANDRES, C. A.</t>
  </si>
  <si>
    <t>0269-247.83.72</t>
  </si>
  <si>
    <t>INVERSIONES TENIAS, C. A.</t>
  </si>
  <si>
    <t>J-31223671-0</t>
  </si>
  <si>
    <t>0269-246.02.94</t>
  </si>
  <si>
    <t>AV. JUAN CRISOSTOMO FALCON, CC TEATRO JUDIBANA, NIVEL PB, LOCAL 28 URB. JUDIBANA, LOS TAQUES. EDO. FALCON.</t>
  </si>
  <si>
    <t>FERRETERIA FERREPECA, C. A.</t>
  </si>
  <si>
    <t>J-30031945-8</t>
  </si>
  <si>
    <t>0269-245.50.42</t>
  </si>
  <si>
    <t>CALLE PROVIDENCIA, N° 30, SECTOR CAJA DE AGUA, PUNTO FIJO, EDO. FALCON.</t>
  </si>
  <si>
    <t>FERRETERIA IMAN PARAGUANA</t>
  </si>
  <si>
    <t>JUSAMA INVERSIONES, C.A</t>
  </si>
  <si>
    <t>J-40138590-7</t>
  </si>
  <si>
    <t>0268-2510658</t>
  </si>
  <si>
    <t>AV. ROMULO GALLEGOS EDIF. COMERCIAL MARIO, AL LADO DEL SHOPPING CENTER, CORO EDO FALCON</t>
  </si>
  <si>
    <t>0424-1742677</t>
  </si>
  <si>
    <t>AV. TIRSO SALAVERRIA ENTRE CALLE GARCES Y AV. INDEPENDECIA CC AMADO NIVEL PB, LOCAL2, ZONA COMERCIAL</t>
  </si>
  <si>
    <t>FERREREPUESTOS AGUILA, C.A</t>
  </si>
  <si>
    <t>EDGAR HERNANDEZ</t>
  </si>
  <si>
    <t>INVERSIONES YONHALG, C. A.</t>
  </si>
  <si>
    <t>J-29818188-5</t>
  </si>
  <si>
    <t>0268-277.34.84</t>
  </si>
  <si>
    <t>CALLE TRANSVERSAL 6 ENTRE 6 Y 1, CASA NRO. 18, URB. ARISTIDE CALVANIS, SANTA ANA DE CORO, EDO. FALCON.</t>
  </si>
  <si>
    <t>INDUSTRIAS Y CONSTRUCCIONES DE VENEZUELA, S.A.</t>
  </si>
  <si>
    <t>J-07039533-8</t>
  </si>
  <si>
    <t>0261-792.49.44</t>
  </si>
  <si>
    <t>AV. 3-E TORRE EMPRESARIAL CLARET, PISO 9, OFICINA N°9-06, MARACAIBO, EDO. ZULIA.</t>
  </si>
  <si>
    <t>X</t>
  </si>
  <si>
    <t>SERVIMACA</t>
  </si>
  <si>
    <t>CREPUSCULO 1527 GRILL Y BAR, C.A</t>
  </si>
  <si>
    <t>J-40437553-8</t>
  </si>
  <si>
    <t>CC. COSTA AZUL, 2do PISO LOCAL PT-05-01, SANTA ANA DE CORO, EDO. FALCON</t>
  </si>
  <si>
    <t>FERRE CONSTRUCA, C. A.</t>
  </si>
  <si>
    <t>LOS NIETOS DE ANGELO SRL.</t>
  </si>
  <si>
    <t>AV. PASEO DEL ZULIA, C/ESQ. PRINCIPAL EDIFICIO MARLUG, SECTOR CUJICANA, PUNTO FIJO. EDO FALCON</t>
  </si>
  <si>
    <t>J-40185228-9</t>
  </si>
  <si>
    <t>0269-416.84.80</t>
  </si>
  <si>
    <t>0268-253.68.81</t>
  </si>
  <si>
    <t>CALLE PIAR CASA NRO 55, SECTOR PUNTA CARDON. EDO. FALCON.</t>
  </si>
  <si>
    <t>J-3091305-2</t>
  </si>
  <si>
    <t>0424-606.81.98</t>
  </si>
  <si>
    <t>FERRETODO MIMILA F.P ( NOHEMY A. GOMEZ C.)</t>
  </si>
  <si>
    <t>V-11138257-0</t>
  </si>
  <si>
    <t>0268-2511485</t>
  </si>
  <si>
    <t>CALLE FALCON ENTRE COLINA E ITURBE, Nro3, CORO EDO FALCON</t>
  </si>
  <si>
    <t>COMERCIAL HERMANOS FARAH DE PARAGUANA, C. A.</t>
  </si>
  <si>
    <t>J-40101356-2</t>
  </si>
  <si>
    <t>CALLE ARISMENDI E/AV BOLIVAR Y COLOMBIA, LOCAL S/N, SECTOR CENTRO DE PTO FIJO, EDO FALCON PUNTO FIJO FALCON ZONA POSTAL 4102.</t>
  </si>
  <si>
    <t>IMPORTADORA ILUMIFER, C. A.</t>
  </si>
  <si>
    <t>J-401231738-3</t>
  </si>
  <si>
    <t>AV. OLLARVIDES E/ESCUQUE Y CEUCA LOCAL NRO S/N SECTOR PUERTA MARAVEN - PTA CARDON, EDO FALCON. PUNTA CARDON FALCON ZONA POSTAL 4154.</t>
  </si>
  <si>
    <t>PELON FERRECASA</t>
  </si>
  <si>
    <t>LUIS PARRA</t>
  </si>
  <si>
    <t>COSEIMPA CORO, C. A.</t>
  </si>
  <si>
    <t>J-31424365-9</t>
  </si>
  <si>
    <t>SIDERFLEX, C.A. (SUCURSAL)</t>
  </si>
  <si>
    <t>FER-CAR'S, C. A.</t>
  </si>
  <si>
    <t>J-30551006-7</t>
  </si>
  <si>
    <t>0416-162.24.04</t>
  </si>
  <si>
    <t>AV. OLLARVIDES, ESQ. DABAJURO, C. C. MANAURE LOCAL 1. PUERTA MARAVEN, EDO. FALCON.</t>
  </si>
  <si>
    <t>CONCRETERA FALCON, C. A.</t>
  </si>
  <si>
    <t>J-08501502-7</t>
  </si>
  <si>
    <t>0269-245.80.54</t>
  </si>
  <si>
    <t>AV. RAFAEL GONZALEZ ESQUINA LOS CLAVELES LOCAL S/N SECTOR CUJICANA, PUNTO FIJO. EDO. FALCON.</t>
  </si>
  <si>
    <t>FERRO MATERIALES FALCON,C.A</t>
  </si>
  <si>
    <t>J-08513690-8</t>
  </si>
  <si>
    <t>CALLE BOLIVAR LOCAL NRO 90-190, SECTOR CENTRO PUNTO FIJO,  FALCON</t>
  </si>
  <si>
    <t>ARAGUA</t>
  </si>
  <si>
    <t>CHS - BASE RENDIDORA PINTURA (1,25 KG)</t>
  </si>
  <si>
    <t>CEMENTO BLCO 1K</t>
  </si>
  <si>
    <t>GRAFIADO 6K</t>
  </si>
  <si>
    <t>PASTA 0,75K</t>
  </si>
  <si>
    <t>PASTA PLUS 3K</t>
  </si>
  <si>
    <t>MACRO 100GR</t>
  </si>
  <si>
    <t>STYLOSA 85GR</t>
  </si>
  <si>
    <t>CAL LIQ. 1GAL</t>
  </si>
  <si>
    <t>YESO 1K</t>
  </si>
  <si>
    <t>CAL 1K</t>
  </si>
  <si>
    <t>BASE REND. 1K</t>
  </si>
  <si>
    <t>PEGO 7KG</t>
  </si>
  <si>
    <t>INVERSIONES FRESNO 2017, C.A</t>
  </si>
  <si>
    <t>J-40933448-1</t>
  </si>
  <si>
    <t>0416-6847711</t>
  </si>
  <si>
    <t>AV 01 CASA NRO 32, URB MOSEÑOR ITURRIZA CORO EDO FALCON</t>
  </si>
  <si>
    <t>DTODO GHANNAM IMPORT, C.A</t>
  </si>
  <si>
    <t>J-30558478-8</t>
  </si>
  <si>
    <t>0269-2480978</t>
  </si>
  <si>
    <t>CALLE MARIÑO ENTRE COLOMBIA Y ECUADOR EDIFICIO 112, PB. SECTOR CENTRO PUNTO FIJO EDO FALCON</t>
  </si>
  <si>
    <t>MUNDO FERRETERO PARAGUANA, C.A</t>
  </si>
  <si>
    <t>J-31654554-7</t>
  </si>
  <si>
    <t>0269-2451111</t>
  </si>
  <si>
    <t>CALLE PROLONGACION GIRARDOT LOCAL NRO. 241,  URB. SANTA IRENE PTO FIJO EDO FALCON</t>
  </si>
  <si>
    <t>FERREELECTRIC RUIMAR, C.A</t>
  </si>
  <si>
    <t>J-30612450-0</t>
  </si>
  <si>
    <t>0243-5534159</t>
  </si>
  <si>
    <t>CALLE CARARABOBO SUR #128, SANTA ROSA, MARACAY EDO ARAGUA</t>
  </si>
  <si>
    <t>PINTACOLOR, C.A</t>
  </si>
  <si>
    <t>J-31191930-9</t>
  </si>
  <si>
    <t>0268-2516578</t>
  </si>
  <si>
    <t>AV INDEPENDENCIA EDIF MAITURUMA LOCAL A</t>
  </si>
  <si>
    <t>NUMA MIRANDA</t>
  </si>
  <si>
    <t>JUAN CENTENO</t>
  </si>
  <si>
    <t>STYLOSA HIDROXIETIL (85 GR.)</t>
  </si>
  <si>
    <t>TIPO DE PAGO:</t>
  </si>
  <si>
    <t>PROVEEDORES INDUSTRIALES, C.A</t>
  </si>
  <si>
    <t>J-08507863-0</t>
  </si>
  <si>
    <t>0416-2661557</t>
  </si>
  <si>
    <t>CALLE C/AVDA. AEROPUERTO Y COROMOTO, LOCAL NRO. 3-B, SECTOR CAJA DE AGUA, PUNTO FIJO EDO FALCON</t>
  </si>
  <si>
    <t>ANALI RUIZ</t>
  </si>
  <si>
    <t>EFECTIVO</t>
  </si>
  <si>
    <t>0268-2511187
0414-684.32.05</t>
  </si>
  <si>
    <t>0414-684.38.58
0414-640.75.45</t>
  </si>
  <si>
    <t>0269-2451878</t>
  </si>
  <si>
    <t>0414-060.09.66
0412-791.97.92</t>
  </si>
  <si>
    <t>FERREHOGAR, C.A</t>
  </si>
  <si>
    <t>J-30245745-9</t>
  </si>
  <si>
    <t>AV. TIRSO SALAVARRIA, CORO EDO FALCON</t>
  </si>
  <si>
    <t>CHS - PEGO GRIS - SACO 10KG</t>
  </si>
  <si>
    <t>PEGO 10KG</t>
  </si>
  <si>
    <t>RODRIGUEZ Y CALDERON, C.A.</t>
  </si>
  <si>
    <t>J-31710299-1</t>
  </si>
  <si>
    <t>0424-6530227</t>
  </si>
  <si>
    <t>CENTRO COMERCIAL JUDIBANA LOCAL NRO 7 EDO FALCON</t>
  </si>
  <si>
    <t>CHS - POLVO DE MARMOL (10 KG)</t>
  </si>
  <si>
    <t>0268-252.83.70
0426-100.17.97</t>
  </si>
  <si>
    <t>ROMACA FERRETERIA, C.A</t>
  </si>
  <si>
    <t>J-312102330</t>
  </si>
  <si>
    <t>0424-6051241</t>
  </si>
  <si>
    <t xml:space="preserve">AV JACINTO LARA LOCAL S/N, SECTOR JOSEFA CAMEJO PTO FIJO EDO FALCON </t>
  </si>
  <si>
    <t>CONSTRUCCIONES INMOBILIARIAS EL CARDON, C.A</t>
  </si>
  <si>
    <t>J-40814235-0</t>
  </si>
  <si>
    <t>0268-2779417</t>
  </si>
  <si>
    <t>AV PRINCIPAL DE LAS CALDERAS EDIFICIO FERRETERIA EL CARDON PLANTA BAJA LOCAL 1 SECTOR LAS CALDERAS CORO EDO FALCON</t>
  </si>
  <si>
    <t>XAVIER CAMEL</t>
  </si>
  <si>
    <t>RALFHY BECERRIT</t>
  </si>
  <si>
    <t>LUIS ARTURO BRAVO</t>
  </si>
  <si>
    <t>FERRETERIA COLSI, C.A.</t>
  </si>
  <si>
    <t>J-40628194-8</t>
  </si>
  <si>
    <t>0269-245.29.82</t>
  </si>
  <si>
    <t>AV. ESTE CON CALLE LIBERTAD, S/N, SECTOR BELLA VISTA, PUNTO FIJO, EDO. FALCON.</t>
  </si>
  <si>
    <t>AV. PUMARUSA, E/C ZAMORA Y GARCES EDIF DON EDUARDO PISO PB LOCAL PB URB. SANTA IRENE. PTO FIJO. EDO FALCON.</t>
  </si>
  <si>
    <t>LAMINA YESO Y COCUIZA - 60 X 120</t>
  </si>
  <si>
    <t>LAMINA YESO Y COCUIZA - 60 X 60</t>
  </si>
  <si>
    <t>CHS - CEMENTO BLANCO - SACO 4,5 KG</t>
  </si>
  <si>
    <t>CEDAIN-UNEFM</t>
  </si>
  <si>
    <t>BARRETO</t>
  </si>
  <si>
    <t>CHS - SISAL DE COCUIZA - 1KG</t>
  </si>
  <si>
    <t>CHS - MEZCLILLA - SACO 7KG</t>
  </si>
  <si>
    <t>INVERSIONES BERAKA PARAGUANA, C. A.</t>
  </si>
  <si>
    <t>J-29914613-7</t>
  </si>
  <si>
    <t>AV. OLLARVIDES, ESQ. DABAJURO, C. C. MANAURE LOCAL 1A-5. PUERTA MARAVEN, EDO. FALCON.</t>
  </si>
  <si>
    <t>FERRETERIA BATISTA, S. A.</t>
  </si>
  <si>
    <t>J-00184657-3</t>
  </si>
  <si>
    <t>0424-602.98.13</t>
  </si>
  <si>
    <t>AV. INDEPENDENCIA N° 204, CORO, EDO. FALCON.</t>
  </si>
  <si>
    <t>CARLOS CHIRINOS</t>
  </si>
  <si>
    <t>GUIDO FERMIN</t>
  </si>
  <si>
    <t>TASA</t>
  </si>
  <si>
    <t>MADERAS HEYLIGER, C.A.</t>
  </si>
  <si>
    <t>J-40572257-6</t>
  </si>
  <si>
    <t>0424-696-13.79</t>
  </si>
  <si>
    <t>LAS CALDERAS, VIA EL TUBO #7.</t>
  </si>
  <si>
    <t>ILUMI HOGAR, C. A.</t>
  </si>
  <si>
    <t>CHS - PEGA PLUS - SACO 15KG</t>
  </si>
  <si>
    <t>PEGA PLUS 15KG</t>
  </si>
  <si>
    <t>CHS - PIEDRA PICADA FINA - SACO 15KG</t>
  </si>
  <si>
    <t>TECNO BALDOSAS Y PROYECTOS, C. A. (TEBPROCA)</t>
  </si>
  <si>
    <t>J-31511010-5</t>
  </si>
  <si>
    <t>AV. BELLA VISTA E/C GARCES Y MARIÑO EDIF. S/N PISO P.B. LOCAL S/N URB. SANTA IRENE, PUNTO FIJO FALCON ZONA POSTAL 4102.</t>
  </si>
  <si>
    <t>TOTAL BS.</t>
  </si>
  <si>
    <t>MARIO GARCIA</t>
  </si>
  <si>
    <t>CHS - CONCRE PLUS - SACO 15KG</t>
  </si>
  <si>
    <t>CONCRE PLUS 15KG</t>
  </si>
  <si>
    <t>ALEXANDRA GUANIPA</t>
  </si>
  <si>
    <t>V-13496681-1</t>
  </si>
  <si>
    <t>0414-657.38.25</t>
  </si>
  <si>
    <t>LAS MARGARITAS</t>
  </si>
  <si>
    <t>JORGE BECERRA</t>
  </si>
  <si>
    <t>MARIFLOR CHIRINOS</t>
  </si>
  <si>
    <t>DISTRIBUIDORA FEMACO 2019, C. A.</t>
  </si>
  <si>
    <t>RUTH ALVAREZ</t>
  </si>
  <si>
    <t>J-31741154-4</t>
  </si>
  <si>
    <t>CALLE GIRARDOT EDIF S/N PISO 01. LOCAL S/N URB SANTA IRENE. PUNTO FIJO ZONA POSTAL 4102</t>
  </si>
  <si>
    <t>IMPORTADORA ASSIA YOUSSEF, C.A.</t>
  </si>
  <si>
    <t>0414-690.07.15</t>
  </si>
  <si>
    <t>NORALIA BRACHO</t>
  </si>
  <si>
    <t>ELECTRODOS 6013 1/8 (3.2mm) - 1KG - BS</t>
  </si>
  <si>
    <t>ELECTRODOS 6013 3/32 (2.4mm) - 1KG - BS</t>
  </si>
  <si>
    <t>ELECTRODOS 7018 1/8 (3.2mm) - 1KG - BS</t>
  </si>
  <si>
    <t>DISCO CORTE P/METAL 7" - BS</t>
  </si>
  <si>
    <t>ELECTRODOS 6013 1/8 (3.2mm) - 1KG - USD</t>
  </si>
  <si>
    <t>ELECTRODOS 6013 3/32 (2.4mm) - 1KG - USD</t>
  </si>
  <si>
    <t>ELECTRODOS 7018 1/8 (3.2mm) - 1KG - USD</t>
  </si>
  <si>
    <t>DISCO CORTE P/METAL 7" - USD</t>
  </si>
  <si>
    <t>CHS - PEGO GRIS - SACO 15KG</t>
  </si>
  <si>
    <t>ALEJANDRO MALCHIODI</t>
  </si>
  <si>
    <t>DISCO CORTE P/METAL 7" EXTRA FINO - BS</t>
  </si>
  <si>
    <t>DISCO CORTE P/METAL 7" EXTRA FINO - USD</t>
  </si>
  <si>
    <t>LAURA FONSECA</t>
  </si>
  <si>
    <t>DISCO CORTE P/METAL 4 1/2" - USD</t>
  </si>
  <si>
    <t>DISCO CORTE P/METAL 4 1/2" - BS</t>
  </si>
  <si>
    <t>VIDRIO PARA CARETA BLANCO - USD</t>
  </si>
  <si>
    <t>VIDRIO PARA CARETA BLANCO - BS</t>
  </si>
  <si>
    <t>MACROFIBRA TEREFTALATO DIMETILO (100 GR)</t>
  </si>
  <si>
    <t>CHS - CONCRETO LISTO SACO SIN ETIQUETA DE 55KG</t>
  </si>
  <si>
    <t>PRODUCTOS</t>
  </si>
  <si>
    <t>PRECIOS EN $</t>
  </si>
  <si>
    <t>OTRA LOCALIDAD</t>
  </si>
  <si>
    <t>CREDITO</t>
  </si>
  <si>
    <t>PASTA 3KG</t>
  </si>
  <si>
    <t>TAPA GRIETA 0,75KG</t>
  </si>
  <si>
    <t>GRAFIADO 6KG</t>
  </si>
  <si>
    <t>BASE RENDIDORA 1,25KG</t>
  </si>
  <si>
    <t>CAL 3KG</t>
  </si>
  <si>
    <t>CAL 1KG</t>
  </si>
  <si>
    <t>YESO 1KG</t>
  </si>
  <si>
    <t>CEMENTO BLANCO 4,5 KG</t>
  </si>
  <si>
    <t>MEZCLILLA 7 KG</t>
  </si>
  <si>
    <t>CONCRE PLUS</t>
  </si>
  <si>
    <t xml:space="preserve">NOTA DE ENTREGA </t>
  </si>
  <si>
    <t>SOMOS TRANQUILIDAD Y CONFIANZA PARA TI..!</t>
  </si>
  <si>
    <t>Santa Ana de Coro:</t>
  </si>
  <si>
    <t>2019</t>
  </si>
  <si>
    <t>RIF</t>
  </si>
  <si>
    <t xml:space="preserve">Télefono: </t>
  </si>
  <si>
    <t>Microfibra de Polipropileno de 100Gr.</t>
  </si>
  <si>
    <t>Macrofibra de Polipropileno de 100Gr.</t>
  </si>
  <si>
    <t>Microfibra de Polipropileno de 100Gr. (dcto)</t>
  </si>
  <si>
    <t>Macrofibra de Polipropileno de 100Gr. (dcto)</t>
  </si>
  <si>
    <t>Microfibra de Polipropileno de 500Gr.</t>
  </si>
  <si>
    <t>Microfibra de Polipropileno de 20Kg.</t>
  </si>
  <si>
    <t>SUB TOTAL Bs.</t>
  </si>
  <si>
    <t>TOTAL Bs.</t>
  </si>
  <si>
    <t>0268-2527721
   0414-684.24.20</t>
  </si>
  <si>
    <t>0424-6729724</t>
  </si>
  <si>
    <t>AV. INTERCOMUNAL CORO LA VELA EDIF COSEIMPA PISO 1 LOCAL COSEIMPA SECTOR SABANA LARGA MCPIO COLINA EDO FALCON.</t>
  </si>
  <si>
    <t>NOTA: Para el pago en BsS. por Favor Emplear tasa de dollar today según la ultima actualiación del día de su Pago.</t>
  </si>
  <si>
    <t>CHS - DOLOMITA/TALCO INDUSTRIAL - SACO 5KG</t>
  </si>
  <si>
    <t>|</t>
  </si>
  <si>
    <t>IVA (16%) Bs.</t>
  </si>
  <si>
    <t>CHS- CONCRE PLUS (Saco abierto sin etiqueta de 30kg)</t>
  </si>
  <si>
    <t>CHS- PEGA PLUS (Saco abierto sin etiqueta de 30kg)</t>
  </si>
  <si>
    <t>Total Bs.</t>
  </si>
  <si>
    <t>0414-602-9566</t>
  </si>
  <si>
    <t>PUEBLO CUMAREBO, SECTOR WINI, CALLE UNICA, CASA S/N</t>
  </si>
  <si>
    <t>V-15458990-9</t>
  </si>
  <si>
    <t>ROSMERY COROMOTO LUGO FERRER</t>
  </si>
  <si>
    <t>04</t>
  </si>
  <si>
    <t>ORDEN NRO.: 00000050</t>
  </si>
  <si>
    <t>GUIA DE TRASLADO CORO-CUMAREBO</t>
  </si>
  <si>
    <t>CHS- PEGO - SACO 10KG</t>
  </si>
  <si>
    <t>0412-2891758</t>
  </si>
  <si>
    <t>TERRAZA DEL CLUB DE GOLF, MARAVEN, EDO. FALCON</t>
  </si>
  <si>
    <t>CHS CONSTRUCCIONES Y MATERIALES C.A.-PUNTO FIJO</t>
  </si>
  <si>
    <t>GUIA DE TRASLADO CORO-PUNTO FIJO</t>
  </si>
  <si>
    <t>CHS- PEGO - SACO 7 KG</t>
  </si>
  <si>
    <t>FERREREPUESTOS EUROVEN C.A.</t>
  </si>
  <si>
    <t>J401178138</t>
  </si>
  <si>
    <t>AV. PROLONGACION GIRARDOT EDIF GRUPO TEMPUS PISO 1 LOCAL 03 SECTOR SANTA IRENE, PTO. FIJO EDO FALCON ZONA POSTAL 4102</t>
  </si>
  <si>
    <t>XIOMARA DEL CARMEN YOBERA</t>
  </si>
  <si>
    <t>BIG CENTER PARAGUANA,C.A</t>
  </si>
  <si>
    <t>J407427806</t>
  </si>
  <si>
    <t>CALLE PROGRESO ESQUINA AVENIDA COLOMBIA EDIF SOUSA II PISO P/B LOCAL 1 SECTOR CENTRO PUNTO FIJO FALCON ZONA POSTAL 4102</t>
  </si>
  <si>
    <t>CHS-YESO NACIONAL 1KG</t>
  </si>
  <si>
    <t>DISTRIBUIDORA ITALPIEZAS, C.A.</t>
  </si>
  <si>
    <t>J307187948</t>
  </si>
  <si>
    <t>CALLE PRINCIPAL C/AV PASEO DEL ZULIA EDIF. MARLUG PISO P/B LOCAL 1 Y 2</t>
  </si>
  <si>
    <t>URB. LOS ORUMOS AV. LOS ORUMOS, CORO EDO. FALCON</t>
  </si>
  <si>
    <t>0268-251.27.43  
0424-669.14.58</t>
  </si>
  <si>
    <t>EDUARDO VILLASANA</t>
  </si>
  <si>
    <t>TERMINAL BIG LOW CENTER VALENCIA EDO. CARABOBO.</t>
  </si>
  <si>
    <t xml:space="preserve">Total </t>
  </si>
  <si>
    <t xml:space="preserve">Precio Unitario </t>
  </si>
  <si>
    <t>STILOSA TIPO "A"</t>
  </si>
  <si>
    <t>CHS- PEGO - SACO 15KG</t>
  </si>
  <si>
    <t>CHS- PEGA PLUS - SACO 15KG</t>
  </si>
  <si>
    <t>CHS- CONCRE PLUS - SACO 15KG</t>
  </si>
  <si>
    <t>CHS- PASTA EN POLVO TIPO ESTUCO - SACO 3KG</t>
  </si>
  <si>
    <t>CHS- CEMENTO BLANCO - SACO 1KG</t>
  </si>
  <si>
    <t>CHS- CAL HIDRATADA - SACO 1KG</t>
  </si>
  <si>
    <t>CHS- STILOSA TIPO "A" - SACO 50GR</t>
  </si>
  <si>
    <t>CHS- MACROFIBRA- SACO 100GR</t>
  </si>
  <si>
    <t>FREDDY JOSE CHIRINO HENRRIQUEZ - C.I. 4.102.270 / CAMION, MARCA MERCEDES BENZ 711 COLOR BLANCO-PLACA-A55DE1G</t>
  </si>
  <si>
    <t>CAMBIO DEL DIA</t>
  </si>
  <si>
    <t>CORO - PUNTO FIJO</t>
  </si>
  <si>
    <t>CHS - GRAFIADO EN POLVO - SACO 15KG</t>
  </si>
  <si>
    <t>FERRE CERAMICAS FALCON, C.A.</t>
  </si>
  <si>
    <t>$</t>
  </si>
  <si>
    <t>´04122891758</t>
  </si>
  <si>
    <t xml:space="preserve"> STYLOSA HIDROXIETIL -MIXER- SACO 500GR</t>
  </si>
  <si>
    <t>CHS- STYLOSA HIDROXIETIL (85 GRAMOS)</t>
  </si>
  <si>
    <t>PUNTO FIJO, TERRAZAS DEL CLUB DE GOLF, MARABEN</t>
  </si>
  <si>
    <t>GRAFIADO 15KG</t>
  </si>
  <si>
    <t>PASTA 8KG</t>
  </si>
  <si>
    <t xml:space="preserve">ELTON ACOSTA </t>
  </si>
  <si>
    <t>INTERCOMUNAL CORO - LA VELA, URB. LAS MARBELLAS</t>
  </si>
  <si>
    <t>ESTYLOSA SANSUMG 50 GRS</t>
  </si>
  <si>
    <t>ESTYLOSA SANSUMG 100 GRS</t>
  </si>
  <si>
    <t>CHS - PASTA EN POLVO PLUS - SACO 8KG</t>
  </si>
  <si>
    <t>J-41215631-4</t>
  </si>
  <si>
    <t>AV. TIRSO SALAVARRIA CON AV. RAMON ANTONIO MEDINA-LOCAL S/N°, SECTOR LOS CLARITOS. CORO EDO FALCON</t>
  </si>
  <si>
    <t>INVERSIONES Y SERVICIOS TOTALES, C.A.</t>
  </si>
  <si>
    <t>J-29889580-2</t>
  </si>
  <si>
    <t>CARRETERA FALCON ZULIA, SECTOR KM7, CORO ESTADO FALCON</t>
  </si>
  <si>
    <t>WILMER PULIDO</t>
  </si>
  <si>
    <t>CORO-SECTOR CHIMPIRE</t>
  </si>
  <si>
    <t>KEITER CALCAÑO</t>
  </si>
  <si>
    <t>AV. RAMON ANTONIO MEDINA URB. VILLA BARILE</t>
  </si>
  <si>
    <t>FERRECOLORES CORO, C.A.</t>
  </si>
  <si>
    <t>J-50006106-4</t>
  </si>
  <si>
    <t>CHS- CAL HIDRATADA 1KG</t>
  </si>
  <si>
    <t>SF014</t>
  </si>
  <si>
    <t>SF030</t>
  </si>
  <si>
    <t>CHS - CAL - SACO 20 KG</t>
  </si>
  <si>
    <t>CHS - PINTURA IMPERMEABLE EN POLVO - SACO 10KG</t>
  </si>
  <si>
    <t>PINTURA IMPERMEABLE EN POLVO 10KG</t>
  </si>
  <si>
    <t xml:space="preserve">MACRO  FIBRA 100GR </t>
  </si>
  <si>
    <t xml:space="preserve">MICRO  FIBRA 100GR </t>
  </si>
  <si>
    <t>PRECIOS EN BS.</t>
  </si>
  <si>
    <t>PEGO 15KG</t>
  </si>
  <si>
    <t>MARIA ORTIZ</t>
  </si>
  <si>
    <t>CAL 20KG</t>
  </si>
  <si>
    <t>DAVID HURTADO</t>
  </si>
  <si>
    <t>PROMOCION</t>
  </si>
  <si>
    <t>NASE ARABE MERCADO VIEJO</t>
  </si>
  <si>
    <t>CENTRO HOLISTICO JM</t>
  </si>
  <si>
    <t>J-406027219</t>
  </si>
  <si>
    <t>0245-5648464/0414-4021770</t>
  </si>
  <si>
    <t>AV. BOLIVAR CRUCE CON IBARRA, CENTRO COMERCIAL SANTO DOMINGO, PISO Nro. 1, OFICINA 1A, GUACARA, EDO. CARABOBO</t>
  </si>
  <si>
    <t>J-29470005-5</t>
  </si>
  <si>
    <t>AV. LOS MEDANOS CON CALLE MIRANDA, EDIF. HAYMAR.</t>
  </si>
  <si>
    <t>AV INTERCOMUNAL ALI PRIMERA, ESQ. C/CALIFORNIA LOCAL  
   COSEIMPA NRO PB SECTOR CREOLANDIA JUDIBANA FALCON.</t>
  </si>
  <si>
    <t>IGLESIA SAN ANTONIO</t>
  </si>
  <si>
    <t>D&amp;H CONSTRUCCIONES C.A.</t>
  </si>
  <si>
    <t>J-40038456-7</t>
  </si>
  <si>
    <t>´04246483749</t>
  </si>
  <si>
    <t>CALLE MARACA ESQ. HECTOR M PEÑA, PUERTA MARAVEN</t>
  </si>
  <si>
    <t>TALCO INDUSTRIAL 5KG</t>
  </si>
  <si>
    <t>LUIS ATACHO</t>
  </si>
  <si>
    <t>IRIX HENRIQUEZ</t>
  </si>
  <si>
    <t>IVA 16% Bs.</t>
  </si>
  <si>
    <t xml:space="preserve"> SUB TOTAL Bs.</t>
  </si>
  <si>
    <t>PEDRO JORDAN</t>
  </si>
  <si>
    <t>CARRETERA MORON CORO- SECTOR GUAMACHO ESTACION DE SERVICIO BRISAS PIRITEÑAS</t>
  </si>
  <si>
    <t>CHS+IMPERMEABILIZANTE EN POLVO PLUS+(450GRS+120CC)</t>
  </si>
  <si>
    <t>NULA</t>
  </si>
  <si>
    <t>coro via los perozos</t>
  </si>
  <si>
    <t>CRISTIAN GONZALEZ</t>
  </si>
  <si>
    <t>CUCHARA</t>
  </si>
  <si>
    <t>JAVIER CEMENTO</t>
  </si>
  <si>
    <t>CARMEN MOLINA</t>
  </si>
  <si>
    <t>V-7.842.911</t>
  </si>
  <si>
    <t>AV. GUAJIRA VIA SAMBIL, DIAGONAL PREMIUM MOTORS, LOCAL ONTHEWAY MULTIEXPRESS. MARACAIBO- EDO. ZULIA</t>
  </si>
  <si>
    <t>I.V.A 16%</t>
  </si>
  <si>
    <t>SUB- TOTAL Bs.</t>
  </si>
  <si>
    <t>OSCAR MORENO</t>
  </si>
  <si>
    <t>JORGE PEREZ</t>
  </si>
  <si>
    <t>2021</t>
  </si>
  <si>
    <t>MIGUEL SILVA</t>
  </si>
  <si>
    <t>ALFREDO MARTINEZ</t>
  </si>
  <si>
    <t>CALLE LIBERTAD FRENTE A LA RADIO LA SIERRA</t>
  </si>
  <si>
    <t>AV. BUCHIVACOA- ALBAÑIL DE NASSE</t>
  </si>
  <si>
    <t>MIRIAM GONZALEZ</t>
  </si>
  <si>
    <t>PEGO BLANCO 15KG</t>
  </si>
  <si>
    <t>ROLANDO ZARRAGA</t>
  </si>
  <si>
    <t>OSWALDO MARTINEZ</t>
  </si>
  <si>
    <t>PRECIO EN USD</t>
  </si>
  <si>
    <t>MICRO 100GR</t>
  </si>
  <si>
    <t>STYLOSA "A" 50GR</t>
  </si>
  <si>
    <t>GRAFIADO 15K</t>
  </si>
  <si>
    <t>PASTA PLUS 8K</t>
  </si>
  <si>
    <t>PINT IMP 10K</t>
  </si>
  <si>
    <t>PEGO B 15K</t>
  </si>
  <si>
    <t>MONTO S/IVA - USD</t>
  </si>
  <si>
    <t>PRECIO EN BS</t>
  </si>
  <si>
    <t>MONTO S/IVA - BS</t>
  </si>
  <si>
    <t>STYLOSA TIPO A (50GR.)</t>
  </si>
  <si>
    <t>CHS - PEGO BLANCO - SACO 15KG</t>
  </si>
  <si>
    <t>VALENCIA</t>
  </si>
  <si>
    <t>GUACARA</t>
  </si>
  <si>
    <t>NRO</t>
  </si>
  <si>
    <t>SFACT</t>
  </si>
  <si>
    <t>MONEDA</t>
  </si>
  <si>
    <t>USD</t>
  </si>
  <si>
    <t>RELACION DE GASTOS Y COBROS</t>
  </si>
  <si>
    <t>SALDO MES ANTERIOR</t>
  </si>
  <si>
    <t>SALDO MES ACTUAL</t>
  </si>
  <si>
    <t>OPER. EN USD</t>
  </si>
  <si>
    <t>OPER. EN BS.</t>
  </si>
  <si>
    <t>TIPO OPER.</t>
  </si>
  <si>
    <t>TOTAL USD</t>
  </si>
  <si>
    <t>TOTAL BS</t>
  </si>
  <si>
    <t>TOTAL FACT. USD</t>
  </si>
  <si>
    <t>TOTAL FACT. BS</t>
  </si>
  <si>
    <t>TOTAL COBRO USD</t>
  </si>
  <si>
    <t>CXC USD</t>
  </si>
  <si>
    <t>TOTAL COBRO BS</t>
  </si>
  <si>
    <t>CXC BS</t>
  </si>
  <si>
    <t>RAY</t>
  </si>
  <si>
    <t>TOTAL</t>
  </si>
  <si>
    <t>FREDDY R. CH</t>
  </si>
  <si>
    <t>ENE</t>
  </si>
  <si>
    <t>FEB</t>
  </si>
  <si>
    <t>MAR</t>
  </si>
  <si>
    <t>ABR</t>
  </si>
  <si>
    <t>MAY</t>
  </si>
  <si>
    <t>JUN</t>
  </si>
  <si>
    <t>JUL</t>
  </si>
  <si>
    <t>AGO</t>
  </si>
  <si>
    <t>SEPT</t>
  </si>
  <si>
    <t>OCT</t>
  </si>
  <si>
    <t>NOV</t>
  </si>
  <si>
    <t>DIC</t>
  </si>
  <si>
    <t>LINDANY CASA ROCA</t>
  </si>
  <si>
    <t>COMERCIALIZADORA SAN BENITO</t>
  </si>
  <si>
    <t>IAN GONZALEZ</t>
  </si>
  <si>
    <t>EL RANCHO COLEADOR C.A.</t>
  </si>
  <si>
    <t>J-31385665-7</t>
  </si>
  <si>
    <t>CHS- PEGO BLANCO - SACO 15KG</t>
  </si>
  <si>
    <t>EIDER BUCARAL</t>
  </si>
  <si>
    <t>03</t>
  </si>
  <si>
    <t>ORDEN NRO.: 00000051</t>
  </si>
  <si>
    <t>STILOSA BLANCA 1/2 KG</t>
  </si>
  <si>
    <t>YESO NACIONAL SACO 10KG</t>
  </si>
  <si>
    <t>BOLSAS SIN AZA TRANSPARENTES DE 1KG</t>
  </si>
  <si>
    <t>BOLSAS DE CHS+CAL DE 1KG</t>
  </si>
  <si>
    <t>BOLSAS DE CHS+CEMENTO BLANCO DE 1KG</t>
  </si>
  <si>
    <t>BOLSAS DE CHS+ STYLOSA HIDROXIETIL 85GR</t>
  </si>
  <si>
    <t>BOLSAS DE CHS+ STYLOSA TIPO A 50GR</t>
  </si>
  <si>
    <t>BOLSAS DE CHS+ GRAFIADO EN POLVO DE 15KG</t>
  </si>
  <si>
    <t>BOLSAS DE CHS+ PASTA DE POLVO TIPO ESTUCO DE 3KG</t>
  </si>
  <si>
    <t>BOLSAS DE CHS+ PASTA DE POLVO TIPO ESTUCO DE 8KG</t>
  </si>
  <si>
    <t>GUIA DE TRASLADO -CORO - PUNTO FIJO</t>
  </si>
  <si>
    <t>GUIA DE TRASLADO - PUNTO FIJO - CORO</t>
  </si>
  <si>
    <t>CHS CONSTRUCCIONES Y MATERIALES C.A.</t>
  </si>
  <si>
    <t>AV. RAMON ANTONIO MEDINA URB. MONCHE SOTO #2, CORO, EDO. FALCON</t>
  </si>
  <si>
    <t>LEOPOLDO VANCED</t>
  </si>
  <si>
    <t>´04146259437</t>
  </si>
  <si>
    <t>CHS - PINTURA IMPERMEABLE - SACO 10KG</t>
  </si>
  <si>
    <t>JUAN CARLOS - FERREMACO</t>
  </si>
  <si>
    <t>IRIS PINTURA</t>
  </si>
  <si>
    <t>ING. GERMAN</t>
  </si>
  <si>
    <t>´04120613292</t>
  </si>
  <si>
    <t>LUIS ALEJANDRO MONTANA</t>
  </si>
  <si>
    <t>´04146854223</t>
  </si>
  <si>
    <t>CORO - MARACAIBO</t>
  </si>
  <si>
    <t>SR. PEROZO CAUJARAO</t>
  </si>
  <si>
    <t>´04246822160</t>
  </si>
  <si>
    <t>CHS-CEMENTO BLANCO - SACO 1KG</t>
  </si>
  <si>
    <t>´04140658286</t>
  </si>
  <si>
    <t>calle proyecto</t>
  </si>
  <si>
    <t>SAMUEL IGLESIA SANTO NIÑO</t>
  </si>
  <si>
    <t>´04265604626</t>
  </si>
  <si>
    <t>IGLESIA SANTO NIÑO</t>
  </si>
  <si>
    <t>´04120357311</t>
  </si>
  <si>
    <t>CORO-padre luis manuel</t>
  </si>
  <si>
    <t>´04160190988</t>
  </si>
  <si>
    <t>CHS - ESTUCO GRIS - SACO 12KG</t>
  </si>
  <si>
    <t>EST. GRIS 12K</t>
  </si>
  <si>
    <t>CHS- ESTUCO GRIS  - SACO 12KG</t>
  </si>
  <si>
    <t>MULTICONSTRUCCIONES Y EDIFICACIONES ROYGA, C.A.</t>
  </si>
  <si>
    <t>AV. OLLARVIDES, RESIDENCIAS ALEXANDER, LA PUERTA MARAVEN, PUNTO FIJO, EDO. FALCON</t>
  </si>
  <si>
    <t>J-40974799-3</t>
  </si>
  <si>
    <t>´0269-2463763</t>
  </si>
  <si>
    <t>MACRO 100GR: 1,12</t>
  </si>
  <si>
    <t>STYLOSA 85GR: 1,39</t>
  </si>
  <si>
    <t>PASTA PLUS 3K: 2,16</t>
  </si>
  <si>
    <t>PASTA 0,75K: 0,54</t>
  </si>
  <si>
    <t>IMPERMEABILIZANTE PLUS: 1,91</t>
  </si>
  <si>
    <t>CEMENTO BLCO 1K: 1,15</t>
  </si>
  <si>
    <t>CAL 1K: 0,7</t>
  </si>
  <si>
    <t>YESO 1K: 1,24</t>
  </si>
  <si>
    <t>PEGO 7KG: 1,52</t>
  </si>
  <si>
    <t>PEGO 10KG: 2,02</t>
  </si>
  <si>
    <t>PEGA PLUS 15KG: 1,97</t>
  </si>
  <si>
    <t>CONCRE PLUS 15KG: 2,14</t>
  </si>
  <si>
    <t>PEGO 15KG: 2,88</t>
  </si>
  <si>
    <t>PASTA PLUS 8K: 5</t>
  </si>
  <si>
    <t>PINT IMP 10K: 5,4</t>
  </si>
  <si>
    <t>MACRO 100GR: 1,17</t>
  </si>
  <si>
    <t>STYLOSA 85GR: 1,51</t>
  </si>
  <si>
    <t>PASTA PLUS 3K: 2,26</t>
  </si>
  <si>
    <t>PASTA 0,75K: 0,57</t>
  </si>
  <si>
    <t>GRAFIADO 6K: 2,06</t>
  </si>
  <si>
    <t>IMPERMEABILIZANTE PLUS: 2</t>
  </si>
  <si>
    <t>CEMENTO BLCO 1K: 1,2</t>
  </si>
  <si>
    <t>CAL 1K: 0,72</t>
  </si>
  <si>
    <t>YESO 1K: 1,3</t>
  </si>
  <si>
    <t>PEGO 7KG: 1,55</t>
  </si>
  <si>
    <t>PEGO 10KG: 2,07</t>
  </si>
  <si>
    <t>PEGA PLUS 15KG: 2,08</t>
  </si>
  <si>
    <t>CONCRE PLUS 15KG: 2,28</t>
  </si>
  <si>
    <t>PEGO 15KG: 2,95</t>
  </si>
  <si>
    <t>PASTA PLUS 8K: 5,24</t>
  </si>
  <si>
    <t>PINT IMP 10K: 5,65</t>
  </si>
  <si>
    <t>DIMACO 2021, C.A</t>
  </si>
  <si>
    <t>J-350090984-5</t>
  </si>
  <si>
    <t>CALLE SIERRALTA ENTRE CALLE MIRANDA Y CALLE NORTE, EDIF. SAN IGNACIO PISO PB, LOCAL 2, SECTOR PANTANO ABAJO, SANTA ANA DE CORO, FALCON</t>
  </si>
  <si>
    <t>0414-6519474</t>
  </si>
  <si>
    <t>DAVID FERRER</t>
  </si>
  <si>
    <t>´0412-6573229</t>
  </si>
  <si>
    <t>GITSSY PETIT</t>
  </si>
  <si>
    <t>´04146503732</t>
  </si>
  <si>
    <t>EGRESO</t>
  </si>
  <si>
    <t>Total Ventas:</t>
  </si>
  <si>
    <t>FERRETERIA MONTE ALTO F.E., C.A.</t>
  </si>
  <si>
    <t>`04146842420</t>
  </si>
  <si>
    <t>AV. TIRSO SALAVERRIA ENTRE CALLE GARCES Y AVENIDA INDEPENDENCIA, C.C. AMADO, NIVEL PB, LOCAL 02, SECTOR LOS TRES PLATOS, SANTA ANA DE CORO, FALCON</t>
  </si>
  <si>
    <t>POLIMIRANDA</t>
  </si>
  <si>
    <t>AV. BUCHIVACOA</t>
  </si>
  <si>
    <t>`04246966566</t>
  </si>
  <si>
    <t>CHS - CEMENTO GRIS - SACO 40KG</t>
  </si>
  <si>
    <t>CHS - CEMENTO GRIS - SACO 15KG</t>
  </si>
  <si>
    <t>CHS - PEGO GRIS DE 15KG</t>
  </si>
  <si>
    <t>BASE REND. 1K: 1,68</t>
  </si>
  <si>
    <t>CAL LIQ. 1GAL: 1,74</t>
  </si>
  <si>
    <t>GRAFIADO 15K: 4,31</t>
  </si>
  <si>
    <t>PEGO B 15K: 3,3</t>
  </si>
  <si>
    <t xml:space="preserve">EST. GRIS 12K: 5,87 </t>
  </si>
  <si>
    <t>GRAFIADO 6K: 1,97</t>
  </si>
  <si>
    <t>BASE REND. 1K: 1,55</t>
  </si>
  <si>
    <t>CAL LIQ. 1GAL: 1,66</t>
  </si>
  <si>
    <t>GRAFIADO 15K: 4,19</t>
  </si>
  <si>
    <t>PEGO B 15K: 3,25</t>
  </si>
  <si>
    <t>BS</t>
  </si>
  <si>
    <t>GOLLO</t>
  </si>
  <si>
    <t>CRISTIAN</t>
  </si>
  <si>
    <t>JESUS ATACHO</t>
  </si>
  <si>
    <t>CEMENTO</t>
  </si>
  <si>
    <t>J-412599445</t>
  </si>
  <si>
    <t>0412-6662063</t>
  </si>
  <si>
    <t>AV. PINTO SALINAS, ENTRE GARCES Y CALLE PURURECHE, SECTOR BOBARE, CORO, EDO. FALCON</t>
  </si>
  <si>
    <t>INVERSIONES FONSECA BLOCKS, C.A.</t>
  </si>
  <si>
    <t>STYLOSA "A" 50GR: 2,39</t>
  </si>
  <si>
    <t>RICHARD PEREZ</t>
  </si>
  <si>
    <t>ING. EDICKSON MANZANO</t>
  </si>
  <si>
    <t>`04121665244</t>
  </si>
  <si>
    <t>MIRIAN DIAZ</t>
  </si>
  <si>
    <t>`04146872019</t>
  </si>
  <si>
    <t>PESOS</t>
  </si>
  <si>
    <t>CARITAS CORO</t>
  </si>
  <si>
    <t>`04268819007</t>
  </si>
  <si>
    <t>ING. BETTY PUERTA</t>
  </si>
  <si>
    <t>`04267687024</t>
  </si>
  <si>
    <t>INFALCOSTA</t>
  </si>
  <si>
    <t>J-304503199</t>
  </si>
  <si>
    <t>`04165031853</t>
  </si>
  <si>
    <t>MONTECANO-VIA SAN JOSE DE COCODITE-MUNICIPIO FALCON PARAGUANA</t>
  </si>
  <si>
    <t>CTAS / COBRAR</t>
  </si>
  <si>
    <t>ING. GERMAN GONZALEZ</t>
  </si>
  <si>
    <t>`04120613292</t>
  </si>
  <si>
    <t>BONO GERENCIAL X COBRAR</t>
  </si>
  <si>
    <t>`04146879103</t>
  </si>
  <si>
    <t>CORO- las uegenias</t>
  </si>
  <si>
    <t>PEDRO GRAFIADOR</t>
  </si>
  <si>
    <t>`04127648060</t>
  </si>
  <si>
    <t>CHS- IMPERMEABILIZANTE EN POLVO - SACO 450GRS</t>
  </si>
  <si>
    <t>GABRIEL CODICIDO</t>
  </si>
  <si>
    <t>`04146096805</t>
  </si>
  <si>
    <t>`04146514503</t>
  </si>
  <si>
    <t>`04168642242</t>
  </si>
  <si>
    <t>ENYERBERTH FORNELINO FERRETERIA FORNE E, F.P.</t>
  </si>
  <si>
    <t>V-266269656</t>
  </si>
  <si>
    <t>CALLE ZAMORA ENTRE PRISCA Y CALLEJON CHEVROLETH LOCAL NRO. S/N SECTOR CENTRO, SANTA ANA DE CORO, FALCON</t>
  </si>
  <si>
    <t>`04127677144</t>
  </si>
  <si>
    <t>JHONATHAN ALVARADO</t>
  </si>
  <si>
    <t>V-13645037</t>
  </si>
  <si>
    <t>`04127514925</t>
  </si>
  <si>
    <t>CHS- ESTILOSA HIDROXIETIL- 85GRS</t>
  </si>
  <si>
    <t>CHS-ESTILOSA TIPO A-50GRS</t>
  </si>
  <si>
    <t>CHS- PASTA EN POLVO TIPO ESTUCO - SACO 8KG</t>
  </si>
  <si>
    <t>JUAN CARLOS  MATUTE RAGA</t>
  </si>
  <si>
    <t>V-12182946</t>
  </si>
  <si>
    <t>`04126438694</t>
  </si>
  <si>
    <t>URB. LAS DELICIAS</t>
  </si>
  <si>
    <t>CHS- PEGO BLANCO- SACO 15KG</t>
  </si>
  <si>
    <t>CHS- ESTUCO GRIS - SACO 10KG</t>
  </si>
  <si>
    <t>CHS-MACROFIBRA DE TEREFTALATO - SACO 100GRS</t>
  </si>
  <si>
    <t>CHS-CAL - SACO 1KG</t>
  </si>
  <si>
    <t>INVERSIONES FRANERC, C.A.</t>
  </si>
  <si>
    <t>J-400775442</t>
  </si>
  <si>
    <t>CTRA INTERCOMUNAL CORO LA VELA, LOCAL NRO. 02, URB. VILLA LA PAZ, CALLE PRINCIPAL, SANTA ANA DE CORO, FALCON, ZONA POSTAL 4101</t>
  </si>
  <si>
    <t>`04120668183</t>
  </si>
  <si>
    <t>RB MONTECANO, VIA SAN JOSE DE COCODITE, PARAGUANA, FALCON</t>
  </si>
  <si>
    <t>`04146844759</t>
  </si>
  <si>
    <t>11</t>
  </si>
  <si>
    <t>CHS-pego blanco 15kg</t>
  </si>
  <si>
    <t>CHS-ZENCELLOSE-25KG</t>
  </si>
  <si>
    <t>1INVERSIONES FRANERC, C.A.MACROFIBRA TEREFTALATO DE DIMETILO (100 GR)</t>
  </si>
  <si>
    <t>1INVERSIONES FRANERC, C.A.CHS - PINTURA IMPERMEABLE - SACO 10KG</t>
  </si>
  <si>
    <t>PARTICULAR</t>
  </si>
  <si>
    <t>OSMARY MAMA OSCAR</t>
  </si>
  <si>
    <t>`04146835072</t>
  </si>
  <si>
    <t>MICRO 100GR: 1,8</t>
  </si>
  <si>
    <t>EST. GRIS 12K: 5,6</t>
  </si>
  <si>
    <t>MICRO 100GR: 1,89</t>
  </si>
  <si>
    <t>STYLOSA "A" 50GR: 2,5</t>
  </si>
  <si>
    <t>CHS-CEMENTO BLANCO - SACO 4,5KG</t>
  </si>
  <si>
    <t>`04246182777</t>
  </si>
  <si>
    <t>CALLE 4 URB. CRUZ VERDE-CORO-FALCON</t>
  </si>
  <si>
    <t>JONATHAN PEROZO</t>
  </si>
  <si>
    <t>V-19617421-5</t>
  </si>
  <si>
    <t>DESCUENTO</t>
  </si>
  <si>
    <t>TOTAL PAGAR</t>
  </si>
  <si>
    <t>SUB -TOTAL</t>
  </si>
  <si>
    <t>CHS- GRAFIADO EN POLVO - SACO 15KG</t>
  </si>
  <si>
    <t>FRANCO GONZALEZ</t>
  </si>
  <si>
    <t>`04121708432</t>
  </si>
  <si>
    <t>PABLO MARQUEZ</t>
  </si>
  <si>
    <t>V-7.083.157</t>
  </si>
  <si>
    <t>CALLE MIRAMAR, SECTOR SAN JOSE OBRERO. CASA S/N.-CUMBOTO, PTO. CUMAREBO-FALCON</t>
  </si>
  <si>
    <t>RAY  PEREZ</t>
  </si>
  <si>
    <t>1FERRETERIA MONTE ALTO F.E., C.A.CHS - ESTUCO GRIS - SACO 12KG</t>
  </si>
  <si>
    <t>1INVERSIONES FONSECA BLOCKS, C.A.CHS - ESTUCO GRIS - SACO 12KG</t>
  </si>
  <si>
    <t>1INVERSIONES FONSECA BLOCKS, C.A.CHS - PEGO GRIS - SACO 15KG</t>
  </si>
  <si>
    <t>1OSWALDO MARTINEZCHS - PASTA EN POLVO PLUS - SACO 8KG</t>
  </si>
  <si>
    <t>1OSWALDO MARTINEZCHS - PEGO GRIS - SACO 15KG</t>
  </si>
  <si>
    <t>1OSWALDO MARTINEZSTYLOSA TIPO A (50GR.)</t>
  </si>
  <si>
    <t>1ENYERBERTH FORNELINO FERRETERIA FORNE E, F.P.CHS - PINTURA IMPERMEABLE - SACO 10KG</t>
  </si>
  <si>
    <t>1INVERSIONES FONSECA BLOCKS, C.A.CHS - CEMENTO BLANCO - SACO 1 KG</t>
  </si>
  <si>
    <t>SFC-1121-032</t>
  </si>
  <si>
    <t>CHS - TALCO INDUSTRIAL - SACO 15KG</t>
  </si>
  <si>
    <t>CHS-YESO - SACO 1KG</t>
  </si>
  <si>
    <t>1COSEIMPA CORO, C. A.CHS - PINTURA IMPERMEABLE - SACO 10KG</t>
  </si>
  <si>
    <t>ALCIDES CAMACHO</t>
  </si>
  <si>
    <t>ISMAEL SALMAN</t>
  </si>
  <si>
    <t>´04127514979</t>
  </si>
  <si>
    <t>URB. INDEPENDENCIA CUARTA ETAPA, CORO-FALCON</t>
  </si>
  <si>
    <t>`04246973882</t>
  </si>
  <si>
    <t>VIA LOS PEROZO, CORO-FALCON</t>
  </si>
  <si>
    <t>ANGEL MAIOLINO</t>
  </si>
  <si>
    <t>`04246898815</t>
  </si>
  <si>
    <t>MAMA</t>
  </si>
  <si>
    <t>MEDICINAS</t>
  </si>
  <si>
    <t>ANIEL CALDERON</t>
  </si>
  <si>
    <t>`04146826600</t>
  </si>
  <si>
    <t>1DISTRIBUIDORA DISMACONR, C.A.MACROFIBRA TEREFTALATO DE DIMETILO (100 GR)</t>
  </si>
  <si>
    <t>1INVERSIONES FONSECA BLOCKS, C.A.CHS - PASTA EN POLVO PLUS - SACO 8KG</t>
  </si>
  <si>
    <t>1ALCIDES CAMACHOCHS - PINTURA IMPERMEABLE - SACO 10KG</t>
  </si>
  <si>
    <t>1FERRETERIA MONTE ALTO F.E., C.A.CHS - CEMENTO BLANCO - SACO 1 KG</t>
  </si>
  <si>
    <t>1FERRETERIA MONTE ALTO F.E., C.A.CHS - CAL PREPARADA LIQUIDA (1 GAL)</t>
  </si>
  <si>
    <t>1ANIEL CALDERONMACROFIBRA TEREFTALATO DE DIMETILO (100 GR)</t>
  </si>
  <si>
    <t>MAMAMEDICINAS</t>
  </si>
  <si>
    <t>JAVI FONSECA</t>
  </si>
  <si>
    <t>JAVI EFREN CHIRINOS</t>
  </si>
  <si>
    <t>INVERSIONES ALEXANDER N C.A.</t>
  </si>
  <si>
    <t>SFC-0122-018</t>
  </si>
  <si>
    <t>V-30.400.700</t>
  </si>
  <si>
    <t>`04263246877</t>
  </si>
  <si>
    <t>CALLE MAPARARI CON RAMON ANTONIO MEDINA, SECTOR BOBARE</t>
  </si>
  <si>
    <t>J-413151421</t>
  </si>
  <si>
    <t>`04246244167</t>
  </si>
  <si>
    <t>CALLE ROMULO GALLEGOZ ENTRE COLON Y GUITIERREZ, CASA NRO. S/N SECTOR SAN JOSE. CORO. SAN ANTONIO. FALCON</t>
  </si>
  <si>
    <t>ROBERT BARROETA</t>
  </si>
  <si>
    <t>ARIES MINI MARKET, C.A.</t>
  </si>
  <si>
    <t>`04143685475</t>
  </si>
  <si>
    <t>URB. AMPIES</t>
  </si>
  <si>
    <t>J-410958812</t>
  </si>
  <si>
    <t>`04246518836</t>
  </si>
  <si>
    <t>CALLE FALCON CON CALLE GONZALEZ CASA NRO. S/N, SECTOR CENTRO DE LA VELA DE CORO, LA VELA DE CORO, FALCON, ZONA POSTAL 4101</t>
  </si>
  <si>
    <t>SFC-0122-006</t>
  </si>
  <si>
    <t>SFC-0122-014</t>
  </si>
  <si>
    <t>SFC-0122-019</t>
  </si>
  <si>
    <t>SFC-0122-020</t>
  </si>
  <si>
    <t>SFC-0122-021</t>
  </si>
  <si>
    <t>SFC-0122-023</t>
  </si>
  <si>
    <t>SFC-0122-024</t>
  </si>
  <si>
    <t>SFC-0122-025</t>
  </si>
  <si>
    <t>SFC-0122-028</t>
  </si>
  <si>
    <t>SFC-0122-029</t>
  </si>
  <si>
    <t>SFC-0122-031</t>
  </si>
  <si>
    <t>RADIOGRAFIA + ANALGESICOS</t>
  </si>
  <si>
    <t>INGRESO</t>
  </si>
  <si>
    <t>SFC-0222-002</t>
  </si>
  <si>
    <t>SFC-0222-003</t>
  </si>
  <si>
    <t>COMPRA DE 40 SACOS DE CEMENTO A GRANEL 40KGS A 5$</t>
  </si>
  <si>
    <t>FLETE CAL</t>
  </si>
  <si>
    <t>FLETE PUERTO CABELLO CAL Y DOLOMITA 8000KGS</t>
  </si>
  <si>
    <t>MAMA-ALMACEN</t>
  </si>
  <si>
    <t>MAMA, RITA, SEMANA ALMACEN</t>
  </si>
  <si>
    <t>ISVI</t>
  </si>
  <si>
    <t>PAGO DE NOMINA MAÑANA Y TARDE DEL 31-01 AL 06-02-22</t>
  </si>
  <si>
    <t>ENFERMO</t>
  </si>
  <si>
    <t>02</t>
  </si>
  <si>
    <t>2022</t>
  </si>
  <si>
    <t>SFC-0222-008</t>
  </si>
  <si>
    <t>FLETE ESTILOSA</t>
  </si>
  <si>
    <t>FLETE ESTILOSA MARACAIBO</t>
  </si>
  <si>
    <t>FERRETERIA ALEXANDER JESUS COLINA MATOS</t>
  </si>
  <si>
    <t>V-15702033-8</t>
  </si>
  <si>
    <t>`04246717371</t>
  </si>
  <si>
    <t>CALLE VALLE SILVA CON TENIS, LOCAL 1, CORO, ESTADO FALCON</t>
  </si>
  <si>
    <t>SFC-0222-001</t>
  </si>
  <si>
    <t>SFC-0222-006</t>
  </si>
  <si>
    <t>SFC-0222-009</t>
  </si>
  <si>
    <t>COMPRA DE 30 SACOS DE CEMENTO A GRANEL 40KGS A 5$</t>
  </si>
  <si>
    <t>MAMA, RITA, SEMANA ALMACEN 07 al 13-02-22</t>
  </si>
  <si>
    <t>PAGO DE NOMINA MAÑANA Y TARDE DEL 07 al 13-02-22</t>
  </si>
  <si>
    <t>ROSMERY LUGO</t>
  </si>
  <si>
    <t>PAGO HONORARIOS PUBLICIDAD  31-01 al 13-02-22</t>
  </si>
  <si>
    <t>EQUIPOS HSI</t>
  </si>
  <si>
    <t>COMPRA DE 8 CASCOS(5,5$) Y 10 GUANTES(2,5$) DE TELA-LATEX</t>
  </si>
  <si>
    <t>SFC-0222-005</t>
  </si>
  <si>
    <t>SFC-0222-011</t>
  </si>
  <si>
    <t>COMPRA DE 14 SACOS DE CEMENTO A GRANEL 40KGS A 5$</t>
  </si>
  <si>
    <t>MUESTRARIOS</t>
  </si>
  <si>
    <t>COMPRA DE 2ROLLOS DE TIRRO VERDE</t>
  </si>
  <si>
    <t>AGAZAJO</t>
  </si>
  <si>
    <t>COMPRA AGAZAJO CURSO DE HSI</t>
  </si>
  <si>
    <t>MEDICINA</t>
  </si>
  <si>
    <t>COMPRA DE MEDICINA PAPA</t>
  </si>
  <si>
    <t>J-50116555-6</t>
  </si>
  <si>
    <t>MEDICINAS YOFREDD</t>
  </si>
  <si>
    <t>SFC-0222-015</t>
  </si>
  <si>
    <t>YALISBETH ACOSTA</t>
  </si>
  <si>
    <t>V-16942849</t>
  </si>
  <si>
    <t>`04162214486</t>
  </si>
  <si>
    <t>SFC-0222-019</t>
  </si>
  <si>
    <t>BONO FCHS</t>
  </si>
  <si>
    <t>SFC-0222-007</t>
  </si>
  <si>
    <t>SFC-0222-016</t>
  </si>
  <si>
    <t>SFC-0222-017</t>
  </si>
  <si>
    <t>ACEITE MOTOR</t>
  </si>
  <si>
    <t>2 ACEITE MOTOR CAMION</t>
  </si>
  <si>
    <t>PAGO DE NOMINA MAÑANA Y TARDE DEL 14 AL 20-02-22</t>
  </si>
  <si>
    <t>SFC-0222-022</t>
  </si>
  <si>
    <t>RAYOS X + CINTA PARA MUSCULOS+ECOSONOGRAMA</t>
  </si>
  <si>
    <t>SFC-0222-013</t>
  </si>
  <si>
    <t>SFC-0222-024</t>
  </si>
  <si>
    <t>SFC-0222-025</t>
  </si>
  <si>
    <t>SFC-0222-026</t>
  </si>
  <si>
    <t>SFC-0222-027</t>
  </si>
  <si>
    <t>COMPRA DE CORREA PARA NUEVA CERNIDORA+COMPRA DE 1 MOTOR</t>
  </si>
  <si>
    <t>MAQUINAS</t>
  </si>
  <si>
    <t>PAGO DE NOMINA MAÑANA Y TARDE DEL 21 AL 27-02-22</t>
  </si>
  <si>
    <t>BONO DE PRODUCCION FEBRERO 2022</t>
  </si>
  <si>
    <t>SFC-0222-023</t>
  </si>
  <si>
    <t>SILLAS OFICINA</t>
  </si>
  <si>
    <t>COMPRA DE 3 SILLAS PARA LA OFICINA</t>
  </si>
  <si>
    <t>PAGO HONORARIOS PUBLICIDAD  14-01 al 28-02-22</t>
  </si>
  <si>
    <t>SFC-0222-012</t>
  </si>
  <si>
    <t>SFC-0222-031</t>
  </si>
  <si>
    <t>SFC-0222-010</t>
  </si>
  <si>
    <t>SFC-0222-029</t>
  </si>
  <si>
    <t>COMPRA DE 45 SACOS DE CEMENTO A GRANEL 40KGS A 5$</t>
  </si>
  <si>
    <t>1JAVI FONSECACHS - ESTUCO GRIS - SACO 12KG</t>
  </si>
  <si>
    <t>1JAVI FONSECACHS - PASTA EN POLVO PLUS - SACO 3KG</t>
  </si>
  <si>
    <t>1INVERSIONES Y SERVICIOS TOTALES, C.A.CHS - PASTA EN POLVO PLUS - SACO 8KG</t>
  </si>
  <si>
    <t>1INVERSIONES Y SERVICIOS TOTALES, C.A.CHS - ESTUCO GRIS - SACO 12KG</t>
  </si>
  <si>
    <t>SFC-0222-004</t>
  </si>
  <si>
    <t>1DISTRIBUIDORA DISMACONR, C.A.CHS - ESTUCO GRIS - SACO 12KG</t>
  </si>
  <si>
    <t>1JAVI EFREN CHIRINOSCHS - ESTUCO GRIS - SACO 12KG</t>
  </si>
  <si>
    <t>1JAVI EFREN CHIRINOSCHS - CEMENTO BLANCO - SACO 1 KG</t>
  </si>
  <si>
    <t>1JAVI EFREN CHIRINOSSTYLOSA TIPO A (50GR.)</t>
  </si>
  <si>
    <t>1JAVI EFREN CHIRINOSCHS - PASTA EN POLVO PLUS - SACO 3KG</t>
  </si>
  <si>
    <t>1XIOMARA DEL CARMEN YOBERACHS - CAL PREPARADA LIQUIDA (1 GAL)</t>
  </si>
  <si>
    <t>1XIOMARA DEL CARMEN YOBERACHS - GRAFIADO EN POLVO - SACO 15KG</t>
  </si>
  <si>
    <t>1XIOMARA DEL CARMEN YOBERACHS - PINTURA IMPERMEABLE - SACO 10KG</t>
  </si>
  <si>
    <t>1FERRE CERAMICAS FALCON, C.A.CHS - GRAFIADO EN POLVO - SACO 15KG</t>
  </si>
  <si>
    <t>1INVERSIONES Y SERVICIOS TOTALES, C.A.CHS - PEGO GRIS - SACO 15KG</t>
  </si>
  <si>
    <t>1INVERSIONES Y SERVICIOS TOTALES, C.A.CHS - PASTA EN POLVO - SACO 0,75 KG</t>
  </si>
  <si>
    <t>1INVERSIONES Y SERVICIOS TOTALES, C.A.MACROFIBRA TEREFTALATO DE DIMETILO (100 GR)</t>
  </si>
  <si>
    <t>1INVERSIONES Y SERVICIOS TOTALES, C.A.CHS - BASE RENDIDORA PINTURA (1,25 KG)</t>
  </si>
  <si>
    <t>1FERRETERIA ALEXANDER JESUS COLINA MATOSMACROFIBRA TEREFTALATO DE DIMETILO (100 GR)</t>
  </si>
  <si>
    <t>1FERRETERIA ALEXANDER JESUS COLINA MATOSCHS - PINTURA IMPERMEABLE - SACO 10KG</t>
  </si>
  <si>
    <t>1INVERSIONES Y SERVICIOS TOTALES, C.A.STYLOSA TIPO A (50GR.)</t>
  </si>
  <si>
    <t>2INVERSIONES Y SERVICIOS TOTALES, C.A.STYLOSA TIPO A (50GR.)</t>
  </si>
  <si>
    <t>1FERRETERIA MONTE ALTO F.E., C.A.CHS - BASE RENDIDORA PINTURA (1,25 KG)</t>
  </si>
  <si>
    <t>1FERRETERIA MONTE ALTO F.E., C.A.CHS - GRAFIADO EN POLVO - SACO 6KG</t>
  </si>
  <si>
    <t>1INVERSIONES FONSECA BLOCKS, C.A.CHS - PASTA EN POLVO - SACO 0,75 KG</t>
  </si>
  <si>
    <t>SFC-0222-014</t>
  </si>
  <si>
    <t>1FERRE PINTURAS FORNE, C.A.MACROFIBRA TEREFTALATO DE DIMETILO (100 GR)</t>
  </si>
  <si>
    <t>1FERRETERIA FORNE H, C.A.CHS - GRAFIADO EN POLVO - SACO 15KG</t>
  </si>
  <si>
    <t>1YALISBETH ACOSTACHS - PINTURA IMPERMEABLE - SACO 10KG</t>
  </si>
  <si>
    <t>1BLOQUERA CARORA, C.ACHS - PINTURA IMPERMEABLE - SACO 10KG</t>
  </si>
  <si>
    <t>SFC-0222-018</t>
  </si>
  <si>
    <t>1FERRETERIA MONTE ALTO F.E., C.A.STYLOSA TIPO A (50GR.)</t>
  </si>
  <si>
    <t>2FERRETERIA MONTE ALTO F.E., C.A.CHS - CEMENTO BLANCO - SACO 1 KG</t>
  </si>
  <si>
    <t>1COSEIMPA CORO, C. A.MACROFIBRA TEREFTALATO DE DIMETILO (100 GR)</t>
  </si>
  <si>
    <t>1COSEIMPA CORO, C. A.STYLOSA TIPO A (50GR.)</t>
  </si>
  <si>
    <t>1COSEIMPA CORO, C. A.MICROFIBRA POLIPROPILENO (100 GR)</t>
  </si>
  <si>
    <t>SFC-0222-020</t>
  </si>
  <si>
    <t>1INVERSIONES FRANERC, C.A.MICROFIBRA POLIPROPILENO (100 GR)</t>
  </si>
  <si>
    <t>1INVERSIONES FRANERC, C.A.CHS - CAL PREPARADA LIQUIDA (1 GAL)</t>
  </si>
  <si>
    <t>1INVERSIONES FRANERC, C.A.CHS - PASTA EN POLVO PLUS - SACO 8KG</t>
  </si>
  <si>
    <t>SFC-0222-021</t>
  </si>
  <si>
    <t>1ENYERBERTH FORNELINO FERRETERIA FORNE E, F.P.MACROFIBRA TEREFTALATO DE DIMETILO (100 GR)</t>
  </si>
  <si>
    <t>1ENYERBERTH FORNELINO FERRETERIA FORNE E, F.P.CHS - CAL PREPARADA LIQUIDA (1 GAL)</t>
  </si>
  <si>
    <t>1ENYERBERTH FORNELINO FERRETERIA FORNE E, F.P.CHS - PASTA EN POLVO PLUS - SACO 8KG</t>
  </si>
  <si>
    <t>1ENYERBERTH FORNELINO FERRETERIA FORNE E, F.P.CHS - PEGO BLANCO - SACO 15KG</t>
  </si>
  <si>
    <t>2JAVI EFREN CHIRINOSCHS - PASTA EN POLVO PLUS - SACO 3KG</t>
  </si>
  <si>
    <t>2JAVI EFREN CHIRINOSCHS - CEMENTO BLANCO - SACO 1 KG</t>
  </si>
  <si>
    <t>1JAVI EFREN CHIRINOSCHS - CAL PREPARADA LIQUIDA (1 GAL)</t>
  </si>
  <si>
    <t>1JAVI EFREN CHIRINOSCHS - PEGO GRIS - SACO 15KG</t>
  </si>
  <si>
    <t>1JAVI EFREN CHIRINOSCHS - PEGO BLANCO - SACO 15KG</t>
  </si>
  <si>
    <t>2INVERSIONES Y SERVICIOS TOTALES, C.A.MACROFIBRA TEREFTALATO DE DIMETILO (100 GR)</t>
  </si>
  <si>
    <t>1FERRETERIA PEPINO, S.A.STYLOSA TIPO A (50GR.)</t>
  </si>
  <si>
    <t>1CARMEN MOLINACHS - PINTURA IMPERMEABLE - SACO 10KG</t>
  </si>
  <si>
    <t>1RAY  PEREZCHS - GRAFIADO EN POLVO - SACO 15KG</t>
  </si>
  <si>
    <t>SFC-0222-028</t>
  </si>
  <si>
    <t>1FERRETERIA MONTE ALTO F.E., C.A.CHS - YESO - SACO 1 KG</t>
  </si>
  <si>
    <t>1INVERSIONES Y SERVICIOS TOTALES, C.A.CHS - CAL PREPARADA LIQUIDA (1 GAL)</t>
  </si>
  <si>
    <t>2INVERSIONES Y SERVICIOS TOTALES, C.A.CHS - PASTA EN POLVO PLUS - SACO 8KG</t>
  </si>
  <si>
    <t>2INVERSIONES Y SERVICIOS TOTALES, C.A.CHS - ESTUCO GRIS - SACO 12KG</t>
  </si>
  <si>
    <t>SFC-0222-030</t>
  </si>
  <si>
    <t>3JAVI EFREN CHIRINOSCHS - PASTA EN POLVO PLUS - SACO 3KG</t>
  </si>
  <si>
    <t>3JAVI EFREN CHIRINOSCHS - CEMENTO BLANCO - SACO 1 KG</t>
  </si>
  <si>
    <t>2JAVI EFREN CHIRINOSSTYLOSA TIPO A (50GR.)</t>
  </si>
  <si>
    <t>1INVERSIONES FERRECASA ATA, C.A.STYLOSA HIDROXIETIL (85 GRAMOS)</t>
  </si>
  <si>
    <t>BONO FCHSBONO GERENCIAL X COBRAR</t>
  </si>
  <si>
    <t>MAMARADIOGRAFIA + ANALGESICOS</t>
  </si>
  <si>
    <t>JAVI FONSECASFC-0122-006</t>
  </si>
  <si>
    <t>ROBERT BARROETASFC-0122-021</t>
  </si>
  <si>
    <t>ANIEL CALDERONSFC-0222-002</t>
  </si>
  <si>
    <t>INVERSIONES Y SERVICIOS TOTALES, C.A.SFC-0222-003</t>
  </si>
  <si>
    <t>CEMENTOCOMPRA DE 40 SACOS DE CEMENTO A GRANEL 40KGS A 5$</t>
  </si>
  <si>
    <t>FLETE CALFLETE PUERTO CABELLO CAL Y DOLOMITA 8000KGS</t>
  </si>
  <si>
    <t>MAMA-ALMACENMAMA, RITA, SEMANA ALMACEN</t>
  </si>
  <si>
    <t>CRISTIANPAGO DE NOMINA MAÑANA Y TARDE DEL 31-01 AL 06-02-22</t>
  </si>
  <si>
    <t>GOLLOPAGO DE NOMINA MAÑANA Y TARDE DEL 31-01 AL 06-02-22</t>
  </si>
  <si>
    <t>RAYPAGO DE NOMINA MAÑANA Y TARDE DEL 31-01 AL 06-02-22</t>
  </si>
  <si>
    <t>ISVIPAGO DE NOMINA MAÑANA Y TARDE DEL 31-01 AL 06-02-22</t>
  </si>
  <si>
    <t>JESUS ATACHOPAGO DE NOMINA MAÑANA Y TARDE DEL 31-01 AL 06-02-22</t>
  </si>
  <si>
    <t>FRANCO GONZALEZPAGO DE NOMINA MAÑANA Y TARDE DEL 31-01 AL 06-02-22</t>
  </si>
  <si>
    <t>FERRE PINTURAS FORNE, C.A.SFC-0122-018</t>
  </si>
  <si>
    <t>FERRE CERAMICAS FALCON, C.A.SFC-0122-019</t>
  </si>
  <si>
    <t>FERRE PINTURAS FORNE, C.A.SFC-0122-023</t>
  </si>
  <si>
    <t>DISTRIBUIDORA DISMACONR, C.A.SFC-0122-025</t>
  </si>
  <si>
    <t>ALCIDES CAMACHOSFC-0222-008</t>
  </si>
  <si>
    <t>FLETE ESTILOSAFLETE ESTILOSA MARACAIBO</t>
  </si>
  <si>
    <t>FERRETERIA MONTE ALTO F.E., C.A.SFC-0122-024</t>
  </si>
  <si>
    <t>JAVI FONSECASFC-0222-001</t>
  </si>
  <si>
    <t>XIOMARA DEL CARMEN YOBERASFC-0222-006</t>
  </si>
  <si>
    <t>INVERSIONES Y SERVICIOS TOTALES, C.A.SFC-0222-009</t>
  </si>
  <si>
    <t>CEMENTOCOMPRA DE 30 SACOS DE CEMENTO A GRANEL 40KGS A 5$</t>
  </si>
  <si>
    <t>MAMA-ALMACENMAMA, RITA, SEMANA ALMACEN 07 al 13-02-22</t>
  </si>
  <si>
    <t>CRISTIANPAGO DE NOMINA MAÑANA Y TARDE DEL 07 al 13-02-22</t>
  </si>
  <si>
    <t>GOLLOPAGO DE NOMINA MAÑANA Y TARDE DEL 07 al 13-02-22</t>
  </si>
  <si>
    <t>RAYPAGO DE NOMINA MAÑANA Y TARDE DEL 07 al 13-02-22</t>
  </si>
  <si>
    <t>ISVIPAGO DE NOMINA MAÑANA Y TARDE DEL 07 al 13-02-22</t>
  </si>
  <si>
    <t>JESUS ATACHOPAGO DE NOMINA MAÑANA Y TARDE DEL 07 al 13-02-22</t>
  </si>
  <si>
    <t>FRANCO GONZALEZPAGO DE NOMINA MAÑANA Y TARDE DEL 07 al 13-02-22</t>
  </si>
  <si>
    <t>ROSMERY LUGOPAGO HONORARIOS PUBLICIDAD  31-01 al 13-02-22</t>
  </si>
  <si>
    <t>INVERSIONES DON AVESFC-0122-020</t>
  </si>
  <si>
    <t>EQUIPOS HSICOMPRA DE 8 CASCOS(5,5$) Y 10 GUANTES(2,5$) DE TELA-LATEX</t>
  </si>
  <si>
    <t>JAVI EFREN CHIRINOSSFC-0222-005</t>
  </si>
  <si>
    <t>INVERSIONES Y SERVICIOS TOTALES, C.A.SFC-0222-011</t>
  </si>
  <si>
    <t>CEMENTOCOMPRA DE 14 SACOS DE CEMENTO A GRANEL 40KGS A 5$</t>
  </si>
  <si>
    <t>MUESTRARIOSCOMPRA DE 2ROLLOS DE TIRRO VERDE</t>
  </si>
  <si>
    <t>AGAZAJOCOMPRA AGAZAJO CURSO DE HSI</t>
  </si>
  <si>
    <t>MEDICINACOMPRA DE MEDICINA PAPA</t>
  </si>
  <si>
    <t>INVERSIONES FONSECA BLOCKS, C.A.SFC-0122-028</t>
  </si>
  <si>
    <t>MEDICINAMEDICINAS YOFREDD</t>
  </si>
  <si>
    <t>FERRETERIA FORNE H, C.A.SFC-0222-015</t>
  </si>
  <si>
    <t>DIMACO 2021, C.ASFC-0122-029</t>
  </si>
  <si>
    <t>LINDANY CASA ROCASFC-0122-031</t>
  </si>
  <si>
    <t>FERRE CERAMICAS FALCON, C.A.SFC-0222-007</t>
  </si>
  <si>
    <t>COSEIMPA CORO, C. A.SFC-0222-019</t>
  </si>
  <si>
    <t>YALISBETH ACOSTASFC-0222-016</t>
  </si>
  <si>
    <t>BLOQUERA CARORA, C.ASFC-0222-017</t>
  </si>
  <si>
    <t>ACEITE MOTOR2 ACEITE MOTOR CAMION</t>
  </si>
  <si>
    <t>CRISTIANPAGO DE NOMINA MAÑANA Y TARDE DEL 14 AL 20-02-22</t>
  </si>
  <si>
    <t>GOLLOPAGO DE NOMINA MAÑANA Y TARDE DEL 14 AL 20-02-22</t>
  </si>
  <si>
    <t>RAYPAGO DE NOMINA MAÑANA Y TARDE DEL 14 AL 20-02-22</t>
  </si>
  <si>
    <t>ISVIPAGO DE NOMINA MAÑANA Y TARDE DEL 14 AL 20-02-22</t>
  </si>
  <si>
    <t>JESUS ATACHOPAGO DE NOMINA MAÑANA Y TARDE DEL 14 AL 20-02-22</t>
  </si>
  <si>
    <t>FRANCO GONZALEZPAGO DE NOMINA MAÑANA Y TARDE DEL 14 AL 20-02-22</t>
  </si>
  <si>
    <t>JAVI EFREN CHIRINOSSFC-0222-022</t>
  </si>
  <si>
    <t>MAMARAYOS X + CINTA PARA MUSCULOS+ECOSONOGRAMA</t>
  </si>
  <si>
    <t>COMERCIALIZADORA SAN BENITOSFC-0122-014</t>
  </si>
  <si>
    <t>INVERSIONES FONSECA BLOCKS, C.A.SFC-0222-013</t>
  </si>
  <si>
    <t>FERRETERIA PEPINO, S.A.SFC-0222-024</t>
  </si>
  <si>
    <t>OSWALDO MARTINEZSFC-0222-025</t>
  </si>
  <si>
    <t>CARMEN MOLINASFC-0222-026</t>
  </si>
  <si>
    <t>RAY  PEREZSFC-0222-027</t>
  </si>
  <si>
    <t>MAQUINASCOMPRA DE CORREA PARA NUEVA CERNIDORA+COMPRA DE 1 MOTOR</t>
  </si>
  <si>
    <t>CRISTIANPAGO DE NOMINA MAÑANA Y TARDE DEL 21 AL 27-02-22</t>
  </si>
  <si>
    <t>GOLLOPAGO DE NOMINA MAÑANA Y TARDE DEL 21 AL 27-02-22</t>
  </si>
  <si>
    <t>RAYPAGO DE NOMINA MAÑANA Y TARDE DEL 21 AL 27-02-22</t>
  </si>
  <si>
    <t>ISVIPAGO DE NOMINA MAÑANA Y TARDE DEL 21 AL 27-02-22</t>
  </si>
  <si>
    <t>JESUS ATACHOPAGO DE NOMINA MAÑANA Y TARDE DEL 21 AL 27-02-22</t>
  </si>
  <si>
    <t>FRANCO GONZALEZPAGO DE NOMINA MAÑANA Y TARDE DEL 21 AL 27-02-22</t>
  </si>
  <si>
    <t>CRISTIANBONO DE PRODUCCION FEBRERO 2022</t>
  </si>
  <si>
    <t>GOLLOBONO DE PRODUCCION FEBRERO 2022</t>
  </si>
  <si>
    <t>RAYBONO DE PRODUCCION FEBRERO 2022</t>
  </si>
  <si>
    <t>ISVIBONO DE PRODUCCION FEBRERO 2022</t>
  </si>
  <si>
    <t>JESUS ATACHOBONO DE PRODUCCION FEBRERO 2022</t>
  </si>
  <si>
    <t>FRANCO GONZALEZBONO DE PRODUCCION FEBRERO 2022</t>
  </si>
  <si>
    <t>INVERSIONES Y SERVICIOS TOTALES, C.A.SFC-0222-023</t>
  </si>
  <si>
    <t>CEMENTOCOMPRA DE 45 SACOS DE CEMENTO A GRANEL 40KGS A 5$</t>
  </si>
  <si>
    <t>SILLAS OFICINACOMPRA DE 3 SILLAS PARA LA OFICINA</t>
  </si>
  <si>
    <t>ROSMERY LUGOPAGO HONORARIOS PUBLICIDAD  14-01 al 28-02-22</t>
  </si>
  <si>
    <t>FERRETERIA MONTE ALTO F.E., C.A.SFC-0222-012</t>
  </si>
  <si>
    <t>FERRETERIA ALEXANDER JESUS COLINA MATOSSFC-0222-010</t>
  </si>
  <si>
    <t>INVERSIONES Y SERVICIOS TOTALES, C.A.SFC-0222-029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</si>
</sst>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-* #,##0.00\ _€_-;\-* #,##0.00\ _€_-;_-* &quot;-&quot;??\ _€_-;_-@_-"/>
    <numFmt numFmtId="164" formatCode="_ * #,##0.00_ ;_ * \-#,##0.00_ ;_ * &quot;-&quot;??_ ;_ @_ "/>
    <numFmt numFmtId="165" formatCode="_-* #,##0.00_-;\-* #,##0.00_-;_-* &quot;-&quot;??_-;_-@_-"/>
    <numFmt numFmtId="166" formatCode="_(* #,##0.00_);_(* \(#,##0.00\);_(* &quot;-&quot;??_);_(@_)"/>
    <numFmt numFmtId="167" formatCode="&quot;$&quot;#,##0.00"/>
    <numFmt numFmtId="168" formatCode="_-* #,##0.0_-;\-* #,##0.0_-;_-* &quot;-&quot;??_-;_-@_-"/>
    <numFmt numFmtId="169" formatCode="_-* #,##0_-;\-* #,##0_-;_-* &quot;-&quot;??_-;_-@_-"/>
    <numFmt numFmtId="170" formatCode="_-* #,##0.000_-;\-* #,##0.000_-;_-* &quot;-&quot;??_-;_-@_-"/>
    <numFmt numFmtId="171" formatCode="0.0%"/>
  </numFmts>
  <fonts count="5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4"/>
      <color rgb="FF00206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2060"/>
      <name val="Aharoni"/>
    </font>
    <font>
      <b/>
      <sz val="14"/>
      <color rgb="FF002060"/>
      <name val="Aharoni"/>
    </font>
    <font>
      <b/>
      <sz val="14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sz val="14"/>
      <name val="Calibri"/>
      <family val="2"/>
      <scheme val="minor"/>
    </font>
    <font>
      <sz val="8.6999999999999993"/>
      <color rgb="FF002060"/>
      <name val="Calibri"/>
      <family val="2"/>
      <scheme val="minor"/>
    </font>
    <font>
      <sz val="12"/>
      <color rgb="FF002060"/>
      <name val="Calibri"/>
      <family val="2"/>
      <scheme val="minor"/>
    </font>
    <font>
      <sz val="8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8"/>
      <color rgb="FF002060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24"/>
      <color rgb="FF002060"/>
      <name val="Aharoni"/>
    </font>
    <font>
      <sz val="24"/>
      <color rgb="FF002060"/>
      <name val="Aharoni"/>
    </font>
    <font>
      <sz val="14"/>
      <color theme="3"/>
      <name val="Calibri"/>
      <family val="2"/>
      <scheme val="minor"/>
    </font>
    <font>
      <b/>
      <sz val="16"/>
      <name val="Calibri"/>
      <family val="2"/>
      <scheme val="minor"/>
    </font>
    <font>
      <sz val="7.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rgb="FFFF000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3"/>
      <color rgb="FF000000"/>
      <name val="Roboto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2060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 style="thin">
        <color rgb="FF002060"/>
      </right>
      <top/>
      <bottom style="thin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350">
    <xf numFmtId="0" fontId="0" fillId="0" borderId="0" xfId="0"/>
    <xf numFmtId="17" fontId="2" fillId="0" borderId="0" xfId="0" applyNumberFormat="1" applyFont="1"/>
    <xf numFmtId="0" fontId="0" fillId="0" borderId="0" xfId="0" applyAlignment="1">
      <alignment horizontal="right"/>
    </xf>
    <xf numFmtId="0" fontId="5" fillId="0" borderId="0" xfId="0" applyFont="1"/>
    <xf numFmtId="166" fontId="0" fillId="0" borderId="0" xfId="0" applyNumberFormat="1"/>
    <xf numFmtId="165" fontId="0" fillId="0" borderId="0" xfId="1" applyFont="1" applyAlignment="1">
      <alignment horizontal="right"/>
    </xf>
    <xf numFmtId="0" fontId="0" fillId="3" borderId="0" xfId="0" applyFill="1"/>
    <xf numFmtId="0" fontId="11" fillId="0" borderId="0" xfId="0" applyFont="1"/>
    <xf numFmtId="0" fontId="12" fillId="0" borderId="0" xfId="0" applyFont="1"/>
    <xf numFmtId="0" fontId="0" fillId="0" borderId="0" xfId="0" applyBorder="1"/>
    <xf numFmtId="0" fontId="1" fillId="7" borderId="0" xfId="0" applyFont="1" applyFill="1" applyAlignment="1">
      <alignment horizontal="right"/>
    </xf>
    <xf numFmtId="164" fontId="0" fillId="0" borderId="0" xfId="0" applyNumberFormat="1"/>
    <xf numFmtId="165" fontId="0" fillId="0" borderId="1" xfId="1" applyFont="1" applyFill="1" applyBorder="1" applyAlignment="1">
      <alignment vertical="top"/>
    </xf>
    <xf numFmtId="0" fontId="1" fillId="8" borderId="0" xfId="0" applyFont="1" applyFill="1" applyAlignment="1">
      <alignment horizontal="center"/>
    </xf>
    <xf numFmtId="0" fontId="1" fillId="7" borderId="0" xfId="0" applyFont="1" applyFill="1"/>
    <xf numFmtId="0" fontId="8" fillId="9" borderId="0" xfId="0" applyFont="1" applyFill="1"/>
    <xf numFmtId="0" fontId="8" fillId="9" borderId="0" xfId="0" applyFont="1" applyFill="1" applyAlignment="1">
      <alignment vertical="top"/>
    </xf>
    <xf numFmtId="0" fontId="8" fillId="9" borderId="0" xfId="0" applyFont="1" applyFill="1" applyBorder="1" applyAlignment="1">
      <alignment vertical="top"/>
    </xf>
    <xf numFmtId="0" fontId="1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0" borderId="0" xfId="0" applyFill="1" applyAlignment="1">
      <alignment vertical="top" wrapText="1"/>
    </xf>
    <xf numFmtId="0" fontId="0" fillId="10" borderId="0" xfId="0" applyFill="1" applyAlignment="1">
      <alignment vertical="top"/>
    </xf>
    <xf numFmtId="0" fontId="0" fillId="3" borderId="0" xfId="0" applyFill="1" applyBorder="1"/>
    <xf numFmtId="0" fontId="0" fillId="0" borderId="0" xfId="0" applyFill="1" applyBorder="1"/>
    <xf numFmtId="0" fontId="1" fillId="0" borderId="0" xfId="0" applyFont="1"/>
    <xf numFmtId="0" fontId="1" fillId="8" borderId="0" xfId="0" applyFont="1" applyFill="1" applyAlignment="1">
      <alignment horizontal="center" wrapText="1"/>
    </xf>
    <xf numFmtId="0" fontId="1" fillId="10" borderId="0" xfId="0" applyFont="1" applyFill="1" applyAlignment="1">
      <alignment horizontal="center" vertical="top" wrapText="1"/>
    </xf>
    <xf numFmtId="0" fontId="6" fillId="7" borderId="1" xfId="0" applyFont="1" applyFill="1" applyBorder="1" applyAlignment="1">
      <alignment horizontal="right" vertical="center"/>
    </xf>
    <xf numFmtId="49" fontId="0" fillId="0" borderId="1" xfId="0" applyNumberFormat="1" applyFont="1" applyFill="1" applyBorder="1" applyAlignment="1">
      <alignment vertical="top"/>
    </xf>
    <xf numFmtId="49" fontId="9" fillId="0" borderId="1" xfId="0" applyNumberFormat="1" applyFont="1" applyFill="1" applyBorder="1" applyAlignment="1">
      <alignment vertical="top"/>
    </xf>
    <xf numFmtId="0" fontId="18" fillId="0" borderId="0" xfId="0" applyFont="1"/>
    <xf numFmtId="0" fontId="0" fillId="0" borderId="0" xfId="0" applyAlignment="1">
      <alignment wrapText="1"/>
    </xf>
    <xf numFmtId="0" fontId="6" fillId="7" borderId="1" xfId="0" applyFont="1" applyFill="1" applyBorder="1" applyAlignment="1">
      <alignment horizontal="center" wrapText="1"/>
    </xf>
    <xf numFmtId="0" fontId="2" fillId="3" borderId="0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right" vertical="center"/>
    </xf>
    <xf numFmtId="17" fontId="4" fillId="0" borderId="1" xfId="0" applyNumberFormat="1" applyFont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9" fillId="0" borderId="0" xfId="0" applyFont="1"/>
    <xf numFmtId="165" fontId="8" fillId="10" borderId="1" xfId="1" applyFont="1" applyFill="1" applyBorder="1" applyAlignment="1">
      <alignment vertical="top"/>
    </xf>
    <xf numFmtId="0" fontId="0" fillId="0" borderId="0" xfId="0" applyFill="1"/>
    <xf numFmtId="0" fontId="17" fillId="7" borderId="0" xfId="0" applyFont="1" applyFill="1" applyAlignment="1">
      <alignment horizontal="center"/>
    </xf>
    <xf numFmtId="165" fontId="0" fillId="3" borderId="1" xfId="1" applyFont="1" applyFill="1" applyBorder="1" applyAlignment="1">
      <alignment vertical="top"/>
    </xf>
    <xf numFmtId="165" fontId="9" fillId="3" borderId="1" xfId="1" applyFont="1" applyFill="1" applyBorder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" fillId="8" borderId="0" xfId="0" applyFont="1" applyFill="1" applyAlignment="1">
      <alignment horizontal="center" vertical="top"/>
    </xf>
    <xf numFmtId="14" fontId="9" fillId="10" borderId="0" xfId="0" applyNumberFormat="1" applyFont="1" applyFill="1" applyBorder="1" applyAlignment="1">
      <alignment horizontal="left" vertical="top"/>
    </xf>
    <xf numFmtId="167" fontId="0" fillId="10" borderId="0" xfId="0" applyNumberFormat="1" applyFill="1" applyAlignment="1">
      <alignment vertical="top"/>
    </xf>
    <xf numFmtId="0" fontId="11" fillId="0" borderId="0" xfId="0" applyFont="1" applyBorder="1"/>
    <xf numFmtId="0" fontId="0" fillId="6" borderId="0" xfId="0" applyFill="1"/>
    <xf numFmtId="0" fontId="5" fillId="6" borderId="0" xfId="0" applyFont="1" applyFill="1" applyAlignment="1">
      <alignment wrapText="1"/>
    </xf>
    <xf numFmtId="165" fontId="0" fillId="6" borderId="0" xfId="1" applyFont="1" applyFill="1" applyAlignment="1">
      <alignment horizontal="right"/>
    </xf>
    <xf numFmtId="165" fontId="0" fillId="6" borderId="0" xfId="1" applyFont="1" applyFill="1"/>
    <xf numFmtId="166" fontId="0" fillId="6" borderId="0" xfId="0" applyNumberFormat="1" applyFill="1"/>
    <xf numFmtId="0" fontId="0" fillId="6" borderId="0" xfId="0" applyFill="1" applyAlignment="1">
      <alignment horizontal="right"/>
    </xf>
    <xf numFmtId="0" fontId="0" fillId="10" borderId="0" xfId="0" quotePrefix="1" applyFill="1" applyAlignment="1">
      <alignment vertical="top"/>
    </xf>
    <xf numFmtId="14" fontId="9" fillId="0" borderId="1" xfId="0" applyNumberFormat="1" applyFont="1" applyFill="1" applyBorder="1" applyAlignment="1">
      <alignment horizontal="center" vertical="top" wrapText="1"/>
    </xf>
    <xf numFmtId="0" fontId="0" fillId="10" borderId="0" xfId="0" applyFont="1" applyFill="1" applyAlignment="1">
      <alignment vertical="top" wrapText="1"/>
    </xf>
    <xf numFmtId="0" fontId="16" fillId="0" borderId="0" xfId="0" applyFont="1" applyAlignment="1">
      <alignment horizontal="center" vertical="top"/>
    </xf>
    <xf numFmtId="0" fontId="17" fillId="0" borderId="0" xfId="0" applyFont="1" applyAlignment="1">
      <alignment horizontal="center" vertical="top"/>
    </xf>
    <xf numFmtId="0" fontId="18" fillId="0" borderId="0" xfId="0" applyFont="1" applyAlignment="1">
      <alignment vertical="top"/>
    </xf>
    <xf numFmtId="0" fontId="0" fillId="0" borderId="0" xfId="0" applyFont="1" applyAlignment="1">
      <alignment vertical="top"/>
    </xf>
    <xf numFmtId="165" fontId="6" fillId="4" borderId="1" xfId="0" applyNumberFormat="1" applyFont="1" applyFill="1" applyBorder="1" applyAlignment="1">
      <alignment vertical="top"/>
    </xf>
    <xf numFmtId="14" fontId="0" fillId="0" borderId="0" xfId="0" applyNumberFormat="1"/>
    <xf numFmtId="0" fontId="9" fillId="0" borderId="0" xfId="0" applyFont="1" applyFill="1" applyAlignment="1">
      <alignment vertical="top"/>
    </xf>
    <xf numFmtId="0" fontId="2" fillId="7" borderId="0" xfId="0" applyFont="1" applyFill="1" applyAlignment="1">
      <alignment vertical="center"/>
    </xf>
    <xf numFmtId="169" fontId="14" fillId="0" borderId="0" xfId="1" applyNumberFormat="1" applyFont="1"/>
    <xf numFmtId="0" fontId="0" fillId="0" borderId="0" xfId="0"/>
    <xf numFmtId="0" fontId="14" fillId="0" borderId="0" xfId="0" applyFont="1"/>
    <xf numFmtId="165" fontId="14" fillId="0" borderId="0" xfId="1" applyFont="1"/>
    <xf numFmtId="169" fontId="8" fillId="0" borderId="0" xfId="1" applyNumberFormat="1" applyFont="1" applyFill="1"/>
    <xf numFmtId="9" fontId="0" fillId="0" borderId="0" xfId="0" applyNumberFormat="1"/>
    <xf numFmtId="165" fontId="14" fillId="0" borderId="0" xfId="1" applyFont="1" applyAlignment="1">
      <alignment horizontal="center" wrapText="1"/>
    </xf>
    <xf numFmtId="0" fontId="10" fillId="0" borderId="0" xfId="0" applyFont="1"/>
    <xf numFmtId="0" fontId="14" fillId="2" borderId="0" xfId="0" applyFont="1" applyFill="1"/>
    <xf numFmtId="49" fontId="14" fillId="2" borderId="0" xfId="0" quotePrefix="1" applyNumberFormat="1" applyFont="1" applyFill="1" applyBorder="1" applyAlignment="1">
      <alignment horizontal="left"/>
    </xf>
    <xf numFmtId="0" fontId="14" fillId="2" borderId="0" xfId="0" applyFont="1" applyFill="1" applyBorder="1"/>
    <xf numFmtId="49" fontId="0" fillId="0" borderId="1" xfId="0" quotePrefix="1" applyNumberFormat="1" applyFont="1" applyFill="1" applyBorder="1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Fill="1" applyAlignment="1">
      <alignment vertical="top" wrapText="1"/>
    </xf>
    <xf numFmtId="0" fontId="10" fillId="0" borderId="0" xfId="0" applyFont="1" applyAlignment="1">
      <alignment horizontal="center"/>
    </xf>
    <xf numFmtId="0" fontId="9" fillId="10" borderId="0" xfId="0" applyFont="1" applyFill="1" applyAlignment="1">
      <alignment vertical="top"/>
    </xf>
    <xf numFmtId="165" fontId="12" fillId="0" borderId="0" xfId="1" applyFont="1"/>
    <xf numFmtId="167" fontId="1" fillId="10" borderId="0" xfId="0" applyNumberFormat="1" applyFont="1" applyFill="1" applyAlignment="1">
      <alignment vertical="top"/>
    </xf>
    <xf numFmtId="165" fontId="9" fillId="0" borderId="0" xfId="1" applyFont="1"/>
    <xf numFmtId="0" fontId="9" fillId="0" borderId="0" xfId="0" applyFont="1"/>
    <xf numFmtId="0" fontId="0" fillId="0" borderId="0" xfId="0"/>
    <xf numFmtId="0" fontId="14" fillId="0" borderId="0" xfId="0" applyFont="1" applyAlignment="1">
      <alignment horizontal="center"/>
    </xf>
    <xf numFmtId="3" fontId="0" fillId="10" borderId="0" xfId="0" applyNumberFormat="1" applyFill="1" applyAlignment="1">
      <alignment vertical="top"/>
    </xf>
    <xf numFmtId="165" fontId="0" fillId="0" borderId="0" xfId="1" applyFont="1"/>
    <xf numFmtId="0" fontId="9" fillId="9" borderId="1" xfId="0" quotePrefix="1" applyNumberFormat="1" applyFont="1" applyFill="1" applyBorder="1" applyAlignment="1">
      <alignment vertical="top"/>
    </xf>
    <xf numFmtId="0" fontId="8" fillId="9" borderId="1" xfId="0" quotePrefix="1" applyNumberFormat="1" applyFont="1" applyFill="1" applyBorder="1" applyAlignment="1">
      <alignment vertical="top"/>
    </xf>
    <xf numFmtId="0" fontId="22" fillId="0" borderId="0" xfId="0" applyFont="1"/>
    <xf numFmtId="0" fontId="22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0" fontId="22" fillId="0" borderId="0" xfId="0" applyFont="1" applyAlignment="1">
      <alignment horizontal="center"/>
    </xf>
    <xf numFmtId="0" fontId="22" fillId="0" borderId="0" xfId="0" applyFont="1" applyAlignment="1"/>
    <xf numFmtId="0" fontId="2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9" fontId="9" fillId="0" borderId="0" xfId="2" applyFont="1" applyAlignment="1">
      <alignment horizontal="left"/>
    </xf>
    <xf numFmtId="168" fontId="9" fillId="0" borderId="0" xfId="0" applyNumberFormat="1" applyFont="1"/>
    <xf numFmtId="165" fontId="3" fillId="0" borderId="1" xfId="1" applyBorder="1" applyAlignment="1">
      <alignment horizontal="center"/>
    </xf>
    <xf numFmtId="49" fontId="9" fillId="9" borderId="1" xfId="0" quotePrefix="1" applyNumberFormat="1" applyFont="1" applyFill="1" applyBorder="1" applyAlignment="1">
      <alignment vertical="top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5" fillId="0" borderId="0" xfId="0" applyFont="1" applyBorder="1"/>
    <xf numFmtId="0" fontId="25" fillId="0" borderId="4" xfId="0" applyFont="1" applyBorder="1"/>
    <xf numFmtId="0" fontId="29" fillId="0" borderId="4" xfId="0" applyFont="1" applyBorder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/>
    </xf>
    <xf numFmtId="49" fontId="25" fillId="0" borderId="0" xfId="0" applyNumberFormat="1" applyFont="1" applyAlignment="1">
      <alignment horizontal="right"/>
    </xf>
    <xf numFmtId="0" fontId="13" fillId="0" borderId="0" xfId="0" applyFont="1" applyAlignment="1"/>
    <xf numFmtId="0" fontId="25" fillId="0" borderId="0" xfId="0" applyFont="1" applyAlignment="1"/>
    <xf numFmtId="0" fontId="12" fillId="0" borderId="0" xfId="0" applyFont="1" applyAlignment="1"/>
    <xf numFmtId="0" fontId="30" fillId="3" borderId="0" xfId="0" applyFont="1" applyFill="1" applyAlignment="1">
      <alignment vertical="top"/>
    </xf>
    <xf numFmtId="0" fontId="25" fillId="0" borderId="6" xfId="0" applyFont="1" applyBorder="1"/>
    <xf numFmtId="165" fontId="12" fillId="0" borderId="0" xfId="1" applyNumberFormat="1" applyFont="1"/>
    <xf numFmtId="0" fontId="12" fillId="0" borderId="0" xfId="0" applyFont="1" applyAlignment="1">
      <alignment horizontal="center"/>
    </xf>
    <xf numFmtId="0" fontId="30" fillId="0" borderId="0" xfId="0" applyFont="1"/>
    <xf numFmtId="165" fontId="30" fillId="0" borderId="0" xfId="1" applyFont="1"/>
    <xf numFmtId="0" fontId="30" fillId="0" borderId="0" xfId="0" applyFont="1" applyBorder="1"/>
    <xf numFmtId="165" fontId="30" fillId="0" borderId="0" xfId="1" applyFont="1" applyBorder="1"/>
    <xf numFmtId="0" fontId="33" fillId="0" borderId="0" xfId="0" applyFont="1" applyAlignment="1"/>
    <xf numFmtId="0" fontId="33" fillId="0" borderId="5" xfId="0" applyFont="1" applyBorder="1"/>
    <xf numFmtId="2" fontId="9" fillId="0" borderId="0" xfId="0" applyNumberFormat="1" applyFont="1"/>
    <xf numFmtId="165" fontId="9" fillId="3" borderId="0" xfId="1" applyFont="1" applyFill="1" applyBorder="1" applyAlignment="1"/>
    <xf numFmtId="2" fontId="31" fillId="0" borderId="0" xfId="0" applyNumberFormat="1" applyFont="1"/>
    <xf numFmtId="0" fontId="31" fillId="0" borderId="0" xfId="0" applyFont="1"/>
    <xf numFmtId="165" fontId="31" fillId="0" borderId="0" xfId="1" applyNumberFormat="1" applyFont="1" applyAlignment="1">
      <alignment horizontal="right"/>
    </xf>
    <xf numFmtId="167" fontId="9" fillId="0" borderId="0" xfId="0" applyNumberFormat="1" applyFont="1" applyFill="1" applyAlignment="1">
      <alignment vertical="top"/>
    </xf>
    <xf numFmtId="0" fontId="9" fillId="0" borderId="0" xfId="0" applyFont="1" applyFill="1" applyAlignment="1">
      <alignment vertical="top" wrapText="1"/>
    </xf>
    <xf numFmtId="0" fontId="21" fillId="0" borderId="0" xfId="0" applyFont="1"/>
    <xf numFmtId="0" fontId="35" fillId="0" borderId="4" xfId="0" applyFont="1" applyBorder="1"/>
    <xf numFmtId="0" fontId="32" fillId="0" borderId="0" xfId="0" applyFont="1" applyBorder="1" applyAlignment="1">
      <alignment horizontal="left"/>
    </xf>
    <xf numFmtId="164" fontId="36" fillId="0" borderId="0" xfId="0" applyNumberFormat="1" applyFont="1" applyAlignment="1">
      <alignment horizontal="center"/>
    </xf>
    <xf numFmtId="0" fontId="36" fillId="0" borderId="0" xfId="0" applyFont="1" applyAlignment="1">
      <alignment horizontal="center"/>
    </xf>
    <xf numFmtId="167" fontId="0" fillId="0" borderId="0" xfId="0" applyNumberFormat="1" applyFill="1" applyAlignment="1">
      <alignment vertical="top"/>
    </xf>
    <xf numFmtId="9" fontId="30" fillId="0" borderId="0" xfId="0" applyNumberFormat="1" applyFont="1" applyAlignment="1">
      <alignment horizontal="right"/>
    </xf>
    <xf numFmtId="0" fontId="37" fillId="0" borderId="0" xfId="0" applyFont="1"/>
    <xf numFmtId="165" fontId="3" fillId="3" borderId="0" xfId="1" applyFont="1" applyFill="1" applyBorder="1"/>
    <xf numFmtId="0" fontId="34" fillId="3" borderId="0" xfId="0" applyFont="1" applyFill="1" applyBorder="1" applyAlignment="1">
      <alignment horizontal="left" vertical="center" wrapText="1"/>
    </xf>
    <xf numFmtId="165" fontId="30" fillId="0" borderId="0" xfId="1" applyFont="1" applyBorder="1" applyAlignment="1">
      <alignment horizontal="center"/>
    </xf>
    <xf numFmtId="165" fontId="0" fillId="0" borderId="0" xfId="1" applyFont="1" applyBorder="1"/>
    <xf numFmtId="0" fontId="30" fillId="0" borderId="5" xfId="0" applyFont="1" applyBorder="1"/>
    <xf numFmtId="0" fontId="33" fillId="0" borderId="0" xfId="0" applyFont="1" applyAlignment="1">
      <alignment horizontal="right"/>
    </xf>
    <xf numFmtId="0" fontId="33" fillId="0" borderId="0" xfId="0" applyFont="1"/>
    <xf numFmtId="49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center"/>
    </xf>
    <xf numFmtId="0" fontId="30" fillId="0" borderId="4" xfId="0" applyFont="1" applyBorder="1"/>
    <xf numFmtId="0" fontId="39" fillId="0" borderId="0" xfId="0" applyFont="1"/>
    <xf numFmtId="0" fontId="40" fillId="0" borderId="0" xfId="0" applyFont="1"/>
    <xf numFmtId="0" fontId="31" fillId="3" borderId="0" xfId="0" applyFont="1" applyFill="1" applyBorder="1" applyAlignment="1">
      <alignment vertical="top" wrapText="1"/>
    </xf>
    <xf numFmtId="0" fontId="25" fillId="0" borderId="5" xfId="0" applyFont="1" applyBorder="1"/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165" fontId="31" fillId="3" borderId="0" xfId="1" applyFont="1" applyFill="1" applyBorder="1"/>
    <xf numFmtId="0" fontId="31" fillId="0" borderId="0" xfId="0" applyFont="1" applyAlignment="1">
      <alignment horizontal="center"/>
    </xf>
    <xf numFmtId="0" fontId="31" fillId="0" borderId="0" xfId="0" applyFont="1" applyBorder="1"/>
    <xf numFmtId="0" fontId="31" fillId="0" borderId="0" xfId="0" applyFont="1" applyBorder="1" applyAlignment="1">
      <alignment horizontal="center"/>
    </xf>
    <xf numFmtId="0" fontId="31" fillId="0" borderId="0" xfId="0" applyFont="1" applyBorder="1" applyAlignment="1">
      <alignment horizontal="left"/>
    </xf>
    <xf numFmtId="165" fontId="31" fillId="0" borderId="0" xfId="1" applyFont="1" applyBorder="1"/>
    <xf numFmtId="165" fontId="31" fillId="0" borderId="0" xfId="1" applyFont="1" applyBorder="1" applyAlignment="1">
      <alignment horizontal="center"/>
    </xf>
    <xf numFmtId="0" fontId="31" fillId="0" borderId="0" xfId="0" applyFont="1" applyFill="1"/>
    <xf numFmtId="167" fontId="31" fillId="0" borderId="0" xfId="0" applyNumberFormat="1" applyFont="1" applyFill="1" applyAlignment="1">
      <alignment vertical="top"/>
    </xf>
    <xf numFmtId="0" fontId="31" fillId="0" borderId="0" xfId="0" applyFont="1" applyFill="1" applyAlignment="1">
      <alignment vertical="top"/>
    </xf>
    <xf numFmtId="0" fontId="31" fillId="0" borderId="0" xfId="0" applyFont="1" applyFill="1" applyAlignment="1">
      <alignment vertical="top" wrapText="1"/>
    </xf>
    <xf numFmtId="170" fontId="22" fillId="0" borderId="0" xfId="1" applyNumberFormat="1" applyFont="1"/>
    <xf numFmtId="0" fontId="0" fillId="0" borderId="1" xfId="0" applyBorder="1"/>
    <xf numFmtId="0" fontId="0" fillId="0" borderId="0" xfId="0" applyAlignment="1"/>
    <xf numFmtId="0" fontId="31" fillId="0" borderId="0" xfId="0" applyFont="1" applyAlignment="1"/>
    <xf numFmtId="0" fontId="31" fillId="0" borderId="0" xfId="0" applyFont="1" applyAlignment="1">
      <alignment horizontal="right"/>
    </xf>
    <xf numFmtId="49" fontId="31" fillId="0" borderId="0" xfId="0" applyNumberFormat="1" applyFont="1" applyAlignment="1">
      <alignment horizontal="right"/>
    </xf>
    <xf numFmtId="14" fontId="31" fillId="0" borderId="0" xfId="0" applyNumberFormat="1" applyFont="1" applyAlignment="1">
      <alignment horizontal="left"/>
    </xf>
    <xf numFmtId="0" fontId="26" fillId="0" borderId="0" xfId="0" applyFont="1" applyAlignment="1"/>
    <xf numFmtId="0" fontId="31" fillId="0" borderId="0" xfId="0" applyFont="1" applyFill="1" applyAlignment="1">
      <alignment horizontal="left" vertical="top" wrapText="1"/>
    </xf>
    <xf numFmtId="0" fontId="31" fillId="0" borderId="0" xfId="0" applyFont="1" applyFill="1" applyAlignment="1">
      <alignment horizontal="right"/>
    </xf>
    <xf numFmtId="0" fontId="31" fillId="0" borderId="0" xfId="0" applyFont="1" applyFill="1" applyAlignment="1">
      <alignment horizontal="left" vertical="top"/>
    </xf>
    <xf numFmtId="0" fontId="15" fillId="0" borderId="0" xfId="0" applyFont="1" applyAlignment="1">
      <alignment vertical="top"/>
    </xf>
    <xf numFmtId="165" fontId="31" fillId="0" borderId="0" xfId="1" applyFont="1"/>
    <xf numFmtId="0" fontId="31" fillId="0" borderId="0" xfId="0" applyFont="1" applyAlignment="1">
      <alignment horizontal="left"/>
    </xf>
    <xf numFmtId="165" fontId="31" fillId="0" borderId="0" xfId="1" applyFont="1" applyAlignment="1"/>
    <xf numFmtId="49" fontId="25" fillId="0" borderId="0" xfId="0" applyNumberFormat="1" applyFont="1" applyBorder="1"/>
    <xf numFmtId="0" fontId="42" fillId="0" borderId="0" xfId="0" applyFont="1" applyAlignment="1">
      <alignment vertical="top"/>
    </xf>
    <xf numFmtId="0" fontId="31" fillId="0" borderId="0" xfId="0" applyFont="1" applyAlignment="1">
      <alignment horizontal="left"/>
    </xf>
    <xf numFmtId="165" fontId="31" fillId="0" borderId="0" xfId="1" applyFont="1" applyAlignment="1"/>
    <xf numFmtId="0" fontId="31" fillId="0" borderId="0" xfId="0" applyFont="1" applyBorder="1" applyAlignment="1">
      <alignment horizontal="left"/>
    </xf>
    <xf numFmtId="0" fontId="31" fillId="0" borderId="0" xfId="0" applyFont="1" applyAlignment="1">
      <alignment horizontal="left"/>
    </xf>
    <xf numFmtId="2" fontId="0" fillId="0" borderId="0" xfId="2" applyNumberFormat="1" applyFont="1" applyBorder="1"/>
    <xf numFmtId="14" fontId="0" fillId="3" borderId="1" xfId="0" applyNumberFormat="1" applyFont="1" applyFill="1" applyBorder="1" applyAlignment="1">
      <alignment horizontal="center" vertical="top"/>
    </xf>
    <xf numFmtId="0" fontId="9" fillId="3" borderId="1" xfId="0" applyFont="1" applyFill="1" applyBorder="1" applyAlignment="1">
      <alignment vertical="top" wrapText="1"/>
    </xf>
    <xf numFmtId="165" fontId="8" fillId="3" borderId="1" xfId="1" applyFont="1" applyFill="1" applyBorder="1" applyAlignment="1">
      <alignment vertical="top"/>
    </xf>
    <xf numFmtId="0" fontId="9" fillId="9" borderId="0" xfId="0" quotePrefix="1" applyNumberFormat="1" applyFont="1" applyFill="1" applyBorder="1" applyAlignment="1">
      <alignment vertical="top"/>
    </xf>
    <xf numFmtId="0" fontId="12" fillId="0" borderId="0" xfId="0" applyFont="1" applyBorder="1"/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49" fontId="9" fillId="9" borderId="0" xfId="0" quotePrefix="1" applyNumberFormat="1" applyFont="1" applyFill="1" applyBorder="1" applyAlignment="1">
      <alignment vertical="top"/>
    </xf>
    <xf numFmtId="0" fontId="6" fillId="0" borderId="0" xfId="0" applyFont="1" applyAlignment="1">
      <alignment horizontal="right"/>
    </xf>
    <xf numFmtId="0" fontId="21" fillId="3" borderId="0" xfId="0" applyFont="1" applyFill="1" applyBorder="1"/>
    <xf numFmtId="0" fontId="22" fillId="3" borderId="0" xfId="0" applyFont="1" applyFill="1" applyBorder="1"/>
    <xf numFmtId="0" fontId="9" fillId="3" borderId="0" xfId="0" quotePrefix="1" applyNumberFormat="1" applyFont="1" applyFill="1" applyBorder="1" applyAlignment="1">
      <alignment vertical="top"/>
    </xf>
    <xf numFmtId="0" fontId="0" fillId="3" borderId="1" xfId="0" applyFill="1" applyBorder="1"/>
    <xf numFmtId="0" fontId="0" fillId="3" borderId="1" xfId="0" applyFont="1" applyFill="1" applyBorder="1" applyAlignment="1">
      <alignment vertical="top" wrapText="1"/>
    </xf>
    <xf numFmtId="165" fontId="9" fillId="3" borderId="1" xfId="1" applyFont="1" applyFill="1" applyBorder="1" applyAlignment="1">
      <alignment vertical="top"/>
    </xf>
    <xf numFmtId="14" fontId="9" fillId="3" borderId="1" xfId="0" applyNumberFormat="1" applyFont="1" applyFill="1" applyBorder="1" applyAlignment="1">
      <alignment horizontal="center" vertical="top"/>
    </xf>
    <xf numFmtId="165" fontId="1" fillId="12" borderId="1" xfId="1" applyFont="1" applyFill="1" applyBorder="1" applyAlignment="1">
      <alignment vertical="top"/>
    </xf>
    <xf numFmtId="0" fontId="9" fillId="0" borderId="0" xfId="0" applyFont="1" applyAlignment="1"/>
    <xf numFmtId="164" fontId="6" fillId="0" borderId="0" xfId="0" applyNumberFormat="1" applyFont="1"/>
    <xf numFmtId="0" fontId="31" fillId="0" borderId="0" xfId="0" applyFont="1" applyAlignment="1">
      <alignment vertical="center"/>
    </xf>
    <xf numFmtId="165" fontId="0" fillId="0" borderId="1" xfId="1" applyFont="1" applyBorder="1"/>
    <xf numFmtId="165" fontId="3" fillId="0" borderId="1" xfId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7" fontId="4" fillId="9" borderId="1" xfId="0" applyNumberFormat="1" applyFont="1" applyFill="1" applyBorder="1" applyAlignment="1">
      <alignment horizontal="left"/>
    </xf>
    <xf numFmtId="0" fontId="7" fillId="13" borderId="0" xfId="0" applyFont="1" applyFill="1" applyAlignment="1">
      <alignment horizontal="center" wrapText="1"/>
    </xf>
    <xf numFmtId="14" fontId="8" fillId="3" borderId="1" xfId="0" applyNumberFormat="1" applyFont="1" applyFill="1" applyBorder="1" applyAlignment="1">
      <alignment horizontal="center" vertical="top"/>
    </xf>
    <xf numFmtId="0" fontId="8" fillId="3" borderId="1" xfId="0" applyFont="1" applyFill="1" applyBorder="1" applyAlignment="1">
      <alignment vertical="top" wrapText="1"/>
    </xf>
    <xf numFmtId="165" fontId="0" fillId="5" borderId="1" xfId="1" applyFont="1" applyFill="1" applyBorder="1" applyAlignment="1">
      <alignment vertical="top"/>
    </xf>
    <xf numFmtId="165" fontId="8" fillId="2" borderId="1" xfId="1" applyFont="1" applyFill="1" applyBorder="1"/>
    <xf numFmtId="0" fontId="23" fillId="2" borderId="0" xfId="0" applyFont="1" applyFill="1" applyAlignment="1">
      <alignment horizontal="center" vertical="top"/>
    </xf>
    <xf numFmtId="0" fontId="7" fillId="13" borderId="1" xfId="0" applyFont="1" applyFill="1" applyBorder="1" applyAlignment="1">
      <alignment horizontal="center"/>
    </xf>
    <xf numFmtId="0" fontId="7" fillId="14" borderId="1" xfId="0" applyFont="1" applyFill="1" applyBorder="1" applyAlignment="1">
      <alignment horizontal="center" wrapText="1"/>
    </xf>
    <xf numFmtId="165" fontId="9" fillId="5" borderId="1" xfId="1" quotePrefix="1" applyFont="1" applyFill="1" applyBorder="1" applyAlignment="1">
      <alignment horizontal="left" vertical="top"/>
    </xf>
    <xf numFmtId="165" fontId="9" fillId="10" borderId="1" xfId="1" quotePrefix="1" applyFont="1" applyFill="1" applyBorder="1" applyAlignment="1">
      <alignment horizontal="left" vertical="top" wrapText="1"/>
    </xf>
    <xf numFmtId="164" fontId="7" fillId="15" borderId="1" xfId="0" quotePrefix="1" applyNumberFormat="1" applyFont="1" applyFill="1" applyBorder="1" applyAlignment="1">
      <alignment horizontal="left" vertical="top"/>
    </xf>
    <xf numFmtId="164" fontId="45" fillId="11" borderId="1" xfId="0" applyNumberFormat="1" applyFont="1" applyFill="1" applyBorder="1"/>
    <xf numFmtId="0" fontId="1" fillId="0" borderId="0" xfId="0" applyFont="1" applyAlignment="1">
      <alignment horizontal="center" wrapText="1"/>
    </xf>
    <xf numFmtId="14" fontId="14" fillId="0" borderId="0" xfId="0" applyNumberFormat="1" applyFont="1"/>
    <xf numFmtId="0" fontId="16" fillId="0" borderId="0" xfId="0" applyFont="1" applyAlignment="1">
      <alignment horizontal="center" wrapText="1"/>
    </xf>
    <xf numFmtId="165" fontId="18" fillId="0" borderId="0" xfId="1" applyFont="1"/>
    <xf numFmtId="14" fontId="18" fillId="0" borderId="0" xfId="0" applyNumberFormat="1" applyFont="1" applyAlignment="1">
      <alignment horizontal="left"/>
    </xf>
    <xf numFmtId="0" fontId="8" fillId="2" borderId="0" xfId="0" applyFont="1" applyFill="1"/>
    <xf numFmtId="14" fontId="14" fillId="2" borderId="0" xfId="0" applyNumberFormat="1" applyFont="1" applyFill="1"/>
    <xf numFmtId="165" fontId="14" fillId="2" borderId="0" xfId="1" applyFont="1" applyFill="1"/>
    <xf numFmtId="0" fontId="16" fillId="0" borderId="0" xfId="0" applyFont="1" applyAlignment="1">
      <alignment horizontal="center"/>
    </xf>
    <xf numFmtId="165" fontId="8" fillId="10" borderId="1" xfId="1" quotePrefix="1" applyFont="1" applyFill="1" applyBorder="1" applyAlignment="1">
      <alignment horizontal="left" vertical="top"/>
    </xf>
    <xf numFmtId="165" fontId="8" fillId="10" borderId="1" xfId="1" quotePrefix="1" applyFont="1" applyFill="1" applyBorder="1" applyAlignment="1">
      <alignment horizontal="left" vertical="top" wrapText="1"/>
    </xf>
    <xf numFmtId="165" fontId="8" fillId="5" borderId="1" xfId="1" quotePrefix="1" applyFont="1" applyFill="1" applyBorder="1" applyAlignment="1">
      <alignment horizontal="left" vertical="top"/>
    </xf>
    <xf numFmtId="165" fontId="8" fillId="5" borderId="1" xfId="1" applyFont="1" applyFill="1" applyBorder="1" applyAlignment="1">
      <alignment vertical="top"/>
    </xf>
    <xf numFmtId="0" fontId="10" fillId="0" borderId="0" xfId="0" applyFont="1" applyFill="1"/>
    <xf numFmtId="0" fontId="0" fillId="10" borderId="0" xfId="0" applyFont="1" applyFill="1" applyAlignment="1">
      <alignment horizontal="center" vertical="top" wrapText="1"/>
    </xf>
    <xf numFmtId="0" fontId="0" fillId="3" borderId="1" xfId="0" quotePrefix="1" applyFont="1" applyFill="1" applyBorder="1" applyAlignment="1">
      <alignment horizontal="left" vertical="top" wrapText="1"/>
    </xf>
    <xf numFmtId="0" fontId="8" fillId="7" borderId="1" xfId="0" quotePrefix="1" applyNumberFormat="1" applyFont="1" applyFill="1" applyBorder="1" applyAlignment="1">
      <alignment vertical="top"/>
    </xf>
    <xf numFmtId="0" fontId="8" fillId="7" borderId="1" xfId="0" applyFont="1" applyFill="1" applyBorder="1" applyAlignment="1">
      <alignment vertical="top" wrapText="1"/>
    </xf>
    <xf numFmtId="14" fontId="8" fillId="7" borderId="1" xfId="0" applyNumberFormat="1" applyFont="1" applyFill="1" applyBorder="1" applyAlignment="1">
      <alignment horizontal="center" vertical="top" wrapText="1"/>
    </xf>
    <xf numFmtId="49" fontId="8" fillId="7" borderId="1" xfId="0" quotePrefix="1" applyNumberFormat="1" applyFont="1" applyFill="1" applyBorder="1" applyAlignment="1">
      <alignment vertical="top"/>
    </xf>
    <xf numFmtId="49" fontId="8" fillId="7" borderId="1" xfId="0" applyNumberFormat="1" applyFont="1" applyFill="1" applyBorder="1" applyAlignment="1">
      <alignment vertical="top"/>
    </xf>
    <xf numFmtId="0" fontId="31" fillId="0" borderId="0" xfId="0" applyFont="1" applyBorder="1" applyAlignment="1">
      <alignment horizontal="left"/>
    </xf>
    <xf numFmtId="165" fontId="31" fillId="0" borderId="0" xfId="1" applyFont="1" applyBorder="1" applyAlignment="1">
      <alignment horizontal="center"/>
    </xf>
    <xf numFmtId="16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49" fontId="25" fillId="0" borderId="0" xfId="0" applyNumberFormat="1" applyFont="1" applyAlignment="1">
      <alignment horizontal="left"/>
    </xf>
    <xf numFmtId="164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4" fontId="18" fillId="0" borderId="0" xfId="0" applyNumberFormat="1" applyFont="1"/>
    <xf numFmtId="165" fontId="44" fillId="2" borderId="1" xfId="1" applyFont="1" applyFill="1" applyBorder="1"/>
    <xf numFmtId="0" fontId="10" fillId="9" borderId="1" xfId="0" applyFont="1" applyFill="1" applyBorder="1" applyAlignment="1" applyProtection="1">
      <alignment horizontal="center" vertical="center"/>
      <protection locked="0"/>
    </xf>
    <xf numFmtId="0" fontId="1" fillId="10" borderId="1" xfId="0" applyNumberFormat="1" applyFont="1" applyFill="1" applyBorder="1" applyProtection="1">
      <protection locked="0"/>
    </xf>
    <xf numFmtId="165" fontId="0" fillId="9" borderId="1" xfId="1" applyFont="1" applyFill="1" applyBorder="1" applyProtection="1">
      <protection locked="0"/>
    </xf>
    <xf numFmtId="14" fontId="14" fillId="2" borderId="0" xfId="0" applyNumberFormat="1" applyFont="1" applyFill="1" applyAlignment="1">
      <alignment horizontal="left" vertical="center"/>
    </xf>
    <xf numFmtId="165" fontId="0" fillId="3" borderId="1" xfId="1" applyFont="1" applyFill="1" applyBorder="1"/>
    <xf numFmtId="14" fontId="9" fillId="9" borderId="1" xfId="0" applyNumberFormat="1" applyFont="1" applyFill="1" applyBorder="1" applyAlignment="1" applyProtection="1">
      <alignment horizontal="center" vertical="center"/>
      <protection locked="0"/>
    </xf>
    <xf numFmtId="14" fontId="9" fillId="9" borderId="1" xfId="0" applyNumberFormat="1" applyFont="1" applyFill="1" applyBorder="1" applyAlignment="1" applyProtection="1">
      <alignment horizontal="left" vertical="top"/>
      <protection locked="0"/>
    </xf>
    <xf numFmtId="14" fontId="9" fillId="9" borderId="1" xfId="0" applyNumberFormat="1" applyFont="1" applyFill="1" applyBorder="1" applyAlignment="1" applyProtection="1">
      <alignment horizontal="center" vertical="top"/>
      <protection locked="0"/>
    </xf>
    <xf numFmtId="14" fontId="0" fillId="9" borderId="1" xfId="0" applyNumberFormat="1" applyFill="1" applyBorder="1" applyAlignment="1" applyProtection="1">
      <alignment horizontal="left" vertical="top"/>
      <protection locked="0"/>
    </xf>
    <xf numFmtId="14" fontId="0" fillId="9" borderId="1" xfId="0" applyNumberFormat="1" applyFill="1" applyBorder="1" applyAlignment="1" applyProtection="1">
      <alignment horizontal="center" vertical="top"/>
      <protection locked="0"/>
    </xf>
    <xf numFmtId="164" fontId="49" fillId="6" borderId="0" xfId="0" applyNumberFormat="1" applyFont="1" applyFill="1" applyAlignment="1">
      <alignment horizontal="right"/>
    </xf>
    <xf numFmtId="0" fontId="50" fillId="0" borderId="0" xfId="0" applyFont="1" applyAlignment="1">
      <alignment horizontal="right" vertical="center"/>
    </xf>
    <xf numFmtId="43" fontId="0" fillId="0" borderId="0" xfId="0" applyNumberFormat="1"/>
    <xf numFmtId="165" fontId="0" fillId="0" borderId="0" xfId="0" applyNumberFormat="1"/>
    <xf numFmtId="0" fontId="31" fillId="0" borderId="0" xfId="0" applyFont="1" applyAlignment="1">
      <alignment horizontal="left"/>
    </xf>
    <xf numFmtId="0" fontId="31" fillId="0" borderId="0" xfId="0" applyFont="1" applyBorder="1" applyAlignment="1">
      <alignment horizontal="left"/>
    </xf>
    <xf numFmtId="0" fontId="51" fillId="0" borderId="0" xfId="0" applyFont="1"/>
    <xf numFmtId="169" fontId="0" fillId="0" borderId="0" xfId="0" applyNumberFormat="1"/>
    <xf numFmtId="0" fontId="0" fillId="10" borderId="0" xfId="0" applyFill="1" applyAlignment="1">
      <alignment horizontal="right" vertical="top"/>
    </xf>
    <xf numFmtId="165" fontId="31" fillId="0" borderId="0" xfId="1" applyFont="1" applyAlignment="1">
      <alignment horizontal="left"/>
    </xf>
    <xf numFmtId="0" fontId="31" fillId="0" borderId="0" xfId="0" applyFont="1" applyFill="1" applyAlignment="1">
      <alignment wrapText="1"/>
    </xf>
    <xf numFmtId="165" fontId="0" fillId="0" borderId="0" xfId="0" applyNumberFormat="1" applyBorder="1"/>
    <xf numFmtId="0" fontId="31" fillId="0" borderId="0" xfId="0" applyFont="1" applyBorder="1" applyAlignment="1">
      <alignment horizontal="left"/>
    </xf>
    <xf numFmtId="0" fontId="31" fillId="0" borderId="0" xfId="0" applyFont="1" applyAlignment="1">
      <alignment horizontal="left"/>
    </xf>
    <xf numFmtId="0" fontId="29" fillId="0" borderId="0" xfId="0" applyFont="1"/>
    <xf numFmtId="0" fontId="15" fillId="0" borderId="0" xfId="0" applyFont="1"/>
    <xf numFmtId="0" fontId="1" fillId="10" borderId="0" xfId="0" applyFont="1" applyFill="1" applyAlignment="1">
      <alignment vertical="top" wrapText="1"/>
    </xf>
    <xf numFmtId="0" fontId="31" fillId="0" borderId="0" xfId="0" applyFont="1" applyBorder="1" applyAlignment="1">
      <alignment horizontal="left"/>
    </xf>
    <xf numFmtId="165" fontId="9" fillId="0" borderId="0" xfId="0" applyNumberFormat="1" applyFont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19" fillId="7" borderId="8" xfId="0" applyFont="1" applyFill="1" applyBorder="1" applyAlignment="1">
      <alignment horizontal="right"/>
    </xf>
    <xf numFmtId="0" fontId="19" fillId="7" borderId="9" xfId="0" applyFont="1" applyFill="1" applyBorder="1" applyAlignment="1">
      <alignment horizontal="right"/>
    </xf>
    <xf numFmtId="0" fontId="31" fillId="0" borderId="0" xfId="0" applyFont="1" applyBorder="1" applyAlignment="1">
      <alignment horizontal="left"/>
    </xf>
    <xf numFmtId="2" fontId="31" fillId="0" borderId="10" xfId="0" applyNumberFormat="1" applyFont="1" applyBorder="1"/>
    <xf numFmtId="0" fontId="31" fillId="0" borderId="10" xfId="0" applyFont="1" applyBorder="1"/>
    <xf numFmtId="171" fontId="31" fillId="0" borderId="0" xfId="0" applyNumberFormat="1" applyFont="1"/>
    <xf numFmtId="0" fontId="0" fillId="16" borderId="1" xfId="0" applyFont="1" applyFill="1" applyBorder="1" applyAlignment="1">
      <alignment vertical="top" wrapText="1"/>
    </xf>
    <xf numFmtId="165" fontId="8" fillId="16" borderId="1" xfId="1" applyFont="1" applyFill="1" applyBorder="1" applyAlignment="1">
      <alignment vertical="top"/>
    </xf>
    <xf numFmtId="165" fontId="0" fillId="16" borderId="1" xfId="1" applyFont="1" applyFill="1" applyBorder="1" applyAlignment="1">
      <alignment vertical="top"/>
    </xf>
    <xf numFmtId="165" fontId="31" fillId="0" borderId="0" xfId="1" applyFont="1" applyAlignment="1"/>
    <xf numFmtId="165" fontId="15" fillId="0" borderId="0" xfId="0" applyNumberFormat="1" applyFont="1" applyAlignment="1"/>
    <xf numFmtId="0" fontId="31" fillId="0" borderId="0" xfId="0" applyFont="1" applyBorder="1" applyAlignment="1">
      <alignment horizontal="left"/>
    </xf>
    <xf numFmtId="0" fontId="31" fillId="0" borderId="0" xfId="0" applyFont="1" applyFill="1" applyAlignment="1">
      <alignment horizontal="left" wrapText="1"/>
    </xf>
    <xf numFmtId="0" fontId="31" fillId="0" borderId="0" xfId="0" applyFont="1" applyFill="1" applyAlignment="1">
      <alignment horizontal="center"/>
    </xf>
    <xf numFmtId="165" fontId="24" fillId="0" borderId="0" xfId="0" applyNumberFormat="1" applyFont="1" applyAlignment="1"/>
    <xf numFmtId="0" fontId="31" fillId="0" borderId="0" xfId="0" applyFont="1" applyAlignment="1">
      <alignment horizontal="left"/>
    </xf>
    <xf numFmtId="0" fontId="25" fillId="0" borderId="5" xfId="0" applyFont="1" applyBorder="1" applyAlignment="1">
      <alignment horizontal="center"/>
    </xf>
    <xf numFmtId="0" fontId="25" fillId="0" borderId="0" xfId="0" applyFont="1" applyAlignment="1">
      <alignment horizontal="left"/>
    </xf>
    <xf numFmtId="0" fontId="41" fillId="0" borderId="0" xfId="0" applyFont="1" applyFill="1" applyAlignment="1">
      <alignment horizontal="left" vertical="top" wrapText="1"/>
    </xf>
    <xf numFmtId="165" fontId="30" fillId="0" borderId="0" xfId="1" applyNumberFormat="1" applyFont="1" applyAlignment="1">
      <alignment horizontal="center"/>
    </xf>
    <xf numFmtId="0" fontId="32" fillId="0" borderId="0" xfId="0" applyFont="1" applyBorder="1" applyAlignment="1">
      <alignment horizontal="left"/>
    </xf>
    <xf numFmtId="165" fontId="30" fillId="0" borderId="0" xfId="1" applyFont="1" applyBorder="1" applyAlignment="1">
      <alignment horizontal="center"/>
    </xf>
    <xf numFmtId="165" fontId="30" fillId="0" borderId="3" xfId="1" applyNumberFormat="1" applyFont="1" applyBorder="1" applyAlignment="1">
      <alignment horizontal="right"/>
    </xf>
    <xf numFmtId="165" fontId="30" fillId="0" borderId="0" xfId="1" applyFont="1" applyAlignment="1">
      <alignment horizontal="center"/>
    </xf>
    <xf numFmtId="165" fontId="31" fillId="0" borderId="0" xfId="1" applyFont="1" applyAlignment="1">
      <alignment horizontal="center"/>
    </xf>
    <xf numFmtId="0" fontId="12" fillId="0" borderId="0" xfId="0" applyFont="1" applyAlignment="1">
      <alignment horizontal="left"/>
    </xf>
    <xf numFmtId="169" fontId="12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5" fontId="0" fillId="0" borderId="0" xfId="1" applyFont="1" applyAlignment="1">
      <alignment horizontal="center"/>
    </xf>
    <xf numFmtId="0" fontId="32" fillId="0" borderId="0" xfId="0" applyFont="1" applyAlignment="1">
      <alignment horizontal="left"/>
    </xf>
    <xf numFmtId="165" fontId="31" fillId="0" borderId="0" xfId="1" applyFont="1" applyBorder="1" applyAlignment="1">
      <alignment horizontal="center"/>
    </xf>
    <xf numFmtId="0" fontId="33" fillId="0" borderId="0" xfId="0" applyFont="1" applyAlignment="1">
      <alignment horizontal="left"/>
    </xf>
    <xf numFmtId="0" fontId="38" fillId="0" borderId="0" xfId="0" applyFont="1" applyFill="1" applyAlignment="1">
      <alignment horizontal="left" vertical="top" wrapText="1"/>
    </xf>
    <xf numFmtId="0" fontId="30" fillId="0" borderId="5" xfId="0" applyFont="1" applyBorder="1" applyAlignment="1">
      <alignment horizontal="center"/>
    </xf>
    <xf numFmtId="165" fontId="31" fillId="0" borderId="3" xfId="1" applyNumberFormat="1" applyFont="1" applyBorder="1" applyAlignment="1">
      <alignment horizontal="right"/>
    </xf>
    <xf numFmtId="165" fontId="31" fillId="0" borderId="0" xfId="1" applyNumberFormat="1" applyFont="1" applyAlignment="1">
      <alignment horizontal="center"/>
    </xf>
    <xf numFmtId="0" fontId="30" fillId="0" borderId="0" xfId="0" applyFont="1" applyBorder="1" applyAlignment="1">
      <alignment horizontal="left"/>
    </xf>
    <xf numFmtId="0" fontId="30" fillId="0" borderId="0" xfId="0" applyFont="1" applyAlignment="1">
      <alignment horizontal="left"/>
    </xf>
    <xf numFmtId="165" fontId="31" fillId="0" borderId="2" xfId="1" applyFont="1" applyBorder="1" applyAlignment="1">
      <alignment horizontal="center"/>
    </xf>
    <xf numFmtId="165" fontId="31" fillId="0" borderId="0" xfId="1" applyFont="1" applyAlignment="1">
      <alignment horizontal="left"/>
    </xf>
    <xf numFmtId="165" fontId="31" fillId="0" borderId="0" xfId="1" applyFont="1" applyBorder="1" applyAlignment="1">
      <alignment horizontal="left"/>
    </xf>
    <xf numFmtId="165" fontId="31" fillId="0" borderId="2" xfId="1" applyFont="1" applyBorder="1" applyAlignment="1">
      <alignment horizontal="left"/>
    </xf>
    <xf numFmtId="165" fontId="31" fillId="0" borderId="3" xfId="1" applyNumberFormat="1" applyFont="1" applyBorder="1" applyAlignment="1">
      <alignment horizontal="left"/>
    </xf>
    <xf numFmtId="165" fontId="31" fillId="0" borderId="0" xfId="1" applyNumberFormat="1" applyFont="1" applyAlignment="1">
      <alignment horizontal="left"/>
    </xf>
    <xf numFmtId="165" fontId="22" fillId="0" borderId="0" xfId="0" applyNumberFormat="1" applyFont="1" applyAlignment="1"/>
    <xf numFmtId="165" fontId="15" fillId="0" borderId="0" xfId="1" applyNumberFormat="1" applyFont="1" applyAlignment="1">
      <alignment horizontal="center"/>
    </xf>
    <xf numFmtId="165" fontId="30" fillId="0" borderId="0" xfId="1" applyNumberFormat="1" applyFont="1" applyAlignment="1">
      <alignment horizontal="right"/>
    </xf>
    <xf numFmtId="0" fontId="9" fillId="0" borderId="0" xfId="0" applyFont="1" applyAlignment="1">
      <alignment horizontal="left"/>
    </xf>
    <xf numFmtId="165" fontId="9" fillId="0" borderId="0" xfId="1" applyFont="1" applyAlignment="1">
      <alignment horizontal="center"/>
    </xf>
    <xf numFmtId="43" fontId="42" fillId="0" borderId="0" xfId="0" applyNumberFormat="1" applyFont="1" applyAlignment="1">
      <alignment horizontal="right"/>
    </xf>
    <xf numFmtId="0" fontId="42" fillId="0" borderId="0" xfId="0" applyFont="1" applyAlignment="1">
      <alignment horizontal="right"/>
    </xf>
    <xf numFmtId="165" fontId="31" fillId="0" borderId="10" xfId="1" applyFont="1" applyBorder="1" applyAlignment="1">
      <alignment horizontal="center"/>
    </xf>
    <xf numFmtId="0" fontId="22" fillId="0" borderId="0" xfId="0" applyFont="1" applyAlignment="1">
      <alignment horizontal="left"/>
    </xf>
    <xf numFmtId="0" fontId="20" fillId="0" borderId="0" xfId="0" applyFont="1" applyFill="1" applyAlignment="1">
      <alignment horizontal="left" vertical="top" wrapText="1"/>
    </xf>
    <xf numFmtId="0" fontId="33" fillId="0" borderId="5" xfId="0" applyFont="1" applyBorder="1" applyAlignment="1">
      <alignment horizontal="center"/>
    </xf>
    <xf numFmtId="0" fontId="5" fillId="7" borderId="0" xfId="0" applyFont="1" applyFill="1" applyAlignment="1">
      <alignment horizontal="center"/>
    </xf>
    <xf numFmtId="165" fontId="22" fillId="0" borderId="0" xfId="1" applyNumberFormat="1" applyFont="1" applyAlignment="1">
      <alignment horizontal="center"/>
    </xf>
    <xf numFmtId="165" fontId="24" fillId="0" borderId="0" xfId="1" applyFont="1" applyAlignment="1">
      <alignment horizontal="center"/>
    </xf>
    <xf numFmtId="165" fontId="22" fillId="0" borderId="0" xfId="1" applyFont="1" applyAlignment="1">
      <alignment horizontal="center"/>
    </xf>
    <xf numFmtId="0" fontId="43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165" fontId="48" fillId="2" borderId="1" xfId="1" applyFont="1" applyFill="1" applyBorder="1" applyAlignment="1">
      <alignment horizontal="center"/>
    </xf>
  </cellXfs>
  <cellStyles count="13">
    <cellStyle name="Millares" xfId="1" builtinId="3"/>
    <cellStyle name="Millares 2" xfId="3"/>
    <cellStyle name="Millares 2 2" xfId="7"/>
    <cellStyle name="Millares 2 2 2" xfId="10"/>
    <cellStyle name="Millares 3" xfId="4"/>
    <cellStyle name="Millares 3 2" xfId="8"/>
    <cellStyle name="Millares 3 2 2" xfId="11"/>
    <cellStyle name="Millares 4" xfId="5"/>
    <cellStyle name="Millares 4 2" xfId="9"/>
    <cellStyle name="Millares 4 2 2" xfId="12"/>
    <cellStyle name="Millares 5" xfId="6"/>
    <cellStyle name="Normal" xfId="0" builtinId="0"/>
    <cellStyle name="Porcentaje" xfId="2" builtinId="5"/>
  </cellStyles>
  <dxfs count="137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CC00"/>
      <color rgb="FFFFFFCC"/>
      <color rgb="FFFFFF99"/>
      <color rgb="FFFF6600"/>
      <color rgb="FFFF3300"/>
      <color rgb="FF0000CC"/>
      <color rgb="FFFFFF66"/>
      <color rgb="FFFF9933"/>
      <color rgb="FFFF99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77585</xdr:rowOff>
    </xdr:from>
    <xdr:to>
      <xdr:col>8</xdr:col>
      <xdr:colOff>933450</xdr:colOff>
      <xdr:row>3</xdr:row>
      <xdr:rowOff>349906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857499" y="77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0</xdr:row>
      <xdr:rowOff>0</xdr:rowOff>
    </xdr:from>
    <xdr:ext cx="1905096" cy="986400"/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36</xdr:row>
      <xdr:rowOff>77585</xdr:rowOff>
    </xdr:from>
    <xdr:to>
      <xdr:col>8</xdr:col>
      <xdr:colOff>933450</xdr:colOff>
      <xdr:row>39</xdr:row>
      <xdr:rowOff>349906</xdr:rowOff>
    </xdr:to>
    <xdr:sp macro="" textlink="">
      <xdr:nvSpPr>
        <xdr:cNvPr id="4" name="CuadroTexto 2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857499" y="6554585"/>
          <a:ext cx="4000501" cy="6818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36</xdr:row>
      <xdr:rowOff>0</xdr:rowOff>
    </xdr:from>
    <xdr:ext cx="2045590" cy="988781"/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6477000"/>
          <a:ext cx="2045590" cy="988781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65</xdr:row>
      <xdr:rowOff>77585</xdr:rowOff>
    </xdr:from>
    <xdr:to>
      <xdr:col>8</xdr:col>
      <xdr:colOff>933450</xdr:colOff>
      <xdr:row>68</xdr:row>
      <xdr:rowOff>349906</xdr:rowOff>
    </xdr:to>
    <xdr:sp macro="" textlink="">
      <xdr:nvSpPr>
        <xdr:cNvPr id="6" name="CuadroTexto 2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2324099" y="77585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65</xdr:row>
      <xdr:rowOff>0</xdr:rowOff>
    </xdr:from>
    <xdr:ext cx="1905096" cy="986400"/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0"/>
          <a:ext cx="1905096" cy="986400"/>
        </a:xfrm>
        <a:prstGeom prst="rect">
          <a:avLst/>
        </a:prstGeom>
      </xdr:spPr>
    </xdr:pic>
    <xdr:clientData/>
  </xdr:oneCellAnchor>
  <xdr:twoCellAnchor>
    <xdr:from>
      <xdr:col>3</xdr:col>
      <xdr:colOff>571499</xdr:colOff>
      <xdr:row>93</xdr:row>
      <xdr:rowOff>77585</xdr:rowOff>
    </xdr:from>
    <xdr:to>
      <xdr:col>8</xdr:col>
      <xdr:colOff>933450</xdr:colOff>
      <xdr:row>96</xdr:row>
      <xdr:rowOff>349906</xdr:rowOff>
    </xdr:to>
    <xdr:sp macro="" textlink="">
      <xdr:nvSpPr>
        <xdr:cNvPr id="8" name="CuadroTexto 2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324099" y="13612610"/>
          <a:ext cx="6267451" cy="8438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20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200" b="1">
              <a:solidFill>
                <a:srgbClr val="002060"/>
              </a:solidFill>
            </a:rPr>
            <a:t>J-40688784-6</a:t>
          </a:r>
        </a:p>
        <a:p>
          <a:r>
            <a:rPr lang="es-VE" sz="1200" b="1">
              <a:solidFill>
                <a:srgbClr val="002060"/>
              </a:solidFill>
            </a:rPr>
            <a:t>Av.</a:t>
          </a:r>
          <a:r>
            <a:rPr lang="es-VE" sz="120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2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0</xdr:colOff>
      <xdr:row>93</xdr:row>
      <xdr:rowOff>0</xdr:rowOff>
    </xdr:from>
    <xdr:ext cx="1905096" cy="986400"/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0" y="13535025"/>
          <a:ext cx="1905096" cy="9864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571499</xdr:colOff>
      <xdr:row>0</xdr:row>
      <xdr:rowOff>0</xdr:rowOff>
    </xdr:from>
    <xdr:to>
      <xdr:col>8</xdr:col>
      <xdr:colOff>933450</xdr:colOff>
      <xdr:row>2</xdr:row>
      <xdr:rowOff>368949</xdr:rowOff>
    </xdr:to>
    <xdr:sp macro="" textlink="">
      <xdr:nvSpPr>
        <xdr:cNvPr id="2" name="CuadroTexto 2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2257424" y="0"/>
          <a:ext cx="3743326" cy="71184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s-VE"/>
          </a:defPPr>
          <a:lvl1pPr marL="0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47944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95888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943832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591775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239719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887663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535607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5183551" algn="l" defTabSz="1295888" rtl="0" eaLnBrk="1" latinLnBrk="0" hangingPunct="1">
            <a:defRPr sz="2551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s-VE" sz="1050" b="1">
              <a:solidFill>
                <a:srgbClr val="002060"/>
              </a:solidFill>
            </a:rPr>
            <a:t>CHS Construcciones y Materiales, C.A.</a:t>
          </a:r>
        </a:p>
        <a:p>
          <a:r>
            <a:rPr lang="es-VE" sz="1050" b="1">
              <a:solidFill>
                <a:srgbClr val="002060"/>
              </a:solidFill>
            </a:rPr>
            <a:t>J-40688784-6</a:t>
          </a:r>
        </a:p>
        <a:p>
          <a:r>
            <a:rPr lang="es-VE" sz="1050" b="1">
              <a:solidFill>
                <a:srgbClr val="002060"/>
              </a:solidFill>
            </a:rPr>
            <a:t>Av.</a:t>
          </a:r>
          <a:r>
            <a:rPr lang="es-VE" sz="1050" b="1" baseline="0">
              <a:solidFill>
                <a:srgbClr val="002060"/>
              </a:solidFill>
            </a:rPr>
            <a:t> Ramón Antonio Medina, Casa #2, Urb. Monche Soto, Coro-Edo. Falcón. 0426-1635453</a:t>
          </a:r>
          <a:endParaRPr lang="es-VE" sz="105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2</xdr:col>
      <xdr:colOff>914401</xdr:colOff>
      <xdr:row>4</xdr:row>
      <xdr:rowOff>20320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5250" y="0"/>
          <a:ext cx="1581151" cy="79184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1659828</xdr:colOff>
      <xdr:row>0</xdr:row>
      <xdr:rowOff>986400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" y="0"/>
          <a:ext cx="2040827" cy="986400"/>
        </a:xfrm>
        <a:prstGeom prst="rect">
          <a:avLst/>
        </a:prstGeom>
      </xdr:spPr>
    </xdr:pic>
    <xdr:clientData/>
  </xdr:twoCellAnchor>
  <xdr:twoCellAnchor>
    <xdr:from>
      <xdr:col>0</xdr:col>
      <xdr:colOff>38100</xdr:colOff>
      <xdr:row>2</xdr:row>
      <xdr:rowOff>38100</xdr:rowOff>
    </xdr:from>
    <xdr:to>
      <xdr:col>0</xdr:col>
      <xdr:colOff>290100</xdr:colOff>
      <xdr:row>2</xdr:row>
      <xdr:rowOff>290100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1363980"/>
          <a:ext cx="252000" cy="252000"/>
          <a:chOff x="4160745" y="1124772"/>
          <a:chExt cx="252000" cy="252000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GrpSpPr/>
        </xdr:nvGrpSpPr>
        <xdr:grpSpPr>
          <a:xfrm>
            <a:off x="4160745" y="1124772"/>
            <a:ext cx="252000" cy="252000"/>
            <a:chOff x="107504" y="790198"/>
            <a:chExt cx="252000" cy="252000"/>
          </a:xfrm>
        </xdr:grpSpPr>
        <xdr:sp macro="[0]!VINCULO_A_HOJAS" textlink="">
          <xdr:nvSpPr>
            <xdr:cNvPr id="7" name="3 Elipse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VINCULO_A_HOJAS" textlink="">
          <xdr:nvSpPr>
            <xdr:cNvPr id="8" name="4 Elipse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cxnSp macro="[0]!VINCULO_A_HOJAS">
        <xdr:nvCxnSpPr>
          <xdr:cNvPr id="6" name="Conector recto de flecha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CxnSpPr/>
        </xdr:nvCxnSpPr>
        <xdr:spPr>
          <a:xfrm flipH="1">
            <a:off x="4214745" y="1246638"/>
            <a:ext cx="144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2</xdr:row>
      <xdr:rowOff>21012</xdr:rowOff>
    </xdr:from>
    <xdr:to>
      <xdr:col>5</xdr:col>
      <xdr:colOff>371195</xdr:colOff>
      <xdr:row>2</xdr:row>
      <xdr:rowOff>284217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1333500" y="1344987"/>
          <a:ext cx="266420" cy="263205"/>
          <a:chOff x="361433" y="784596"/>
          <a:chExt cx="266420" cy="263205"/>
        </a:xfrm>
      </xdr:grpSpPr>
      <xdr:sp macro="[0]!PRUEBA" textlink="">
        <xdr:nvSpPr>
          <xdr:cNvPr id="7" name="3 Elipse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370959" y="795801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8" name="4 Elipse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406959" y="831801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PRUEBA" textlink="">
        <xdr:nvSpPr>
          <xdr:cNvPr id="9" name="Rectángulo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443010" y="847786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INSERTAR_FILA" textlink="">
        <xdr:nvSpPr>
          <xdr:cNvPr id="10" name="CuadroTexto 116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 txBox="1"/>
        </xdr:nvSpPr>
        <xdr:spPr>
          <a:xfrm>
            <a:off x="361433" y="784596"/>
            <a:ext cx="266420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+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433619</xdr:colOff>
      <xdr:row>2</xdr:row>
      <xdr:rowOff>16249</xdr:rowOff>
    </xdr:from>
    <xdr:to>
      <xdr:col>5</xdr:col>
      <xdr:colOff>685619</xdr:colOff>
      <xdr:row>2</xdr:row>
      <xdr:rowOff>288980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pSpPr/>
      </xdr:nvGrpSpPr>
      <xdr:grpSpPr>
        <a:xfrm>
          <a:off x="1662344" y="1340224"/>
          <a:ext cx="252000" cy="272731"/>
          <a:chOff x="405062" y="780005"/>
          <a:chExt cx="252000" cy="272731"/>
        </a:xfrm>
      </xdr:grpSpPr>
      <xdr:sp macro="[0]!BOTON_BORRAR_FILA" textlink="">
        <xdr:nvSpPr>
          <xdr:cNvPr id="12" name="3 Elipse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405062" y="800736"/>
            <a:ext cx="252000" cy="252000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3" name="4 Elipse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441062" y="836736"/>
            <a:ext cx="180000" cy="180000"/>
          </a:xfrm>
          <a:prstGeom prst="ellipse">
            <a:avLst/>
          </a:prstGeom>
          <a:solidFill>
            <a:schemeClr val="tx2">
              <a:lumMod val="50000"/>
            </a:schemeClr>
          </a:solidFill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s-MX"/>
          </a:p>
        </xdr:txBody>
      </xdr:sp>
      <xdr:sp macro="[0]!BOTON_BORRAR_FILA" textlink="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77113" y="852721"/>
            <a:ext cx="108000" cy="144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BOTON_BORRAR_FILA" textlink="">
        <xdr:nvSpPr>
          <xdr:cNvPr id="15" name="CuadroTexto 12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09825" y="780005"/>
            <a:ext cx="231154" cy="261610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s-VE" sz="1100" b="1">
                <a:solidFill>
                  <a:schemeClr val="bg1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Arial" panose="020B0604020202020204" pitchFamily="34" charset="0"/>
                <a:cs typeface="Arial" panose="020B0604020202020204" pitchFamily="34" charset="0"/>
              </a:rPr>
              <a:t>-</a:t>
            </a:r>
            <a:endParaRPr lang="es-ES" sz="1100" b="1">
              <a:solidFill>
                <a:schemeClr val="bg1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5</xdr:col>
      <xdr:colOff>748043</xdr:colOff>
      <xdr:row>2</xdr:row>
      <xdr:rowOff>26614</xdr:rowOff>
    </xdr:from>
    <xdr:to>
      <xdr:col>6</xdr:col>
      <xdr:colOff>89876</xdr:colOff>
      <xdr:row>2</xdr:row>
      <xdr:rowOff>278614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pSpPr/>
      </xdr:nvGrpSpPr>
      <xdr:grpSpPr>
        <a:xfrm>
          <a:off x="1976768" y="1350589"/>
          <a:ext cx="256233" cy="252000"/>
          <a:chOff x="7083439" y="780905"/>
          <a:chExt cx="252000" cy="252000"/>
        </a:xfrm>
      </xdr:grpSpPr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6" name="3 Elipse">
              <a:extLst>
                <a:ext uri="{FF2B5EF4-FFF2-40B4-BE49-F238E27FC236}">
                  <a16:creationId xmlns:a16="http://schemas.microsoft.com/office/drawing/2014/main" id="{00000000-0008-0000-0700-00001A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7" name="4 Elipse"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700-000015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700-000016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700-000017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00000000-0008-0000-0700-000018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5" name="Rectángulo 24">
              <a:extLst>
                <a:ext uri="{FF2B5EF4-FFF2-40B4-BE49-F238E27FC236}">
                  <a16:creationId xmlns:a16="http://schemas.microsoft.com/office/drawing/2014/main" id="{00000000-0008-0000-0700-000019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20" name="Conector recto de flecha 19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9525</xdr:colOff>
      <xdr:row>0</xdr:row>
      <xdr:rowOff>0</xdr:rowOff>
    </xdr:from>
    <xdr:to>
      <xdr:col>7</xdr:col>
      <xdr:colOff>232577</xdr:colOff>
      <xdr:row>0</xdr:row>
      <xdr:rowOff>986400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0" y="0"/>
          <a:ext cx="2048677" cy="986400"/>
        </a:xfrm>
        <a:prstGeom prst="rect">
          <a:avLst/>
        </a:prstGeom>
      </xdr:spPr>
    </xdr:pic>
    <xdr:clientData/>
  </xdr:twoCellAnchor>
  <xdr:twoCellAnchor>
    <xdr:from>
      <xdr:col>6</xdr:col>
      <xdr:colOff>466725</xdr:colOff>
      <xdr:row>2</xdr:row>
      <xdr:rowOff>26614</xdr:rowOff>
    </xdr:from>
    <xdr:to>
      <xdr:col>6</xdr:col>
      <xdr:colOff>718725</xdr:colOff>
      <xdr:row>2</xdr:row>
      <xdr:rowOff>278614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GrpSpPr/>
      </xdr:nvGrpSpPr>
      <xdr:grpSpPr>
        <a:xfrm>
          <a:off x="2609850" y="1350589"/>
          <a:ext cx="252000" cy="252000"/>
          <a:chOff x="5090878" y="790198"/>
          <a:chExt cx="252000" cy="252000"/>
        </a:xfrm>
      </xdr:grpSpPr>
      <xdr:grpSp>
        <xdr:nvGrpSpPr>
          <xdr:cNvPr id="35" name="Grupo 34">
            <a:extLst>
              <a:ext uri="{FF2B5EF4-FFF2-40B4-BE49-F238E27FC236}">
                <a16:creationId xmlns:a16="http://schemas.microsoft.com/office/drawing/2014/main" id="{00000000-0008-0000-0700-000023000000}"/>
              </a:ext>
            </a:extLst>
          </xdr:cNvPr>
          <xdr:cNvGrpSpPr/>
        </xdr:nvGrpSpPr>
        <xdr:grpSpPr>
          <a:xfrm>
            <a:off x="5090878" y="790198"/>
            <a:ext cx="252000" cy="252000"/>
            <a:chOff x="107504" y="790198"/>
            <a:chExt cx="252000" cy="252000"/>
          </a:xfrm>
        </xdr:grpSpPr>
        <xdr:sp macro="" textlink="">
          <xdr:nvSpPr>
            <xdr:cNvPr id="39" name="3 Elipse">
              <a:extLst>
                <a:ext uri="{FF2B5EF4-FFF2-40B4-BE49-F238E27FC236}">
                  <a16:creationId xmlns:a16="http://schemas.microsoft.com/office/drawing/2014/main" id="{00000000-0008-0000-0700-000027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" textlink="">
          <xdr:nvSpPr>
            <xdr:cNvPr id="40" name="4 Elipse">
              <a:extLst>
                <a:ext uri="{FF2B5EF4-FFF2-40B4-BE49-F238E27FC236}">
                  <a16:creationId xmlns:a16="http://schemas.microsoft.com/office/drawing/2014/main" id="{00000000-0008-0000-0700-000028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" textlink="">
        <xdr:nvSpPr>
          <xdr:cNvPr id="36" name="Rectángulo 35">
            <a:extLst>
              <a:ext uri="{FF2B5EF4-FFF2-40B4-BE49-F238E27FC236}">
                <a16:creationId xmlns:a16="http://schemas.microsoft.com/office/drawing/2014/main" id="{00000000-0008-0000-0700-000024000000}"/>
              </a:ext>
            </a:extLst>
          </xdr:cNvPr>
          <xdr:cNvSpPr/>
        </xdr:nvSpPr>
        <xdr:spPr>
          <a:xfrm>
            <a:off x="5144878" y="862198"/>
            <a:ext cx="144000" cy="108000"/>
          </a:xfrm>
          <a:prstGeom prst="rect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" textlink="">
        <xdr:nvSpPr>
          <xdr:cNvPr id="37" name="Recortar rectángulo de esquina del mismo lado 8">
            <a:extLst>
              <a:ext uri="{FF2B5EF4-FFF2-40B4-BE49-F238E27FC236}">
                <a16:creationId xmlns:a16="http://schemas.microsoft.com/office/drawing/2014/main" id="{00000000-0008-0000-0700-000025000000}"/>
              </a:ext>
            </a:extLst>
          </xdr:cNvPr>
          <xdr:cNvSpPr/>
        </xdr:nvSpPr>
        <xdr:spPr>
          <a:xfrm>
            <a:off x="5144878" y="905398"/>
            <a:ext cx="144000" cy="64800"/>
          </a:xfrm>
          <a:prstGeom prst="snip2SameRect">
            <a:avLst>
              <a:gd name="adj1" fmla="val 50000"/>
              <a:gd name="adj2" fmla="val 0"/>
            </a:avLst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VE"/>
          </a:p>
        </xdr:txBody>
      </xdr:sp>
      <xdr:sp macro="" textlink="">
        <xdr:nvSpPr>
          <xdr:cNvPr id="38" name="4 Triángulo isósceles">
            <a:extLst>
              <a:ext uri="{FF2B5EF4-FFF2-40B4-BE49-F238E27FC236}">
                <a16:creationId xmlns:a16="http://schemas.microsoft.com/office/drawing/2014/main" id="{00000000-0008-0000-0700-000026000000}"/>
              </a:ext>
            </a:extLst>
          </xdr:cNvPr>
          <xdr:cNvSpPr/>
        </xdr:nvSpPr>
        <xdr:spPr>
          <a:xfrm rot="10800000">
            <a:off x="5144878" y="862198"/>
            <a:ext cx="144000" cy="72000"/>
          </a:xfrm>
          <a:prstGeom prst="triangle">
            <a:avLst/>
          </a:prstGeom>
          <a:solidFill>
            <a:srgbClr val="FFC000"/>
          </a:solidFill>
          <a:ln w="12700">
            <a:solidFill>
              <a:srgbClr val="FFFF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MX"/>
          </a:p>
        </xdr:txBody>
      </xdr:sp>
    </xdr:grpSp>
    <xdr:clientData/>
  </xdr:twoCellAnchor>
  <xdr:twoCellAnchor>
    <xdr:from>
      <xdr:col>6</xdr:col>
      <xdr:colOff>152300</xdr:colOff>
      <xdr:row>2</xdr:row>
      <xdr:rowOff>26614</xdr:rowOff>
    </xdr:from>
    <xdr:to>
      <xdr:col>6</xdr:col>
      <xdr:colOff>404300</xdr:colOff>
      <xdr:row>2</xdr:row>
      <xdr:rowOff>278614</xdr:rowOff>
    </xdr:to>
    <xdr:grpSp>
      <xdr:nvGrpSpPr>
        <xdr:cNvPr id="41" name="Grupo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GrpSpPr/>
      </xdr:nvGrpSpPr>
      <xdr:grpSpPr>
        <a:xfrm>
          <a:off x="2295425" y="1350589"/>
          <a:ext cx="252000" cy="252000"/>
          <a:chOff x="2209369" y="790198"/>
          <a:chExt cx="252000" cy="252000"/>
        </a:xfrm>
      </xdr:grpSpPr>
      <xdr:grpSp>
        <xdr:nvGrpSpPr>
          <xdr:cNvPr id="42" name="Grupo 41">
            <a:extLst>
              <a:ext uri="{FF2B5EF4-FFF2-40B4-BE49-F238E27FC236}">
                <a16:creationId xmlns:a16="http://schemas.microsoft.com/office/drawing/2014/main" id="{00000000-0008-0000-0700-00002A000000}"/>
              </a:ext>
            </a:extLst>
          </xdr:cNvPr>
          <xdr:cNvGrpSpPr/>
        </xdr:nvGrpSpPr>
        <xdr:grpSpPr>
          <a:xfrm>
            <a:off x="2209369" y="790198"/>
            <a:ext cx="252000" cy="252000"/>
            <a:chOff x="107504" y="790198"/>
            <a:chExt cx="252000" cy="252000"/>
          </a:xfrm>
        </xdr:grpSpPr>
        <xdr:sp macro="[0]!GUARDAR_REPORTE_CORO" textlink="">
          <xdr:nvSpPr>
            <xdr:cNvPr id="47" name="3 Elipse">
              <a:extLst>
                <a:ext uri="{FF2B5EF4-FFF2-40B4-BE49-F238E27FC236}">
                  <a16:creationId xmlns:a16="http://schemas.microsoft.com/office/drawing/2014/main" id="{00000000-0008-0000-0700-00002F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GUARDAR_REPORTE_CORO" textlink="">
          <xdr:nvSpPr>
            <xdr:cNvPr id="48" name="4 Elipse">
              <a:extLst>
                <a:ext uri="{FF2B5EF4-FFF2-40B4-BE49-F238E27FC236}">
                  <a16:creationId xmlns:a16="http://schemas.microsoft.com/office/drawing/2014/main" id="{00000000-0008-0000-0700-000030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sp macro="[0]!GUARDAR_REPORTE_CORO" textlink="">
        <xdr:nvSpPr>
          <xdr:cNvPr id="43" name="Rectángulo 42">
            <a:extLst>
              <a:ext uri="{FF2B5EF4-FFF2-40B4-BE49-F238E27FC236}">
                <a16:creationId xmlns:a16="http://schemas.microsoft.com/office/drawing/2014/main" id="{00000000-0008-0000-0700-00002B000000}"/>
              </a:ext>
            </a:extLst>
          </xdr:cNvPr>
          <xdr:cNvSpPr/>
        </xdr:nvSpPr>
        <xdr:spPr>
          <a:xfrm>
            <a:off x="2281369" y="839887"/>
            <a:ext cx="108000" cy="108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sp macro="[0]!GUARDAR_REPORTE_CORO" textlink="">
        <xdr:nvSpPr>
          <xdr:cNvPr id="44" name="Rectángulo 43">
            <a:extLst>
              <a:ext uri="{FF2B5EF4-FFF2-40B4-BE49-F238E27FC236}">
                <a16:creationId xmlns:a16="http://schemas.microsoft.com/office/drawing/2014/main" id="{00000000-0008-0000-0700-00002C000000}"/>
              </a:ext>
            </a:extLst>
          </xdr:cNvPr>
          <xdr:cNvSpPr/>
        </xdr:nvSpPr>
        <xdr:spPr>
          <a:xfrm>
            <a:off x="2281369" y="956509"/>
            <a:ext cx="108000" cy="36000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GUARDAR_REPORTE_CORO">
        <xdr:nvCxnSpPr>
          <xdr:cNvPr id="45" name="Conector recto 44">
            <a:extLst>
              <a:ext uri="{FF2B5EF4-FFF2-40B4-BE49-F238E27FC236}">
                <a16:creationId xmlns:a16="http://schemas.microsoft.com/office/drawing/2014/main" id="{00000000-0008-0000-0700-00002D000000}"/>
              </a:ext>
            </a:extLst>
          </xdr:cNvPr>
          <xdr:cNvCxnSpPr/>
        </xdr:nvCxnSpPr>
        <xdr:spPr>
          <a:xfrm>
            <a:off x="2320590" y="970005"/>
            <a:ext cx="0" cy="18000"/>
          </a:xfrm>
          <a:prstGeom prst="line">
            <a:avLst/>
          </a:prstGeom>
          <a:ln w="28575">
            <a:solidFill>
              <a:schemeClr val="bg1"/>
            </a:solidFill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[0]!GUARDAR_REPORTE_CORO" textlink="">
        <xdr:nvSpPr>
          <xdr:cNvPr id="46" name="Rectángulo 45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SpPr/>
        </xdr:nvSpPr>
        <xdr:spPr>
          <a:xfrm>
            <a:off x="2299369" y="839887"/>
            <a:ext cx="72000" cy="72000"/>
          </a:xfrm>
          <a:prstGeom prst="rect">
            <a:avLst/>
          </a:prstGeom>
          <a:solidFill>
            <a:srgbClr val="FFFFFF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4</xdr:row>
          <xdr:rowOff>28575</xdr:rowOff>
        </xdr:from>
        <xdr:to>
          <xdr:col>2</xdr:col>
          <xdr:colOff>1085850</xdr:colOff>
          <xdr:row>4</xdr:row>
          <xdr:rowOff>295275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8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2</xdr:col>
      <xdr:colOff>1126427</xdr:colOff>
      <xdr:row>0</xdr:row>
      <xdr:rowOff>986400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247650" y="0"/>
          <a:ext cx="2040827" cy="986400"/>
        </a:xfrm>
        <a:prstGeom prst="rect">
          <a:avLst/>
        </a:prstGeom>
      </xdr:spPr>
    </xdr:pic>
    <xdr:clientData/>
  </xdr:twoCellAnchor>
  <xdr:twoCellAnchor>
    <xdr:from>
      <xdr:col>1</xdr:col>
      <xdr:colOff>85725</xdr:colOff>
      <xdr:row>2</xdr:row>
      <xdr:rowOff>38100</xdr:rowOff>
    </xdr:from>
    <xdr:to>
      <xdr:col>1</xdr:col>
      <xdr:colOff>337725</xdr:colOff>
      <xdr:row>2</xdr:row>
      <xdr:rowOff>290100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pSpPr/>
      </xdr:nvGrpSpPr>
      <xdr:grpSpPr>
        <a:xfrm>
          <a:off x="335756" y="1359694"/>
          <a:ext cx="252000" cy="252000"/>
          <a:chOff x="7083439" y="780905"/>
          <a:chExt cx="252000" cy="252000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24" name="3 Elipse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5" name="4 Elipse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6" name="Grupo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0" name="Rectángulo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1" name="Rectángulo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2" name="Rectángulo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23" name="Rectángulo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8" name="Conector recto de flecha 17">
            <a:extLst>
              <a:ext uri="{FF2B5EF4-FFF2-40B4-BE49-F238E27FC236}">
                <a16:creationId xmlns:a16="http://schemas.microsoft.com/office/drawing/2014/main" id="{00000000-0008-0000-0800-000012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78316</xdr:colOff>
      <xdr:row>1</xdr:row>
      <xdr:rowOff>86783</xdr:rowOff>
    </xdr:from>
    <xdr:to>
      <xdr:col>1</xdr:col>
      <xdr:colOff>330316</xdr:colOff>
      <xdr:row>1</xdr:row>
      <xdr:rowOff>338783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840316" y="277283"/>
          <a:ext cx="252000" cy="252000"/>
          <a:chOff x="7083439" y="780905"/>
          <a:chExt cx="252000" cy="252000"/>
        </a:xfrm>
      </xdr:grpSpPr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GrpSpPr/>
        </xdr:nvGrpSpPr>
        <xdr:grpSpPr>
          <a:xfrm>
            <a:off x="7083439" y="780905"/>
            <a:ext cx="252000" cy="252000"/>
            <a:chOff x="107504" y="790198"/>
            <a:chExt cx="252000" cy="252000"/>
          </a:xfrm>
        </xdr:grpSpPr>
        <xdr:sp macro="[0]!BOTON_LIMPIAR_FORMULARIO" textlink="">
          <xdr:nvSpPr>
            <xdr:cNvPr id="19" name="3 Elipse">
              <a:extLst>
                <a:ext uri="{FF2B5EF4-FFF2-40B4-BE49-F238E27FC236}">
                  <a16:creationId xmlns:a16="http://schemas.microsoft.com/office/drawing/2014/main" id="{00000000-0008-0000-0900-000013000000}"/>
                </a:ext>
              </a:extLst>
            </xdr:cNvPr>
            <xdr:cNvSpPr/>
          </xdr:nvSpPr>
          <xdr:spPr>
            <a:xfrm>
              <a:off x="107504" y="790198"/>
              <a:ext cx="252000" cy="252000"/>
            </a:xfrm>
            <a:prstGeom prst="ellipse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9050">
              <a:solidFill>
                <a:schemeClr val="tx2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  <xdr:sp macro="[0]!BOTON_LIMPIAR_FORMULARIO" textlink="">
          <xdr:nvSpPr>
            <xdr:cNvPr id="20" name="4 Elipse">
              <a:extLst>
                <a:ext uri="{FF2B5EF4-FFF2-40B4-BE49-F238E27FC236}">
                  <a16:creationId xmlns:a16="http://schemas.microsoft.com/office/drawing/2014/main" id="{00000000-0008-0000-0900-000014000000}"/>
                </a:ext>
              </a:extLst>
            </xdr:cNvPr>
            <xdr:cNvSpPr/>
          </xdr:nvSpPr>
          <xdr:spPr>
            <a:xfrm>
              <a:off x="143504" y="826198"/>
              <a:ext cx="180000" cy="180000"/>
            </a:xfrm>
            <a:prstGeom prst="ellipse">
              <a:avLst/>
            </a:prstGeom>
            <a:solidFill>
              <a:schemeClr val="tx2">
                <a:lumMod val="50000"/>
              </a:schemeClr>
            </a:solidFill>
            <a:ln w="1905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s-MX"/>
            </a:p>
          </xdr:txBody>
        </xdr:sp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GrpSpPr/>
        </xdr:nvGrpSpPr>
        <xdr:grpSpPr>
          <a:xfrm>
            <a:off x="7147336" y="830593"/>
            <a:ext cx="36000" cy="150607"/>
            <a:chOff x="7164439" y="830593"/>
            <a:chExt cx="36000" cy="150607"/>
          </a:xfrm>
        </xdr:grpSpPr>
        <xdr:sp macro="[0]!BOTON_LIMPIAR_FORMULARIO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00000000-0008-0000-0900-00000E000000}"/>
                </a:ext>
              </a:extLst>
            </xdr:cNvPr>
            <xdr:cNvSpPr/>
          </xdr:nvSpPr>
          <xdr:spPr>
            <a:xfrm>
              <a:off x="7164439" y="830593"/>
              <a:ext cx="36000" cy="150607"/>
            </a:xfrm>
            <a:prstGeom prst="rect">
              <a:avLst/>
            </a:prstGeom>
            <a:solidFill>
              <a:srgbClr val="FFC000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5" name="Rectángulo 14">
              <a:extLst>
                <a:ext uri="{FF2B5EF4-FFF2-40B4-BE49-F238E27FC236}">
                  <a16:creationId xmlns:a16="http://schemas.microsoft.com/office/drawing/2014/main" id="{00000000-0008-0000-0900-00000F000000}"/>
                </a:ext>
              </a:extLst>
            </xdr:cNvPr>
            <xdr:cNvSpPr/>
          </xdr:nvSpPr>
          <xdr:spPr>
            <a:xfrm>
              <a:off x="7164439" y="850780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6" name="Rectángulo 15">
              <a:extLst>
                <a:ext uri="{FF2B5EF4-FFF2-40B4-BE49-F238E27FC236}">
                  <a16:creationId xmlns:a16="http://schemas.microsoft.com/office/drawing/2014/main" id="{00000000-0008-0000-0900-000010000000}"/>
                </a:ext>
              </a:extLst>
            </xdr:cNvPr>
            <xdr:cNvSpPr/>
          </xdr:nvSpPr>
          <xdr:spPr>
            <a:xfrm>
              <a:off x="7164439" y="883609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7" name="Rectángulo 16">
              <a:extLst>
                <a:ext uri="{FF2B5EF4-FFF2-40B4-BE49-F238E27FC236}">
                  <a16:creationId xmlns:a16="http://schemas.microsoft.com/office/drawing/2014/main" id="{00000000-0008-0000-0900-000011000000}"/>
                </a:ext>
              </a:extLst>
            </xdr:cNvPr>
            <xdr:cNvSpPr/>
          </xdr:nvSpPr>
          <xdr:spPr>
            <a:xfrm>
              <a:off x="7164439" y="916438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  <xdr:sp macro="[0]!BOTON_LIMPIAR_FORMULARIO" textlink="">
          <xdr:nvSpPr>
            <xdr:cNvPr id="18" name="Rectángulo 17">
              <a:extLst>
                <a:ext uri="{FF2B5EF4-FFF2-40B4-BE49-F238E27FC236}">
                  <a16:creationId xmlns:a16="http://schemas.microsoft.com/office/drawing/2014/main" id="{00000000-0008-0000-0900-000012000000}"/>
                </a:ext>
              </a:extLst>
            </xdr:cNvPr>
            <xdr:cNvSpPr/>
          </xdr:nvSpPr>
          <xdr:spPr>
            <a:xfrm>
              <a:off x="7164439" y="949267"/>
              <a:ext cx="36000" cy="18000"/>
            </a:xfrm>
            <a:prstGeom prst="rect">
              <a:avLst/>
            </a:prstGeom>
            <a:solidFill>
              <a:srgbClr val="FFFFFF"/>
            </a:solidFill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s-MX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lvl="0" algn="ctr"/>
              <a:endParaRPr lang="es-ES"/>
            </a:p>
          </xdr:txBody>
        </xdr:sp>
      </xdr:grpSp>
      <xdr:sp macro="[0]!BOTON_LIMPIAR_FORMULARIO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7241063" y="830593"/>
            <a:ext cx="36000" cy="150607"/>
          </a:xfrm>
          <a:prstGeom prst="rect">
            <a:avLst/>
          </a:prstGeom>
          <a:solidFill>
            <a:srgbClr val="FFC000"/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s-MX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/>
            <a:endParaRPr lang="es-ES"/>
          </a:p>
        </xdr:txBody>
      </xdr:sp>
      <xdr:cxnSp macro="[0]!BOTON_LIMPIAR_FORMULARIO">
        <xdr:nvCxnSpPr>
          <xdr:cNvPr id="13" name="Conector recto de flecha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CxnSpPr/>
        </xdr:nvCxnSpPr>
        <xdr:spPr>
          <a:xfrm>
            <a:off x="7159537" y="908720"/>
            <a:ext cx="108000" cy="0"/>
          </a:xfrm>
          <a:prstGeom prst="straightConnector1">
            <a:avLst/>
          </a:prstGeom>
          <a:ln w="19050">
            <a:solidFill>
              <a:srgbClr val="FFC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Dropbox\chs+\CRM_CHS+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avier%20Chirino\Dropbox\ERP%20CHS\REPORTES%20VENDEDORES\REPORTES%20GASTOS%20FCH\R_FACTURAS_FREDDY%20CHIRINO_JULIO-201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edd_000\Documents\CHS%20CONSTRUCCIONES%20Y%20MATERIALES,%20C.A\Dpto.%20Mercadeo%20y%20Ventas\Ventas\VENTAS%202019\R_FACTURAS_FREDDY%20CHIRINO_AGOS-201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hetethrg\Downloads\R_FACTURAS_FREDDY%20CHIRINO-ENERO-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MENU PRINCIPAL"/>
      <sheetName val="DATOS MAESTROS - EMPRESAS"/>
      <sheetName val="DATOS MAESTROS - MEDIO CONTACTO"/>
      <sheetName val="DATOS MAESTROS - MEDIO RESPALDO"/>
      <sheetName val="DATOS MAESTROS - TIPO ARCHIVO"/>
      <sheetName val="DATOS MAESTROS - ARCHIVOS"/>
      <sheetName val="DATOS MAESTROS - AREA INTERES"/>
      <sheetName val="DATOS MAESTROS - CLIENTES"/>
      <sheetName val="DATOS MAESTROS - ARTICULOS"/>
      <sheetName val="DATOS MAESTROS - MAPEO ARTICULO"/>
      <sheetName val="DATOS MAESTROS - LISTA DIST"/>
      <sheetName val="PROGRAMACION ENVIOS"/>
      <sheetName val="CENTRO DE DISTRIBUCION"/>
      <sheetName val="LISTAS DE SELECCION"/>
      <sheetName val="LISTA DE CONFIGURACION"/>
      <sheetName val="NUMEROS DOCUMENTOS"/>
      <sheetName val="CONFIGURACION ASIENTO CONTABLE"/>
      <sheetName val="SALDOS INICIALES - BALANCE"/>
      <sheetName val="SALDOS INICIALES - RESULTADOS"/>
      <sheetName val="SALDOS INICIALES - INVENTARIO"/>
      <sheetName val="DATOS MAESTROS - CTAS BALANCE"/>
      <sheetName val="DATOS MAESTROS - CTAS RESULTADO"/>
      <sheetName val="DATOS MAESTROS - CTA BCOS PROP"/>
      <sheetName val="DATOS MAESTROS - GRUPO ARTICULO"/>
      <sheetName val="DATOS MAESTROS - LISTA MATERIAL"/>
      <sheetName val="DATOS MAESTROS - TIEMPO ENTREGA"/>
      <sheetName val="DATOS MAESTROS - ALMACENES"/>
      <sheetName val="DATOS MAESTROS - PROVEEDORES"/>
      <sheetName val="DATOS MAESTROS - VENDEDORES"/>
      <sheetName val="DATOS MAESTROS - TABULADOR"/>
      <sheetName val="DATOS MAESTROS - COLABORADORES"/>
      <sheetName val="CONTABILIDAD - ASIENTO CONTABLE"/>
      <sheetName val="CONTABILIDAD - LIBRO DIARIO"/>
      <sheetName val="COMPRAS - COTIZACION"/>
      <sheetName val="COMPRAS - ORDEN DE COMPRA"/>
      <sheetName val="COMPRAS - ENTRADA MATERIAL"/>
      <sheetName val="COMPRAS - FACTURA PROVEEDOR"/>
      <sheetName val="COMPRAS - PRECIO TRANSPORTE"/>
      <sheetName val="COMPRAS - PAGOS"/>
      <sheetName val="COMPRAS - COMISIONES"/>
      <sheetName val="INVENTARIO - CONTEO INVENTARIO"/>
      <sheetName val="INVENTARIO - TRASLADO MATERIAL"/>
      <sheetName val="INVENTARIO - MOV ARTICULOS"/>
      <sheetName val="INVENTARIO - INVENTARIO ACTUAL"/>
      <sheetName val="PRODUCCION - PLAN DE PRODUCCION"/>
      <sheetName val="PRODUCCION - ORDEN PRODUCCION"/>
      <sheetName val="CAMPOS DE ENLACES"/>
      <sheetName val="PRODUCCION - EXPLOSION MATERIAL"/>
      <sheetName val="PRODUCCION - COMISIONES"/>
      <sheetName val="VENTAS - PRESUPUESTO"/>
      <sheetName val="VENTAS - ORDEN DE VENTA"/>
      <sheetName val="VENTAS - ENTREGA"/>
      <sheetName val="VENTAS - ENTREGA DETALLE"/>
      <sheetName val="VENTAS - ENTREGA - COMISIONES"/>
      <sheetName val="VENTAS - FACTURA CLIENTE"/>
      <sheetName val="VENTAS - COBROS"/>
      <sheetName val="VENTAS - COMISIONES"/>
      <sheetName val="PAGOS - CALCULO COMISIONES"/>
      <sheetName val="PAGOS - CALCULO UTILIDADES"/>
      <sheetName val="INVENTARIO-PT"/>
      <sheetName val="DATOS CLIEN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7">
          <cell r="B7" t="str">
            <v>APROBADA</v>
          </cell>
        </row>
        <row r="8">
          <cell r="B8" t="str">
            <v>RECHAZADA</v>
          </cell>
        </row>
        <row r="9">
          <cell r="B9" t="str">
            <v>REVISION</v>
          </cell>
        </row>
        <row r="10">
          <cell r="B10" t="str">
            <v>CERRADA</v>
          </cell>
        </row>
        <row r="11">
          <cell r="B11" t="str">
            <v>PREPARADA</v>
          </cell>
        </row>
        <row r="12">
          <cell r="B12" t="str">
            <v>ANULADA</v>
          </cell>
        </row>
        <row r="14">
          <cell r="B14" t="str">
            <v>TRANSPORTE DE MATERIALES</v>
          </cell>
        </row>
        <row r="15">
          <cell r="B15" t="str">
            <v>HONORARIOS PROFESIONALES CONTADOR</v>
          </cell>
        </row>
        <row r="16">
          <cell r="B16" t="str">
            <v>MATERIAL DE EMPAQUE</v>
          </cell>
        </row>
        <row r="17">
          <cell r="B17" t="str">
            <v>INSUMO PRODUCTIVO</v>
          </cell>
        </row>
        <row r="18">
          <cell r="B18" t="str">
            <v>PAPELERIA Y MATERIAL DE OFICINA</v>
          </cell>
        </row>
        <row r="19">
          <cell r="B19" t="str">
            <v>MATERIAL DE MANTENIMIENTO</v>
          </cell>
        </row>
        <row r="20">
          <cell r="B20" t="str">
            <v>MAQUINARIAS E INSTALACIONES</v>
          </cell>
        </row>
        <row r="21">
          <cell r="B21" t="str">
            <v>HERRAMIENTAS</v>
          </cell>
        </row>
        <row r="22">
          <cell r="B22" t="str">
            <v>MATERIAL PROMOCIONAL</v>
          </cell>
        </row>
        <row r="23">
          <cell r="B23" t="str">
            <v>OTROS GASTOS PUBLICITARIOS</v>
          </cell>
        </row>
        <row r="24">
          <cell r="B24" t="str">
            <v>PRODUCTO TERMINADO</v>
          </cell>
        </row>
        <row r="25">
          <cell r="B25" t="str">
            <v>AGASAJOS</v>
          </cell>
        </row>
        <row r="26">
          <cell r="B26" t="str">
            <v>MULTAS</v>
          </cell>
        </row>
        <row r="27">
          <cell r="B27" t="str">
            <v>OTROS GASTOS GENERALES</v>
          </cell>
        </row>
        <row r="29">
          <cell r="B29" t="str">
            <v>TRANSFERENCIA</v>
          </cell>
        </row>
        <row r="30">
          <cell r="B30" t="str">
            <v>DEPOSITO</v>
          </cell>
        </row>
        <row r="31">
          <cell r="B31" t="str">
            <v>EFECTIVO</v>
          </cell>
        </row>
        <row r="32">
          <cell r="B32" t="str">
            <v>DEBITO</v>
          </cell>
        </row>
        <row r="33">
          <cell r="B33" t="str">
            <v>CREDITO</v>
          </cell>
        </row>
        <row r="34">
          <cell r="B34" t="str">
            <v>POR TRANSFERIR</v>
          </cell>
        </row>
        <row r="35">
          <cell r="B35" t="str">
            <v>POR DEPOSITAR</v>
          </cell>
        </row>
        <row r="36">
          <cell r="B36" t="str">
            <v>ADELANTO SOCIATARIOS</v>
          </cell>
        </row>
        <row r="37">
          <cell r="B37" t="str">
            <v>MERCADOPAGO</v>
          </cell>
        </row>
        <row r="38">
          <cell r="B38" t="str">
            <v>CHEQUE</v>
          </cell>
        </row>
        <row r="40">
          <cell r="B40" t="str">
            <v>JAVIER CHIRINO</v>
          </cell>
        </row>
        <row r="41">
          <cell r="B41" t="str">
            <v>FREDDY R. CHIRINO</v>
          </cell>
        </row>
        <row r="42">
          <cell r="B42" t="str">
            <v>HAIDEE RODRIGUEZ</v>
          </cell>
        </row>
        <row r="43">
          <cell r="B43" t="str">
            <v>JESUS MEDINA</v>
          </cell>
        </row>
        <row r="44">
          <cell r="B44" t="str">
            <v>CLIENTE</v>
          </cell>
        </row>
        <row r="46">
          <cell r="B46" t="str">
            <v>CONCILIADA</v>
          </cell>
        </row>
        <row r="47">
          <cell r="B47" t="str">
            <v>POR CONCILIAR</v>
          </cell>
        </row>
        <row r="48">
          <cell r="B48" t="str">
            <v>RECONOCIDA</v>
          </cell>
        </row>
        <row r="50">
          <cell r="B50" t="str">
            <v>JAVIER CHIRINO</v>
          </cell>
        </row>
        <row r="51">
          <cell r="B51" t="str">
            <v>FREDDY R. CHIRINO</v>
          </cell>
        </row>
        <row r="52">
          <cell r="B52" t="str">
            <v>FREDDY J. CHIRINO</v>
          </cell>
        </row>
        <row r="53">
          <cell r="B53" t="str">
            <v>YOFREDD CHIRINO</v>
          </cell>
        </row>
        <row r="54">
          <cell r="B54" t="str">
            <v>HAIDEE RODRIGUEZ</v>
          </cell>
        </row>
        <row r="55">
          <cell r="B55" t="str">
            <v>ROSMERY LUGO</v>
          </cell>
        </row>
        <row r="56">
          <cell r="B56" t="str">
            <v>JESUS MEDINA</v>
          </cell>
        </row>
        <row r="58">
          <cell r="B58" t="str">
            <v>PLAN</v>
          </cell>
        </row>
        <row r="59">
          <cell r="B59" t="str">
            <v>EJECUCION</v>
          </cell>
        </row>
        <row r="60">
          <cell r="B60" t="str">
            <v>CERRADA</v>
          </cell>
        </row>
        <row r="61">
          <cell r="B61" t="str">
            <v>ANULADA</v>
          </cell>
        </row>
        <row r="68">
          <cell r="B68" t="str">
            <v>MRW</v>
          </cell>
        </row>
        <row r="69">
          <cell r="B69" t="str">
            <v>DOMESA</v>
          </cell>
        </row>
        <row r="70">
          <cell r="B70" t="str">
            <v>TEALCA</v>
          </cell>
        </row>
        <row r="71">
          <cell r="B71" t="str">
            <v>ZOOM</v>
          </cell>
        </row>
        <row r="72">
          <cell r="B72" t="str">
            <v>PERSONAL</v>
          </cell>
        </row>
        <row r="73">
          <cell r="B73">
            <v>0</v>
          </cell>
        </row>
        <row r="74">
          <cell r="B74" t="str">
            <v>CANCELADA</v>
          </cell>
        </row>
        <row r="76">
          <cell r="B76" t="str">
            <v>CANTIDAD</v>
          </cell>
        </row>
        <row r="77">
          <cell r="B77" t="str">
            <v>VALOR</v>
          </cell>
        </row>
        <row r="78">
          <cell r="B78">
            <v>0</v>
          </cell>
        </row>
        <row r="80">
          <cell r="B80" t="str">
            <v>COMPRAS</v>
          </cell>
        </row>
        <row r="81">
          <cell r="B81" t="str">
            <v>ENTREGAS</v>
          </cell>
        </row>
        <row r="82">
          <cell r="B82" t="str">
            <v>PRODUCCION</v>
          </cell>
        </row>
        <row r="84">
          <cell r="B84" t="str">
            <v>FIJO</v>
          </cell>
        </row>
        <row r="85">
          <cell r="B85" t="str">
            <v>POR H-H</v>
          </cell>
        </row>
        <row r="86">
          <cell r="B86" t="str">
            <v>POR ACTIVIDAD</v>
          </cell>
        </row>
        <row r="87">
          <cell r="B87" t="str">
            <v>POR PRODUCTO</v>
          </cell>
        </row>
        <row r="88">
          <cell r="B88" t="str">
            <v>PORCENTUAL</v>
          </cell>
        </row>
        <row r="90">
          <cell r="B90" t="str">
            <v>NUMERICO</v>
          </cell>
        </row>
        <row r="91">
          <cell r="B91" t="str">
            <v>PORCENTUAL</v>
          </cell>
        </row>
        <row r="92">
          <cell r="B92" t="str">
            <v>NO APLICA</v>
          </cell>
        </row>
        <row r="98">
          <cell r="B98" t="str">
            <v>CONSULTA</v>
          </cell>
        </row>
        <row r="99">
          <cell r="B99" t="str">
            <v>POR ENVIAR</v>
          </cell>
        </row>
        <row r="100">
          <cell r="B100" t="str">
            <v>POR ENTREGAR</v>
          </cell>
        </row>
        <row r="101">
          <cell r="B101" t="str">
            <v>ENVIADO</v>
          </cell>
        </row>
        <row r="102">
          <cell r="B102" t="str">
            <v>ENTREGADO</v>
          </cell>
        </row>
        <row r="103">
          <cell r="B103" t="str">
            <v>CANCELADA</v>
          </cell>
        </row>
        <row r="105">
          <cell r="B105" t="str">
            <v>ALMACEN PROVEEDOR</v>
          </cell>
        </row>
        <row r="106">
          <cell r="B106" t="str">
            <v>EN TRANSITO</v>
          </cell>
        </row>
        <row r="107">
          <cell r="B107" t="str">
            <v>RECIBIDO</v>
          </cell>
        </row>
        <row r="109">
          <cell r="B109" t="str">
            <v>PLANIFICADO</v>
          </cell>
        </row>
        <row r="110">
          <cell r="B110" t="str">
            <v>EN EJECUCION</v>
          </cell>
        </row>
        <row r="111">
          <cell r="B111" t="str">
            <v>CERRADO</v>
          </cell>
        </row>
        <row r="112">
          <cell r="B112" t="str">
            <v>CANCELADO</v>
          </cell>
        </row>
      </sheetData>
      <sheetData sheetId="15"/>
      <sheetData sheetId="16"/>
      <sheetData sheetId="17"/>
      <sheetData sheetId="18"/>
      <sheetData sheetId="19"/>
      <sheetData sheetId="20"/>
      <sheetData sheetId="21">
        <row r="6">
          <cell r="B6" t="str">
            <v>10000000</v>
          </cell>
        </row>
        <row r="7">
          <cell r="B7" t="str">
            <v>11000000</v>
          </cell>
        </row>
        <row r="8">
          <cell r="B8" t="str">
            <v>11010000</v>
          </cell>
        </row>
        <row r="9">
          <cell r="B9" t="str">
            <v>11010100</v>
          </cell>
        </row>
        <row r="10">
          <cell r="B10" t="str">
            <v>11010101</v>
          </cell>
        </row>
        <row r="11">
          <cell r="B11" t="str">
            <v>11010102</v>
          </cell>
        </row>
        <row r="12">
          <cell r="B12" t="str">
            <v>11010103</v>
          </cell>
        </row>
        <row r="13">
          <cell r="B13" t="str">
            <v>11010104</v>
          </cell>
        </row>
        <row r="14">
          <cell r="B14" t="str">
            <v>11010105</v>
          </cell>
        </row>
        <row r="15">
          <cell r="B15">
            <v>11020000</v>
          </cell>
        </row>
        <row r="16">
          <cell r="B16">
            <v>11020100</v>
          </cell>
        </row>
        <row r="17">
          <cell r="B17">
            <v>11020101</v>
          </cell>
        </row>
        <row r="18">
          <cell r="B18" t="str">
            <v>11020200</v>
          </cell>
        </row>
        <row r="19">
          <cell r="B19" t="str">
            <v>11020201</v>
          </cell>
        </row>
        <row r="20">
          <cell r="B20" t="str">
            <v>11020202</v>
          </cell>
        </row>
        <row r="21">
          <cell r="B21" t="str">
            <v>11020300</v>
          </cell>
        </row>
        <row r="22">
          <cell r="B22" t="str">
            <v>11020301</v>
          </cell>
        </row>
        <row r="23">
          <cell r="B23" t="str">
            <v>11020302</v>
          </cell>
        </row>
        <row r="24">
          <cell r="B24">
            <v>11030000</v>
          </cell>
        </row>
        <row r="25">
          <cell r="B25">
            <v>11030100</v>
          </cell>
        </row>
        <row r="26">
          <cell r="B26" t="str">
            <v>11030101</v>
          </cell>
        </row>
        <row r="27">
          <cell r="B27" t="str">
            <v>11030102</v>
          </cell>
        </row>
        <row r="28">
          <cell r="B28" t="str">
            <v>11030103</v>
          </cell>
        </row>
        <row r="29">
          <cell r="B29" t="str">
            <v>11030104</v>
          </cell>
        </row>
        <row r="30">
          <cell r="B30" t="str">
            <v>11030105</v>
          </cell>
        </row>
        <row r="31">
          <cell r="B31" t="str">
            <v>11030200</v>
          </cell>
        </row>
        <row r="32">
          <cell r="B32" t="str">
            <v>11030201</v>
          </cell>
        </row>
        <row r="33">
          <cell r="B33" t="str">
            <v>11030202</v>
          </cell>
        </row>
        <row r="34">
          <cell r="B34" t="str">
            <v>11030300</v>
          </cell>
        </row>
        <row r="35">
          <cell r="B35" t="str">
            <v>11030301</v>
          </cell>
        </row>
        <row r="36">
          <cell r="B36" t="str">
            <v>11030302</v>
          </cell>
        </row>
        <row r="37">
          <cell r="B37" t="str">
            <v>11040000</v>
          </cell>
        </row>
        <row r="38">
          <cell r="B38" t="str">
            <v>11040100</v>
          </cell>
        </row>
        <row r="39">
          <cell r="B39" t="str">
            <v>11040101</v>
          </cell>
        </row>
        <row r="40">
          <cell r="B40">
            <v>12000000</v>
          </cell>
        </row>
        <row r="41">
          <cell r="B41">
            <v>12010000</v>
          </cell>
        </row>
        <row r="42">
          <cell r="B42">
            <v>12010100</v>
          </cell>
        </row>
        <row r="43">
          <cell r="B43" t="str">
            <v>12010101</v>
          </cell>
        </row>
        <row r="44">
          <cell r="B44" t="str">
            <v>12010102</v>
          </cell>
        </row>
        <row r="45">
          <cell r="B45" t="str">
            <v>12010103</v>
          </cell>
        </row>
        <row r="46">
          <cell r="B46" t="str">
            <v>12010104</v>
          </cell>
        </row>
        <row r="47">
          <cell r="B47" t="str">
            <v>12010105</v>
          </cell>
        </row>
        <row r="48">
          <cell r="B48" t="str">
            <v>12010106</v>
          </cell>
        </row>
        <row r="49">
          <cell r="B49" t="str">
            <v>12010107</v>
          </cell>
        </row>
        <row r="50">
          <cell r="B50" t="str">
            <v>12010108</v>
          </cell>
        </row>
        <row r="51">
          <cell r="B51" t="str">
            <v>12010109</v>
          </cell>
        </row>
        <row r="52">
          <cell r="B52" t="str">
            <v>12010110</v>
          </cell>
        </row>
        <row r="53">
          <cell r="B53" t="str">
            <v>12010111</v>
          </cell>
        </row>
        <row r="54">
          <cell r="B54" t="str">
            <v>12010112</v>
          </cell>
        </row>
        <row r="55">
          <cell r="B55" t="str">
            <v>12010113</v>
          </cell>
        </row>
        <row r="56">
          <cell r="B56">
            <v>12020000</v>
          </cell>
        </row>
        <row r="57">
          <cell r="B57">
            <v>12020100</v>
          </cell>
        </row>
        <row r="58">
          <cell r="B58" t="str">
            <v>12020101</v>
          </cell>
        </row>
        <row r="59">
          <cell r="B59" t="str">
            <v>20000000</v>
          </cell>
        </row>
        <row r="60">
          <cell r="B60" t="str">
            <v>21000000</v>
          </cell>
        </row>
        <row r="61">
          <cell r="B61" t="str">
            <v>21010000</v>
          </cell>
        </row>
        <row r="62">
          <cell r="B62" t="str">
            <v>21010100</v>
          </cell>
        </row>
        <row r="63">
          <cell r="B63" t="str">
            <v>21010101</v>
          </cell>
        </row>
        <row r="64">
          <cell r="B64">
            <v>22000000</v>
          </cell>
        </row>
        <row r="65">
          <cell r="B65">
            <v>22010000</v>
          </cell>
        </row>
        <row r="66">
          <cell r="B66">
            <v>22010100</v>
          </cell>
        </row>
        <row r="67">
          <cell r="B67" t="str">
            <v>22010101</v>
          </cell>
        </row>
        <row r="68">
          <cell r="B68" t="str">
            <v>22010102</v>
          </cell>
        </row>
        <row r="69">
          <cell r="B69" t="str">
            <v>22010103</v>
          </cell>
        </row>
        <row r="70">
          <cell r="B70" t="str">
            <v>22010200</v>
          </cell>
        </row>
        <row r="71">
          <cell r="B71" t="str">
            <v>22010201</v>
          </cell>
        </row>
        <row r="72">
          <cell r="B72" t="str">
            <v>22010202</v>
          </cell>
        </row>
        <row r="73">
          <cell r="B73" t="str">
            <v>22010203</v>
          </cell>
        </row>
        <row r="74">
          <cell r="B74" t="str">
            <v>22010300</v>
          </cell>
        </row>
        <row r="75">
          <cell r="B75" t="str">
            <v>22010301</v>
          </cell>
        </row>
        <row r="76">
          <cell r="B76" t="str">
            <v>22010302</v>
          </cell>
        </row>
        <row r="77">
          <cell r="B77" t="str">
            <v>22010303</v>
          </cell>
        </row>
        <row r="78">
          <cell r="B78" t="str">
            <v>22010400</v>
          </cell>
        </row>
        <row r="79">
          <cell r="B79" t="str">
            <v>22010401</v>
          </cell>
        </row>
        <row r="80">
          <cell r="B80" t="str">
            <v>22010402</v>
          </cell>
        </row>
        <row r="81">
          <cell r="B81" t="str">
            <v>22010403</v>
          </cell>
        </row>
        <row r="82">
          <cell r="B82" t="str">
            <v>22010404</v>
          </cell>
        </row>
        <row r="83">
          <cell r="B83" t="str">
            <v>22010405</v>
          </cell>
        </row>
        <row r="84">
          <cell r="B84" t="str">
            <v>22010406</v>
          </cell>
        </row>
        <row r="85">
          <cell r="B85" t="str">
            <v>22010500</v>
          </cell>
        </row>
        <row r="86">
          <cell r="B86" t="str">
            <v>22010501</v>
          </cell>
        </row>
        <row r="87">
          <cell r="B87" t="str">
            <v>22010502</v>
          </cell>
        </row>
        <row r="88">
          <cell r="B88" t="str">
            <v>22010503</v>
          </cell>
        </row>
        <row r="89">
          <cell r="B89" t="str">
            <v>22010504</v>
          </cell>
        </row>
        <row r="90">
          <cell r="B90">
            <v>23000000</v>
          </cell>
        </row>
        <row r="91">
          <cell r="B91">
            <v>23010000</v>
          </cell>
        </row>
        <row r="92">
          <cell r="B92">
            <v>23010100</v>
          </cell>
        </row>
        <row r="93">
          <cell r="B93" t="str">
            <v>23010101</v>
          </cell>
        </row>
        <row r="94">
          <cell r="B94">
            <v>30000000</v>
          </cell>
        </row>
        <row r="95">
          <cell r="B95">
            <v>31000000</v>
          </cell>
        </row>
        <row r="96">
          <cell r="B96">
            <v>31010000</v>
          </cell>
        </row>
        <row r="97">
          <cell r="B97">
            <v>31010100</v>
          </cell>
        </row>
        <row r="98">
          <cell r="B98" t="str">
            <v>31010101</v>
          </cell>
        </row>
        <row r="99">
          <cell r="B99">
            <v>31020000</v>
          </cell>
        </row>
        <row r="100">
          <cell r="B100">
            <v>31020100</v>
          </cell>
        </row>
        <row r="101">
          <cell r="B101" t="str">
            <v>31020101</v>
          </cell>
        </row>
        <row r="102">
          <cell r="B102" t="str">
            <v>31020102</v>
          </cell>
        </row>
      </sheetData>
      <sheetData sheetId="22">
        <row r="6">
          <cell r="B6" t="str">
            <v>40000000</v>
          </cell>
        </row>
        <row r="7">
          <cell r="B7" t="str">
            <v>41000000</v>
          </cell>
        </row>
        <row r="8">
          <cell r="B8" t="str">
            <v>41010000</v>
          </cell>
        </row>
        <row r="9">
          <cell r="B9" t="str">
            <v>41010100</v>
          </cell>
        </row>
        <row r="10">
          <cell r="B10" t="str">
            <v>41010101</v>
          </cell>
        </row>
        <row r="11">
          <cell r="B11" t="str">
            <v>41010102</v>
          </cell>
        </row>
        <row r="12">
          <cell r="B12" t="str">
            <v>41010103</v>
          </cell>
        </row>
        <row r="13">
          <cell r="B13" t="str">
            <v>41010104</v>
          </cell>
        </row>
        <row r="14">
          <cell r="B14" t="str">
            <v>41010105</v>
          </cell>
        </row>
        <row r="15">
          <cell r="B15" t="str">
            <v>41010200</v>
          </cell>
        </row>
        <row r="16">
          <cell r="B16" t="str">
            <v>41010201</v>
          </cell>
        </row>
        <row r="17">
          <cell r="B17" t="str">
            <v>42000000</v>
          </cell>
        </row>
        <row r="18">
          <cell r="B18" t="str">
            <v>42000000</v>
          </cell>
        </row>
        <row r="19">
          <cell r="B19" t="str">
            <v>42010000</v>
          </cell>
        </row>
        <row r="20">
          <cell r="B20" t="str">
            <v>42010100</v>
          </cell>
        </row>
        <row r="21">
          <cell r="B21" t="str">
            <v>42010101</v>
          </cell>
        </row>
        <row r="22">
          <cell r="B22" t="str">
            <v>42010102</v>
          </cell>
        </row>
        <row r="23">
          <cell r="B23" t="str">
            <v>42010103</v>
          </cell>
        </row>
        <row r="24">
          <cell r="B24" t="str">
            <v>42010104</v>
          </cell>
        </row>
        <row r="25">
          <cell r="B25" t="str">
            <v>42010105</v>
          </cell>
        </row>
        <row r="26">
          <cell r="B26" t="str">
            <v>42010106</v>
          </cell>
        </row>
        <row r="27">
          <cell r="B27" t="str">
            <v>43000000</v>
          </cell>
        </row>
        <row r="28">
          <cell r="B28" t="str">
            <v>43010000</v>
          </cell>
        </row>
        <row r="29">
          <cell r="B29" t="str">
            <v>43010100</v>
          </cell>
        </row>
        <row r="30">
          <cell r="B30" t="str">
            <v>43010101</v>
          </cell>
        </row>
        <row r="31">
          <cell r="B31" t="str">
            <v>43010102</v>
          </cell>
        </row>
        <row r="32">
          <cell r="B32" t="str">
            <v>43010103</v>
          </cell>
        </row>
        <row r="33">
          <cell r="B33" t="str">
            <v>43010104</v>
          </cell>
        </row>
        <row r="34">
          <cell r="B34" t="str">
            <v>43010105</v>
          </cell>
        </row>
        <row r="35">
          <cell r="B35" t="str">
            <v>50000000</v>
          </cell>
        </row>
        <row r="36">
          <cell r="B36" t="str">
            <v>51000000</v>
          </cell>
        </row>
        <row r="37">
          <cell r="B37" t="str">
            <v>51010000</v>
          </cell>
        </row>
        <row r="38">
          <cell r="B38" t="str">
            <v>51010100</v>
          </cell>
        </row>
        <row r="39">
          <cell r="B39" t="str">
            <v>51010101</v>
          </cell>
        </row>
        <row r="40">
          <cell r="B40" t="str">
            <v>51010102</v>
          </cell>
        </row>
        <row r="41">
          <cell r="B41" t="str">
            <v>51010103</v>
          </cell>
        </row>
        <row r="42">
          <cell r="B42" t="str">
            <v>51010104</v>
          </cell>
        </row>
        <row r="43">
          <cell r="B43" t="str">
            <v>51010105</v>
          </cell>
        </row>
        <row r="44">
          <cell r="B44" t="str">
            <v>51010200</v>
          </cell>
        </row>
        <row r="45">
          <cell r="B45" t="str">
            <v>51010201</v>
          </cell>
        </row>
        <row r="46">
          <cell r="B46" t="str">
            <v>60000000</v>
          </cell>
        </row>
        <row r="47">
          <cell r="B47" t="str">
            <v>61000000</v>
          </cell>
        </row>
        <row r="48">
          <cell r="B48" t="str">
            <v>61010000</v>
          </cell>
        </row>
        <row r="49">
          <cell r="B49" t="str">
            <v>61010100</v>
          </cell>
        </row>
        <row r="50">
          <cell r="B50" t="str">
            <v>61010101</v>
          </cell>
        </row>
        <row r="51">
          <cell r="B51" t="str">
            <v>61010102</v>
          </cell>
        </row>
        <row r="52">
          <cell r="B52" t="str">
            <v>61010103</v>
          </cell>
        </row>
        <row r="53">
          <cell r="B53" t="str">
            <v>61010104</v>
          </cell>
        </row>
        <row r="54">
          <cell r="B54" t="str">
            <v>61010105</v>
          </cell>
        </row>
        <row r="55">
          <cell r="B55" t="str">
            <v>61010106</v>
          </cell>
        </row>
        <row r="56">
          <cell r="B56" t="str">
            <v>61010107</v>
          </cell>
        </row>
        <row r="57">
          <cell r="B57" t="str">
            <v>61010200</v>
          </cell>
        </row>
        <row r="58">
          <cell r="B58" t="str">
            <v>61010201</v>
          </cell>
        </row>
        <row r="59">
          <cell r="B59" t="str">
            <v>61010202</v>
          </cell>
        </row>
        <row r="60">
          <cell r="B60" t="str">
            <v>61010203</v>
          </cell>
        </row>
        <row r="61">
          <cell r="B61" t="str">
            <v>61010204</v>
          </cell>
        </row>
        <row r="62">
          <cell r="B62" t="str">
            <v>61010205</v>
          </cell>
        </row>
        <row r="63">
          <cell r="B63" t="str">
            <v>61010300</v>
          </cell>
        </row>
        <row r="64">
          <cell r="B64" t="str">
            <v>61010301</v>
          </cell>
        </row>
        <row r="65">
          <cell r="B65" t="str">
            <v>61010302</v>
          </cell>
        </row>
        <row r="66">
          <cell r="B66">
            <v>62000000</v>
          </cell>
        </row>
        <row r="67">
          <cell r="B67">
            <v>62010000</v>
          </cell>
        </row>
        <row r="68">
          <cell r="B68">
            <v>62010100</v>
          </cell>
        </row>
        <row r="69">
          <cell r="B69" t="str">
            <v>62010101</v>
          </cell>
        </row>
        <row r="70">
          <cell r="B70" t="str">
            <v>62010102</v>
          </cell>
        </row>
        <row r="71">
          <cell r="B71" t="str">
            <v>62010103</v>
          </cell>
        </row>
        <row r="72">
          <cell r="B72" t="str">
            <v>62010104</v>
          </cell>
        </row>
        <row r="73">
          <cell r="B73" t="str">
            <v>62010105</v>
          </cell>
        </row>
        <row r="74">
          <cell r="B74" t="str">
            <v>62010106</v>
          </cell>
        </row>
        <row r="75">
          <cell r="B75" t="str">
            <v>62010107</v>
          </cell>
        </row>
        <row r="76">
          <cell r="B76" t="str">
            <v>62010108</v>
          </cell>
        </row>
        <row r="77">
          <cell r="B77" t="str">
            <v>70000000</v>
          </cell>
        </row>
        <row r="78">
          <cell r="B78" t="str">
            <v>71000000</v>
          </cell>
        </row>
        <row r="79">
          <cell r="B79" t="str">
            <v>71010000</v>
          </cell>
        </row>
        <row r="80">
          <cell r="B80" t="str">
            <v>71010100</v>
          </cell>
        </row>
        <row r="81">
          <cell r="B81" t="str">
            <v>71010101</v>
          </cell>
        </row>
        <row r="82">
          <cell r="B82" t="str">
            <v>72000000</v>
          </cell>
        </row>
        <row r="83">
          <cell r="B83" t="str">
            <v>72010000</v>
          </cell>
        </row>
        <row r="84">
          <cell r="B84" t="str">
            <v>72010100</v>
          </cell>
        </row>
        <row r="85">
          <cell r="B85" t="str">
            <v>72010101</v>
          </cell>
        </row>
        <row r="86">
          <cell r="B86" t="str">
            <v>72010102</v>
          </cell>
        </row>
        <row r="87">
          <cell r="B87" t="str">
            <v>72010103</v>
          </cell>
        </row>
        <row r="88">
          <cell r="B88" t="str">
            <v>72010104</v>
          </cell>
        </row>
        <row r="89">
          <cell r="B89" t="str">
            <v>72010105</v>
          </cell>
        </row>
        <row r="90">
          <cell r="B90" t="str">
            <v>72020000</v>
          </cell>
        </row>
        <row r="91">
          <cell r="B91" t="str">
            <v>72020100</v>
          </cell>
        </row>
        <row r="92">
          <cell r="B92" t="str">
            <v>72020101</v>
          </cell>
        </row>
        <row r="93">
          <cell r="B93" t="str">
            <v>80000000</v>
          </cell>
        </row>
        <row r="94">
          <cell r="B94" t="str">
            <v>81000000</v>
          </cell>
        </row>
        <row r="95">
          <cell r="B95" t="str">
            <v>81010000</v>
          </cell>
        </row>
        <row r="96">
          <cell r="B96" t="str">
            <v>81010100</v>
          </cell>
        </row>
        <row r="97">
          <cell r="B97" t="str">
            <v>81010101</v>
          </cell>
        </row>
        <row r="98">
          <cell r="B98" t="str">
            <v>81020000</v>
          </cell>
        </row>
        <row r="99">
          <cell r="B99" t="str">
            <v>81020100</v>
          </cell>
        </row>
        <row r="100">
          <cell r="B100" t="str">
            <v>81020101</v>
          </cell>
        </row>
        <row r="101">
          <cell r="B101" t="str">
            <v>81020102</v>
          </cell>
        </row>
        <row r="102">
          <cell r="B102" t="str">
            <v>81020103</v>
          </cell>
        </row>
        <row r="103">
          <cell r="B103" t="str">
            <v>99999999</v>
          </cell>
        </row>
      </sheetData>
      <sheetData sheetId="23"/>
      <sheetData sheetId="24"/>
      <sheetData sheetId="25"/>
      <sheetData sheetId="26"/>
      <sheetData sheetId="27"/>
      <sheetData sheetId="28"/>
      <sheetData sheetId="29">
        <row r="6">
          <cell r="D6" t="str">
            <v>JAVIER CHIRINO</v>
          </cell>
        </row>
        <row r="7">
          <cell r="D7" t="str">
            <v>JAVIER CHIRINO - ML</v>
          </cell>
        </row>
        <row r="8">
          <cell r="D8" t="str">
            <v>FREDDY R. CHIRINO</v>
          </cell>
        </row>
        <row r="9">
          <cell r="D9" t="str">
            <v>HAIDEE RODRIGUEZ</v>
          </cell>
        </row>
        <row r="10">
          <cell r="D10">
            <v>0</v>
          </cell>
        </row>
        <row r="11">
          <cell r="D11">
            <v>0</v>
          </cell>
        </row>
        <row r="12">
          <cell r="D12">
            <v>0</v>
          </cell>
        </row>
        <row r="13">
          <cell r="D13">
            <v>0</v>
          </cell>
        </row>
        <row r="14">
          <cell r="D14">
            <v>0</v>
          </cell>
        </row>
        <row r="15">
          <cell r="D15">
            <v>0</v>
          </cell>
        </row>
        <row r="16">
          <cell r="D16">
            <v>0</v>
          </cell>
        </row>
        <row r="17">
          <cell r="D17">
            <v>0</v>
          </cell>
        </row>
        <row r="18">
          <cell r="D18">
            <v>0</v>
          </cell>
        </row>
        <row r="19">
          <cell r="D19">
            <v>0</v>
          </cell>
        </row>
        <row r="20">
          <cell r="D20">
            <v>0</v>
          </cell>
        </row>
        <row r="21">
          <cell r="D21">
            <v>0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  <row r="25">
          <cell r="D25">
            <v>0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Hoja1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4 CLIENTES"/>
      <sheetName val="DATOS PROVEEDORES"/>
      <sheetName val="ORDEN DE ENTREGA - CHS"/>
      <sheetName val="ORDEN DE ENTREGA"/>
      <sheetName val="LISTA DE PRECIOS"/>
      <sheetName val="RELACION VTAS - CHS"/>
      <sheetName val="FACTURAS"/>
      <sheetName val="REPORTE GASTOS "/>
      <sheetName val="Modelo Orden de Entrega"/>
      <sheetName val="NOTA DE ENTREGA"/>
      <sheetName val="GUIA DE TRASLADO"/>
      <sheetName val="INVENTARIO-PT"/>
      <sheetName val="RECETAS DE PRODUCTOS"/>
      <sheetName val="TABULADOR TRANSPORTE"/>
      <sheetName val="COSTOS MO"/>
      <sheetName val="LISTA MATERIALES COMUNES"/>
      <sheetName val="LISTA DE MATERIALES"/>
      <sheetName val="ESTRUCTURA_BASE"/>
      <sheetName val="DOL6005K-170118"/>
      <sheetName val="CHSBP125K-170118"/>
      <sheetName val="CHSPPLUS3-170118"/>
      <sheetName val="CHSGRAF6-170118"/>
      <sheetName val="MICR100-170118"/>
      <sheetName val="CHSCAL1-170118"/>
      <sheetName val="CHSCAL3-170118"/>
      <sheetName val="CHSYESO1-170118"/>
      <sheetName val="CHSCALQ-170118"/>
      <sheetName val="CHSPG7K-170118"/>
      <sheetName val="SP_5X120-170118"/>
      <sheetName val="IMPPLUS-170118"/>
      <sheetName val="CHSYESO3-170118"/>
      <sheetName val="CHSCEBLCO-170118"/>
      <sheetName val="CHSPAS075-170118"/>
      <sheetName val="STYHI85-170118"/>
      <sheetName val="MACMZ4-170118"/>
      <sheetName val="MACR100-170118"/>
      <sheetName val="DOL6005K-051217"/>
      <sheetName val="CHSBP125K-051217"/>
      <sheetName val="CHSPPLUS3-051217"/>
      <sheetName val="CHSGRAF6-051217"/>
      <sheetName val="MICR100-051217"/>
      <sheetName val="CHSCAL1-051217"/>
      <sheetName val="CHSCAL3-051217"/>
      <sheetName val="CHSYESO1-051217"/>
      <sheetName val="CHSCALQ-051217"/>
      <sheetName val="CHSPG7K-051217"/>
      <sheetName val="SP_5X120-051217"/>
      <sheetName val="IMPPLUS-051217"/>
      <sheetName val="CHSYESO3-051217"/>
      <sheetName val="CHSCEBLCO-051217"/>
      <sheetName val="CHSPAS075-051217"/>
      <sheetName val="STYHI85-051217"/>
      <sheetName val="MACMZ4-051217"/>
      <sheetName val="MACR100-0512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A DE ENTREGA FORMATO"/>
      <sheetName val="GUIA DE TRASLADO formato"/>
      <sheetName val="GUIA DE TRASLADO blanco"/>
      <sheetName val="NOTA DE ENTREGA"/>
      <sheetName val="DATOS CLIENTES"/>
      <sheetName val="FACTURAS"/>
      <sheetName val="LISTA DE PRECIOS"/>
      <sheetName val="RELACION VTAS - CHS"/>
      <sheetName val="COBRANZA"/>
      <sheetName val="REPORTE GASTOS"/>
      <sheetName val="REPORTE-CORO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E2">
            <v>44216</v>
          </cell>
          <cell r="F2">
            <v>0</v>
          </cell>
        </row>
        <row r="3">
          <cell r="C3" t="str">
            <v>PRODUCTOS</v>
          </cell>
          <cell r="D3" t="str">
            <v>PRECIOS EN $</v>
          </cell>
          <cell r="E3">
            <v>0</v>
          </cell>
          <cell r="F3">
            <v>0</v>
          </cell>
        </row>
        <row r="4">
          <cell r="D4" t="str">
            <v>CORO</v>
          </cell>
          <cell r="E4" t="str">
            <v>OTRA LOCALIDAD</v>
          </cell>
          <cell r="F4" t="str">
            <v>PROMOCION</v>
          </cell>
        </row>
        <row r="5">
          <cell r="A5" t="str">
            <v>MACROFIBRA TEREFTALATO DE DIMETILO (100 GR)</v>
          </cell>
          <cell r="C5" t="str">
            <v xml:space="preserve">MACRO  FIBRA 100GR </v>
          </cell>
          <cell r="D5">
            <v>1.1200000000000001</v>
          </cell>
          <cell r="E5">
            <v>1.17</v>
          </cell>
          <cell r="F5">
            <v>0</v>
          </cell>
        </row>
        <row r="6">
          <cell r="A6" t="str">
            <v>MICROFIBRA POLIPROPILENO (100 GR)</v>
          </cell>
          <cell r="C6" t="str">
            <v xml:space="preserve">MICRO  FIBRA 100GR </v>
          </cell>
          <cell r="D6">
            <v>1.7999999999999998</v>
          </cell>
          <cell r="E6">
            <v>1.8899999999999997</v>
          </cell>
          <cell r="F6">
            <v>0</v>
          </cell>
        </row>
        <row r="7">
          <cell r="A7" t="str">
            <v>STYLOSA HIDROXIETIL (85 GRAMOS)</v>
          </cell>
          <cell r="C7" t="str">
            <v>STYLOSA 85GR</v>
          </cell>
          <cell r="D7">
            <v>1.3899999999999997</v>
          </cell>
          <cell r="E7">
            <v>1.5099999999999998</v>
          </cell>
          <cell r="F7">
            <v>0</v>
          </cell>
        </row>
        <row r="8">
          <cell r="A8" t="str">
            <v>CHS - PASTA EN POLVO PLUS - SACO 3KG</v>
          </cell>
          <cell r="C8" t="str">
            <v>PASTA 3KG</v>
          </cell>
          <cell r="D8">
            <v>2.16</v>
          </cell>
          <cell r="E8">
            <v>2.2599999999999998</v>
          </cell>
          <cell r="F8">
            <v>0</v>
          </cell>
        </row>
        <row r="9">
          <cell r="A9" t="str">
            <v>CHS - PASTA EN POLVO - SACO 0,75 KG</v>
          </cell>
          <cell r="C9" t="str">
            <v>TAPA GRIETA 0,75KG</v>
          </cell>
          <cell r="D9">
            <v>0.54</v>
          </cell>
          <cell r="E9">
            <v>0.56999999999999984</v>
          </cell>
          <cell r="F9">
            <v>0</v>
          </cell>
        </row>
        <row r="10">
          <cell r="A10" t="str">
            <v>CHS - GRAFIADO EN POLVO - SACO 6KG</v>
          </cell>
          <cell r="C10" t="str">
            <v>GRAFIADO 6KG</v>
          </cell>
          <cell r="D10">
            <v>1.9699999999999998</v>
          </cell>
          <cell r="E10">
            <v>2.06</v>
          </cell>
          <cell r="F10">
            <v>0</v>
          </cell>
        </row>
        <row r="11">
          <cell r="A11" t="str">
            <v>IMPERMEABILIZANTE EN POLVO PLUS+</v>
          </cell>
          <cell r="C11" t="str">
            <v>IMPERMEABILIZANTE PLUS</v>
          </cell>
          <cell r="D11">
            <v>1.9100000000000001</v>
          </cell>
          <cell r="E11">
            <v>2</v>
          </cell>
          <cell r="F11">
            <v>0</v>
          </cell>
        </row>
        <row r="12">
          <cell r="A12" t="str">
            <v>CHS - BASE RENDIDORA PINTURA (1,25 KG)</v>
          </cell>
          <cell r="C12" t="str">
            <v>BASE RENDIDORA 1,25KG</v>
          </cell>
          <cell r="D12">
            <v>1.5499999999999998</v>
          </cell>
          <cell r="E12">
            <v>1.6799999999999997</v>
          </cell>
          <cell r="F12">
            <v>0</v>
          </cell>
        </row>
        <row r="13">
          <cell r="A13" t="str">
            <v>CHS - CEMENTO BLANCO - SACO 1 KG</v>
          </cell>
          <cell r="C13" t="str">
            <v>CEMENTO BLANCO</v>
          </cell>
          <cell r="D13">
            <v>1.1499999999999999</v>
          </cell>
          <cell r="E13">
            <v>1.2000000000000002</v>
          </cell>
          <cell r="F13">
            <v>0</v>
          </cell>
        </row>
        <row r="14">
          <cell r="A14" t="str">
            <v>CHS - CAL PREPARADA LIQUIDA (1 GAL)</v>
          </cell>
          <cell r="C14" t="str">
            <v>CAL LIQUIDA</v>
          </cell>
          <cell r="D14">
            <v>1.6600000000000001</v>
          </cell>
          <cell r="E14">
            <v>1.7400000000000002</v>
          </cell>
          <cell r="F14">
            <v>0</v>
          </cell>
        </row>
        <row r="15">
          <cell r="A15" t="str">
            <v>CHS - CAL - SACO 3 KG</v>
          </cell>
          <cell r="C15" t="str">
            <v>CAL 3KG</v>
          </cell>
          <cell r="D15">
            <v>2.0999999999999996</v>
          </cell>
          <cell r="E15">
            <v>2.16</v>
          </cell>
          <cell r="F15">
            <v>0</v>
          </cell>
        </row>
        <row r="16">
          <cell r="A16" t="str">
            <v>CHS - CAL - SACO 1 KG</v>
          </cell>
          <cell r="C16" t="str">
            <v>CAL 1KG</v>
          </cell>
          <cell r="D16">
            <v>0.7</v>
          </cell>
          <cell r="E16">
            <v>0.72</v>
          </cell>
          <cell r="F16">
            <v>0</v>
          </cell>
        </row>
        <row r="17">
          <cell r="A17" t="str">
            <v>CHS - YESO - SACO 1 KG</v>
          </cell>
          <cell r="C17" t="str">
            <v>YESO 1KG</v>
          </cell>
          <cell r="D17">
            <v>1.2400000000000002</v>
          </cell>
          <cell r="E17">
            <v>1.2999999999999998</v>
          </cell>
          <cell r="F17">
            <v>0</v>
          </cell>
        </row>
        <row r="18">
          <cell r="A18" t="str">
            <v>CHS - PEGO GRIS - SACO 7KG</v>
          </cell>
          <cell r="C18" t="str">
            <v>PEGO 7KG</v>
          </cell>
          <cell r="D18">
            <v>1.52</v>
          </cell>
          <cell r="E18">
            <v>1.5499999999999998</v>
          </cell>
          <cell r="F18">
            <v>0</v>
          </cell>
        </row>
        <row r="19">
          <cell r="A19" t="str">
            <v>CHS - PEGO GRIS - SACO 10KG</v>
          </cell>
          <cell r="C19" t="str">
            <v>PEGO 10KG</v>
          </cell>
          <cell r="D19">
            <v>2.02</v>
          </cell>
          <cell r="E19">
            <v>2.0699999999999998</v>
          </cell>
          <cell r="F19">
            <v>0</v>
          </cell>
        </row>
        <row r="20">
          <cell r="A20" t="str">
            <v>CHS - CEMENTO BLANCO - SACO 4,5 KG</v>
          </cell>
          <cell r="C20" t="str">
            <v>CEMENTO BLANCO 4,5 KG</v>
          </cell>
          <cell r="D20">
            <v>4.16</v>
          </cell>
          <cell r="E20">
            <v>4.3600000000000003</v>
          </cell>
          <cell r="F20">
            <v>0</v>
          </cell>
        </row>
        <row r="21">
          <cell r="A21" t="str">
            <v>CHS - MEZCLILLA - SACO 7KG</v>
          </cell>
          <cell r="C21" t="str">
            <v>MEZCLILLA 7 KG</v>
          </cell>
          <cell r="D21">
            <v>0</v>
          </cell>
          <cell r="E21">
            <v>0</v>
          </cell>
          <cell r="F21">
            <v>0</v>
          </cell>
        </row>
        <row r="22">
          <cell r="A22" t="str">
            <v>CHS - PEGA PLUS - SACO 15KG</v>
          </cell>
          <cell r="C22" t="str">
            <v>PEGA PLUS 15KG</v>
          </cell>
          <cell r="D22">
            <v>1.9699999999999998</v>
          </cell>
          <cell r="E22">
            <v>2.08</v>
          </cell>
          <cell r="F22">
            <v>0</v>
          </cell>
        </row>
        <row r="23">
          <cell r="A23" t="str">
            <v>CHS - CONCRE PLUS - SACO 15KG</v>
          </cell>
          <cell r="C23" t="str">
            <v>CONCRE PLUS</v>
          </cell>
          <cell r="D23">
            <v>2.14</v>
          </cell>
          <cell r="E23">
            <v>2.2799999999999998</v>
          </cell>
          <cell r="F23">
            <v>0</v>
          </cell>
        </row>
        <row r="24">
          <cell r="A24" t="str">
            <v>CHS - PEGO GRIS - SACO 15KG</v>
          </cell>
          <cell r="C24" t="str">
            <v>PEGO 15KG</v>
          </cell>
          <cell r="D24">
            <v>2.88</v>
          </cell>
          <cell r="E24">
            <v>2.95</v>
          </cell>
          <cell r="F24">
            <v>0</v>
          </cell>
        </row>
        <row r="25">
          <cell r="A25" t="str">
            <v>STYLOSA TIPO A (50GR.)</v>
          </cell>
          <cell r="C25" t="str">
            <v>STILOSA TIPO "A"</v>
          </cell>
          <cell r="D25">
            <v>2.39</v>
          </cell>
          <cell r="E25">
            <v>2.5</v>
          </cell>
          <cell r="F25">
            <v>0</v>
          </cell>
        </row>
        <row r="26">
          <cell r="A26" t="str">
            <v>CHS - GRAFIADO EN POLVO - SACO 15KG</v>
          </cell>
          <cell r="C26" t="str">
            <v>GRAFIADO 15KG</v>
          </cell>
          <cell r="D26">
            <v>4.1900000000000004</v>
          </cell>
          <cell r="E26">
            <v>4.3099999999999996</v>
          </cell>
          <cell r="F26">
            <v>0</v>
          </cell>
        </row>
        <row r="27">
          <cell r="A27" t="str">
            <v>CHS - PASTA EN POLVO PLUS - SACO 8KG</v>
          </cell>
          <cell r="C27" t="str">
            <v>PASTA 8KG</v>
          </cell>
          <cell r="D27">
            <v>5</v>
          </cell>
          <cell r="E27">
            <v>5.24</v>
          </cell>
          <cell r="F27">
            <v>0</v>
          </cell>
        </row>
        <row r="28">
          <cell r="A28" t="str">
            <v>CHS - PINTURA IMPERMEABLE - SACO 10KG</v>
          </cell>
          <cell r="C28" t="str">
            <v>PINTURA IMPERMEABLE EN POLVO 10KG</v>
          </cell>
          <cell r="D28">
            <v>5.4</v>
          </cell>
          <cell r="E28">
            <v>5.65</v>
          </cell>
          <cell r="F28">
            <v>0</v>
          </cell>
        </row>
        <row r="29">
          <cell r="A29" t="str">
            <v>CHS - CAL - SACO 20 KG</v>
          </cell>
          <cell r="C29" t="str">
            <v>CAL 20KG</v>
          </cell>
          <cell r="D29">
            <v>9.9</v>
          </cell>
          <cell r="E29">
            <v>10.38</v>
          </cell>
          <cell r="F29">
            <v>0</v>
          </cell>
        </row>
        <row r="30">
          <cell r="A30" t="str">
            <v>CHS - DOLOMITA/TALCO INDUSTRIAL - SACO 5KG</v>
          </cell>
          <cell r="C30" t="str">
            <v>TALCO INDUSTRIAL 5KG</v>
          </cell>
          <cell r="D30">
            <v>0</v>
          </cell>
          <cell r="E30">
            <v>0</v>
          </cell>
          <cell r="F30">
            <v>0</v>
          </cell>
        </row>
        <row r="31">
          <cell r="A31" t="str">
            <v>CHS - PEGO BLANCO - SACO 15KG</v>
          </cell>
          <cell r="C31" t="str">
            <v>PEGO BLANCO 15KG</v>
          </cell>
          <cell r="D31">
            <v>3.25</v>
          </cell>
          <cell r="E31">
            <v>3.3</v>
          </cell>
          <cell r="F31">
            <v>0</v>
          </cell>
        </row>
        <row r="32">
          <cell r="A32" t="str">
            <v>CHS - SISAL DE COCUIZA - 1KG</v>
          </cell>
          <cell r="D32">
            <v>1.3</v>
          </cell>
          <cell r="E32">
            <v>1.625</v>
          </cell>
          <cell r="F32">
            <v>1.625</v>
          </cell>
        </row>
        <row r="33">
          <cell r="A33" t="str">
            <v>CHS - ESTUCO GRIS - SACO 12KG</v>
          </cell>
          <cell r="C33" t="str">
            <v>CHS - ESTUCO GRIS - SACO 12KG</v>
          </cell>
          <cell r="D33">
            <v>5.6</v>
          </cell>
          <cell r="E33">
            <v>5.87</v>
          </cell>
          <cell r="F33">
            <v>0</v>
          </cell>
        </row>
        <row r="34">
          <cell r="A34" t="str">
            <v>CHS - CEMENTO GRIS - SACO 15KG</v>
          </cell>
          <cell r="C34" t="str">
            <v>CHS - CEMENTO GRIS - SACO 40KG</v>
          </cell>
          <cell r="D34">
            <v>6.5</v>
          </cell>
          <cell r="E34">
            <v>7.5</v>
          </cell>
          <cell r="F34">
            <v>0</v>
          </cell>
        </row>
        <row r="35">
          <cell r="A35" t="str">
            <v>CHS - TALCO INDUSTRIAL - SACO 15KG</v>
          </cell>
          <cell r="C35" t="str">
            <v>CHS - CAL - SACO 20 KG</v>
          </cell>
          <cell r="D35">
            <v>9.9</v>
          </cell>
          <cell r="E35">
            <v>10.38</v>
          </cell>
          <cell r="F35">
            <v>0</v>
          </cell>
        </row>
        <row r="36">
          <cell r="A36">
            <v>0</v>
          </cell>
          <cell r="D36">
            <v>0</v>
          </cell>
          <cell r="E36">
            <v>0</v>
          </cell>
          <cell r="F36">
            <v>0</v>
          </cell>
        </row>
        <row r="37">
          <cell r="A37">
            <v>0</v>
          </cell>
          <cell r="D37">
            <v>0</v>
          </cell>
          <cell r="E37">
            <v>0</v>
          </cell>
          <cell r="F37">
            <v>0</v>
          </cell>
        </row>
        <row r="38">
          <cell r="A38">
            <v>0</v>
          </cell>
          <cell r="D38">
            <v>0</v>
          </cell>
          <cell r="E38">
            <v>0</v>
          </cell>
          <cell r="F38">
            <v>0</v>
          </cell>
        </row>
        <row r="39">
          <cell r="A39">
            <v>0</v>
          </cell>
          <cell r="D39">
            <v>0</v>
          </cell>
          <cell r="E39">
            <v>0</v>
          </cell>
          <cell r="F39">
            <v>0</v>
          </cell>
        </row>
        <row r="40">
          <cell r="A40">
            <v>0</v>
          </cell>
          <cell r="D40">
            <v>0</v>
          </cell>
          <cell r="E40">
            <v>0</v>
          </cell>
          <cell r="F40">
            <v>0</v>
          </cell>
        </row>
        <row r="41">
          <cell r="A41">
            <v>0</v>
          </cell>
          <cell r="D41">
            <v>0</v>
          </cell>
          <cell r="E41">
            <v>0</v>
          </cell>
          <cell r="F41">
            <v>0</v>
          </cell>
        </row>
        <row r="42">
          <cell r="A42">
            <v>0</v>
          </cell>
          <cell r="D42">
            <v>0</v>
          </cell>
          <cell r="E42">
            <v>0</v>
          </cell>
          <cell r="F42">
            <v>0</v>
          </cell>
        </row>
        <row r="43">
          <cell r="A43">
            <v>0</v>
          </cell>
          <cell r="D43">
            <v>0</v>
          </cell>
          <cell r="E43">
            <v>0</v>
          </cell>
          <cell r="F43">
            <v>0</v>
          </cell>
        </row>
        <row r="44">
          <cell r="A44">
            <v>0</v>
          </cell>
          <cell r="D44">
            <v>0</v>
          </cell>
        </row>
        <row r="45">
          <cell r="A45">
            <v>0</v>
          </cell>
          <cell r="D45">
            <v>0</v>
          </cell>
        </row>
        <row r="46">
          <cell r="A46">
            <v>0</v>
          </cell>
          <cell r="D46">
            <v>0</v>
          </cell>
        </row>
        <row r="47">
          <cell r="A47">
            <v>0</v>
          </cell>
          <cell r="D47">
            <v>0</v>
          </cell>
        </row>
        <row r="48">
          <cell r="A48">
            <v>0</v>
          </cell>
          <cell r="D48">
            <v>0</v>
          </cell>
        </row>
        <row r="49">
          <cell r="A49">
            <v>0</v>
          </cell>
          <cell r="D49">
            <v>0</v>
          </cell>
        </row>
        <row r="50">
          <cell r="A50">
            <v>0</v>
          </cell>
          <cell r="D50">
            <v>0</v>
          </cell>
        </row>
        <row r="51">
          <cell r="A51">
            <v>0</v>
          </cell>
          <cell r="D51">
            <v>0</v>
          </cell>
        </row>
        <row r="52">
          <cell r="A52">
            <v>0</v>
          </cell>
          <cell r="D52">
            <v>0</v>
          </cell>
        </row>
        <row r="53">
          <cell r="A53">
            <v>0</v>
          </cell>
          <cell r="D53">
            <v>0</v>
          </cell>
        </row>
        <row r="54">
          <cell r="A54">
            <v>0</v>
          </cell>
          <cell r="D54">
            <v>0</v>
          </cell>
        </row>
        <row r="55">
          <cell r="A55">
            <v>0</v>
          </cell>
          <cell r="D55">
            <v>0</v>
          </cell>
        </row>
        <row r="56">
          <cell r="A56">
            <v>0</v>
          </cell>
          <cell r="D56">
            <v>0</v>
          </cell>
        </row>
        <row r="57">
          <cell r="A57">
            <v>0</v>
          </cell>
          <cell r="D57">
            <v>0</v>
          </cell>
        </row>
        <row r="58">
          <cell r="A58">
            <v>0</v>
          </cell>
          <cell r="D58">
            <v>0</v>
          </cell>
        </row>
        <row r="59">
          <cell r="A59">
            <v>0</v>
          </cell>
          <cell r="C59">
            <v>0</v>
          </cell>
          <cell r="D59">
            <v>0</v>
          </cell>
        </row>
        <row r="60">
          <cell r="A60">
            <v>0</v>
          </cell>
          <cell r="C60">
            <v>0</v>
          </cell>
          <cell r="D60">
            <v>0</v>
          </cell>
        </row>
        <row r="61">
          <cell r="A61">
            <v>0</v>
          </cell>
          <cell r="C61">
            <v>0</v>
          </cell>
          <cell r="D61">
            <v>0</v>
          </cell>
        </row>
        <row r="62">
          <cell r="C62">
            <v>0</v>
          </cell>
          <cell r="D62">
            <v>0</v>
          </cell>
        </row>
        <row r="63">
          <cell r="C63">
            <v>0</v>
          </cell>
          <cell r="D63">
            <v>0</v>
          </cell>
        </row>
        <row r="64">
          <cell r="D64">
            <v>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7" Type="http://schemas.openxmlformats.org/officeDocument/2006/relationships/image" Target="../media/image3.emf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pageSetUpPr fitToPage="1"/>
  </sheetPr>
  <dimension ref="A1:U52"/>
  <sheetViews>
    <sheetView topLeftCell="B1" zoomScale="80" zoomScaleNormal="80" zoomScalePageLayoutView="80" workbookViewId="0">
      <selection activeCell="C17" sqref="C17"/>
    </sheetView>
  </sheetViews>
  <sheetFormatPr baseColWidth="10" defaultColWidth="11.42578125" defaultRowHeight="15"/>
  <cols>
    <col min="1" max="1" width="0.7109375" style="86" hidden="1" customWidth="1"/>
    <col min="2" max="2" width="9" style="86" customWidth="1"/>
    <col min="3" max="3" width="14.85546875" style="86" customWidth="1"/>
    <col min="4" max="4" width="34.85546875" style="86" customWidth="1"/>
    <col min="5" max="5" width="35.7109375" style="86" customWidth="1"/>
    <col min="6" max="6" width="18.140625" style="86" bestFit="1" customWidth="1"/>
    <col min="7" max="7" width="6.140625" style="86" customWidth="1"/>
    <col min="8" max="8" width="1" style="86" customWidth="1"/>
    <col min="9" max="9" width="18.140625" style="86" customWidth="1"/>
    <col min="10" max="10" width="4.5703125" style="86" customWidth="1"/>
    <col min="11" max="11" width="4.28515625" style="86" customWidth="1"/>
    <col min="12" max="12" width="19" style="86" customWidth="1"/>
    <col min="13" max="16384" width="11.42578125" style="86"/>
  </cols>
  <sheetData>
    <row r="1" spans="1:21" ht="120.75" customHeight="1">
      <c r="A1" s="8"/>
      <c r="B1" s="103"/>
      <c r="C1" s="129"/>
      <c r="D1" s="129"/>
      <c r="E1" s="129"/>
      <c r="F1" s="171"/>
      <c r="G1" s="171"/>
      <c r="H1" s="172"/>
      <c r="I1" s="172"/>
      <c r="J1" s="158"/>
      <c r="K1" s="173"/>
      <c r="L1" s="173"/>
      <c r="M1" s="170"/>
    </row>
    <row r="2" spans="1:21" ht="18.75" customHeight="1">
      <c r="A2" s="8"/>
      <c r="B2" s="103"/>
      <c r="C2" s="174">
        <v>44539</v>
      </c>
      <c r="D2" s="129"/>
      <c r="E2" s="302" t="s">
        <v>817</v>
      </c>
      <c r="F2" s="302"/>
      <c r="G2" s="302"/>
      <c r="H2" s="302"/>
      <c r="I2" s="302"/>
      <c r="J2" s="171"/>
      <c r="K2" s="171"/>
      <c r="L2" s="171"/>
      <c r="M2" s="175"/>
    </row>
    <row r="3" spans="1:21" ht="24" customHeight="1">
      <c r="A3" s="113" t="s">
        <v>85</v>
      </c>
      <c r="B3" s="114"/>
      <c r="C3" s="171" t="s">
        <v>541</v>
      </c>
      <c r="D3" s="299" t="s">
        <v>816</v>
      </c>
      <c r="E3" s="299"/>
      <c r="F3" s="299"/>
      <c r="G3" s="299"/>
      <c r="H3" s="299"/>
      <c r="I3" s="299"/>
      <c r="J3" s="299"/>
      <c r="K3" s="299"/>
      <c r="L3" s="299"/>
      <c r="M3" s="276"/>
    </row>
    <row r="4" spans="1:21" ht="38.25" customHeight="1">
      <c r="A4" s="113" t="s">
        <v>86</v>
      </c>
      <c r="B4" s="114"/>
      <c r="C4" s="176"/>
      <c r="D4" s="176"/>
      <c r="E4" s="176"/>
      <c r="I4" s="177" t="s">
        <v>852</v>
      </c>
      <c r="J4" s="177"/>
      <c r="L4" s="177" t="s">
        <v>334</v>
      </c>
      <c r="M4" s="175"/>
    </row>
    <row r="5" spans="1:21" ht="20.25" customHeight="1">
      <c r="A5" s="115" t="s">
        <v>788</v>
      </c>
      <c r="B5" s="114"/>
      <c r="C5" s="129"/>
      <c r="D5" s="171"/>
      <c r="E5" s="171"/>
      <c r="F5" s="171"/>
      <c r="G5" s="171"/>
      <c r="H5" s="171"/>
      <c r="I5" s="171"/>
      <c r="J5" s="181"/>
      <c r="K5" s="181"/>
      <c r="L5" s="181"/>
      <c r="M5" s="175"/>
      <c r="O5" s="171"/>
      <c r="U5" s="171" t="s">
        <v>846</v>
      </c>
    </row>
    <row r="6" spans="1:21" ht="18.75">
      <c r="C6" s="129"/>
      <c r="D6" s="129"/>
      <c r="E6" s="129"/>
      <c r="F6" s="171"/>
      <c r="G6" s="171"/>
      <c r="H6" s="171"/>
      <c r="I6" s="171"/>
      <c r="J6" s="171"/>
      <c r="K6" s="171"/>
      <c r="L6" s="171"/>
      <c r="M6" s="175"/>
    </row>
    <row r="7" spans="1:21" ht="24" customHeight="1">
      <c r="C7" s="129"/>
      <c r="D7" s="129"/>
      <c r="E7" s="129"/>
      <c r="F7" s="171"/>
      <c r="G7" s="171"/>
      <c r="H7" s="171"/>
      <c r="I7" s="171"/>
      <c r="J7" s="171"/>
      <c r="K7" s="171"/>
      <c r="L7" s="171"/>
      <c r="M7" s="175"/>
    </row>
    <row r="8" spans="1:21" ht="72" customHeight="1">
      <c r="C8" s="129"/>
      <c r="D8" s="129"/>
      <c r="E8" s="184" t="s">
        <v>848</v>
      </c>
      <c r="F8" s="171"/>
      <c r="G8" s="171"/>
      <c r="H8" s="171"/>
      <c r="I8" s="171"/>
      <c r="J8" s="171"/>
      <c r="K8" s="171"/>
      <c r="L8" s="171"/>
      <c r="M8" s="175"/>
      <c r="O8" s="86" t="s">
        <v>1103</v>
      </c>
    </row>
    <row r="9" spans="1:21" ht="18.75">
      <c r="C9" s="270"/>
      <c r="D9" s="298" t="s">
        <v>819</v>
      </c>
      <c r="E9" s="298"/>
      <c r="F9" s="298"/>
      <c r="G9" s="298"/>
      <c r="H9" s="298"/>
      <c r="I9" s="182">
        <v>2.2999999999999998</v>
      </c>
      <c r="J9" s="182"/>
      <c r="K9" s="296">
        <f>+I9*C9</f>
        <v>0</v>
      </c>
      <c r="L9" s="296"/>
      <c r="M9" s="175"/>
      <c r="O9" s="86">
        <f>+C9*7</f>
        <v>0</v>
      </c>
    </row>
    <row r="10" spans="1:21" ht="18.75">
      <c r="C10" s="181">
        <v>60</v>
      </c>
      <c r="D10" s="298" t="s">
        <v>839</v>
      </c>
      <c r="E10" s="298"/>
      <c r="F10" s="298"/>
      <c r="G10" s="298"/>
      <c r="H10" s="298"/>
      <c r="I10" s="182">
        <v>2.6</v>
      </c>
      <c r="J10" s="182"/>
      <c r="K10" s="296">
        <f>+I10*C10</f>
        <v>156</v>
      </c>
      <c r="L10" s="296"/>
      <c r="M10" s="175"/>
      <c r="O10" s="86">
        <f>+C10*15</f>
        <v>900</v>
      </c>
    </row>
    <row r="11" spans="1:21" ht="18.75">
      <c r="C11" s="188">
        <v>120</v>
      </c>
      <c r="D11" s="298" t="s">
        <v>838</v>
      </c>
      <c r="E11" s="298"/>
      <c r="F11" s="298"/>
      <c r="G11" s="298"/>
      <c r="H11" s="298"/>
      <c r="I11" s="180">
        <v>2.99</v>
      </c>
      <c r="J11" s="182"/>
      <c r="K11" s="296">
        <f t="shared" ref="K11:K23" si="0">+I11*C11</f>
        <v>358.8</v>
      </c>
      <c r="L11" s="296"/>
      <c r="M11" s="175"/>
      <c r="O11" s="86">
        <f>+C11*15</f>
        <v>1800</v>
      </c>
    </row>
    <row r="12" spans="1:21" ht="18.75">
      <c r="C12" s="188"/>
      <c r="D12" s="298" t="s">
        <v>1139</v>
      </c>
      <c r="E12" s="298"/>
      <c r="F12" s="298"/>
      <c r="G12" s="298"/>
      <c r="H12" s="298"/>
      <c r="I12" s="180">
        <v>3.5</v>
      </c>
      <c r="J12" s="180"/>
      <c r="K12" s="296">
        <f t="shared" si="0"/>
        <v>0</v>
      </c>
      <c r="L12" s="296"/>
      <c r="M12" s="104"/>
      <c r="O12" s="86">
        <f>+C12*15</f>
        <v>0</v>
      </c>
    </row>
    <row r="13" spans="1:21" ht="18.75">
      <c r="C13" s="279">
        <v>20</v>
      </c>
      <c r="D13" s="278" t="s">
        <v>1169</v>
      </c>
      <c r="E13" s="278"/>
      <c r="F13" s="187"/>
      <c r="G13" s="187"/>
      <c r="H13" s="187"/>
      <c r="I13" s="180">
        <v>5.55</v>
      </c>
      <c r="J13" s="180"/>
      <c r="K13" s="296">
        <f t="shared" si="0"/>
        <v>111</v>
      </c>
      <c r="L13" s="296"/>
      <c r="M13" s="104"/>
      <c r="O13" s="86">
        <f>+C13*15</f>
        <v>300</v>
      </c>
    </row>
    <row r="14" spans="1:21" ht="18.75">
      <c r="C14" s="279">
        <v>60</v>
      </c>
      <c r="D14" s="278" t="s">
        <v>1134</v>
      </c>
      <c r="E14" s="278"/>
      <c r="F14" s="187"/>
      <c r="G14" s="187"/>
      <c r="H14" s="187"/>
      <c r="I14" s="180">
        <v>2.8</v>
      </c>
      <c r="J14" s="180"/>
      <c r="K14" s="296">
        <f t="shared" si="0"/>
        <v>168</v>
      </c>
      <c r="L14" s="296"/>
      <c r="M14" s="104"/>
      <c r="O14" s="86">
        <f>+C14*8</f>
        <v>480</v>
      </c>
    </row>
    <row r="15" spans="1:21" ht="18.75">
      <c r="C15" s="279">
        <v>60</v>
      </c>
      <c r="D15" s="278" t="s">
        <v>841</v>
      </c>
      <c r="E15" s="271"/>
      <c r="F15" s="187"/>
      <c r="G15" s="187"/>
      <c r="H15" s="187"/>
      <c r="I15" s="180">
        <v>1.2</v>
      </c>
      <c r="J15" s="180"/>
      <c r="K15" s="296">
        <f t="shared" si="0"/>
        <v>72</v>
      </c>
      <c r="L15" s="296"/>
      <c r="M15" s="104"/>
      <c r="O15" s="86">
        <f>+C15*3</f>
        <v>180</v>
      </c>
    </row>
    <row r="16" spans="1:21" ht="18.75">
      <c r="C16" s="188">
        <v>20</v>
      </c>
      <c r="D16" s="271" t="s">
        <v>1140</v>
      </c>
      <c r="E16" s="187"/>
      <c r="F16" s="187"/>
      <c r="G16" s="187"/>
      <c r="H16" s="187"/>
      <c r="I16" s="180">
        <v>6</v>
      </c>
      <c r="J16" s="180"/>
      <c r="K16" s="296">
        <f t="shared" si="0"/>
        <v>120</v>
      </c>
      <c r="L16" s="296"/>
      <c r="M16" s="104"/>
      <c r="O16" s="86">
        <f>+C16*10</f>
        <v>200</v>
      </c>
    </row>
    <row r="17" spans="3:15" ht="18.75">
      <c r="C17" s="188"/>
      <c r="D17" s="278" t="s">
        <v>1012</v>
      </c>
      <c r="E17" s="187"/>
      <c r="F17" s="187"/>
      <c r="G17" s="187"/>
      <c r="H17" s="187"/>
      <c r="I17" s="180">
        <v>2</v>
      </c>
      <c r="J17" s="180"/>
      <c r="K17" s="296">
        <f t="shared" si="0"/>
        <v>0</v>
      </c>
      <c r="L17" s="296"/>
      <c r="M17" s="104"/>
      <c r="O17" s="86">
        <f>+C17*1</f>
        <v>0</v>
      </c>
    </row>
    <row r="18" spans="3:15" ht="18.75">
      <c r="C18" s="188"/>
      <c r="D18" s="283" t="s">
        <v>1161</v>
      </c>
      <c r="E18" s="187"/>
      <c r="F18" s="187"/>
      <c r="G18" s="187"/>
      <c r="H18" s="187"/>
      <c r="I18" s="180">
        <v>3.5</v>
      </c>
      <c r="J18" s="180"/>
      <c r="K18" s="296">
        <f t="shared" si="0"/>
        <v>0</v>
      </c>
      <c r="L18" s="296"/>
      <c r="M18" s="104"/>
      <c r="O18" s="86">
        <f>+C18*4.5</f>
        <v>0</v>
      </c>
    </row>
    <row r="19" spans="3:15" ht="18.75">
      <c r="C19" s="188"/>
      <c r="D19" s="278" t="s">
        <v>1142</v>
      </c>
      <c r="E19" s="187"/>
      <c r="F19" s="187"/>
      <c r="G19" s="187"/>
      <c r="H19" s="187"/>
      <c r="I19" s="180">
        <v>1.3</v>
      </c>
      <c r="J19" s="180"/>
      <c r="K19" s="296">
        <f t="shared" si="0"/>
        <v>0</v>
      </c>
      <c r="L19" s="296"/>
      <c r="M19" s="104"/>
      <c r="O19" s="86">
        <f>+C19*1</f>
        <v>0</v>
      </c>
    </row>
    <row r="20" spans="3:15" ht="18.75">
      <c r="C20" s="279"/>
      <c r="D20" s="278" t="s">
        <v>1141</v>
      </c>
      <c r="E20" s="278"/>
      <c r="F20" s="187"/>
      <c r="G20" s="187"/>
      <c r="H20" s="187"/>
      <c r="I20" s="180">
        <v>3.8</v>
      </c>
      <c r="J20" s="180"/>
      <c r="K20" s="296">
        <f t="shared" si="0"/>
        <v>0</v>
      </c>
      <c r="L20" s="296"/>
      <c r="M20" s="104"/>
      <c r="O20" s="86">
        <f>+C20*0.1</f>
        <v>0</v>
      </c>
    </row>
    <row r="21" spans="3:15" ht="18.75">
      <c r="C21" s="279"/>
      <c r="D21" s="289" t="s">
        <v>1186</v>
      </c>
      <c r="E21" s="278"/>
      <c r="F21" s="85"/>
      <c r="G21" s="85"/>
      <c r="H21" s="85"/>
      <c r="I21" s="180">
        <v>2.8</v>
      </c>
      <c r="J21" s="180"/>
      <c r="K21" s="296">
        <f>+I21*C21</f>
        <v>0</v>
      </c>
      <c r="L21" s="296"/>
      <c r="M21" s="104"/>
      <c r="O21" s="86">
        <f t="shared" ref="O21:O23" si="1">+C21*0.1</f>
        <v>0</v>
      </c>
    </row>
    <row r="22" spans="3:15" ht="18.75">
      <c r="C22" s="279"/>
      <c r="D22" s="278" t="s">
        <v>1133</v>
      </c>
      <c r="E22" s="278"/>
      <c r="F22" s="85"/>
      <c r="G22" s="85"/>
      <c r="H22" s="85"/>
      <c r="I22" s="180">
        <v>1.1000000000000001</v>
      </c>
      <c r="J22" s="180"/>
      <c r="K22" s="296">
        <f>+I22*C22</f>
        <v>0</v>
      </c>
      <c r="L22" s="296"/>
      <c r="M22" s="104"/>
      <c r="O22" s="86">
        <f t="shared" si="1"/>
        <v>0</v>
      </c>
    </row>
    <row r="23" spans="3:15" ht="18.75">
      <c r="C23" s="279"/>
      <c r="D23" s="129" t="s">
        <v>1132</v>
      </c>
      <c r="E23" s="85"/>
      <c r="F23" s="85"/>
      <c r="G23" s="85"/>
      <c r="H23" s="85"/>
      <c r="I23" s="180">
        <v>6.9</v>
      </c>
      <c r="J23" s="84"/>
      <c r="K23" s="296">
        <f t="shared" si="0"/>
        <v>0</v>
      </c>
      <c r="L23" s="296"/>
      <c r="O23" s="86">
        <f t="shared" si="1"/>
        <v>0</v>
      </c>
    </row>
    <row r="24" spans="3:15" ht="18.75">
      <c r="C24" s="181"/>
      <c r="D24" s="129"/>
      <c r="E24" s="85"/>
      <c r="F24" s="85"/>
      <c r="G24" s="85"/>
      <c r="H24" s="85"/>
      <c r="I24" s="180">
        <v>125000</v>
      </c>
      <c r="J24" s="84"/>
      <c r="K24" s="296">
        <f>+I24*C24</f>
        <v>0</v>
      </c>
      <c r="L24" s="296"/>
    </row>
    <row r="25" spans="3:15" ht="15.75">
      <c r="C25" s="85"/>
      <c r="D25" s="85"/>
      <c r="E25" s="85"/>
      <c r="F25" s="85"/>
      <c r="G25" s="85"/>
      <c r="H25" s="85"/>
      <c r="I25" s="94" t="s">
        <v>905</v>
      </c>
      <c r="J25" s="85"/>
      <c r="K25" s="301">
        <f>SUM(K9:L24)</f>
        <v>985.8</v>
      </c>
      <c r="L25" s="301"/>
      <c r="O25" s="86">
        <f>SUM(O9:O24)</f>
        <v>3860</v>
      </c>
    </row>
    <row r="26" spans="3:15">
      <c r="C26" s="85"/>
      <c r="D26" s="85"/>
      <c r="E26" s="85"/>
      <c r="F26" s="85"/>
      <c r="G26" s="85"/>
      <c r="H26" s="85"/>
      <c r="I26" s="94" t="s">
        <v>904</v>
      </c>
      <c r="J26" s="85"/>
      <c r="K26" s="85"/>
      <c r="L26" s="84">
        <f>+K25*0.16</f>
        <v>157.72800000000001</v>
      </c>
    </row>
    <row r="27" spans="3:15">
      <c r="C27" s="85"/>
      <c r="D27" s="85"/>
      <c r="E27" s="85"/>
      <c r="F27" s="85"/>
      <c r="G27" s="85"/>
      <c r="H27" s="85"/>
      <c r="I27" s="198" t="s">
        <v>796</v>
      </c>
      <c r="J27" s="85"/>
      <c r="K27" s="85"/>
      <c r="L27" s="84">
        <f>+L26+K25</f>
        <v>1143.528</v>
      </c>
    </row>
    <row r="28" spans="3:15">
      <c r="C28" s="85"/>
      <c r="D28" s="85"/>
      <c r="E28" s="85"/>
      <c r="F28" s="85"/>
      <c r="G28" s="85"/>
      <c r="H28" s="85"/>
      <c r="I28" s="85"/>
      <c r="J28" s="85"/>
      <c r="K28" s="85"/>
      <c r="L28" s="85"/>
    </row>
    <row r="29" spans="3:15">
      <c r="C29" s="85"/>
      <c r="D29" s="85"/>
      <c r="E29" s="85"/>
      <c r="F29" s="85"/>
      <c r="G29" s="85"/>
      <c r="H29" s="85"/>
      <c r="I29" s="85"/>
      <c r="J29" s="85"/>
      <c r="K29" s="85"/>
      <c r="L29" s="85"/>
    </row>
    <row r="30" spans="3:15">
      <c r="C30" s="85"/>
      <c r="D30" s="85"/>
      <c r="E30" s="85"/>
      <c r="F30" s="85"/>
      <c r="G30" s="85"/>
      <c r="H30" s="85"/>
      <c r="I30" s="85"/>
      <c r="J30" s="85"/>
      <c r="K30" s="85"/>
      <c r="L30" s="85"/>
    </row>
    <row r="31" spans="3:15" ht="174" customHeight="1">
      <c r="C31" s="85"/>
      <c r="D31" s="85"/>
      <c r="E31" s="85"/>
      <c r="F31" s="85"/>
      <c r="G31" s="85"/>
      <c r="H31" s="85"/>
      <c r="I31" s="85"/>
      <c r="J31" s="85"/>
      <c r="K31" s="85"/>
      <c r="L31" s="85"/>
    </row>
    <row r="32" spans="3:15" ht="18.75">
      <c r="C32" s="174">
        <v>44452</v>
      </c>
      <c r="D32" s="129" t="s">
        <v>550</v>
      </c>
      <c r="E32" s="302"/>
      <c r="F32" s="302"/>
      <c r="G32" s="302"/>
      <c r="H32" s="302"/>
      <c r="I32" s="302"/>
      <c r="J32" s="171"/>
      <c r="K32" s="171"/>
      <c r="L32" s="171"/>
      <c r="M32" s="175"/>
    </row>
    <row r="33" spans="3:13" ht="18.75">
      <c r="C33" s="171"/>
      <c r="D33" s="299" t="s">
        <v>916</v>
      </c>
      <c r="E33" s="299"/>
      <c r="F33" s="299"/>
      <c r="G33" s="299"/>
      <c r="H33" s="299"/>
      <c r="I33" s="299"/>
      <c r="J33" s="299"/>
      <c r="K33" s="299"/>
      <c r="L33" s="299"/>
      <c r="M33" s="299"/>
    </row>
    <row r="34" spans="3:13" ht="18.75">
      <c r="C34" s="176"/>
      <c r="D34" s="176"/>
      <c r="E34" s="176"/>
      <c r="F34" s="300">
        <v>4129661907</v>
      </c>
      <c r="G34" s="300"/>
      <c r="H34" s="177"/>
      <c r="I34" s="177" t="s">
        <v>915</v>
      </c>
      <c r="J34" s="178"/>
      <c r="K34" s="178"/>
      <c r="L34" s="178"/>
      <c r="M34" s="175"/>
    </row>
    <row r="35" spans="3:13" ht="18.75">
      <c r="C35" s="129"/>
      <c r="D35" s="171"/>
      <c r="E35" s="171"/>
      <c r="F35" s="171"/>
      <c r="G35" s="171"/>
      <c r="H35" s="171"/>
      <c r="I35" s="171"/>
      <c r="J35" s="181"/>
      <c r="K35" s="181"/>
      <c r="L35" s="181"/>
      <c r="M35" s="175"/>
    </row>
    <row r="36" spans="3:13" ht="18.75">
      <c r="C36" s="129"/>
      <c r="D36" s="129"/>
      <c r="E36" s="129"/>
      <c r="F36" s="171"/>
      <c r="G36" s="171"/>
      <c r="H36" s="171"/>
      <c r="I36" s="171"/>
      <c r="J36" s="171"/>
      <c r="K36" s="171"/>
      <c r="L36" s="171"/>
      <c r="M36" s="175"/>
    </row>
    <row r="37" spans="3:13" ht="18.75">
      <c r="C37" s="129"/>
      <c r="D37" s="129"/>
      <c r="E37" s="129"/>
      <c r="F37" s="171"/>
      <c r="G37" s="171"/>
      <c r="H37" s="171"/>
      <c r="I37" s="171"/>
      <c r="J37" s="171"/>
      <c r="K37" s="171"/>
      <c r="L37" s="171"/>
      <c r="M37" s="175"/>
    </row>
    <row r="38" spans="3:13" ht="18.75">
      <c r="C38" s="129"/>
      <c r="D38" s="129"/>
      <c r="E38" s="179" t="s">
        <v>1009</v>
      </c>
      <c r="F38" s="171"/>
      <c r="G38" s="171"/>
      <c r="H38" s="171"/>
      <c r="I38" s="171"/>
      <c r="J38" s="171"/>
      <c r="K38" s="171"/>
      <c r="L38" s="171"/>
      <c r="M38" s="175"/>
    </row>
    <row r="39" spans="3:13" ht="18.75">
      <c r="C39" s="270">
        <v>40</v>
      </c>
      <c r="D39" s="271" t="s">
        <v>1120</v>
      </c>
      <c r="E39" s="271"/>
      <c r="F39" s="275"/>
      <c r="G39" s="271"/>
      <c r="H39" s="271"/>
      <c r="I39" s="182">
        <v>1250000</v>
      </c>
      <c r="J39" s="182"/>
      <c r="K39" s="296">
        <f>+I39*C39</f>
        <v>50000000</v>
      </c>
      <c r="L39" s="296"/>
      <c r="M39" s="175"/>
    </row>
    <row r="40" spans="3:13" ht="18.75">
      <c r="C40" s="270"/>
      <c r="D40" s="271"/>
      <c r="E40" s="271"/>
      <c r="F40" s="270"/>
      <c r="G40" s="271"/>
      <c r="H40" s="271"/>
      <c r="I40" s="182"/>
      <c r="J40" s="182"/>
      <c r="K40" s="296"/>
      <c r="L40" s="296"/>
      <c r="M40" s="175"/>
    </row>
    <row r="41" spans="3:13" ht="18.75">
      <c r="C41" s="270"/>
      <c r="D41" s="271"/>
      <c r="E41" s="271"/>
      <c r="F41" s="270"/>
      <c r="G41" s="271"/>
      <c r="H41" s="271"/>
      <c r="I41" s="182"/>
      <c r="J41" s="182"/>
      <c r="K41" s="296"/>
      <c r="L41" s="296"/>
      <c r="M41" s="175"/>
    </row>
    <row r="42" spans="3:13" ht="18.75">
      <c r="C42" s="270"/>
      <c r="D42" s="271"/>
      <c r="E42" s="271"/>
      <c r="F42" s="270"/>
      <c r="G42" s="271"/>
      <c r="H42" s="271"/>
      <c r="I42" s="180"/>
      <c r="J42" s="180"/>
      <c r="K42" s="296"/>
      <c r="L42" s="296"/>
      <c r="M42" s="104"/>
    </row>
    <row r="43" spans="3:13" ht="18.75">
      <c r="C43" s="270"/>
      <c r="D43" s="271"/>
      <c r="E43" s="271"/>
      <c r="F43" s="270"/>
      <c r="G43" s="271"/>
      <c r="H43" s="271"/>
      <c r="I43" s="180"/>
      <c r="J43" s="180"/>
      <c r="K43" s="296"/>
      <c r="L43" s="296"/>
      <c r="M43" s="104"/>
    </row>
    <row r="44" spans="3:13" ht="18.75">
      <c r="C44" s="270"/>
      <c r="D44" s="271"/>
      <c r="E44" s="271"/>
      <c r="F44" s="270"/>
      <c r="G44" s="271"/>
      <c r="H44" s="271"/>
      <c r="I44" s="180"/>
      <c r="J44" s="180"/>
      <c r="K44" s="296"/>
      <c r="L44" s="296"/>
      <c r="M44" s="104"/>
    </row>
    <row r="45" spans="3:13" ht="18.75">
      <c r="C45" s="270"/>
      <c r="D45" s="271"/>
      <c r="E45" s="271"/>
      <c r="F45" s="270"/>
      <c r="G45" s="271"/>
      <c r="H45" s="271"/>
      <c r="I45" s="180"/>
      <c r="J45" s="180"/>
      <c r="K45" s="296"/>
      <c r="L45" s="296"/>
      <c r="M45" s="104"/>
    </row>
    <row r="46" spans="3:13" ht="18.75">
      <c r="C46" s="270"/>
      <c r="D46" s="129"/>
      <c r="E46" s="85"/>
      <c r="F46" s="270"/>
      <c r="G46" s="129"/>
      <c r="H46" s="85"/>
      <c r="I46" s="180"/>
      <c r="J46" s="180"/>
      <c r="K46" s="296"/>
      <c r="L46" s="296"/>
      <c r="M46" s="104"/>
    </row>
    <row r="47" spans="3:13" ht="18.75">
      <c r="C47" s="270"/>
      <c r="D47" s="129"/>
      <c r="E47" s="85"/>
      <c r="F47" s="270"/>
      <c r="G47" s="129"/>
      <c r="H47" s="85"/>
      <c r="I47" s="180"/>
      <c r="J47" s="180"/>
      <c r="K47" s="296"/>
      <c r="L47" s="296"/>
      <c r="M47" s="104"/>
    </row>
    <row r="48" spans="3:13" ht="18.75">
      <c r="C48" s="181"/>
      <c r="D48" s="298"/>
      <c r="E48" s="298"/>
      <c r="F48" s="298"/>
      <c r="G48" s="298"/>
      <c r="H48" s="298"/>
      <c r="I48" s="180"/>
      <c r="J48" s="180"/>
      <c r="K48" s="296"/>
      <c r="L48" s="296"/>
      <c r="M48" s="104"/>
    </row>
    <row r="49" spans="3:13" ht="18.75">
      <c r="C49" s="181"/>
      <c r="D49" s="298"/>
      <c r="E49" s="298"/>
      <c r="F49" s="298"/>
      <c r="G49" s="298"/>
      <c r="H49" s="298"/>
      <c r="I49" s="180"/>
      <c r="J49" s="180"/>
      <c r="K49" s="296"/>
      <c r="L49" s="296"/>
      <c r="M49" s="104"/>
    </row>
    <row r="50" spans="3:13" ht="18.75">
      <c r="C50" s="181"/>
      <c r="D50" s="298"/>
      <c r="E50" s="298"/>
      <c r="F50" s="298"/>
      <c r="G50" s="298"/>
      <c r="H50" s="298"/>
      <c r="I50" s="180"/>
      <c r="J50" s="180"/>
      <c r="K50" s="296"/>
      <c r="L50" s="296"/>
      <c r="M50" s="104"/>
    </row>
    <row r="51" spans="3:13" ht="18.75">
      <c r="C51" s="181"/>
      <c r="D51" s="129"/>
      <c r="E51" s="85"/>
      <c r="F51" s="85"/>
      <c r="G51" s="85"/>
      <c r="H51" s="85"/>
      <c r="I51" s="180"/>
      <c r="J51" s="84"/>
      <c r="K51" s="296"/>
      <c r="L51" s="296"/>
    </row>
    <row r="52" spans="3:13" ht="18.75">
      <c r="C52" s="85"/>
      <c r="D52" s="85"/>
      <c r="E52" s="85"/>
      <c r="F52" s="85"/>
      <c r="G52" s="85"/>
      <c r="H52" s="85"/>
      <c r="I52" s="94" t="s">
        <v>796</v>
      </c>
      <c r="J52" s="85"/>
      <c r="K52" s="297">
        <f>SUM(K39:K51)</f>
        <v>50000000</v>
      </c>
      <c r="L52" s="297"/>
    </row>
  </sheetData>
  <mergeCells count="43">
    <mergeCell ref="E2:I2"/>
    <mergeCell ref="D9:H9"/>
    <mergeCell ref="K9:L9"/>
    <mergeCell ref="D10:H10"/>
    <mergeCell ref="K10:L10"/>
    <mergeCell ref="D3:L3"/>
    <mergeCell ref="D11:H11"/>
    <mergeCell ref="K17:L17"/>
    <mergeCell ref="K18:L18"/>
    <mergeCell ref="K19:L19"/>
    <mergeCell ref="K20:L20"/>
    <mergeCell ref="K14:L14"/>
    <mergeCell ref="K15:L15"/>
    <mergeCell ref="K16:L16"/>
    <mergeCell ref="K11:L11"/>
    <mergeCell ref="K12:L12"/>
    <mergeCell ref="K13:L13"/>
    <mergeCell ref="D12:H12"/>
    <mergeCell ref="K43:L43"/>
    <mergeCell ref="K23:L23"/>
    <mergeCell ref="K21:L21"/>
    <mergeCell ref="K22:L22"/>
    <mergeCell ref="K44:L44"/>
    <mergeCell ref="D33:M33"/>
    <mergeCell ref="F34:G34"/>
    <mergeCell ref="K25:L25"/>
    <mergeCell ref="E32:I32"/>
    <mergeCell ref="K51:L51"/>
    <mergeCell ref="K52:L52"/>
    <mergeCell ref="K24:L24"/>
    <mergeCell ref="D48:H48"/>
    <mergeCell ref="K48:L48"/>
    <mergeCell ref="D49:H49"/>
    <mergeCell ref="K49:L49"/>
    <mergeCell ref="D50:H50"/>
    <mergeCell ref="K50:L50"/>
    <mergeCell ref="K45:L45"/>
    <mergeCell ref="K46:L46"/>
    <mergeCell ref="K39:L39"/>
    <mergeCell ref="K40:L40"/>
    <mergeCell ref="K41:L41"/>
    <mergeCell ref="K47:L47"/>
    <mergeCell ref="K42:L42"/>
  </mergeCells>
  <conditionalFormatting sqref="C4">
    <cfRule type="expression" dxfId="1371" priority="4">
      <formula>IF(ISODD($A4)=TRUE,1,0)</formula>
    </cfRule>
  </conditionalFormatting>
  <conditionalFormatting sqref="D3">
    <cfRule type="expression" dxfId="1370" priority="3">
      <formula>IF(ISODD($A3)=TRUE,1,0)</formula>
    </cfRule>
  </conditionalFormatting>
  <conditionalFormatting sqref="C34">
    <cfRule type="expression" dxfId="1369" priority="2">
      <formula>IF(ISODD($A34)=TRUE,1,0)</formula>
    </cfRule>
  </conditionalFormatting>
  <conditionalFormatting sqref="D33">
    <cfRule type="expression" dxfId="1368" priority="1">
      <formula>IF(ISODD($A33)=TRUE,1,0)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>
    <pageSetUpPr fitToPage="1"/>
  </sheetPr>
  <dimension ref="A2:M120"/>
  <sheetViews>
    <sheetView topLeftCell="B10" zoomScaleNormal="100" zoomScalePageLayoutView="80" workbookViewId="0">
      <selection activeCell="B23" sqref="B23"/>
    </sheetView>
  </sheetViews>
  <sheetFormatPr baseColWidth="10" defaultColWidth="11.42578125" defaultRowHeight="15"/>
  <cols>
    <col min="1" max="1" width="0.7109375" style="86" hidden="1" customWidth="1"/>
    <col min="2" max="2" width="11.42578125" style="86" customWidth="1"/>
    <col min="3" max="3" width="14.85546875" style="86" customWidth="1"/>
    <col min="4" max="4" width="53.42578125" style="86" bestFit="1" customWidth="1"/>
    <col min="5" max="6" width="11.42578125" style="86"/>
    <col min="7" max="8" width="6.140625" style="86" customWidth="1"/>
    <col min="9" max="9" width="20.140625" style="86" customWidth="1"/>
    <col min="10" max="10" width="4.5703125" style="86" customWidth="1"/>
    <col min="11" max="11" width="4.28515625" style="86" customWidth="1"/>
    <col min="12" max="12" width="22.42578125" style="86" customWidth="1"/>
    <col min="13" max="16384" width="11.42578125" style="86"/>
  </cols>
  <sheetData>
    <row r="2" spans="1:12"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</row>
    <row r="3" spans="1:12">
      <c r="B3" s="120"/>
      <c r="C3" s="120"/>
      <c r="D3" s="120"/>
      <c r="E3" s="120"/>
      <c r="F3" s="120"/>
      <c r="G3" s="120"/>
      <c r="H3" s="120"/>
      <c r="I3" s="120"/>
      <c r="J3" s="120"/>
      <c r="K3" s="120"/>
      <c r="L3" s="120"/>
    </row>
    <row r="4" spans="1:12" ht="30.75">
      <c r="B4" s="120"/>
      <c r="C4" s="120"/>
      <c r="D4" s="120"/>
      <c r="E4" s="120"/>
      <c r="G4" s="152"/>
      <c r="H4" s="152"/>
      <c r="I4" s="120"/>
      <c r="J4" s="120"/>
      <c r="K4" s="120"/>
      <c r="L4" s="120"/>
    </row>
    <row r="5" spans="1:12" ht="30.75">
      <c r="B5" s="151" t="s">
        <v>818</v>
      </c>
      <c r="C5" s="120"/>
      <c r="D5" s="120"/>
      <c r="E5" s="122"/>
      <c r="F5" s="122"/>
      <c r="G5" s="122"/>
      <c r="H5" s="122"/>
      <c r="I5" s="122"/>
      <c r="J5" s="122"/>
      <c r="K5" s="122"/>
      <c r="L5" s="120"/>
    </row>
    <row r="6" spans="1:12" ht="18.75" customHeight="1">
      <c r="B6" s="150" t="s">
        <v>812</v>
      </c>
      <c r="C6" s="150"/>
      <c r="D6" s="150"/>
      <c r="E6" s="150"/>
      <c r="F6" s="109" t="s">
        <v>784</v>
      </c>
      <c r="G6" s="150"/>
      <c r="H6" s="150"/>
      <c r="I6" s="150"/>
      <c r="J6" s="150"/>
      <c r="K6" s="150"/>
      <c r="L6" s="150"/>
    </row>
    <row r="7" spans="1:12" ht="41.25" customHeight="1">
      <c r="A7" s="8"/>
      <c r="B7" s="103"/>
      <c r="C7" s="103"/>
      <c r="D7" s="103"/>
      <c r="E7" s="103"/>
      <c r="F7" s="103"/>
      <c r="G7" s="103"/>
      <c r="H7" s="110"/>
      <c r="I7" s="110" t="s">
        <v>785</v>
      </c>
      <c r="J7" s="111">
        <v>1</v>
      </c>
      <c r="K7" s="112" t="s">
        <v>1149</v>
      </c>
      <c r="L7" s="112" t="s">
        <v>921</v>
      </c>
    </row>
    <row r="8" spans="1:12" ht="7.5" customHeight="1">
      <c r="A8" s="8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</row>
    <row r="9" spans="1:12" ht="20.25" customHeight="1">
      <c r="A9" s="113" t="s">
        <v>85</v>
      </c>
      <c r="B9" s="114" t="s">
        <v>90</v>
      </c>
      <c r="C9" s="114"/>
      <c r="D9" s="304" t="s">
        <v>817</v>
      </c>
      <c r="E9" s="304"/>
      <c r="F9" s="304"/>
      <c r="G9" s="304"/>
      <c r="H9" s="304"/>
      <c r="I9" s="110" t="s">
        <v>6</v>
      </c>
      <c r="J9" s="304" t="s">
        <v>334</v>
      </c>
      <c r="K9" s="304"/>
      <c r="L9" s="304"/>
    </row>
    <row r="10" spans="1:12" ht="21" customHeight="1">
      <c r="A10" s="113" t="s">
        <v>86</v>
      </c>
      <c r="B10" s="114" t="s">
        <v>91</v>
      </c>
      <c r="C10" s="305" t="s">
        <v>816</v>
      </c>
      <c r="D10" s="305"/>
      <c r="E10" s="305"/>
      <c r="F10" s="305"/>
      <c r="G10" s="305"/>
      <c r="H10" s="305"/>
      <c r="I10" s="305"/>
      <c r="J10" s="305"/>
      <c r="K10" s="305"/>
      <c r="L10" s="305"/>
    </row>
    <row r="11" spans="1:12" ht="20.25" customHeight="1">
      <c r="A11" s="115" t="s">
        <v>788</v>
      </c>
      <c r="B11" s="114" t="s">
        <v>92</v>
      </c>
      <c r="C11" s="103" t="s">
        <v>815</v>
      </c>
      <c r="D11" s="114"/>
      <c r="E11" s="114"/>
      <c r="F11" s="114"/>
      <c r="G11" s="114"/>
      <c r="H11" s="114"/>
      <c r="I11" s="114"/>
      <c r="J11" s="304"/>
      <c r="K11" s="304"/>
      <c r="L11" s="304"/>
    </row>
    <row r="12" spans="1:12" ht="18.75">
      <c r="B12" s="154" t="s">
        <v>0</v>
      </c>
      <c r="C12" s="154"/>
      <c r="D12" s="303" t="s">
        <v>88</v>
      </c>
      <c r="E12" s="303"/>
      <c r="F12" s="303"/>
      <c r="G12" s="303"/>
      <c r="H12" s="303"/>
      <c r="I12" s="154" t="s">
        <v>89</v>
      </c>
      <c r="J12" s="303" t="s">
        <v>806</v>
      </c>
      <c r="K12" s="303"/>
      <c r="L12" s="303"/>
    </row>
    <row r="13" spans="1:12" ht="18" hidden="1" customHeight="1">
      <c r="B13" s="8">
        <v>100</v>
      </c>
      <c r="C13" s="8"/>
      <c r="D13" s="312" t="s">
        <v>789</v>
      </c>
      <c r="E13" s="312"/>
      <c r="F13" s="312"/>
      <c r="G13" s="312"/>
      <c r="H13" s="312"/>
      <c r="I13" s="118">
        <f>32/1.12</f>
        <v>28.571428571428569</v>
      </c>
      <c r="J13" s="313">
        <f t="shared" ref="J13:J18" si="0">+I13*B13</f>
        <v>2857.1428571428569</v>
      </c>
      <c r="K13" s="313"/>
      <c r="L13" s="313"/>
    </row>
    <row r="14" spans="1:12" ht="18" hidden="1" customHeight="1">
      <c r="B14" s="119">
        <v>100</v>
      </c>
      <c r="C14" s="8"/>
      <c r="D14" s="312" t="s">
        <v>790</v>
      </c>
      <c r="E14" s="312"/>
      <c r="F14" s="312"/>
      <c r="G14" s="312"/>
      <c r="H14" s="312"/>
      <c r="I14" s="82">
        <v>32</v>
      </c>
      <c r="J14" s="313">
        <f t="shared" si="0"/>
        <v>3200</v>
      </c>
      <c r="K14" s="313"/>
      <c r="L14" s="313"/>
    </row>
    <row r="15" spans="1:12" ht="18" hidden="1" customHeight="1">
      <c r="D15" s="314" t="s">
        <v>791</v>
      </c>
      <c r="E15" s="314"/>
      <c r="F15" s="314"/>
      <c r="G15" s="314"/>
      <c r="H15" s="314"/>
      <c r="I15" s="89">
        <f>27/1.12</f>
        <v>24.107142857142854</v>
      </c>
      <c r="J15" s="315">
        <f t="shared" si="0"/>
        <v>0</v>
      </c>
      <c r="K15" s="315"/>
      <c r="L15" s="315"/>
    </row>
    <row r="16" spans="1:12" ht="18" hidden="1" customHeight="1">
      <c r="D16" s="314" t="s">
        <v>792</v>
      </c>
      <c r="E16" s="314"/>
      <c r="F16" s="314"/>
      <c r="G16" s="314"/>
      <c r="H16" s="314"/>
      <c r="I16" s="89">
        <f>27/1.12</f>
        <v>24.107142857142854</v>
      </c>
      <c r="J16" s="315">
        <f t="shared" si="0"/>
        <v>0</v>
      </c>
      <c r="K16" s="315"/>
      <c r="L16" s="315"/>
    </row>
    <row r="17" spans="2:13" ht="18" hidden="1" customHeight="1">
      <c r="D17" s="314" t="s">
        <v>793</v>
      </c>
      <c r="E17" s="314"/>
      <c r="F17" s="314"/>
      <c r="G17" s="314"/>
      <c r="H17" s="314"/>
      <c r="I17" s="89">
        <f>134/(1.12)</f>
        <v>119.64285714285712</v>
      </c>
      <c r="J17" s="315">
        <f t="shared" si="0"/>
        <v>0</v>
      </c>
      <c r="K17" s="315"/>
      <c r="L17" s="315"/>
    </row>
    <row r="18" spans="2:13" ht="18" customHeight="1">
      <c r="B18" s="129"/>
      <c r="C18" s="129"/>
      <c r="D18" s="302" t="s">
        <v>874</v>
      </c>
      <c r="E18" s="302"/>
      <c r="F18" s="302"/>
      <c r="G18" s="302"/>
      <c r="H18" s="302"/>
      <c r="I18" s="157">
        <v>0.5</v>
      </c>
      <c r="J18" s="311">
        <f t="shared" si="0"/>
        <v>0</v>
      </c>
      <c r="K18" s="311"/>
      <c r="L18" s="311"/>
    </row>
    <row r="19" spans="2:13" ht="15.75" hidden="1" customHeight="1">
      <c r="B19" s="120">
        <v>130</v>
      </c>
      <c r="C19" s="120"/>
      <c r="D19" s="316" t="s">
        <v>562</v>
      </c>
      <c r="E19" s="316"/>
      <c r="F19" s="316"/>
      <c r="G19" s="316"/>
      <c r="H19" s="316"/>
      <c r="I19" s="143">
        <v>926</v>
      </c>
      <c r="J19" s="310"/>
      <c r="K19" s="310"/>
      <c r="L19" s="310"/>
    </row>
    <row r="20" spans="2:13" ht="18" customHeight="1">
      <c r="B20" s="129"/>
      <c r="C20" s="158"/>
      <c r="D20" s="298" t="s">
        <v>827</v>
      </c>
      <c r="E20" s="298"/>
      <c r="F20" s="298"/>
      <c r="G20" s="298"/>
      <c r="H20" s="298"/>
      <c r="I20" s="157">
        <v>0.52</v>
      </c>
      <c r="J20" s="311">
        <f t="shared" ref="J20:J28" si="1">+I20*B20</f>
        <v>0</v>
      </c>
      <c r="K20" s="311"/>
      <c r="L20" s="311"/>
    </row>
    <row r="21" spans="2:13" ht="18.75">
      <c r="B21" s="159"/>
      <c r="C21" s="160"/>
      <c r="D21" s="153" t="s">
        <v>727</v>
      </c>
      <c r="E21" s="161"/>
      <c r="F21" s="161"/>
      <c r="G21" s="161"/>
      <c r="H21" s="161"/>
      <c r="I21" s="162">
        <v>1.1200000000000001</v>
      </c>
      <c r="J21" s="311">
        <f t="shared" si="1"/>
        <v>0</v>
      </c>
      <c r="K21" s="311"/>
      <c r="L21" s="311"/>
    </row>
    <row r="22" spans="2:13" ht="18.75">
      <c r="B22" s="129"/>
      <c r="C22" s="129"/>
      <c r="D22" s="153" t="s">
        <v>453</v>
      </c>
      <c r="E22" s="161"/>
      <c r="F22" s="161"/>
      <c r="G22" s="161"/>
      <c r="H22" s="161"/>
      <c r="I22" s="163">
        <v>0.98</v>
      </c>
      <c r="J22" s="311">
        <f t="shared" si="1"/>
        <v>0</v>
      </c>
      <c r="K22" s="311"/>
      <c r="L22" s="311"/>
    </row>
    <row r="23" spans="2:13" ht="18.75">
      <c r="B23" s="159">
        <v>25</v>
      </c>
      <c r="C23" s="160"/>
      <c r="D23" s="298" t="s">
        <v>1151</v>
      </c>
      <c r="E23" s="298"/>
      <c r="F23" s="298"/>
      <c r="G23" s="298"/>
      <c r="H23" s="298"/>
      <c r="I23" s="157">
        <v>0.2</v>
      </c>
      <c r="J23" s="311">
        <f t="shared" si="1"/>
        <v>5</v>
      </c>
      <c r="K23" s="311"/>
      <c r="L23" s="311"/>
    </row>
    <row r="24" spans="2:13" ht="18.75">
      <c r="B24" s="159">
        <v>20</v>
      </c>
      <c r="C24" s="159"/>
      <c r="D24" s="298" t="s">
        <v>515</v>
      </c>
      <c r="E24" s="298"/>
      <c r="F24" s="298"/>
      <c r="G24" s="298"/>
      <c r="H24" s="298"/>
      <c r="I24" s="157">
        <v>1.1100000000000001</v>
      </c>
      <c r="J24" s="311">
        <f t="shared" si="1"/>
        <v>22.200000000000003</v>
      </c>
      <c r="K24" s="311"/>
      <c r="L24" s="311"/>
      <c r="M24" s="86">
        <f>+B24*3</f>
        <v>60</v>
      </c>
    </row>
    <row r="25" spans="2:13" ht="18.75">
      <c r="B25" s="129"/>
      <c r="C25" s="159"/>
      <c r="D25" s="298" t="s">
        <v>862</v>
      </c>
      <c r="E25" s="298"/>
      <c r="F25" s="298"/>
      <c r="G25" s="298"/>
      <c r="H25" s="298"/>
      <c r="I25" s="157">
        <v>0.48</v>
      </c>
      <c r="J25" s="311">
        <f t="shared" si="1"/>
        <v>0</v>
      </c>
      <c r="K25" s="311"/>
      <c r="L25" s="311"/>
    </row>
    <row r="26" spans="2:13" ht="18.75">
      <c r="B26" s="129"/>
      <c r="C26" s="159"/>
      <c r="D26" s="298" t="s">
        <v>819</v>
      </c>
      <c r="E26" s="298"/>
      <c r="F26" s="298"/>
      <c r="G26" s="298"/>
      <c r="H26" s="298"/>
      <c r="I26" s="157">
        <v>0.89</v>
      </c>
      <c r="J26" s="317">
        <f t="shared" si="1"/>
        <v>0</v>
      </c>
      <c r="K26" s="317"/>
      <c r="L26" s="317"/>
      <c r="M26" s="86">
        <f>+B26*7</f>
        <v>0</v>
      </c>
    </row>
    <row r="27" spans="2:13" ht="18.75">
      <c r="B27" s="129"/>
      <c r="C27" s="129"/>
      <c r="D27" s="298" t="s">
        <v>814</v>
      </c>
      <c r="E27" s="298"/>
      <c r="F27" s="298"/>
      <c r="G27" s="298"/>
      <c r="H27" s="298"/>
      <c r="I27" s="162">
        <v>1.22</v>
      </c>
      <c r="J27" s="317">
        <f t="shared" si="1"/>
        <v>0</v>
      </c>
      <c r="K27" s="317"/>
      <c r="L27" s="317"/>
      <c r="M27" s="86">
        <f>+B27*10</f>
        <v>0</v>
      </c>
    </row>
    <row r="28" spans="2:13" ht="15.75" customHeight="1">
      <c r="B28" s="129"/>
      <c r="C28" s="129"/>
      <c r="D28" s="298" t="s">
        <v>76</v>
      </c>
      <c r="E28" s="298"/>
      <c r="F28" s="298"/>
      <c r="G28" s="298"/>
      <c r="H28" s="298"/>
      <c r="I28" s="163">
        <v>0.5</v>
      </c>
      <c r="J28" s="317">
        <f t="shared" si="1"/>
        <v>0</v>
      </c>
      <c r="K28" s="317"/>
      <c r="L28" s="317"/>
    </row>
    <row r="29" spans="2:13" ht="15.75" customHeight="1">
      <c r="B29" s="128">
        <v>1</v>
      </c>
      <c r="C29" s="129"/>
      <c r="D29" s="298" t="s">
        <v>1150</v>
      </c>
      <c r="E29" s="298"/>
      <c r="F29" s="298"/>
      <c r="G29" s="298"/>
      <c r="H29" s="298"/>
      <c r="I29" s="163">
        <v>0.75</v>
      </c>
      <c r="J29" s="317">
        <f>+I29*B29</f>
        <v>0.75</v>
      </c>
      <c r="K29" s="317"/>
      <c r="L29" s="317"/>
    </row>
    <row r="30" spans="2:13" ht="21" customHeight="1">
      <c r="B30" s="129">
        <v>12</v>
      </c>
      <c r="C30" s="129"/>
      <c r="D30" s="161" t="s">
        <v>1077</v>
      </c>
      <c r="E30" s="161"/>
      <c r="F30" s="161"/>
      <c r="G30" s="161"/>
      <c r="H30" s="161"/>
      <c r="I30" s="163">
        <v>0.98</v>
      </c>
      <c r="J30" s="325">
        <f>+I30*B30</f>
        <v>11.76</v>
      </c>
      <c r="K30" s="325"/>
      <c r="L30" s="325"/>
      <c r="M30" s="86">
        <f>+B30*15</f>
        <v>180</v>
      </c>
    </row>
    <row r="31" spans="2:13" ht="18" customHeight="1">
      <c r="B31" s="129"/>
      <c r="C31" s="129"/>
      <c r="D31" s="129"/>
      <c r="E31" s="129"/>
      <c r="F31" s="129"/>
      <c r="G31" s="129"/>
      <c r="H31" s="129"/>
      <c r="I31" s="159" t="s">
        <v>795</v>
      </c>
      <c r="J31" s="321">
        <f>SUBTOTAL(9,J18:L30)</f>
        <v>39.71</v>
      </c>
      <c r="K31" s="321"/>
      <c r="L31" s="321"/>
      <c r="M31" s="86">
        <f>SUBTOTAL(9,M18:M30)</f>
        <v>240</v>
      </c>
    </row>
    <row r="32" spans="2:13" ht="15.75" customHeight="1">
      <c r="B32" s="129"/>
      <c r="C32" s="129"/>
      <c r="D32" s="129"/>
      <c r="E32" s="129"/>
      <c r="F32" s="129"/>
      <c r="G32" s="129"/>
      <c r="H32" s="129"/>
      <c r="I32" s="129" t="s">
        <v>803</v>
      </c>
      <c r="J32" s="322">
        <f>+J31*0.16</f>
        <v>6.3536000000000001</v>
      </c>
      <c r="K32" s="322"/>
      <c r="L32" s="322"/>
    </row>
    <row r="33" spans="2:12" ht="18.75">
      <c r="B33" s="164"/>
      <c r="C33" s="165"/>
      <c r="D33" s="166"/>
      <c r="E33" s="167"/>
      <c r="F33" s="129"/>
      <c r="G33" s="129"/>
      <c r="H33" s="129"/>
      <c r="I33" s="129" t="s">
        <v>796</v>
      </c>
      <c r="J33" s="155"/>
      <c r="K33" s="156"/>
      <c r="L33" s="155">
        <f>+J31+J32</f>
        <v>46.063600000000001</v>
      </c>
    </row>
    <row r="34" spans="2:12" ht="30.75">
      <c r="B34" s="151"/>
      <c r="C34" s="120"/>
      <c r="D34" s="120"/>
      <c r="E34" s="122"/>
      <c r="F34" s="122"/>
      <c r="G34" s="122"/>
      <c r="H34" s="122"/>
      <c r="I34" s="122"/>
      <c r="J34" s="122"/>
      <c r="K34" s="122"/>
      <c r="L34" s="120"/>
    </row>
    <row r="35" spans="2:12">
      <c r="B35" s="120"/>
      <c r="C35" s="120"/>
      <c r="D35" s="120"/>
      <c r="E35" s="323"/>
      <c r="F35" s="323"/>
      <c r="G35" s="323"/>
      <c r="H35" s="323"/>
      <c r="I35" s="323"/>
      <c r="J35" s="323"/>
      <c r="K35" s="323"/>
      <c r="L35" s="120"/>
    </row>
    <row r="36" spans="2:12" ht="18.75">
      <c r="B36" s="150"/>
      <c r="C36" s="150"/>
      <c r="D36" s="150"/>
      <c r="E36" s="150"/>
      <c r="F36" s="109"/>
      <c r="G36" s="150"/>
      <c r="H36" s="150"/>
      <c r="I36" s="150"/>
      <c r="J36" s="150"/>
      <c r="K36" s="150"/>
      <c r="L36" s="150"/>
    </row>
    <row r="38" spans="2:12">
      <c r="B38" s="120"/>
      <c r="C38" s="120"/>
      <c r="D38" s="120"/>
      <c r="E38" s="120"/>
      <c r="F38" s="120"/>
      <c r="G38" s="120"/>
      <c r="H38" s="120"/>
      <c r="I38" s="120"/>
      <c r="J38" s="120"/>
      <c r="K38" s="120"/>
      <c r="L38" s="120"/>
    </row>
    <row r="39" spans="2:12">
      <c r="B39" s="120"/>
      <c r="C39" s="120"/>
      <c r="D39" s="120"/>
      <c r="E39" s="120"/>
      <c r="F39" s="120"/>
      <c r="G39" s="120"/>
      <c r="H39" s="120"/>
      <c r="I39" s="120"/>
      <c r="J39" s="120"/>
      <c r="K39" s="120"/>
      <c r="L39" s="120"/>
    </row>
    <row r="40" spans="2:12" ht="30.75">
      <c r="B40" s="120"/>
      <c r="C40" s="120"/>
      <c r="D40" s="120"/>
      <c r="E40" s="120"/>
      <c r="G40" s="152"/>
      <c r="H40" s="152"/>
      <c r="I40" s="120"/>
      <c r="J40" s="120"/>
      <c r="K40" s="120"/>
      <c r="L40" s="120"/>
    </row>
    <row r="41" spans="2:12" ht="30.75">
      <c r="B41" s="151" t="s">
        <v>813</v>
      </c>
      <c r="C41" s="120"/>
      <c r="D41" s="120"/>
      <c r="E41" s="122"/>
      <c r="F41" s="122"/>
      <c r="G41" s="122"/>
      <c r="H41" s="122"/>
      <c r="I41" s="122"/>
      <c r="J41" s="122"/>
      <c r="K41" s="122"/>
      <c r="L41" s="120"/>
    </row>
    <row r="42" spans="2:12" ht="18.75">
      <c r="B42" s="150" t="s">
        <v>812</v>
      </c>
      <c r="C42" s="150"/>
      <c r="D42" s="150"/>
      <c r="E42" s="150"/>
      <c r="F42" s="109" t="s">
        <v>784</v>
      </c>
      <c r="G42" s="150"/>
      <c r="H42" s="150"/>
      <c r="I42" s="150"/>
      <c r="J42" s="150"/>
      <c r="K42" s="150"/>
      <c r="L42" s="150"/>
    </row>
    <row r="43" spans="2:12" ht="15.75">
      <c r="B43" s="147"/>
      <c r="C43" s="147"/>
      <c r="D43" s="147"/>
      <c r="E43" s="147"/>
      <c r="F43" s="147"/>
      <c r="G43" s="147"/>
      <c r="H43" s="146"/>
      <c r="I43" s="146" t="s">
        <v>785</v>
      </c>
      <c r="J43" s="149">
        <v>24</v>
      </c>
      <c r="K43" s="148" t="s">
        <v>811</v>
      </c>
      <c r="L43" s="148" t="s">
        <v>786</v>
      </c>
    </row>
    <row r="44" spans="2:12" ht="15.75">
      <c r="B44" s="147"/>
      <c r="C44" s="147"/>
      <c r="D44" s="147"/>
      <c r="E44" s="147"/>
      <c r="F44" s="147"/>
      <c r="G44" s="147"/>
      <c r="H44" s="147"/>
      <c r="I44" s="147"/>
      <c r="J44" s="147"/>
      <c r="K44" s="147"/>
      <c r="L44" s="147"/>
    </row>
    <row r="45" spans="2:12" ht="15.75">
      <c r="B45" s="124" t="s">
        <v>90</v>
      </c>
      <c r="C45" s="124"/>
      <c r="D45" s="324" t="s">
        <v>810</v>
      </c>
      <c r="E45" s="324"/>
      <c r="F45" s="324"/>
      <c r="G45" s="324"/>
      <c r="H45" s="324"/>
      <c r="I45" s="146" t="s">
        <v>6</v>
      </c>
      <c r="J45" s="318" t="s">
        <v>809</v>
      </c>
      <c r="K45" s="318"/>
      <c r="L45" s="318"/>
    </row>
    <row r="46" spans="2:12" ht="15.75">
      <c r="B46" s="124" t="s">
        <v>91</v>
      </c>
      <c r="C46" s="319" t="s">
        <v>808</v>
      </c>
      <c r="D46" s="319"/>
      <c r="E46" s="319"/>
      <c r="F46" s="319"/>
      <c r="G46" s="319"/>
      <c r="H46" s="319"/>
      <c r="I46" s="319"/>
      <c r="J46" s="319"/>
      <c r="K46" s="319"/>
      <c r="L46" s="319"/>
    </row>
    <row r="47" spans="2:12" ht="15.75">
      <c r="B47" s="124" t="s">
        <v>92</v>
      </c>
      <c r="C47" s="120" t="s">
        <v>807</v>
      </c>
      <c r="D47" s="124"/>
      <c r="E47" s="124"/>
      <c r="F47" s="124"/>
      <c r="G47" s="124"/>
      <c r="H47" s="124"/>
      <c r="I47" s="124"/>
      <c r="J47" s="318"/>
      <c r="K47" s="318"/>
      <c r="L47" s="318"/>
    </row>
    <row r="48" spans="2:12">
      <c r="B48" s="145" t="s">
        <v>0</v>
      </c>
      <c r="C48" s="145"/>
      <c r="D48" s="320" t="s">
        <v>88</v>
      </c>
      <c r="E48" s="320"/>
      <c r="F48" s="320"/>
      <c r="G48" s="320"/>
      <c r="H48" s="320"/>
      <c r="I48" s="145" t="s">
        <v>89</v>
      </c>
      <c r="J48" s="320" t="s">
        <v>806</v>
      </c>
      <c r="K48" s="320"/>
      <c r="L48" s="320"/>
    </row>
    <row r="49" spans="2:12">
      <c r="B49" s="120">
        <v>4</v>
      </c>
      <c r="C49" s="120"/>
      <c r="D49" s="135" t="s">
        <v>805</v>
      </c>
      <c r="E49" s="135"/>
      <c r="F49" s="135"/>
      <c r="G49" s="135"/>
      <c r="H49" s="135"/>
      <c r="I49" s="141">
        <v>6751</v>
      </c>
      <c r="J49" s="310">
        <f>+I49*B49</f>
        <v>27004</v>
      </c>
      <c r="K49" s="310"/>
      <c r="L49" s="310"/>
    </row>
    <row r="50" spans="2:12">
      <c r="B50" s="120">
        <v>40</v>
      </c>
      <c r="C50" s="120"/>
      <c r="D50" s="135" t="s">
        <v>804</v>
      </c>
      <c r="E50" s="135"/>
      <c r="F50" s="135"/>
      <c r="G50" s="135"/>
      <c r="H50" s="135"/>
      <c r="I50" s="141">
        <v>7183</v>
      </c>
      <c r="J50" s="310">
        <f>+I50*B50</f>
        <v>287320</v>
      </c>
      <c r="K50" s="310"/>
      <c r="L50" s="310"/>
    </row>
    <row r="51" spans="2:12">
      <c r="B51" s="122"/>
      <c r="C51" s="122"/>
      <c r="D51" s="135"/>
      <c r="E51" s="135"/>
      <c r="F51" s="135"/>
      <c r="G51" s="135"/>
      <c r="H51" s="135"/>
      <c r="I51" s="144"/>
      <c r="J51" s="310">
        <v>0</v>
      </c>
      <c r="K51" s="310"/>
      <c r="L51" s="310"/>
    </row>
    <row r="52" spans="2:12">
      <c r="B52" s="120"/>
      <c r="C52" s="120"/>
      <c r="D52" s="135"/>
      <c r="E52" s="135"/>
      <c r="F52" s="135"/>
      <c r="G52" s="135"/>
      <c r="H52" s="135"/>
      <c r="I52" s="143"/>
      <c r="J52" s="310">
        <v>0</v>
      </c>
      <c r="K52" s="310"/>
      <c r="L52" s="310"/>
    </row>
    <row r="53" spans="2:12">
      <c r="B53" s="122"/>
      <c r="C53" s="122"/>
      <c r="D53" s="135"/>
      <c r="E53" s="135"/>
      <c r="F53" s="135"/>
      <c r="G53" s="135"/>
      <c r="H53" s="135"/>
      <c r="I53" s="141"/>
      <c r="J53" s="310">
        <v>0</v>
      </c>
      <c r="K53" s="310"/>
      <c r="L53" s="310"/>
    </row>
    <row r="54" spans="2:12">
      <c r="B54" s="122"/>
      <c r="C54" s="122"/>
      <c r="D54" s="142"/>
      <c r="E54" s="135"/>
      <c r="F54" s="135"/>
      <c r="G54" s="135"/>
      <c r="H54" s="135"/>
      <c r="I54" s="141"/>
      <c r="J54" s="310">
        <v>0</v>
      </c>
      <c r="K54" s="310"/>
      <c r="L54" s="310"/>
    </row>
    <row r="55" spans="2:12">
      <c r="B55" s="122"/>
      <c r="C55" s="48"/>
      <c r="D55" s="142"/>
      <c r="E55" s="135"/>
      <c r="F55" s="135"/>
      <c r="G55" s="135"/>
      <c r="H55" s="135"/>
      <c r="I55" s="141"/>
      <c r="J55" s="310">
        <v>0</v>
      </c>
      <c r="K55" s="310"/>
      <c r="L55" s="310"/>
    </row>
    <row r="56" spans="2:12">
      <c r="B56" s="120"/>
      <c r="C56" s="48"/>
      <c r="D56" s="307"/>
      <c r="E56" s="307"/>
      <c r="F56" s="307"/>
      <c r="G56" s="307"/>
      <c r="H56" s="307"/>
      <c r="I56" s="141"/>
      <c r="J56" s="310">
        <v>0</v>
      </c>
      <c r="K56" s="310"/>
      <c r="L56" s="310"/>
    </row>
    <row r="57" spans="2:12">
      <c r="B57" s="120"/>
      <c r="C57" s="48"/>
      <c r="D57" s="307"/>
      <c r="E57" s="307"/>
      <c r="F57" s="307"/>
      <c r="G57" s="307"/>
      <c r="H57" s="307"/>
      <c r="I57" s="141"/>
      <c r="J57" s="308">
        <v>0</v>
      </c>
      <c r="K57" s="308"/>
      <c r="L57" s="308"/>
    </row>
    <row r="58" spans="2:12">
      <c r="B58" s="120"/>
      <c r="C58" s="120"/>
      <c r="D58" s="140"/>
      <c r="E58" s="120"/>
      <c r="F58" s="120"/>
      <c r="G58" s="139"/>
      <c r="H58" s="120"/>
      <c r="I58" s="122"/>
      <c r="J58" s="308">
        <v>0</v>
      </c>
      <c r="K58" s="308"/>
      <c r="L58" s="308"/>
    </row>
    <row r="59" spans="2:12">
      <c r="B59" s="120"/>
      <c r="D59" s="30"/>
      <c r="I59" s="122"/>
      <c r="J59" s="308">
        <v>0</v>
      </c>
      <c r="K59" s="308"/>
      <c r="L59" s="308"/>
    </row>
    <row r="60" spans="2:12">
      <c r="I60" s="122" t="s">
        <v>795</v>
      </c>
      <c r="J60" s="309">
        <f>SUBTOTAL(9,J49:L59)</f>
        <v>314324</v>
      </c>
      <c r="K60" s="309"/>
      <c r="L60" s="309"/>
    </row>
    <row r="61" spans="2:12">
      <c r="I61" s="120" t="s">
        <v>803</v>
      </c>
      <c r="J61" s="306">
        <f>+J60*0.16</f>
        <v>50291.840000000004</v>
      </c>
      <c r="K61" s="306"/>
      <c r="L61" s="306"/>
    </row>
    <row r="62" spans="2:12" ht="15.75">
      <c r="B62" s="40"/>
      <c r="C62" s="138"/>
      <c r="D62" s="78"/>
      <c r="E62" s="79"/>
      <c r="I62" s="120" t="s">
        <v>796</v>
      </c>
      <c r="J62" s="136" t="s">
        <v>802</v>
      </c>
      <c r="K62" s="137"/>
      <c r="L62" s="136">
        <f>+J61+J60</f>
        <v>364615.84</v>
      </c>
    </row>
    <row r="67" spans="2:12">
      <c r="B67" s="120"/>
      <c r="C67" s="120"/>
      <c r="D67" s="120"/>
      <c r="E67" s="120"/>
      <c r="F67" s="120"/>
      <c r="G67" s="120"/>
      <c r="H67" s="120"/>
      <c r="I67" s="120"/>
      <c r="J67" s="120"/>
      <c r="K67" s="120"/>
      <c r="L67" s="120"/>
    </row>
    <row r="68" spans="2:12">
      <c r="B68" s="120"/>
      <c r="C68" s="120"/>
      <c r="D68" s="120"/>
      <c r="E68" s="120"/>
      <c r="F68" s="120"/>
      <c r="G68" s="120"/>
      <c r="H68" s="120"/>
      <c r="I68" s="120"/>
      <c r="J68" s="120"/>
      <c r="K68" s="120"/>
      <c r="L68" s="120"/>
    </row>
    <row r="69" spans="2:12" ht="30.75">
      <c r="B69" s="120"/>
      <c r="C69" s="120"/>
      <c r="D69" s="120"/>
      <c r="E69" s="120"/>
      <c r="G69" s="152"/>
      <c r="H69" s="152"/>
      <c r="I69" s="120"/>
      <c r="J69" s="120"/>
      <c r="K69" s="120"/>
      <c r="L69" s="120"/>
    </row>
    <row r="70" spans="2:12" ht="30.75">
      <c r="B70" s="151" t="s">
        <v>997</v>
      </c>
      <c r="C70" s="120"/>
      <c r="D70" s="120"/>
      <c r="E70" s="122"/>
      <c r="F70" s="122"/>
      <c r="G70" s="122"/>
      <c r="H70" s="122"/>
      <c r="I70" s="122"/>
      <c r="J70" s="122"/>
      <c r="K70" s="122"/>
      <c r="L70" s="120"/>
    </row>
    <row r="71" spans="2:12" ht="18.75">
      <c r="B71" s="150" t="s">
        <v>812</v>
      </c>
      <c r="C71" s="150"/>
      <c r="D71" s="150"/>
      <c r="E71" s="150"/>
      <c r="F71" s="109" t="s">
        <v>784</v>
      </c>
      <c r="G71" s="150"/>
      <c r="H71" s="150"/>
      <c r="I71" s="150"/>
      <c r="J71" s="150"/>
      <c r="K71" s="150"/>
      <c r="L71" s="150"/>
    </row>
    <row r="72" spans="2:12" ht="18.75">
      <c r="B72" s="103"/>
      <c r="C72" s="103"/>
      <c r="D72" s="103"/>
      <c r="E72" s="103"/>
      <c r="F72" s="103"/>
      <c r="G72" s="103"/>
      <c r="H72" s="110"/>
      <c r="I72" s="110" t="s">
        <v>785</v>
      </c>
      <c r="J72" s="111">
        <v>10</v>
      </c>
      <c r="K72" s="112" t="s">
        <v>984</v>
      </c>
      <c r="L72" s="251" t="s">
        <v>921</v>
      </c>
    </row>
    <row r="73" spans="2:12" ht="18.75"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</row>
    <row r="74" spans="2:12" ht="18.75">
      <c r="B74" s="114" t="s">
        <v>90</v>
      </c>
      <c r="C74" s="114"/>
      <c r="D74" s="304" t="s">
        <v>998</v>
      </c>
      <c r="E74" s="304"/>
      <c r="F74" s="304"/>
      <c r="G74" s="304"/>
      <c r="H74" s="304"/>
      <c r="I74" s="110" t="s">
        <v>6</v>
      </c>
      <c r="J74" s="304" t="s">
        <v>334</v>
      </c>
      <c r="K74" s="304"/>
      <c r="L74" s="304"/>
    </row>
    <row r="75" spans="2:12" ht="18.75">
      <c r="B75" s="114" t="s">
        <v>91</v>
      </c>
      <c r="C75" s="305" t="s">
        <v>999</v>
      </c>
      <c r="D75" s="305"/>
      <c r="E75" s="305"/>
      <c r="F75" s="305"/>
      <c r="G75" s="305"/>
      <c r="H75" s="305"/>
      <c r="I75" s="305"/>
      <c r="J75" s="305"/>
      <c r="K75" s="305"/>
      <c r="L75" s="305"/>
    </row>
    <row r="76" spans="2:12" ht="18.75">
      <c r="B76" s="114" t="s">
        <v>92</v>
      </c>
      <c r="C76" s="103" t="s">
        <v>815</v>
      </c>
      <c r="D76" s="114"/>
      <c r="E76" s="114"/>
      <c r="F76" s="114"/>
      <c r="G76" s="114"/>
      <c r="H76" s="114"/>
      <c r="I76" s="114"/>
      <c r="J76" s="304"/>
      <c r="K76" s="304"/>
      <c r="L76" s="304"/>
    </row>
    <row r="77" spans="2:12" ht="18.75">
      <c r="B77" s="154" t="s">
        <v>0</v>
      </c>
      <c r="C77" s="154"/>
      <c r="D77" s="303" t="s">
        <v>88</v>
      </c>
      <c r="E77" s="303"/>
      <c r="F77" s="303"/>
      <c r="G77" s="303"/>
      <c r="H77" s="303"/>
      <c r="I77" s="154" t="s">
        <v>89</v>
      </c>
      <c r="J77" s="303" t="s">
        <v>806</v>
      </c>
      <c r="K77" s="303"/>
      <c r="L77" s="303"/>
    </row>
    <row r="78" spans="2:12" ht="18.75">
      <c r="B78" s="129">
        <v>4</v>
      </c>
      <c r="C78" s="158"/>
      <c r="D78" s="298" t="s">
        <v>987</v>
      </c>
      <c r="E78" s="298"/>
      <c r="F78" s="298"/>
      <c r="G78" s="298"/>
      <c r="H78" s="298"/>
      <c r="I78" s="157">
        <f>3*1900000</f>
        <v>5700000</v>
      </c>
      <c r="J78" s="326">
        <f>+I78*B78</f>
        <v>22800000</v>
      </c>
      <c r="K78" s="326"/>
      <c r="L78" s="326"/>
    </row>
    <row r="79" spans="2:12" ht="18.75">
      <c r="B79" s="159">
        <v>800</v>
      </c>
      <c r="C79" s="160"/>
      <c r="D79" s="298" t="s">
        <v>988</v>
      </c>
      <c r="E79" s="298"/>
      <c r="F79" s="298"/>
      <c r="G79" s="298"/>
      <c r="H79" s="298"/>
      <c r="I79" s="162">
        <v>20000</v>
      </c>
      <c r="J79" s="326">
        <f>+I79*B79</f>
        <v>16000000</v>
      </c>
      <c r="K79" s="326"/>
      <c r="L79" s="326"/>
    </row>
    <row r="80" spans="2:12" ht="18.75">
      <c r="B80" s="129">
        <v>200</v>
      </c>
      <c r="C80" s="129"/>
      <c r="D80" s="298" t="s">
        <v>989</v>
      </c>
      <c r="E80" s="298"/>
      <c r="F80" s="298"/>
      <c r="G80" s="298"/>
      <c r="H80" s="298"/>
      <c r="I80" s="162">
        <v>20000</v>
      </c>
      <c r="J80" s="326">
        <f t="shared" ref="J80:J87" si="2">+I80*B80</f>
        <v>4000000</v>
      </c>
      <c r="K80" s="326"/>
      <c r="L80" s="326"/>
    </row>
    <row r="81" spans="2:12" ht="18.75">
      <c r="B81" s="129">
        <v>200</v>
      </c>
      <c r="C81" s="129"/>
      <c r="D81" s="298" t="s">
        <v>990</v>
      </c>
      <c r="E81" s="298"/>
      <c r="F81" s="298"/>
      <c r="G81" s="298"/>
      <c r="H81" s="298"/>
      <c r="I81" s="162">
        <v>20000</v>
      </c>
      <c r="J81" s="326">
        <f t="shared" si="2"/>
        <v>4000000</v>
      </c>
      <c r="K81" s="326"/>
      <c r="L81" s="326"/>
    </row>
    <row r="82" spans="2:12" ht="18.75">
      <c r="B82" s="159">
        <v>300</v>
      </c>
      <c r="C82" s="159"/>
      <c r="D82" s="298" t="s">
        <v>991</v>
      </c>
      <c r="E82" s="298"/>
      <c r="F82" s="298"/>
      <c r="G82" s="298"/>
      <c r="H82" s="298"/>
      <c r="I82" s="162">
        <v>20000</v>
      </c>
      <c r="J82" s="326">
        <f t="shared" si="2"/>
        <v>6000000</v>
      </c>
      <c r="K82" s="326"/>
      <c r="L82" s="326"/>
    </row>
    <row r="83" spans="2:12" ht="18.75">
      <c r="B83" s="129">
        <v>100</v>
      </c>
      <c r="C83" s="159"/>
      <c r="D83" s="298" t="s">
        <v>992</v>
      </c>
      <c r="E83" s="298"/>
      <c r="F83" s="298"/>
      <c r="G83" s="298"/>
      <c r="H83" s="298"/>
      <c r="I83" s="162">
        <v>20000</v>
      </c>
      <c r="J83" s="326">
        <f t="shared" si="2"/>
        <v>2000000</v>
      </c>
      <c r="K83" s="326"/>
      <c r="L83" s="326"/>
    </row>
    <row r="84" spans="2:12" ht="18.75">
      <c r="B84" s="129">
        <v>50</v>
      </c>
      <c r="C84" s="129"/>
      <c r="D84" s="298" t="s">
        <v>986</v>
      </c>
      <c r="E84" s="298"/>
      <c r="F84" s="298"/>
      <c r="G84" s="298"/>
      <c r="H84" s="298"/>
      <c r="I84" s="248">
        <f>2.5*1900000</f>
        <v>4750000</v>
      </c>
      <c r="J84" s="327">
        <f>+I84*B84</f>
        <v>237500000</v>
      </c>
      <c r="K84" s="327"/>
      <c r="L84" s="327"/>
    </row>
    <row r="85" spans="2:12" ht="18.75">
      <c r="B85" s="129">
        <v>100</v>
      </c>
      <c r="C85" s="159"/>
      <c r="D85" s="298" t="s">
        <v>993</v>
      </c>
      <c r="E85" s="298"/>
      <c r="F85" s="298"/>
      <c r="G85" s="298"/>
      <c r="H85" s="298"/>
      <c r="I85" s="162">
        <v>20000</v>
      </c>
      <c r="J85" s="326">
        <f t="shared" si="2"/>
        <v>2000000</v>
      </c>
      <c r="K85" s="326"/>
      <c r="L85" s="326"/>
    </row>
    <row r="86" spans="2:12" ht="18.75">
      <c r="B86" s="129">
        <v>100</v>
      </c>
      <c r="C86" s="129"/>
      <c r="D86" s="298" t="s">
        <v>994</v>
      </c>
      <c r="E86" s="298"/>
      <c r="F86" s="298"/>
      <c r="G86" s="298"/>
      <c r="H86" s="298"/>
      <c r="I86" s="162">
        <v>20000</v>
      </c>
      <c r="J86" s="326">
        <f t="shared" si="2"/>
        <v>2000000</v>
      </c>
      <c r="K86" s="326"/>
      <c r="L86" s="326"/>
    </row>
    <row r="87" spans="2:12" ht="18.75">
      <c r="B87" s="129">
        <v>100</v>
      </c>
      <c r="C87" s="129"/>
      <c r="D87" s="298" t="s">
        <v>995</v>
      </c>
      <c r="E87" s="298"/>
      <c r="F87" s="298"/>
      <c r="G87" s="298"/>
      <c r="H87" s="298"/>
      <c r="I87" s="162">
        <v>20000</v>
      </c>
      <c r="J87" s="326">
        <f t="shared" si="2"/>
        <v>2000000</v>
      </c>
      <c r="K87" s="326"/>
      <c r="L87" s="326"/>
    </row>
    <row r="88" spans="2:12" ht="18.75">
      <c r="B88" s="128"/>
      <c r="C88" s="129"/>
      <c r="D88" s="298"/>
      <c r="E88" s="298"/>
      <c r="F88" s="298"/>
      <c r="G88" s="298"/>
      <c r="H88" s="298"/>
      <c r="I88" s="248"/>
      <c r="J88" s="327"/>
      <c r="K88" s="327"/>
      <c r="L88" s="327"/>
    </row>
    <row r="89" spans="2:12" ht="18.75">
      <c r="B89" s="129"/>
      <c r="C89" s="129"/>
      <c r="D89" s="247"/>
      <c r="E89" s="247"/>
      <c r="F89" s="247"/>
      <c r="G89" s="247"/>
      <c r="H89" s="247"/>
      <c r="I89" s="248"/>
      <c r="J89" s="328"/>
      <c r="K89" s="328"/>
      <c r="L89" s="328"/>
    </row>
    <row r="90" spans="2:12" ht="18.75">
      <c r="B90" s="129"/>
      <c r="C90" s="129"/>
      <c r="D90" s="129"/>
      <c r="E90" s="129"/>
      <c r="F90" s="129"/>
      <c r="G90" s="129"/>
      <c r="H90" s="129"/>
      <c r="I90" s="159" t="s">
        <v>795</v>
      </c>
      <c r="J90" s="329">
        <f>SUBTOTAL(9,J78:L89)</f>
        <v>298300000</v>
      </c>
      <c r="K90" s="329"/>
      <c r="L90" s="329"/>
    </row>
    <row r="91" spans="2:12" ht="18.75">
      <c r="B91" s="129"/>
      <c r="C91" s="129"/>
      <c r="D91" s="129"/>
      <c r="E91" s="129"/>
      <c r="F91" s="129"/>
      <c r="G91" s="129"/>
      <c r="H91" s="129"/>
      <c r="I91" s="129" t="s">
        <v>803</v>
      </c>
      <c r="J91" s="330">
        <f>+J90*0.16</f>
        <v>47728000</v>
      </c>
      <c r="K91" s="330"/>
      <c r="L91" s="330"/>
    </row>
    <row r="92" spans="2:12" ht="18.75">
      <c r="B92" s="164"/>
      <c r="C92" s="165"/>
      <c r="D92" s="166"/>
      <c r="E92" s="167"/>
      <c r="F92" s="129"/>
      <c r="G92" s="129"/>
      <c r="H92" s="129"/>
      <c r="I92" s="129" t="s">
        <v>796</v>
      </c>
      <c r="J92" s="252"/>
      <c r="K92" s="253"/>
      <c r="L92" s="252">
        <f>+J91+J90</f>
        <v>346028000</v>
      </c>
    </row>
    <row r="95" spans="2:12">
      <c r="B95" s="120"/>
      <c r="C95" s="120"/>
      <c r="D95" s="120"/>
      <c r="E95" s="120"/>
      <c r="F95" s="120"/>
      <c r="G95" s="120"/>
      <c r="H95" s="120"/>
      <c r="I95" s="120"/>
      <c r="J95" s="120"/>
      <c r="K95" s="120"/>
      <c r="L95" s="120"/>
    </row>
    <row r="96" spans="2:12">
      <c r="B96" s="120"/>
      <c r="C96" s="120"/>
      <c r="D96" s="120"/>
      <c r="E96" s="120"/>
      <c r="F96" s="120"/>
      <c r="G96" s="120"/>
      <c r="H96" s="120"/>
      <c r="I96" s="120"/>
      <c r="J96" s="120"/>
      <c r="K96" s="120"/>
      <c r="L96" s="120"/>
    </row>
    <row r="97" spans="2:12" ht="30.75">
      <c r="B97" s="120"/>
      <c r="C97" s="120"/>
      <c r="D97" s="120"/>
      <c r="E97" s="120"/>
      <c r="G97" s="152"/>
      <c r="H97" s="152"/>
      <c r="I97" s="120"/>
      <c r="J97" s="120"/>
      <c r="K97" s="120"/>
      <c r="L97" s="120"/>
    </row>
    <row r="98" spans="2:12" ht="30.75">
      <c r="B98" s="151" t="s">
        <v>996</v>
      </c>
      <c r="C98" s="120"/>
      <c r="D98" s="120"/>
      <c r="E98" s="122"/>
      <c r="F98" s="122"/>
      <c r="G98" s="122"/>
      <c r="H98" s="122"/>
      <c r="I98" s="122"/>
      <c r="J98" s="122"/>
      <c r="K98" s="122"/>
      <c r="L98" s="120"/>
    </row>
    <row r="99" spans="2:12" ht="18.75">
      <c r="B99" s="150" t="s">
        <v>985</v>
      </c>
      <c r="C99" s="150"/>
      <c r="D99" s="150"/>
      <c r="E99" s="150"/>
      <c r="F99" s="109" t="s">
        <v>784</v>
      </c>
      <c r="G99" s="150"/>
      <c r="H99" s="150"/>
      <c r="I99" s="150"/>
      <c r="J99" s="150"/>
      <c r="K99" s="150"/>
      <c r="L99" s="150"/>
    </row>
    <row r="100" spans="2:12" ht="18.75">
      <c r="B100" s="103"/>
      <c r="C100" s="103"/>
      <c r="D100" s="103"/>
      <c r="E100" s="103"/>
      <c r="F100" s="103"/>
      <c r="G100" s="103"/>
      <c r="H100" s="110"/>
      <c r="I100" s="110" t="s">
        <v>785</v>
      </c>
      <c r="J100" s="111">
        <v>10</v>
      </c>
      <c r="K100" s="112" t="s">
        <v>984</v>
      </c>
      <c r="L100" s="112" t="s">
        <v>921</v>
      </c>
    </row>
    <row r="101" spans="2:12" ht="18.75">
      <c r="B101" s="103"/>
      <c r="C101" s="103"/>
      <c r="D101" s="103"/>
      <c r="E101" s="103"/>
      <c r="F101" s="103"/>
      <c r="G101" s="103"/>
      <c r="H101" s="103"/>
      <c r="I101" s="103"/>
      <c r="J101" s="103"/>
      <c r="K101" s="103"/>
      <c r="L101" s="103"/>
    </row>
    <row r="102" spans="2:12" ht="18.75">
      <c r="B102" s="114" t="s">
        <v>90</v>
      </c>
      <c r="C102" s="114"/>
      <c r="D102" s="304" t="s">
        <v>817</v>
      </c>
      <c r="E102" s="304"/>
      <c r="F102" s="304"/>
      <c r="G102" s="304"/>
      <c r="H102" s="304"/>
      <c r="I102" s="110" t="s">
        <v>6</v>
      </c>
      <c r="J102" s="304" t="s">
        <v>334</v>
      </c>
      <c r="K102" s="304"/>
      <c r="L102" s="304"/>
    </row>
    <row r="103" spans="2:12" ht="18.75">
      <c r="B103" s="114" t="s">
        <v>91</v>
      </c>
      <c r="C103" s="305" t="s">
        <v>816</v>
      </c>
      <c r="D103" s="305"/>
      <c r="E103" s="305"/>
      <c r="F103" s="305"/>
      <c r="G103" s="305"/>
      <c r="H103" s="305"/>
      <c r="I103" s="305"/>
      <c r="J103" s="305"/>
      <c r="K103" s="305"/>
      <c r="L103" s="305"/>
    </row>
    <row r="104" spans="2:12" ht="18.75">
      <c r="B104" s="114" t="s">
        <v>92</v>
      </c>
      <c r="C104" s="103" t="s">
        <v>815</v>
      </c>
      <c r="D104" s="114"/>
      <c r="E104" s="114"/>
      <c r="F104" s="114"/>
      <c r="G104" s="114"/>
      <c r="H104" s="114"/>
      <c r="I104" s="114"/>
      <c r="J104" s="304"/>
      <c r="K104" s="304"/>
      <c r="L104" s="304"/>
    </row>
    <row r="105" spans="2:12" ht="18.75">
      <c r="B105" s="154" t="s">
        <v>0</v>
      </c>
      <c r="C105" s="154"/>
      <c r="D105" s="303" t="s">
        <v>88</v>
      </c>
      <c r="E105" s="303"/>
      <c r="F105" s="303"/>
      <c r="G105" s="303"/>
      <c r="H105" s="303"/>
      <c r="I105" s="154" t="s">
        <v>89</v>
      </c>
      <c r="J105" s="303" t="s">
        <v>806</v>
      </c>
      <c r="K105" s="303"/>
      <c r="L105" s="303"/>
    </row>
    <row r="106" spans="2:12" ht="18.75">
      <c r="B106" s="129">
        <v>350</v>
      </c>
      <c r="C106" s="129"/>
      <c r="D106" s="298" t="s">
        <v>76</v>
      </c>
      <c r="E106" s="298"/>
      <c r="F106" s="298"/>
      <c r="G106" s="298"/>
      <c r="H106" s="298"/>
      <c r="I106" s="248">
        <v>43680</v>
      </c>
      <c r="J106" s="317">
        <f>+I106*B106</f>
        <v>15288000</v>
      </c>
      <c r="K106" s="317"/>
      <c r="L106" s="317"/>
    </row>
    <row r="107" spans="2:12" ht="18.75">
      <c r="B107" s="129"/>
      <c r="C107" s="158"/>
      <c r="D107" s="298"/>
      <c r="E107" s="298"/>
      <c r="F107" s="298"/>
      <c r="G107" s="298"/>
      <c r="H107" s="298"/>
      <c r="I107" s="157"/>
      <c r="J107" s="311"/>
      <c r="K107" s="311"/>
      <c r="L107" s="311"/>
    </row>
    <row r="108" spans="2:12" ht="18.75">
      <c r="B108" s="159"/>
      <c r="C108" s="160"/>
      <c r="D108" s="153"/>
      <c r="E108" s="247"/>
      <c r="F108" s="247"/>
      <c r="G108" s="247"/>
      <c r="H108" s="247"/>
      <c r="I108" s="162"/>
      <c r="J108" s="311"/>
      <c r="K108" s="311"/>
      <c r="L108" s="311"/>
    </row>
    <row r="109" spans="2:12" ht="18.75">
      <c r="B109" s="129"/>
      <c r="C109" s="129"/>
      <c r="D109" s="153"/>
      <c r="E109" s="247"/>
      <c r="F109" s="247"/>
      <c r="G109" s="247"/>
      <c r="H109" s="247"/>
      <c r="I109" s="248"/>
      <c r="J109" s="311"/>
      <c r="K109" s="311"/>
      <c r="L109" s="311"/>
    </row>
    <row r="110" spans="2:12" ht="18.75">
      <c r="B110" s="159"/>
      <c r="C110" s="160"/>
      <c r="D110" s="298"/>
      <c r="E110" s="298"/>
      <c r="F110" s="298"/>
      <c r="G110" s="298"/>
      <c r="H110" s="298"/>
      <c r="I110" s="157"/>
      <c r="J110" s="311"/>
      <c r="K110" s="311"/>
      <c r="L110" s="311"/>
    </row>
    <row r="111" spans="2:12" ht="18.75">
      <c r="B111" s="159"/>
      <c r="C111" s="159"/>
      <c r="D111" s="298"/>
      <c r="E111" s="298"/>
      <c r="F111" s="298"/>
      <c r="G111" s="298"/>
      <c r="H111" s="298"/>
      <c r="I111" s="157"/>
      <c r="J111" s="311"/>
      <c r="K111" s="311"/>
      <c r="L111" s="311"/>
    </row>
    <row r="112" spans="2:12" ht="18.75">
      <c r="B112" s="129"/>
      <c r="C112" s="159"/>
      <c r="D112" s="298"/>
      <c r="E112" s="298"/>
      <c r="F112" s="298"/>
      <c r="G112" s="298"/>
      <c r="H112" s="298"/>
      <c r="I112" s="157"/>
      <c r="J112" s="311"/>
      <c r="K112" s="311"/>
      <c r="L112" s="311"/>
    </row>
    <row r="113" spans="2:12" ht="18.75">
      <c r="B113" s="129"/>
      <c r="C113" s="159"/>
      <c r="D113" s="298"/>
      <c r="E113" s="298"/>
      <c r="F113" s="298"/>
      <c r="G113" s="298"/>
      <c r="H113" s="298"/>
      <c r="I113" s="157"/>
      <c r="J113" s="317"/>
      <c r="K113" s="317"/>
      <c r="L113" s="317"/>
    </row>
    <row r="114" spans="2:12" ht="18.75">
      <c r="B114" s="129"/>
      <c r="C114" s="129"/>
      <c r="D114" s="298"/>
      <c r="E114" s="298"/>
      <c r="F114" s="298"/>
      <c r="G114" s="298"/>
      <c r="H114" s="298"/>
      <c r="I114" s="162"/>
      <c r="J114" s="317"/>
      <c r="K114" s="317"/>
      <c r="L114" s="317"/>
    </row>
    <row r="115" spans="2:12" ht="18.75">
      <c r="B115" s="129"/>
      <c r="C115" s="129"/>
      <c r="D115" s="298"/>
      <c r="E115" s="298"/>
      <c r="F115" s="298"/>
      <c r="G115" s="298"/>
      <c r="H115" s="298"/>
      <c r="I115" s="248"/>
      <c r="J115" s="317"/>
      <c r="K115" s="317"/>
      <c r="L115" s="317"/>
    </row>
    <row r="116" spans="2:12" ht="18.75">
      <c r="B116" s="128"/>
      <c r="C116" s="129"/>
      <c r="D116" s="298"/>
      <c r="E116" s="298"/>
      <c r="F116" s="298"/>
      <c r="G116" s="298"/>
      <c r="H116" s="298"/>
      <c r="I116" s="248"/>
      <c r="J116" s="317"/>
      <c r="K116" s="317"/>
      <c r="L116" s="317"/>
    </row>
    <row r="117" spans="2:12" ht="18.75">
      <c r="B117" s="129"/>
      <c r="C117" s="129"/>
      <c r="D117" s="247"/>
      <c r="E117" s="247"/>
      <c r="F117" s="247"/>
      <c r="G117" s="247"/>
      <c r="H117" s="247"/>
      <c r="I117" s="248"/>
      <c r="J117" s="325"/>
      <c r="K117" s="325"/>
      <c r="L117" s="325"/>
    </row>
    <row r="118" spans="2:12" ht="18.75">
      <c r="B118" s="129"/>
      <c r="C118" s="129"/>
      <c r="D118" s="129"/>
      <c r="E118" s="129"/>
      <c r="F118" s="129"/>
      <c r="G118" s="129"/>
      <c r="H118" s="129"/>
      <c r="I118" s="159" t="s">
        <v>795</v>
      </c>
      <c r="J118" s="321">
        <f>SUBTOTAL(9,J106:L117)</f>
        <v>15288000</v>
      </c>
      <c r="K118" s="321"/>
      <c r="L118" s="321"/>
    </row>
    <row r="119" spans="2:12" ht="18.75">
      <c r="B119" s="129"/>
      <c r="C119" s="129"/>
      <c r="D119" s="129"/>
      <c r="E119" s="129"/>
      <c r="F119" s="129"/>
      <c r="G119" s="129"/>
      <c r="H119" s="129"/>
      <c r="I119" s="129" t="s">
        <v>803</v>
      </c>
      <c r="J119" s="322">
        <f>+J118*0.16</f>
        <v>2446080</v>
      </c>
      <c r="K119" s="322"/>
      <c r="L119" s="322"/>
    </row>
    <row r="120" spans="2:12" ht="18.75">
      <c r="B120" s="164"/>
      <c r="C120" s="165"/>
      <c r="D120" s="166"/>
      <c r="E120" s="167"/>
      <c r="F120" s="129"/>
      <c r="G120" s="129"/>
      <c r="H120" s="129"/>
      <c r="I120" s="129" t="s">
        <v>796</v>
      </c>
      <c r="J120" s="249"/>
      <c r="K120" s="250"/>
      <c r="L120" s="249">
        <f>+J119+J118</f>
        <v>17734080</v>
      </c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123">
    <mergeCell ref="J117:L117"/>
    <mergeCell ref="J118:L118"/>
    <mergeCell ref="J119:L119"/>
    <mergeCell ref="D79:H79"/>
    <mergeCell ref="D80:H80"/>
    <mergeCell ref="D84:H84"/>
    <mergeCell ref="J84:L84"/>
    <mergeCell ref="D114:H114"/>
    <mergeCell ref="J114:L114"/>
    <mergeCell ref="D115:H115"/>
    <mergeCell ref="J115:L115"/>
    <mergeCell ref="D116:H116"/>
    <mergeCell ref="J116:L116"/>
    <mergeCell ref="D111:H111"/>
    <mergeCell ref="J111:L111"/>
    <mergeCell ref="D112:H112"/>
    <mergeCell ref="J112:L112"/>
    <mergeCell ref="D113:H113"/>
    <mergeCell ref="J113:L113"/>
    <mergeCell ref="D107:H107"/>
    <mergeCell ref="J107:L107"/>
    <mergeCell ref="J108:L108"/>
    <mergeCell ref="J109:L109"/>
    <mergeCell ref="D110:H110"/>
    <mergeCell ref="J110:L110"/>
    <mergeCell ref="J104:L104"/>
    <mergeCell ref="D105:H105"/>
    <mergeCell ref="J105:L105"/>
    <mergeCell ref="D106:H106"/>
    <mergeCell ref="J106:L106"/>
    <mergeCell ref="J90:L90"/>
    <mergeCell ref="J91:L91"/>
    <mergeCell ref="D102:H102"/>
    <mergeCell ref="J102:L102"/>
    <mergeCell ref="C103:L103"/>
    <mergeCell ref="D87:H87"/>
    <mergeCell ref="J87:L87"/>
    <mergeCell ref="D88:H88"/>
    <mergeCell ref="J88:L88"/>
    <mergeCell ref="J89:L89"/>
    <mergeCell ref="D83:H83"/>
    <mergeCell ref="J83:L83"/>
    <mergeCell ref="D85:H85"/>
    <mergeCell ref="J85:L85"/>
    <mergeCell ref="D86:H86"/>
    <mergeCell ref="J86:L86"/>
    <mergeCell ref="J80:L80"/>
    <mergeCell ref="D81:H81"/>
    <mergeCell ref="J81:L81"/>
    <mergeCell ref="D82:H82"/>
    <mergeCell ref="J82:L82"/>
    <mergeCell ref="D78:H78"/>
    <mergeCell ref="J78:L78"/>
    <mergeCell ref="J79:L79"/>
    <mergeCell ref="D74:H74"/>
    <mergeCell ref="J74:L74"/>
    <mergeCell ref="C75:L75"/>
    <mergeCell ref="J76:L76"/>
    <mergeCell ref="D77:H77"/>
    <mergeCell ref="J77:L77"/>
    <mergeCell ref="J47:L47"/>
    <mergeCell ref="C46:L46"/>
    <mergeCell ref="J52:L52"/>
    <mergeCell ref="D48:H48"/>
    <mergeCell ref="J48:L48"/>
    <mergeCell ref="J49:L49"/>
    <mergeCell ref="J50:L50"/>
    <mergeCell ref="J51:L51"/>
    <mergeCell ref="J28:L28"/>
    <mergeCell ref="J31:L31"/>
    <mergeCell ref="J32:L32"/>
    <mergeCell ref="E35:K35"/>
    <mergeCell ref="D45:H45"/>
    <mergeCell ref="J45:L45"/>
    <mergeCell ref="D28:H28"/>
    <mergeCell ref="J29:L29"/>
    <mergeCell ref="J30:L30"/>
    <mergeCell ref="D29:H29"/>
    <mergeCell ref="D16:H16"/>
    <mergeCell ref="J16:L16"/>
    <mergeCell ref="D17:H17"/>
    <mergeCell ref="J17:L17"/>
    <mergeCell ref="D18:H18"/>
    <mergeCell ref="D27:H27"/>
    <mergeCell ref="D19:H19"/>
    <mergeCell ref="J19:L19"/>
    <mergeCell ref="D20:H20"/>
    <mergeCell ref="J20:L20"/>
    <mergeCell ref="J21:L21"/>
    <mergeCell ref="D25:H25"/>
    <mergeCell ref="J25:L25"/>
    <mergeCell ref="J27:L27"/>
    <mergeCell ref="J22:L22"/>
    <mergeCell ref="J23:L23"/>
    <mergeCell ref="J24:L24"/>
    <mergeCell ref="J26:L26"/>
    <mergeCell ref="D26:H26"/>
    <mergeCell ref="D23:H23"/>
    <mergeCell ref="D24:H24"/>
    <mergeCell ref="D12:H12"/>
    <mergeCell ref="J12:L12"/>
    <mergeCell ref="D9:H9"/>
    <mergeCell ref="J9:L9"/>
    <mergeCell ref="C10:L10"/>
    <mergeCell ref="J11:L11"/>
    <mergeCell ref="J61:L61"/>
    <mergeCell ref="D57:H57"/>
    <mergeCell ref="J57:L57"/>
    <mergeCell ref="J58:L58"/>
    <mergeCell ref="J59:L59"/>
    <mergeCell ref="J60:L60"/>
    <mergeCell ref="J53:L53"/>
    <mergeCell ref="J54:L54"/>
    <mergeCell ref="J55:L55"/>
    <mergeCell ref="D56:H56"/>
    <mergeCell ref="J56:L56"/>
    <mergeCell ref="J18:L18"/>
    <mergeCell ref="D13:H13"/>
    <mergeCell ref="J13:L13"/>
    <mergeCell ref="D14:H14"/>
    <mergeCell ref="J14:L14"/>
    <mergeCell ref="D15:H15"/>
    <mergeCell ref="J15:L15"/>
  </mergeCells>
  <conditionalFormatting sqref="C33:E33">
    <cfRule type="expression" dxfId="1367" priority="8">
      <formula>IF(ISODD($A33)=TRUE,1,0)</formula>
    </cfRule>
  </conditionalFormatting>
  <conditionalFormatting sqref="C10">
    <cfRule type="expression" dxfId="1366" priority="7">
      <formula>IF(ISODD($A10)=TRUE,1,0)</formula>
    </cfRule>
  </conditionalFormatting>
  <conditionalFormatting sqref="C62:E62">
    <cfRule type="expression" dxfId="1365" priority="5">
      <formula>IF(ISODD($A62)=TRUE,1,0)</formula>
    </cfRule>
  </conditionalFormatting>
  <conditionalFormatting sqref="C46">
    <cfRule type="expression" dxfId="1364" priority="6">
      <formula>IF(ISODD($A46)=TRUE,1,0)</formula>
    </cfRule>
  </conditionalFormatting>
  <conditionalFormatting sqref="C75">
    <cfRule type="expression" dxfId="1363" priority="4">
      <formula>IF(ISODD($A75)=TRUE,1,0)</formula>
    </cfRule>
  </conditionalFormatting>
  <conditionalFormatting sqref="C92:E92">
    <cfRule type="expression" dxfId="1362" priority="3">
      <formula>IF(ISODD($A92)=TRUE,1,0)</formula>
    </cfRule>
  </conditionalFormatting>
  <conditionalFormatting sqref="C103">
    <cfRule type="expression" dxfId="1361" priority="2">
      <formula>IF(ISODD($A103)=TRUE,1,0)</formula>
    </cfRule>
  </conditionalFormatting>
  <conditionalFormatting sqref="C120:E120">
    <cfRule type="expression" dxfId="1360" priority="1">
      <formula>IF(ISODD($A120)=TRUE,1,0)</formula>
    </cfRule>
  </conditionalFormatting>
  <pageMargins left="0" right="0" top="0" bottom="0.74803149606299213" header="0" footer="0.31496062992125984"/>
  <pageSetup scale="62" orientation="portrait" horizontalDpi="4294967293" vertic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'C:\Users\fredd_000\Documents\CHS CONSTRUCCIONES Y MATERIALES, C.A\Dpto. Mercadeo y Ventas\Ventas\VENTAS 2019\[R_FACTURAS_FREDDY CHIRINO_AGOS-2019.xlsm]INVENTARIO-PT'!#REF!</xm:f>
          </x14:formula1>
          <xm:sqref>D54:D55 D21:D22 D108:D109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pageSetUpPr fitToPage="1"/>
  </sheetPr>
  <dimension ref="A1:O49"/>
  <sheetViews>
    <sheetView topLeftCell="B4" zoomScale="80" zoomScaleNormal="80" zoomScalePageLayoutView="80" workbookViewId="0">
      <selection activeCell="D20" sqref="D20:H20"/>
    </sheetView>
  </sheetViews>
  <sheetFormatPr baseColWidth="10" defaultColWidth="11.42578125" defaultRowHeight="15"/>
  <cols>
    <col min="1" max="1" width="0.7109375" style="86" hidden="1" customWidth="1"/>
    <col min="2" max="2" width="9" style="86" customWidth="1"/>
    <col min="3" max="3" width="14.85546875" style="86" customWidth="1"/>
    <col min="4" max="4" width="34.85546875" style="86" customWidth="1"/>
    <col min="5" max="5" width="35.7109375" style="86" customWidth="1"/>
    <col min="6" max="6" width="15.5703125" style="86" bestFit="1" customWidth="1"/>
    <col min="7" max="7" width="6.140625" style="86" customWidth="1"/>
    <col min="8" max="8" width="5" style="86" customWidth="1"/>
    <col min="9" max="9" width="17.28515625" style="86" customWidth="1"/>
    <col min="10" max="10" width="4.5703125" style="86" customWidth="1"/>
    <col min="11" max="11" width="4.28515625" style="86" customWidth="1"/>
    <col min="12" max="12" width="20.42578125" style="86" customWidth="1"/>
    <col min="13" max="16384" width="11.42578125" style="86"/>
  </cols>
  <sheetData>
    <row r="1" spans="1:15" ht="129" customHeight="1">
      <c r="A1" s="8"/>
      <c r="B1" s="103"/>
      <c r="C1" s="129"/>
      <c r="D1" s="129"/>
      <c r="E1" s="129"/>
      <c r="F1" s="171"/>
      <c r="G1" s="171"/>
      <c r="H1" s="172"/>
      <c r="I1" s="172"/>
      <c r="J1" s="158"/>
      <c r="K1" s="173"/>
      <c r="L1" s="173"/>
      <c r="M1" s="170"/>
    </row>
    <row r="2" spans="1:15" ht="18.75" customHeight="1">
      <c r="A2" s="8"/>
      <c r="B2" s="103"/>
      <c r="C2" s="174">
        <v>44610</v>
      </c>
      <c r="D2" s="129"/>
      <c r="E2" s="302" t="str">
        <f>+FACTURAS!D9</f>
        <v>INVERSIONES FERRECASA ATA, C.A.</v>
      </c>
      <c r="F2" s="302"/>
      <c r="G2" s="302"/>
      <c r="H2" s="302"/>
      <c r="I2" s="302"/>
      <c r="J2" s="171"/>
      <c r="K2" s="171"/>
      <c r="L2" s="171"/>
      <c r="M2" s="175"/>
    </row>
    <row r="3" spans="1:15" ht="24" customHeight="1">
      <c r="A3" s="113" t="s">
        <v>85</v>
      </c>
      <c r="B3" s="114"/>
      <c r="C3" s="171"/>
      <c r="D3" s="299" t="str">
        <f>+FACTURAS!D10</f>
        <v>AV. BUCHIVACOA, ESQ. CALLEJON JURADO Y AV. LOS MEDANOS.</v>
      </c>
      <c r="E3" s="299"/>
      <c r="F3" s="299"/>
      <c r="G3" s="299"/>
      <c r="H3" s="299"/>
      <c r="I3" s="299"/>
      <c r="J3" s="299"/>
      <c r="K3" s="299"/>
      <c r="L3" s="299"/>
      <c r="M3" s="299"/>
    </row>
    <row r="4" spans="1:15" ht="31.5" customHeight="1">
      <c r="A4" s="113" t="s">
        <v>86</v>
      </c>
      <c r="B4" s="114"/>
      <c r="C4" s="176"/>
      <c r="D4" s="176"/>
      <c r="E4" s="176"/>
      <c r="F4" s="177" t="str">
        <f>+FACTURAS!I11</f>
        <v>0424-6815069</v>
      </c>
      <c r="G4" s="177"/>
      <c r="H4" s="177"/>
      <c r="I4" s="177" t="str">
        <f>+FACTURAS!J9</f>
        <v>J-40234765-0</v>
      </c>
      <c r="J4" s="178"/>
      <c r="K4" s="178"/>
      <c r="L4" s="178"/>
      <c r="M4" s="175"/>
    </row>
    <row r="5" spans="1:15" ht="28.5" customHeight="1">
      <c r="A5" s="115" t="s">
        <v>788</v>
      </c>
      <c r="B5" s="114"/>
      <c r="C5" s="129"/>
      <c r="D5" s="171"/>
      <c r="E5" s="171"/>
      <c r="F5" s="171"/>
      <c r="G5" s="171"/>
      <c r="H5" s="171"/>
      <c r="I5" s="171"/>
      <c r="J5" s="185"/>
      <c r="K5" s="185"/>
      <c r="L5" s="185"/>
      <c r="M5" s="175"/>
      <c r="O5" s="171"/>
    </row>
    <row r="6" spans="1:15" ht="18.75">
      <c r="C6" s="129"/>
      <c r="D6" s="129"/>
      <c r="E6" s="129"/>
      <c r="F6" s="171"/>
      <c r="G6" s="171"/>
      <c r="H6" s="171"/>
      <c r="I6" s="171"/>
      <c r="J6" s="171"/>
      <c r="K6" s="171"/>
      <c r="L6" s="171"/>
      <c r="M6" s="175"/>
    </row>
    <row r="7" spans="1:15" ht="27" customHeight="1">
      <c r="C7" s="129"/>
      <c r="D7" s="129"/>
      <c r="E7" s="129"/>
      <c r="F7" s="171"/>
      <c r="G7" s="171"/>
      <c r="H7" s="171"/>
      <c r="I7" s="171"/>
      <c r="J7" s="171"/>
      <c r="K7" s="171"/>
      <c r="L7" s="171"/>
      <c r="M7" s="175"/>
    </row>
    <row r="8" spans="1:15" ht="75" customHeight="1">
      <c r="C8" s="129"/>
      <c r="D8" s="209"/>
      <c r="E8" s="179"/>
      <c r="F8" s="171"/>
      <c r="G8" s="171"/>
      <c r="H8" s="171"/>
      <c r="I8" s="171"/>
      <c r="J8" s="171"/>
      <c r="K8" s="171"/>
      <c r="L8" s="171"/>
      <c r="M8" s="175"/>
    </row>
    <row r="9" spans="1:15" ht="18.75">
      <c r="C9" s="185">
        <f>+FACTURAS!B15</f>
        <v>54</v>
      </c>
      <c r="D9" s="298" t="str">
        <f>+FACTURAS!D15</f>
        <v>STYLOSA HIDROXIETIL (85 GR.)</v>
      </c>
      <c r="E9" s="298"/>
      <c r="F9" s="298"/>
      <c r="G9" s="298"/>
      <c r="H9" s="298"/>
      <c r="I9" s="186">
        <f>+FACTURAS!I15</f>
        <v>1.3899999999999997</v>
      </c>
      <c r="J9" s="186"/>
      <c r="K9" s="296">
        <f>+FACTURAS!J15</f>
        <v>75.059999999999988</v>
      </c>
      <c r="L9" s="296"/>
      <c r="M9" s="175"/>
    </row>
    <row r="10" spans="1:15" ht="18.75">
      <c r="C10" s="185" t="str">
        <f>+FACTURAS!B16</f>
        <v/>
      </c>
      <c r="D10" s="298" t="str">
        <f>+FACTURAS!D16</f>
        <v/>
      </c>
      <c r="E10" s="298"/>
      <c r="F10" s="298"/>
      <c r="G10" s="298"/>
      <c r="H10" s="298"/>
      <c r="I10" s="186" t="str">
        <f>+FACTURAS!I16</f>
        <v/>
      </c>
      <c r="J10" s="186"/>
      <c r="K10" s="296" t="str">
        <f>+FACTURAS!J16</f>
        <v/>
      </c>
      <c r="L10" s="296"/>
      <c r="M10" s="175"/>
    </row>
    <row r="11" spans="1:15" ht="18.75">
      <c r="C11" s="185" t="str">
        <f>+FACTURAS!B17</f>
        <v/>
      </c>
      <c r="D11" s="298" t="str">
        <f>+FACTURAS!D17</f>
        <v/>
      </c>
      <c r="E11" s="298"/>
      <c r="F11" s="298"/>
      <c r="G11" s="298"/>
      <c r="H11" s="298"/>
      <c r="I11" s="186" t="str">
        <f>+FACTURAS!I17</f>
        <v/>
      </c>
      <c r="J11" s="186"/>
      <c r="K11" s="296" t="str">
        <f>+FACTURAS!J17</f>
        <v/>
      </c>
      <c r="L11" s="296"/>
      <c r="M11" s="175"/>
    </row>
    <row r="12" spans="1:15" ht="18.75">
      <c r="C12" s="185" t="str">
        <f>+FACTURAS!B18</f>
        <v/>
      </c>
      <c r="D12" s="298" t="str">
        <f>+FACTURAS!D18</f>
        <v/>
      </c>
      <c r="E12" s="298"/>
      <c r="F12" s="298"/>
      <c r="G12" s="298"/>
      <c r="H12" s="298"/>
      <c r="I12" s="186" t="str">
        <f>+FACTURAS!I18</f>
        <v/>
      </c>
      <c r="J12" s="180"/>
      <c r="K12" s="296" t="str">
        <f>+FACTURAS!J18</f>
        <v/>
      </c>
      <c r="L12" s="296"/>
      <c r="M12" s="104"/>
    </row>
    <row r="13" spans="1:15" ht="18.75">
      <c r="C13" s="185" t="str">
        <f>+FACTURAS!B19</f>
        <v/>
      </c>
      <c r="D13" s="298" t="str">
        <f>+FACTURAS!D19</f>
        <v/>
      </c>
      <c r="E13" s="298"/>
      <c r="F13" s="298"/>
      <c r="G13" s="298"/>
      <c r="H13" s="298"/>
      <c r="I13" s="186" t="str">
        <f>+FACTURAS!I19</f>
        <v/>
      </c>
      <c r="J13" s="180"/>
      <c r="K13" s="296" t="str">
        <f>+FACTURAS!J19</f>
        <v/>
      </c>
      <c r="L13" s="296"/>
      <c r="M13" s="104"/>
    </row>
    <row r="14" spans="1:15" ht="18.75">
      <c r="C14" s="185" t="str">
        <f>+FACTURAS!B20</f>
        <v/>
      </c>
      <c r="D14" s="298" t="str">
        <f>+FACTURAS!D20</f>
        <v/>
      </c>
      <c r="E14" s="298"/>
      <c r="F14" s="298"/>
      <c r="G14" s="298"/>
      <c r="H14" s="298"/>
      <c r="I14" s="186" t="str">
        <f>+FACTURAS!I20</f>
        <v/>
      </c>
      <c r="J14" s="180"/>
      <c r="K14" s="296" t="s">
        <v>418</v>
      </c>
      <c r="L14" s="296"/>
      <c r="M14" s="104"/>
    </row>
    <row r="15" spans="1:15" ht="18.75">
      <c r="C15" s="185" t="str">
        <f>+FACTURAS!B21</f>
        <v/>
      </c>
      <c r="D15" s="298" t="s">
        <v>418</v>
      </c>
      <c r="E15" s="298"/>
      <c r="F15" s="298"/>
      <c r="G15" s="298"/>
      <c r="H15" s="298"/>
      <c r="I15" s="186" t="str">
        <f>+FACTURAS!I21</f>
        <v/>
      </c>
      <c r="J15" s="180"/>
      <c r="K15" s="296" t="s">
        <v>418</v>
      </c>
      <c r="L15" s="296"/>
      <c r="M15" s="104"/>
    </row>
    <row r="16" spans="1:15" ht="18.75">
      <c r="C16" s="185"/>
      <c r="D16" s="298"/>
      <c r="E16" s="298"/>
      <c r="F16" s="298"/>
      <c r="G16" s="298"/>
      <c r="H16" s="298"/>
      <c r="I16" s="180"/>
      <c r="J16" s="180"/>
      <c r="K16" s="296">
        <f t="shared" ref="K16:K21" si="0">+I16*C16</f>
        <v>0</v>
      </c>
      <c r="L16" s="296"/>
      <c r="M16" s="104"/>
    </row>
    <row r="17" spans="3:13" ht="18.75">
      <c r="C17" s="185"/>
      <c r="D17" s="298"/>
      <c r="E17" s="298"/>
      <c r="F17" s="298"/>
      <c r="G17" s="298"/>
      <c r="H17" s="298"/>
      <c r="I17" s="180"/>
      <c r="J17" s="180"/>
      <c r="K17" s="296">
        <f t="shared" si="0"/>
        <v>0</v>
      </c>
      <c r="L17" s="296"/>
      <c r="M17" s="104"/>
    </row>
    <row r="18" spans="3:13" ht="18.75">
      <c r="C18" s="185"/>
      <c r="D18" s="298"/>
      <c r="E18" s="298"/>
      <c r="F18" s="298"/>
      <c r="G18" s="298"/>
      <c r="H18" s="298"/>
      <c r="I18" s="180"/>
      <c r="J18" s="180"/>
      <c r="K18" s="296">
        <f t="shared" si="0"/>
        <v>0</v>
      </c>
      <c r="L18" s="296"/>
      <c r="M18" s="104"/>
    </row>
    <row r="19" spans="3:13" ht="18.75">
      <c r="C19" s="185"/>
      <c r="D19" s="298"/>
      <c r="E19" s="298"/>
      <c r="F19" s="298"/>
      <c r="G19" s="298"/>
      <c r="H19" s="298"/>
      <c r="I19" s="180"/>
      <c r="J19" s="180"/>
      <c r="K19" s="296">
        <f t="shared" si="0"/>
        <v>0</v>
      </c>
      <c r="L19" s="296"/>
      <c r="M19" s="104"/>
    </row>
    <row r="20" spans="3:13" ht="18.75">
      <c r="C20" s="185"/>
      <c r="D20" s="298"/>
      <c r="E20" s="298"/>
      <c r="F20" s="298"/>
      <c r="G20" s="298"/>
      <c r="H20" s="298"/>
      <c r="I20" s="180"/>
      <c r="J20" s="180"/>
      <c r="K20" s="296">
        <f t="shared" si="0"/>
        <v>0</v>
      </c>
      <c r="L20" s="296"/>
      <c r="M20" s="104"/>
    </row>
    <row r="21" spans="3:13" ht="18.75">
      <c r="C21" s="185"/>
      <c r="D21" s="129"/>
      <c r="E21" s="85"/>
      <c r="F21" s="85"/>
      <c r="G21" s="85"/>
      <c r="H21" s="85"/>
      <c r="I21" s="180"/>
      <c r="J21" s="84"/>
      <c r="K21" s="296">
        <f t="shared" si="0"/>
        <v>0</v>
      </c>
      <c r="L21" s="296"/>
    </row>
    <row r="22" spans="3:13" ht="15.75">
      <c r="C22" s="85"/>
      <c r="D22" s="85"/>
      <c r="E22" s="85"/>
      <c r="F22" s="85"/>
      <c r="G22" s="85"/>
      <c r="H22" s="85"/>
      <c r="I22" s="207" t="s">
        <v>918</v>
      </c>
      <c r="J22" s="85"/>
      <c r="K22" s="331">
        <f>SUM(K9:K21)</f>
        <v>75.059999999999988</v>
      </c>
      <c r="L22" s="331"/>
    </row>
    <row r="23" spans="3:13">
      <c r="C23" s="85"/>
      <c r="D23" s="85"/>
      <c r="E23" s="85"/>
      <c r="F23" s="85"/>
      <c r="G23" s="85"/>
      <c r="H23" s="85"/>
      <c r="I23" s="207" t="s">
        <v>917</v>
      </c>
      <c r="J23" s="85"/>
      <c r="K23" s="85"/>
      <c r="L23" s="84">
        <v>0</v>
      </c>
    </row>
    <row r="24" spans="3:13">
      <c r="C24" s="85"/>
      <c r="D24" s="85"/>
      <c r="E24" s="85"/>
      <c r="F24" s="85"/>
      <c r="G24" s="85"/>
      <c r="H24" s="85"/>
      <c r="I24" s="207" t="s">
        <v>733</v>
      </c>
      <c r="J24" s="85"/>
      <c r="K24" s="85"/>
      <c r="L24" s="208">
        <f>+L23+K22</f>
        <v>75.059999999999988</v>
      </c>
    </row>
    <row r="25" spans="3:13">
      <c r="C25" s="85"/>
      <c r="D25" s="85"/>
      <c r="E25" s="85"/>
      <c r="F25" s="85"/>
      <c r="G25" s="85"/>
      <c r="H25" s="85"/>
      <c r="I25" s="85"/>
      <c r="J25" s="85"/>
      <c r="K25" s="85"/>
      <c r="L25" s="85"/>
    </row>
    <row r="26" spans="3:13">
      <c r="C26" s="85"/>
      <c r="D26" s="85"/>
      <c r="E26" s="85"/>
      <c r="F26" s="85"/>
      <c r="G26" s="85"/>
      <c r="H26" s="85"/>
      <c r="I26" s="85"/>
      <c r="J26" s="85"/>
      <c r="K26" s="85"/>
      <c r="L26" s="85"/>
    </row>
    <row r="27" spans="3:13">
      <c r="C27" s="85"/>
      <c r="D27" s="85"/>
      <c r="E27" s="85"/>
      <c r="F27" s="85"/>
      <c r="G27" s="85"/>
      <c r="H27" s="85"/>
      <c r="I27" s="85"/>
      <c r="J27" s="85"/>
      <c r="K27" s="85"/>
      <c r="L27" s="85"/>
    </row>
    <row r="28" spans="3:13">
      <c r="C28" s="85"/>
      <c r="D28" s="85"/>
      <c r="E28" s="85"/>
      <c r="F28" s="85"/>
      <c r="G28" s="85"/>
      <c r="H28" s="85"/>
      <c r="I28" s="85"/>
      <c r="J28" s="85"/>
      <c r="K28" s="85"/>
      <c r="L28" s="85"/>
    </row>
    <row r="29" spans="3:13" ht="18.75">
      <c r="C29" s="174">
        <v>44360</v>
      </c>
      <c r="D29" s="129"/>
      <c r="E29" s="302" t="s">
        <v>817</v>
      </c>
      <c r="F29" s="302"/>
      <c r="G29" s="302"/>
      <c r="H29" s="302"/>
      <c r="I29" s="302"/>
      <c r="J29" s="171"/>
      <c r="K29" s="171"/>
      <c r="L29" s="171"/>
      <c r="M29" s="175"/>
    </row>
    <row r="30" spans="3:13" ht="18.75">
      <c r="C30" s="171"/>
      <c r="D30" s="299" t="s">
        <v>855</v>
      </c>
      <c r="E30" s="299"/>
      <c r="F30" s="299"/>
      <c r="G30" s="299"/>
      <c r="H30" s="299"/>
      <c r="I30" s="299"/>
      <c r="J30" s="299"/>
      <c r="K30" s="299"/>
      <c r="L30" s="299"/>
      <c r="M30" s="299"/>
    </row>
    <row r="31" spans="3:13" ht="18.75">
      <c r="C31" s="176"/>
      <c r="D31" s="176"/>
      <c r="E31" s="176"/>
      <c r="F31" s="177" t="s">
        <v>334</v>
      </c>
      <c r="G31" s="177"/>
      <c r="H31" s="177"/>
      <c r="I31" s="177" t="s">
        <v>852</v>
      </c>
      <c r="J31" s="178"/>
      <c r="K31" s="178"/>
      <c r="L31" s="178"/>
      <c r="M31" s="175"/>
    </row>
    <row r="32" spans="3:13" ht="18.75">
      <c r="C32" s="129"/>
      <c r="D32" s="171"/>
      <c r="E32" s="171"/>
      <c r="F32" s="171"/>
      <c r="G32" s="171"/>
      <c r="H32" s="171"/>
      <c r="I32" s="171"/>
      <c r="J32" s="185"/>
      <c r="K32" s="185"/>
      <c r="L32" s="185"/>
      <c r="M32" s="175"/>
    </row>
    <row r="33" spans="3:13" ht="18.75">
      <c r="C33" s="129"/>
      <c r="D33" s="129"/>
      <c r="E33" s="129"/>
      <c r="F33" s="171"/>
      <c r="G33" s="171"/>
      <c r="H33" s="171"/>
      <c r="I33" s="171"/>
      <c r="J33" s="171"/>
      <c r="K33" s="171"/>
      <c r="L33" s="171"/>
      <c r="M33" s="175"/>
    </row>
    <row r="34" spans="3:13" ht="18.75">
      <c r="C34" s="129"/>
      <c r="D34" s="129"/>
      <c r="E34" s="129"/>
      <c r="F34" s="171"/>
      <c r="G34" s="171"/>
      <c r="H34" s="171"/>
      <c r="I34" s="171"/>
      <c r="J34" s="171"/>
      <c r="K34" s="171"/>
      <c r="L34" s="171"/>
      <c r="M34" s="175"/>
    </row>
    <row r="35" spans="3:13" ht="18.75">
      <c r="C35" s="129"/>
      <c r="D35" s="129"/>
      <c r="E35" s="179" t="s">
        <v>848</v>
      </c>
      <c r="F35" s="171"/>
      <c r="G35" s="171"/>
      <c r="H35" s="171"/>
      <c r="I35" s="171"/>
      <c r="J35" s="171"/>
      <c r="K35" s="171"/>
      <c r="L35" s="171"/>
      <c r="M35" s="175"/>
    </row>
    <row r="36" spans="3:13" ht="18.75">
      <c r="C36" s="185">
        <v>0</v>
      </c>
      <c r="D36" s="298" t="s">
        <v>819</v>
      </c>
      <c r="E36" s="298"/>
      <c r="F36" s="298"/>
      <c r="G36" s="298"/>
      <c r="H36" s="298"/>
      <c r="I36" s="186">
        <v>88320</v>
      </c>
      <c r="J36" s="186"/>
      <c r="K36" s="296">
        <f t="shared" ref="K36:K48" si="1">+I36*C36</f>
        <v>0</v>
      </c>
      <c r="L36" s="296"/>
      <c r="M36" s="175"/>
    </row>
    <row r="37" spans="3:13" ht="18.75">
      <c r="C37" s="185">
        <v>0</v>
      </c>
      <c r="D37" s="298" t="s">
        <v>814</v>
      </c>
      <c r="E37" s="298"/>
      <c r="F37" s="298"/>
      <c r="G37" s="298"/>
      <c r="H37" s="298"/>
      <c r="I37" s="186">
        <v>121920</v>
      </c>
      <c r="J37" s="186"/>
      <c r="K37" s="296">
        <f t="shared" si="1"/>
        <v>0</v>
      </c>
      <c r="L37" s="296"/>
      <c r="M37" s="175"/>
    </row>
    <row r="38" spans="3:13" ht="18.75">
      <c r="C38" s="185">
        <v>85</v>
      </c>
      <c r="D38" s="298" t="s">
        <v>982</v>
      </c>
      <c r="E38" s="298"/>
      <c r="F38" s="298"/>
      <c r="G38" s="298"/>
      <c r="H38" s="298"/>
      <c r="I38" s="186">
        <v>145440</v>
      </c>
      <c r="J38" s="186"/>
      <c r="K38" s="296">
        <f t="shared" si="1"/>
        <v>12362400</v>
      </c>
      <c r="L38" s="296"/>
      <c r="M38" s="175"/>
    </row>
    <row r="39" spans="3:13" ht="18.75">
      <c r="C39" s="185">
        <v>0</v>
      </c>
      <c r="D39" s="298" t="s">
        <v>839</v>
      </c>
      <c r="E39" s="298"/>
      <c r="F39" s="298"/>
      <c r="G39" s="298"/>
      <c r="H39" s="298"/>
      <c r="I39" s="180">
        <v>112320</v>
      </c>
      <c r="J39" s="180"/>
      <c r="K39" s="296">
        <f t="shared" si="1"/>
        <v>0</v>
      </c>
      <c r="L39" s="296"/>
      <c r="M39" s="104"/>
    </row>
    <row r="40" spans="3:13" ht="18.75">
      <c r="C40" s="185">
        <v>0</v>
      </c>
      <c r="D40" s="298" t="s">
        <v>840</v>
      </c>
      <c r="E40" s="298"/>
      <c r="F40" s="298"/>
      <c r="G40" s="298"/>
      <c r="H40" s="298"/>
      <c r="I40" s="180">
        <v>119520</v>
      </c>
      <c r="J40" s="180"/>
      <c r="K40" s="296">
        <f t="shared" si="1"/>
        <v>0</v>
      </c>
      <c r="L40" s="296"/>
      <c r="M40" s="104"/>
    </row>
    <row r="41" spans="3:13" ht="18.75">
      <c r="C41" s="185">
        <v>14</v>
      </c>
      <c r="D41" s="298" t="s">
        <v>1023</v>
      </c>
      <c r="E41" s="298"/>
      <c r="F41" s="298"/>
      <c r="G41" s="298"/>
      <c r="H41" s="298"/>
      <c r="I41" s="180">
        <v>111840</v>
      </c>
      <c r="J41" s="180"/>
      <c r="K41" s="296">
        <f t="shared" si="1"/>
        <v>1565760</v>
      </c>
      <c r="L41" s="296"/>
      <c r="M41" s="104"/>
    </row>
    <row r="42" spans="3:13" ht="18.75">
      <c r="C42" s="185">
        <v>0</v>
      </c>
      <c r="D42" s="298" t="s">
        <v>842</v>
      </c>
      <c r="E42" s="298"/>
      <c r="F42" s="298"/>
      <c r="G42" s="298"/>
      <c r="H42" s="298"/>
      <c r="I42" s="180">
        <v>38400</v>
      </c>
      <c r="J42" s="180"/>
      <c r="K42" s="296">
        <f t="shared" si="1"/>
        <v>0</v>
      </c>
      <c r="L42" s="296"/>
      <c r="M42" s="104"/>
    </row>
    <row r="43" spans="3:13" ht="18.75">
      <c r="C43" s="185">
        <v>0</v>
      </c>
      <c r="D43" s="298" t="s">
        <v>632</v>
      </c>
      <c r="E43" s="298"/>
      <c r="F43" s="298"/>
      <c r="G43" s="298"/>
      <c r="H43" s="298"/>
      <c r="I43" s="180">
        <v>132020</v>
      </c>
      <c r="J43" s="180"/>
      <c r="K43" s="296">
        <f t="shared" si="1"/>
        <v>0</v>
      </c>
      <c r="L43" s="296"/>
      <c r="M43" s="104"/>
    </row>
    <row r="44" spans="3:13" ht="18.75">
      <c r="C44" s="185">
        <v>0</v>
      </c>
      <c r="D44" s="298" t="s">
        <v>843</v>
      </c>
      <c r="E44" s="298"/>
      <c r="F44" s="298"/>
      <c r="G44" s="298"/>
      <c r="H44" s="298"/>
      <c r="I44" s="180">
        <v>27840</v>
      </c>
      <c r="J44" s="180"/>
      <c r="K44" s="296">
        <f t="shared" si="1"/>
        <v>0</v>
      </c>
      <c r="L44" s="296"/>
      <c r="M44" s="104"/>
    </row>
    <row r="45" spans="3:13" ht="18.75">
      <c r="C45" s="185"/>
      <c r="D45" s="298" t="s">
        <v>853</v>
      </c>
      <c r="E45" s="298"/>
      <c r="F45" s="298"/>
      <c r="G45" s="298"/>
      <c r="H45" s="298"/>
      <c r="I45" s="180">
        <v>92160</v>
      </c>
      <c r="J45" s="180"/>
      <c r="K45" s="296">
        <f t="shared" si="1"/>
        <v>0</v>
      </c>
      <c r="L45" s="296"/>
      <c r="M45" s="104"/>
    </row>
    <row r="46" spans="3:13" ht="18.75">
      <c r="C46" s="185">
        <v>0</v>
      </c>
      <c r="D46" s="298" t="s">
        <v>844</v>
      </c>
      <c r="E46" s="298"/>
      <c r="F46" s="298"/>
      <c r="G46" s="298"/>
      <c r="H46" s="298"/>
      <c r="I46" s="180">
        <v>143040</v>
      </c>
      <c r="J46" s="180"/>
      <c r="K46" s="296">
        <f t="shared" si="1"/>
        <v>0</v>
      </c>
      <c r="L46" s="296"/>
      <c r="M46" s="104"/>
    </row>
    <row r="47" spans="3:13" ht="18.75">
      <c r="C47" s="185">
        <v>0</v>
      </c>
      <c r="D47" s="298" t="s">
        <v>845</v>
      </c>
      <c r="E47" s="298"/>
      <c r="F47" s="298"/>
      <c r="G47" s="298"/>
      <c r="H47" s="298"/>
      <c r="I47" s="180">
        <v>43680</v>
      </c>
      <c r="J47" s="180"/>
      <c r="K47" s="296">
        <f t="shared" si="1"/>
        <v>0</v>
      </c>
      <c r="L47" s="296"/>
      <c r="M47" s="104"/>
    </row>
    <row r="48" spans="3:13" ht="18.75">
      <c r="C48" s="185">
        <v>0</v>
      </c>
      <c r="D48" s="129" t="s">
        <v>854</v>
      </c>
      <c r="E48" s="85"/>
      <c r="F48" s="85"/>
      <c r="G48" s="85"/>
      <c r="H48" s="85"/>
      <c r="I48" s="180">
        <v>147600</v>
      </c>
      <c r="J48" s="84"/>
      <c r="K48" s="296">
        <f t="shared" si="1"/>
        <v>0</v>
      </c>
      <c r="L48" s="296"/>
    </row>
    <row r="49" spans="3:12" ht="18.75">
      <c r="C49" s="85"/>
      <c r="D49" s="85"/>
      <c r="E49" s="85"/>
      <c r="F49" s="85"/>
      <c r="G49" s="85"/>
      <c r="H49" s="85"/>
      <c r="I49" s="94" t="s">
        <v>796</v>
      </c>
      <c r="J49" s="85"/>
      <c r="K49" s="297">
        <f>SUM(K36:K48)</f>
        <v>13928160</v>
      </c>
      <c r="L49" s="297"/>
    </row>
  </sheetData>
  <mergeCells count="56">
    <mergeCell ref="E2:I2"/>
    <mergeCell ref="D3:M3"/>
    <mergeCell ref="D9:H9"/>
    <mergeCell ref="K9:L9"/>
    <mergeCell ref="D10:H10"/>
    <mergeCell ref="K10:L10"/>
    <mergeCell ref="D11:H11"/>
    <mergeCell ref="K11:L11"/>
    <mergeCell ref="D12:H12"/>
    <mergeCell ref="K12:L12"/>
    <mergeCell ref="D13:H13"/>
    <mergeCell ref="K13:L13"/>
    <mergeCell ref="D14:H14"/>
    <mergeCell ref="K14:L14"/>
    <mergeCell ref="D15:H15"/>
    <mergeCell ref="K15:L15"/>
    <mergeCell ref="D16:H16"/>
    <mergeCell ref="K16:L16"/>
    <mergeCell ref="D30:M30"/>
    <mergeCell ref="D17:H17"/>
    <mergeCell ref="K17:L17"/>
    <mergeCell ref="D18:H18"/>
    <mergeCell ref="K18:L18"/>
    <mergeCell ref="D19:H19"/>
    <mergeCell ref="K19:L19"/>
    <mergeCell ref="D20:H20"/>
    <mergeCell ref="K20:L20"/>
    <mergeCell ref="K21:L21"/>
    <mergeCell ref="K22:L22"/>
    <mergeCell ref="E29:I29"/>
    <mergeCell ref="D36:H36"/>
    <mergeCell ref="K36:L36"/>
    <mergeCell ref="D37:H37"/>
    <mergeCell ref="K37:L37"/>
    <mergeCell ref="D38:H38"/>
    <mergeCell ref="K38:L38"/>
    <mergeCell ref="D39:H39"/>
    <mergeCell ref="K39:L39"/>
    <mergeCell ref="D40:H40"/>
    <mergeCell ref="K40:L40"/>
    <mergeCell ref="D41:H41"/>
    <mergeCell ref="K41:L41"/>
    <mergeCell ref="D42:H42"/>
    <mergeCell ref="K42:L42"/>
    <mergeCell ref="D43:H43"/>
    <mergeCell ref="K43:L43"/>
    <mergeCell ref="D44:H44"/>
    <mergeCell ref="K44:L44"/>
    <mergeCell ref="K48:L48"/>
    <mergeCell ref="K49:L49"/>
    <mergeCell ref="D45:H45"/>
    <mergeCell ref="K45:L45"/>
    <mergeCell ref="D46:H46"/>
    <mergeCell ref="K46:L46"/>
    <mergeCell ref="D47:H47"/>
    <mergeCell ref="K47:L47"/>
  </mergeCells>
  <conditionalFormatting sqref="C4">
    <cfRule type="expression" dxfId="1359" priority="4">
      <formula>IF(ISODD($A4)=TRUE,1,0)</formula>
    </cfRule>
  </conditionalFormatting>
  <conditionalFormatting sqref="D3">
    <cfRule type="expression" dxfId="1358" priority="3">
      <formula>IF(ISODD($A3)=TRUE,1,0)</formula>
    </cfRule>
  </conditionalFormatting>
  <conditionalFormatting sqref="C31">
    <cfRule type="expression" dxfId="1357" priority="2">
      <formula>IF(ISODD($A31)=TRUE,1,0)</formula>
    </cfRule>
  </conditionalFormatting>
  <conditionalFormatting sqref="D30">
    <cfRule type="expression" dxfId="1356" priority="1">
      <formula>IF(ISODD($A30)=TRUE,1,0)</formula>
    </cfRule>
  </conditionalFormatting>
  <pageMargins left="0" right="0" top="0" bottom="0.74803149606299213" header="0" footer="0.31496062992125984"/>
  <pageSetup scale="61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filterMode="1">
    <pageSetUpPr fitToPage="1"/>
  </sheetPr>
  <dimension ref="A1:S45"/>
  <sheetViews>
    <sheetView topLeftCell="B1" zoomScale="80" zoomScaleNormal="80" zoomScalePageLayoutView="80" workbookViewId="0">
      <selection activeCell="J1" sqref="J1"/>
    </sheetView>
  </sheetViews>
  <sheetFormatPr baseColWidth="10" defaultColWidth="11.42578125" defaultRowHeight="15"/>
  <cols>
    <col min="1" max="1" width="0.7109375" style="86" hidden="1" customWidth="1"/>
    <col min="2" max="2" width="11.42578125" style="86" customWidth="1"/>
    <col min="3" max="3" width="13.85546875" style="86" bestFit="1" customWidth="1"/>
    <col min="4" max="4" width="11.42578125" style="86" customWidth="1"/>
    <col min="5" max="6" width="11.42578125" style="86"/>
    <col min="7" max="7" width="6.140625" style="86" customWidth="1"/>
    <col min="8" max="8" width="11.140625" style="86" customWidth="1"/>
    <col min="9" max="9" width="17.28515625" style="86" customWidth="1"/>
    <col min="10" max="10" width="4.28515625" style="86" bestFit="1" customWidth="1"/>
    <col min="11" max="11" width="5.5703125" style="86" customWidth="1"/>
    <col min="12" max="12" width="10" style="86" customWidth="1"/>
    <col min="13" max="17" width="11.42578125" style="86"/>
    <col min="18" max="18" width="22.5703125" style="86" customWidth="1"/>
    <col min="19" max="16384" width="11.42578125" style="86"/>
  </cols>
  <sheetData>
    <row r="1" spans="1:12" ht="18.75"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</row>
    <row r="2" spans="1:12" ht="18.75"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</row>
    <row r="3" spans="1:12" ht="18.75">
      <c r="B3" s="103"/>
      <c r="C3" s="103"/>
      <c r="D3" s="103"/>
      <c r="E3" s="103"/>
      <c r="F3" s="104"/>
      <c r="G3" s="105"/>
      <c r="H3" s="105"/>
      <c r="I3" s="103"/>
      <c r="J3" s="103"/>
      <c r="K3" s="103"/>
      <c r="L3" s="103"/>
    </row>
    <row r="4" spans="1:12" ht="4.5" customHeight="1"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</row>
    <row r="5" spans="1:12" ht="18.75">
      <c r="B5" s="106" t="s">
        <v>783</v>
      </c>
      <c r="C5" s="103"/>
      <c r="D5" s="280"/>
      <c r="E5" s="107"/>
      <c r="F5" s="107"/>
      <c r="G5" s="107"/>
      <c r="H5" s="107"/>
      <c r="I5" s="107"/>
      <c r="J5" s="107"/>
      <c r="K5" s="107"/>
      <c r="L5" s="103"/>
    </row>
    <row r="6" spans="1:12" ht="18.75" customHeight="1">
      <c r="B6" s="134" t="s">
        <v>812</v>
      </c>
      <c r="C6" s="183" t="str">
        <f>+FACTURAS!N1</f>
        <v>SFC-0222-031</v>
      </c>
      <c r="D6" s="108"/>
      <c r="E6" s="108"/>
      <c r="F6" s="109" t="s">
        <v>784</v>
      </c>
      <c r="G6" s="108"/>
      <c r="H6" s="108"/>
      <c r="I6" s="108"/>
      <c r="J6" s="108"/>
      <c r="K6" s="108"/>
      <c r="L6" s="108"/>
    </row>
    <row r="7" spans="1:12" ht="18.75">
      <c r="A7" s="8"/>
      <c r="B7" s="103"/>
      <c r="C7" s="103"/>
      <c r="D7" s="103"/>
      <c r="E7" s="103"/>
      <c r="F7" s="103"/>
      <c r="G7" s="103"/>
      <c r="H7" s="110"/>
      <c r="I7" s="110" t="s">
        <v>785</v>
      </c>
      <c r="J7" s="111">
        <v>25</v>
      </c>
      <c r="K7" s="112" t="s">
        <v>1247</v>
      </c>
      <c r="L7" s="112" t="s">
        <v>1248</v>
      </c>
    </row>
    <row r="8" spans="1:12" ht="7.5" customHeight="1">
      <c r="A8" s="8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</row>
    <row r="9" spans="1:12" ht="20.25" customHeight="1">
      <c r="A9" s="113" t="s">
        <v>85</v>
      </c>
      <c r="B9" s="124" t="s">
        <v>90</v>
      </c>
      <c r="C9" s="114"/>
      <c r="D9" s="324" t="str">
        <f>+FACTURAS!D9</f>
        <v>INVERSIONES FERRECASA ATA, C.A.</v>
      </c>
      <c r="E9" s="324"/>
      <c r="F9" s="324"/>
      <c r="G9" s="324"/>
      <c r="H9" s="324"/>
      <c r="I9" s="110" t="s">
        <v>787</v>
      </c>
      <c r="J9" s="339" t="str">
        <f>+FACTURAS!J9</f>
        <v>J-40234765-0</v>
      </c>
      <c r="K9" s="339"/>
      <c r="L9" s="339"/>
    </row>
    <row r="10" spans="1:12" ht="33.75" customHeight="1">
      <c r="A10" s="113" t="s">
        <v>86</v>
      </c>
      <c r="B10" s="124" t="s">
        <v>91</v>
      </c>
      <c r="C10" s="340" t="str">
        <f>+FACTURAS!D10</f>
        <v>AV. BUCHIVACOA, ESQ. CALLEJON JURADO Y AV. LOS MEDANOS.</v>
      </c>
      <c r="D10" s="340"/>
      <c r="E10" s="340"/>
      <c r="F10" s="340"/>
      <c r="G10" s="340"/>
      <c r="H10" s="340"/>
      <c r="I10" s="340"/>
      <c r="J10" s="340"/>
      <c r="K10" s="340"/>
      <c r="L10" s="340"/>
    </row>
    <row r="11" spans="1:12" ht="20.25" customHeight="1">
      <c r="A11" s="115" t="s">
        <v>788</v>
      </c>
      <c r="B11" s="124" t="s">
        <v>92</v>
      </c>
      <c r="C11" s="116" t="str">
        <f>+FACTURAS!I11</f>
        <v>0424-6815069</v>
      </c>
      <c r="D11" s="114"/>
      <c r="E11" s="114"/>
      <c r="F11" s="114"/>
      <c r="G11" s="114"/>
      <c r="H11" s="114"/>
      <c r="I11" s="114"/>
      <c r="J11" s="304"/>
      <c r="K11" s="304"/>
      <c r="L11" s="304"/>
    </row>
    <row r="12" spans="1:12" ht="18.75">
      <c r="B12" s="125" t="s">
        <v>0</v>
      </c>
      <c r="C12" s="117"/>
      <c r="D12" s="341" t="s">
        <v>88</v>
      </c>
      <c r="E12" s="341"/>
      <c r="F12" s="341"/>
      <c r="G12" s="341"/>
      <c r="H12" s="341"/>
      <c r="I12" s="125" t="s">
        <v>836</v>
      </c>
      <c r="J12" s="341" t="s">
        <v>835</v>
      </c>
      <c r="K12" s="341"/>
      <c r="L12" s="341"/>
    </row>
    <row r="13" spans="1:12" ht="18" hidden="1" customHeight="1">
      <c r="B13" s="8">
        <v>100</v>
      </c>
      <c r="C13" s="8"/>
      <c r="D13" s="312" t="s">
        <v>789</v>
      </c>
      <c r="E13" s="312"/>
      <c r="F13" s="312"/>
      <c r="G13" s="312"/>
      <c r="H13" s="312"/>
      <c r="I13" s="118">
        <f>32/1.12</f>
        <v>28.571428571428569</v>
      </c>
      <c r="J13" s="313">
        <f>+I13*B13</f>
        <v>2857.1428571428569</v>
      </c>
      <c r="K13" s="313"/>
      <c r="L13" s="313"/>
    </row>
    <row r="14" spans="1:12" ht="18" hidden="1" customHeight="1">
      <c r="B14" s="119">
        <v>100</v>
      </c>
      <c r="C14" s="8"/>
      <c r="D14" s="312" t="s">
        <v>790</v>
      </c>
      <c r="E14" s="312"/>
      <c r="F14" s="312"/>
      <c r="G14" s="312"/>
      <c r="H14" s="312"/>
      <c r="I14" s="82">
        <v>32</v>
      </c>
      <c r="J14" s="313">
        <f t="shared" ref="J14:J19" si="0">+I14*B14</f>
        <v>3200</v>
      </c>
      <c r="K14" s="313"/>
      <c r="L14" s="313"/>
    </row>
    <row r="15" spans="1:12" ht="18" hidden="1" customHeight="1">
      <c r="D15" s="314" t="s">
        <v>791</v>
      </c>
      <c r="E15" s="314"/>
      <c r="F15" s="314"/>
      <c r="G15" s="314"/>
      <c r="H15" s="314"/>
      <c r="I15" s="89">
        <f>27/1.12</f>
        <v>24.107142857142854</v>
      </c>
      <c r="J15" s="315">
        <f t="shared" si="0"/>
        <v>0</v>
      </c>
      <c r="K15" s="315"/>
      <c r="L15" s="315"/>
    </row>
    <row r="16" spans="1:12" ht="18" hidden="1" customHeight="1">
      <c r="D16" s="314" t="s">
        <v>792</v>
      </c>
      <c r="E16" s="314"/>
      <c r="F16" s="314"/>
      <c r="G16" s="314"/>
      <c r="H16" s="314"/>
      <c r="I16" s="89">
        <f>27/1.12</f>
        <v>24.107142857142854</v>
      </c>
      <c r="J16" s="315">
        <f t="shared" si="0"/>
        <v>0</v>
      </c>
      <c r="K16" s="315"/>
      <c r="L16" s="315"/>
    </row>
    <row r="17" spans="2:15" ht="18" hidden="1" customHeight="1">
      <c r="D17" s="314" t="s">
        <v>793</v>
      </c>
      <c r="E17" s="314"/>
      <c r="F17" s="314"/>
      <c r="G17" s="314"/>
      <c r="H17" s="314"/>
      <c r="I17" s="89">
        <f>134/(1.12)</f>
        <v>119.64285714285712</v>
      </c>
      <c r="J17" s="315">
        <f t="shared" si="0"/>
        <v>0</v>
      </c>
      <c r="K17" s="315"/>
      <c r="L17" s="315"/>
    </row>
    <row r="18" spans="2:15" ht="26.25" customHeight="1">
      <c r="B18" s="126">
        <f>+FACTURAS!B15</f>
        <v>54</v>
      </c>
      <c r="C18" s="85"/>
      <c r="D18" s="334" t="str">
        <f>+FACTURAS!D15</f>
        <v>STYLOSA HIDROXIETIL (85 GR.)</v>
      </c>
      <c r="E18" s="334"/>
      <c r="F18" s="334"/>
      <c r="G18" s="334"/>
      <c r="H18" s="334"/>
      <c r="I18" s="127">
        <f>+FACTURAS!I15</f>
        <v>1.3899999999999997</v>
      </c>
      <c r="J18" s="335">
        <f>+FACTURAS!J15</f>
        <v>75.059999999999988</v>
      </c>
      <c r="K18" s="335"/>
      <c r="L18" s="335"/>
    </row>
    <row r="19" spans="2:15" ht="15.75" hidden="1" customHeight="1">
      <c r="D19" s="314" t="s">
        <v>794</v>
      </c>
      <c r="E19" s="314"/>
      <c r="F19" s="314"/>
      <c r="G19" s="314"/>
      <c r="H19" s="314"/>
      <c r="I19" s="89">
        <f>4400/(1.12)</f>
        <v>3928.571428571428</v>
      </c>
      <c r="J19" s="315">
        <f t="shared" si="0"/>
        <v>0</v>
      </c>
      <c r="K19" s="315"/>
      <c r="L19" s="315"/>
    </row>
    <row r="20" spans="2:15" ht="18" customHeight="1">
      <c r="B20" s="126" t="str">
        <f>+FACTURAS!B16</f>
        <v/>
      </c>
      <c r="C20" s="85"/>
      <c r="D20" s="334" t="str">
        <f>+FACTURAS!D16</f>
        <v/>
      </c>
      <c r="E20" s="334"/>
      <c r="F20" s="334"/>
      <c r="G20" s="334"/>
      <c r="H20" s="334"/>
      <c r="I20" s="127" t="str">
        <f>+FACTURAS!I16</f>
        <v/>
      </c>
      <c r="J20" s="335" t="str">
        <f>+FACTURAS!J16</f>
        <v/>
      </c>
      <c r="K20" s="335"/>
      <c r="L20" s="335"/>
    </row>
    <row r="21" spans="2:15">
      <c r="B21" s="126" t="str">
        <f>+FACTURAS!B17</f>
        <v/>
      </c>
      <c r="C21" s="85"/>
      <c r="D21" s="334" t="str">
        <f>+FACTURAS!D17</f>
        <v/>
      </c>
      <c r="E21" s="334"/>
      <c r="F21" s="334"/>
      <c r="G21" s="334"/>
      <c r="H21" s="334"/>
      <c r="I21" s="127" t="str">
        <f>+FACTURAS!I17</f>
        <v/>
      </c>
      <c r="J21" s="335" t="str">
        <f>+FACTURAS!J17</f>
        <v/>
      </c>
      <c r="K21" s="335"/>
      <c r="L21" s="335"/>
      <c r="N21" s="268"/>
    </row>
    <row r="22" spans="2:15" hidden="1">
      <c r="B22" s="120"/>
      <c r="C22" s="120"/>
      <c r="D22" s="316"/>
      <c r="E22" s="316"/>
      <c r="F22" s="316"/>
      <c r="G22" s="316"/>
      <c r="H22" s="316"/>
      <c r="I22" s="121"/>
      <c r="J22" s="310">
        <f>+I22*B22</f>
        <v>0</v>
      </c>
      <c r="K22" s="310"/>
      <c r="L22" s="310"/>
    </row>
    <row r="23" spans="2:15" hidden="1">
      <c r="B23" s="122"/>
      <c r="C23" s="122"/>
      <c r="D23" s="307"/>
      <c r="E23" s="307"/>
      <c r="F23" s="307"/>
      <c r="G23" s="307"/>
      <c r="H23" s="307"/>
      <c r="I23" s="123"/>
      <c r="J23" s="310">
        <f>+I23*B23</f>
        <v>0</v>
      </c>
      <c r="K23" s="310"/>
      <c r="L23" s="310"/>
    </row>
    <row r="24" spans="2:15">
      <c r="B24" s="126" t="str">
        <f>+FACTURAS!B18</f>
        <v/>
      </c>
      <c r="C24" s="85"/>
      <c r="D24" s="334" t="str">
        <f>+FACTURAS!D18</f>
        <v/>
      </c>
      <c r="E24" s="334"/>
      <c r="F24" s="334"/>
      <c r="G24" s="334"/>
      <c r="H24" s="334"/>
      <c r="I24" s="127" t="str">
        <f>+FACTURAS!I18</f>
        <v/>
      </c>
      <c r="J24" s="335" t="str">
        <f>+FACTURAS!J18</f>
        <v/>
      </c>
      <c r="K24" s="335"/>
      <c r="L24" s="335"/>
      <c r="O24" s="11"/>
    </row>
    <row r="25" spans="2:15" ht="15.75" customHeight="1">
      <c r="B25" s="126" t="str">
        <f>+FACTURAS!B19</f>
        <v/>
      </c>
      <c r="C25" s="85"/>
      <c r="D25" s="334" t="str">
        <f>+FACTURAS!D19</f>
        <v/>
      </c>
      <c r="E25" s="334"/>
      <c r="F25" s="334"/>
      <c r="G25" s="334"/>
      <c r="H25" s="334"/>
      <c r="I25" s="127" t="str">
        <f>+FACTURAS!I19</f>
        <v/>
      </c>
      <c r="J25" s="335" t="str">
        <f>+FACTURAS!J19</f>
        <v/>
      </c>
      <c r="K25" s="335"/>
      <c r="L25" s="335"/>
    </row>
    <row r="26" spans="2:15" ht="15.75" customHeight="1">
      <c r="B26" s="126" t="str">
        <f>+FACTURAS!B20</f>
        <v/>
      </c>
      <c r="C26" s="85"/>
      <c r="D26" s="334" t="str">
        <f>+FACTURAS!D20</f>
        <v/>
      </c>
      <c r="E26" s="334"/>
      <c r="F26" s="334"/>
      <c r="G26" s="334"/>
      <c r="H26" s="334"/>
      <c r="I26" s="127" t="str">
        <f>+FACTURAS!I20</f>
        <v/>
      </c>
      <c r="J26" s="335" t="str">
        <f>+FACTURAS!J20</f>
        <v/>
      </c>
      <c r="K26" s="335"/>
      <c r="L26" s="335"/>
    </row>
    <row r="27" spans="2:15">
      <c r="B27" s="126" t="str">
        <f>+FACTURAS!B21</f>
        <v/>
      </c>
      <c r="C27" s="85"/>
      <c r="D27" s="334" t="str">
        <f>+FACTURAS!D21</f>
        <v/>
      </c>
      <c r="E27" s="334"/>
      <c r="F27" s="334"/>
      <c r="G27" s="334"/>
      <c r="H27" s="334"/>
      <c r="I27" s="127" t="str">
        <f>+FACTURAS!I21</f>
        <v/>
      </c>
      <c r="J27" s="335" t="str">
        <f>+FACTURAS!J21</f>
        <v/>
      </c>
      <c r="K27" s="335"/>
      <c r="L27" s="335"/>
    </row>
    <row r="28" spans="2:15">
      <c r="B28" s="126" t="str">
        <f>+FACTURAS!B22</f>
        <v/>
      </c>
      <c r="C28" s="85"/>
      <c r="D28" s="334" t="str">
        <f>+FACTURAS!D22</f>
        <v/>
      </c>
      <c r="E28" s="334"/>
      <c r="F28" s="334"/>
      <c r="G28" s="334"/>
      <c r="H28" s="334"/>
      <c r="I28" s="127" t="str">
        <f>+FACTURAS!I22</f>
        <v/>
      </c>
      <c r="J28" s="335" t="str">
        <f>+FACTURAS!J22</f>
        <v/>
      </c>
      <c r="K28" s="335"/>
      <c r="L28" s="335"/>
      <c r="N28" s="268"/>
    </row>
    <row r="29" spans="2:15">
      <c r="B29" s="126" t="str">
        <f>+FACTURAS!B23</f>
        <v/>
      </c>
      <c r="C29" s="85"/>
      <c r="D29" s="334" t="str">
        <f>+FACTURAS!D23</f>
        <v/>
      </c>
      <c r="E29" s="334"/>
      <c r="F29" s="334"/>
      <c r="G29" s="334"/>
      <c r="H29" s="334"/>
      <c r="I29" s="127" t="str">
        <f>+FACTURAS!I23</f>
        <v/>
      </c>
      <c r="J29" s="335" t="str">
        <f>+FACTURAS!J23</f>
        <v/>
      </c>
      <c r="K29" s="335"/>
      <c r="L29" s="335"/>
    </row>
    <row r="30" spans="2:15">
      <c r="B30" s="126" t="str">
        <f>+FACTURAS!B24</f>
        <v/>
      </c>
      <c r="C30" s="85"/>
      <c r="D30" s="334" t="str">
        <f>+FACTURAS!D24</f>
        <v/>
      </c>
      <c r="E30" s="334"/>
      <c r="F30" s="334"/>
      <c r="G30" s="334"/>
      <c r="H30" s="334"/>
      <c r="I30" s="127" t="str">
        <f>+FACTURAS!I24</f>
        <v/>
      </c>
      <c r="J30" s="335" t="str">
        <f>+FACTURAS!J24</f>
        <v/>
      </c>
      <c r="K30" s="335"/>
      <c r="L30" s="335"/>
    </row>
    <row r="31" spans="2:15">
      <c r="B31" s="126" t="str">
        <f>+FACTURAS!B25</f>
        <v/>
      </c>
      <c r="C31" s="85"/>
      <c r="D31" s="334" t="str">
        <f>+FACTURAS!D25</f>
        <v/>
      </c>
      <c r="E31" s="334"/>
      <c r="F31" s="334"/>
      <c r="G31" s="334"/>
      <c r="H31" s="334"/>
      <c r="I31" s="127" t="str">
        <f>+FACTURAS!I25</f>
        <v/>
      </c>
      <c r="J31" s="335" t="str">
        <f>+FACTURAS!J25</f>
        <v/>
      </c>
      <c r="K31" s="335"/>
      <c r="L31" s="335"/>
    </row>
    <row r="32" spans="2:15" ht="18.75">
      <c r="B32" s="290"/>
      <c r="C32" s="291"/>
      <c r="D32" s="291"/>
      <c r="E32" s="291"/>
      <c r="F32" s="291"/>
      <c r="G32" s="291"/>
      <c r="H32" s="291" t="s">
        <v>851</v>
      </c>
      <c r="I32" s="291" t="s">
        <v>1168</v>
      </c>
      <c r="J32" s="338">
        <f>SUBTOTAL(9,J18:L31)</f>
        <v>75.059999999999988</v>
      </c>
      <c r="K32" s="338"/>
      <c r="L32" s="338"/>
      <c r="O32" s="269"/>
    </row>
    <row r="33" spans="2:19" ht="18.75">
      <c r="B33" s="129"/>
      <c r="C33" s="129"/>
      <c r="D33" s="129"/>
      <c r="E33" s="129"/>
      <c r="F33" s="281"/>
      <c r="G33" s="129"/>
      <c r="H33" s="292">
        <v>0.05</v>
      </c>
      <c r="I33" s="129" t="s">
        <v>1166</v>
      </c>
      <c r="J33" s="130"/>
      <c r="K33" s="332">
        <f>+J32*0.05</f>
        <v>3.7529999999999997</v>
      </c>
      <c r="L33" s="332"/>
    </row>
    <row r="34" spans="2:19" ht="21">
      <c r="B34" s="85"/>
      <c r="C34" s="131"/>
      <c r="D34" s="64"/>
      <c r="E34" s="132"/>
      <c r="F34" s="85"/>
      <c r="G34" s="85"/>
      <c r="H34" s="85"/>
      <c r="I34" s="85" t="s">
        <v>1167</v>
      </c>
      <c r="J34" s="85"/>
      <c r="K34" s="336">
        <f>+J32-K33</f>
        <v>71.306999999999988</v>
      </c>
      <c r="L34" s="337"/>
      <c r="R34" s="285"/>
      <c r="S34" s="285"/>
    </row>
    <row r="35" spans="2:19">
      <c r="B35" s="7" t="s">
        <v>800</v>
      </c>
      <c r="R35" s="285"/>
      <c r="S35" s="285"/>
    </row>
    <row r="36" spans="2:19">
      <c r="P36" s="11"/>
      <c r="R36" s="285"/>
      <c r="S36" s="285"/>
    </row>
    <row r="37" spans="2:19" ht="15.75" thickBot="1">
      <c r="I37" s="120"/>
      <c r="J37" s="333"/>
      <c r="K37" s="333"/>
      <c r="L37" s="333"/>
      <c r="P37" s="11"/>
      <c r="R37" s="286"/>
      <c r="S37" s="286"/>
    </row>
    <row r="38" spans="2:19" ht="16.5" thickBot="1">
      <c r="R38" s="287"/>
      <c r="S38" s="288"/>
    </row>
    <row r="45" spans="2:19">
      <c r="F45" s="86">
        <f>SUMIF('REPORTE GASTOS'!C:C,COBRANZA!B42,'REPORTE GASTOS'!G:G)</f>
        <v>56.000000000000007</v>
      </c>
    </row>
  </sheetData>
  <autoFilter ref="B12:L20">
    <filterColumn colId="2" showButton="0">
      <filters>
        <filter val="Macrofibra de Polipropileno de 500Gr."/>
      </filters>
    </filterColumn>
    <filterColumn colId="3" showButton="0"/>
    <filterColumn colId="4" showButton="0"/>
    <filterColumn colId="5" showButton="0"/>
    <filterColumn colId="8" showButton="0"/>
    <filterColumn colId="9" showButton="0"/>
  </autoFilter>
  <mergeCells count="48">
    <mergeCell ref="D16:H16"/>
    <mergeCell ref="J16:L16"/>
    <mergeCell ref="D13:H13"/>
    <mergeCell ref="J13:L13"/>
    <mergeCell ref="D14:H14"/>
    <mergeCell ref="J14:L14"/>
    <mergeCell ref="D15:H15"/>
    <mergeCell ref="J15:L15"/>
    <mergeCell ref="D9:H9"/>
    <mergeCell ref="J9:L9"/>
    <mergeCell ref="C10:L10"/>
    <mergeCell ref="J11:L11"/>
    <mergeCell ref="D12:H12"/>
    <mergeCell ref="J12:L12"/>
    <mergeCell ref="D17:H17"/>
    <mergeCell ref="J17:L17"/>
    <mergeCell ref="D18:H18"/>
    <mergeCell ref="J18:L18"/>
    <mergeCell ref="D19:H19"/>
    <mergeCell ref="J19:L19"/>
    <mergeCell ref="D20:H20"/>
    <mergeCell ref="J20:L20"/>
    <mergeCell ref="D21:H21"/>
    <mergeCell ref="J21:L21"/>
    <mergeCell ref="D22:H22"/>
    <mergeCell ref="J22:L22"/>
    <mergeCell ref="D23:H23"/>
    <mergeCell ref="J23:L23"/>
    <mergeCell ref="D24:H24"/>
    <mergeCell ref="J24:L24"/>
    <mergeCell ref="J32:L32"/>
    <mergeCell ref="D31:H31"/>
    <mergeCell ref="J31:L31"/>
    <mergeCell ref="K33:L33"/>
    <mergeCell ref="J37:L37"/>
    <mergeCell ref="D25:H25"/>
    <mergeCell ref="J25:L25"/>
    <mergeCell ref="D26:H26"/>
    <mergeCell ref="J26:L26"/>
    <mergeCell ref="D27:H27"/>
    <mergeCell ref="J27:L27"/>
    <mergeCell ref="D28:H28"/>
    <mergeCell ref="J28:L28"/>
    <mergeCell ref="D29:H29"/>
    <mergeCell ref="J29:L29"/>
    <mergeCell ref="D30:H30"/>
    <mergeCell ref="J30:L30"/>
    <mergeCell ref="K34:L34"/>
  </mergeCells>
  <conditionalFormatting sqref="C10">
    <cfRule type="expression" dxfId="1355" priority="7">
      <formula>IF(ISODD($A10)=TRUE,1,0)</formula>
    </cfRule>
  </conditionalFormatting>
  <conditionalFormatting sqref="C34:E34">
    <cfRule type="expression" dxfId="1354" priority="6">
      <formula>IF(ISODD($A34)=TRUE,1,0)</formula>
    </cfRule>
  </conditionalFormatting>
  <conditionalFormatting sqref="C11">
    <cfRule type="expression" dxfId="1353" priority="1">
      <formula>IF(ISODD($A11)=TRUE,1,0)</formula>
    </cfRule>
  </conditionalFormatting>
  <pageMargins left="0" right="0" top="0" bottom="0.74803149606299213" header="0" footer="0.31496062992125984"/>
  <pageSetup scale="90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A1:AZ304"/>
  <sheetViews>
    <sheetView showGridLines="0" zoomScaleNormal="100" workbookViewId="0">
      <pane xSplit="2" ySplit="4" topLeftCell="C12" activePane="bottomRight" state="frozen"/>
      <selection pane="topRight" activeCell="C1" sqref="C1"/>
      <selection pane="bottomLeft" activeCell="A5" sqref="A5"/>
      <selection pane="bottomRight" activeCell="B17" sqref="B17"/>
    </sheetView>
  </sheetViews>
  <sheetFormatPr baseColWidth="10" defaultRowHeight="15"/>
  <cols>
    <col min="1" max="1" width="5.7109375" customWidth="1"/>
    <col min="2" max="2" width="45.7109375" customWidth="1"/>
    <col min="3" max="4" width="15.7109375" customWidth="1"/>
    <col min="5" max="5" width="75.7109375" customWidth="1"/>
    <col min="6" max="6" width="12.7109375" customWidth="1"/>
    <col min="7" max="7" width="4.7109375" customWidth="1"/>
  </cols>
  <sheetData>
    <row r="1" spans="1:52" ht="80.099999999999994" customHeight="1">
      <c r="A1" s="49"/>
      <c r="B1" s="50"/>
      <c r="C1" s="49"/>
      <c r="D1" s="49"/>
      <c r="E1" s="49"/>
      <c r="F1" s="49"/>
      <c r="AZ1">
        <v>80</v>
      </c>
    </row>
    <row r="2" spans="1:52" ht="24.95" customHeight="1">
      <c r="A2" s="342"/>
      <c r="B2" s="342"/>
      <c r="C2" s="342"/>
      <c r="D2" s="342"/>
      <c r="E2" s="342"/>
      <c r="F2" s="342"/>
    </row>
    <row r="3" spans="1:52" ht="24.95" customHeight="1">
      <c r="G3" s="67"/>
    </row>
    <row r="4" spans="1:52">
      <c r="A4" s="25" t="s">
        <v>944</v>
      </c>
      <c r="B4" s="25" t="s">
        <v>5</v>
      </c>
      <c r="C4" s="13" t="s">
        <v>6</v>
      </c>
      <c r="D4" s="13" t="s">
        <v>7</v>
      </c>
      <c r="E4" s="25" t="s">
        <v>8</v>
      </c>
      <c r="F4" s="25" t="s">
        <v>421</v>
      </c>
      <c r="G4" s="67"/>
    </row>
    <row r="5" spans="1:52" ht="30">
      <c r="A5" s="45">
        <v>1</v>
      </c>
      <c r="B5" s="46" t="s">
        <v>1</v>
      </c>
      <c r="C5" s="47" t="s">
        <v>11</v>
      </c>
      <c r="D5" s="20" t="s">
        <v>674</v>
      </c>
      <c r="E5" s="20" t="s">
        <v>10</v>
      </c>
      <c r="F5" s="26" t="s">
        <v>416</v>
      </c>
    </row>
    <row r="6" spans="1:52">
      <c r="A6" s="45">
        <v>2</v>
      </c>
      <c r="B6" s="20" t="s">
        <v>2</v>
      </c>
      <c r="C6" s="21" t="s">
        <v>12</v>
      </c>
      <c r="D6" s="21" t="s">
        <v>13</v>
      </c>
      <c r="E6" s="20" t="s">
        <v>14</v>
      </c>
      <c r="F6" s="26" t="s">
        <v>416</v>
      </c>
    </row>
    <row r="7" spans="1:52" ht="30">
      <c r="A7" s="45">
        <v>3</v>
      </c>
      <c r="B7" s="20" t="s">
        <v>4</v>
      </c>
      <c r="C7" s="47" t="s">
        <v>15</v>
      </c>
      <c r="D7" s="21" t="s">
        <v>16</v>
      </c>
      <c r="E7" s="20" t="s">
        <v>17</v>
      </c>
      <c r="F7" s="26" t="s">
        <v>416</v>
      </c>
    </row>
    <row r="8" spans="1:52" ht="30">
      <c r="A8" s="45">
        <v>4</v>
      </c>
      <c r="B8" s="20" t="s">
        <v>18</v>
      </c>
      <c r="C8" s="21" t="s">
        <v>19</v>
      </c>
      <c r="D8" s="21" t="s">
        <v>20</v>
      </c>
      <c r="E8" s="20" t="s">
        <v>21</v>
      </c>
      <c r="F8" s="26" t="s">
        <v>416</v>
      </c>
    </row>
    <row r="9" spans="1:52" ht="30">
      <c r="A9" s="45">
        <v>5</v>
      </c>
      <c r="B9" s="20" t="s">
        <v>22</v>
      </c>
      <c r="C9" s="83" t="s">
        <v>23</v>
      </c>
      <c r="D9" s="21" t="s">
        <v>9</v>
      </c>
      <c r="E9" s="20" t="s">
        <v>24</v>
      </c>
      <c r="F9" s="26" t="s">
        <v>416</v>
      </c>
    </row>
    <row r="10" spans="1:52" ht="30">
      <c r="A10" s="45">
        <v>6</v>
      </c>
      <c r="B10" s="20" t="s">
        <v>25</v>
      </c>
      <c r="C10" s="21" t="s">
        <v>26</v>
      </c>
      <c r="D10" s="20" t="s">
        <v>832</v>
      </c>
      <c r="E10" s="20" t="s">
        <v>27</v>
      </c>
      <c r="F10" s="26" t="s">
        <v>416</v>
      </c>
    </row>
    <row r="11" spans="1:52">
      <c r="A11" s="45">
        <v>7</v>
      </c>
      <c r="B11" s="20" t="s">
        <v>28</v>
      </c>
      <c r="C11" s="47" t="s">
        <v>29</v>
      </c>
      <c r="D11" s="21" t="s">
        <v>30</v>
      </c>
      <c r="E11" s="20" t="s">
        <v>31</v>
      </c>
      <c r="F11" s="26" t="s">
        <v>416</v>
      </c>
    </row>
    <row r="12" spans="1:52">
      <c r="A12" s="45">
        <v>8</v>
      </c>
      <c r="B12" s="20" t="s">
        <v>464</v>
      </c>
      <c r="C12" s="21" t="s">
        <v>32</v>
      </c>
      <c r="D12" s="21" t="s">
        <v>33</v>
      </c>
      <c r="E12" s="20" t="s">
        <v>34</v>
      </c>
      <c r="F12" s="26" t="s">
        <v>416</v>
      </c>
    </row>
    <row r="13" spans="1:52">
      <c r="A13" s="45">
        <v>9</v>
      </c>
      <c r="B13" s="20" t="s">
        <v>3</v>
      </c>
      <c r="C13" s="47" t="s">
        <v>35</v>
      </c>
      <c r="D13" s="21" t="s">
        <v>36</v>
      </c>
      <c r="E13" s="20" t="s">
        <v>37</v>
      </c>
      <c r="F13" s="26" t="s">
        <v>416</v>
      </c>
    </row>
    <row r="14" spans="1:52">
      <c r="A14" s="45">
        <v>10</v>
      </c>
      <c r="B14" s="20" t="s">
        <v>38</v>
      </c>
      <c r="C14" s="21" t="s">
        <v>43</v>
      </c>
      <c r="D14" s="21" t="s">
        <v>44</v>
      </c>
      <c r="E14" s="20" t="s">
        <v>45</v>
      </c>
      <c r="F14" s="26" t="s">
        <v>416</v>
      </c>
    </row>
    <row r="15" spans="1:52" ht="30">
      <c r="A15" s="45">
        <v>11</v>
      </c>
      <c r="B15" s="20" t="s">
        <v>39</v>
      </c>
      <c r="C15" s="47" t="s">
        <v>46</v>
      </c>
      <c r="D15" s="21" t="s">
        <v>47</v>
      </c>
      <c r="E15" s="20" t="s">
        <v>48</v>
      </c>
      <c r="F15" s="26" t="s">
        <v>422</v>
      </c>
    </row>
    <row r="16" spans="1:52">
      <c r="A16" s="45">
        <v>12</v>
      </c>
      <c r="B16" s="20" t="s">
        <v>40</v>
      </c>
      <c r="C16" s="21" t="s">
        <v>49</v>
      </c>
      <c r="D16" s="21" t="s">
        <v>50</v>
      </c>
      <c r="E16" s="20" t="s">
        <v>51</v>
      </c>
      <c r="F16" s="26" t="s">
        <v>422</v>
      </c>
    </row>
    <row r="17" spans="1:7">
      <c r="A17" s="45">
        <v>13</v>
      </c>
      <c r="B17" s="20" t="s">
        <v>532</v>
      </c>
      <c r="C17" s="47" t="s">
        <v>52</v>
      </c>
      <c r="D17" s="21" t="s">
        <v>98</v>
      </c>
      <c r="E17" s="20" t="s">
        <v>53</v>
      </c>
      <c r="F17" s="26" t="s">
        <v>416</v>
      </c>
    </row>
    <row r="18" spans="1:7">
      <c r="A18" s="45">
        <v>14</v>
      </c>
      <c r="B18" s="20" t="s">
        <v>54</v>
      </c>
      <c r="C18" s="21" t="s">
        <v>55</v>
      </c>
      <c r="D18" s="21" t="s">
        <v>56</v>
      </c>
      <c r="E18" s="20" t="s">
        <v>57</v>
      </c>
      <c r="F18" s="26" t="s">
        <v>416</v>
      </c>
    </row>
    <row r="19" spans="1:7">
      <c r="A19" s="45">
        <v>15</v>
      </c>
      <c r="B19" s="20" t="s">
        <v>459</v>
      </c>
      <c r="C19" s="47" t="s">
        <v>58</v>
      </c>
      <c r="D19" s="21" t="s">
        <v>59</v>
      </c>
      <c r="E19" s="20" t="s">
        <v>60</v>
      </c>
      <c r="F19" s="26" t="s">
        <v>416</v>
      </c>
    </row>
    <row r="20" spans="1:7" ht="30">
      <c r="A20" s="45">
        <v>16</v>
      </c>
      <c r="B20" s="20" t="s">
        <v>61</v>
      </c>
      <c r="C20" s="21" t="s">
        <v>62</v>
      </c>
      <c r="D20" s="21" t="s">
        <v>63</v>
      </c>
      <c r="E20" s="20" t="s">
        <v>64</v>
      </c>
      <c r="F20" s="26" t="s">
        <v>416</v>
      </c>
    </row>
    <row r="21" spans="1:7" ht="30">
      <c r="A21" s="45">
        <v>17</v>
      </c>
      <c r="B21" s="20" t="s">
        <v>65</v>
      </c>
      <c r="C21" s="47" t="s">
        <v>66</v>
      </c>
      <c r="D21" s="21" t="s">
        <v>67</v>
      </c>
      <c r="E21" s="20" t="s">
        <v>68</v>
      </c>
      <c r="F21" s="26" t="s">
        <v>416</v>
      </c>
    </row>
    <row r="22" spans="1:7">
      <c r="A22" s="45">
        <v>18</v>
      </c>
      <c r="B22" s="20" t="s">
        <v>41</v>
      </c>
      <c r="C22" s="21" t="s">
        <v>69</v>
      </c>
      <c r="D22" s="21" t="s">
        <v>70</v>
      </c>
      <c r="E22" s="20" t="s">
        <v>71</v>
      </c>
      <c r="F22" s="26" t="s">
        <v>416</v>
      </c>
    </row>
    <row r="23" spans="1:7">
      <c r="A23" s="45">
        <v>19</v>
      </c>
      <c r="B23" s="20" t="s">
        <v>42</v>
      </c>
      <c r="C23" s="47" t="s">
        <v>72</v>
      </c>
      <c r="D23" s="21" t="s">
        <v>73</v>
      </c>
      <c r="E23" s="20" t="s">
        <v>74</v>
      </c>
      <c r="F23" s="26" t="s">
        <v>416</v>
      </c>
    </row>
    <row r="24" spans="1:7" ht="30">
      <c r="A24" s="45">
        <v>20</v>
      </c>
      <c r="B24" s="20" t="s">
        <v>99</v>
      </c>
      <c r="C24" s="21" t="s">
        <v>100</v>
      </c>
      <c r="D24" s="21" t="s">
        <v>101</v>
      </c>
      <c r="E24" s="20" t="s">
        <v>102</v>
      </c>
      <c r="F24" s="26" t="s">
        <v>416</v>
      </c>
    </row>
    <row r="25" spans="1:7" ht="30">
      <c r="A25" s="45">
        <v>21</v>
      </c>
      <c r="B25" s="20" t="s">
        <v>103</v>
      </c>
      <c r="C25" s="47" t="s">
        <v>104</v>
      </c>
      <c r="D25" s="20" t="s">
        <v>675</v>
      </c>
      <c r="E25" s="20" t="s">
        <v>105</v>
      </c>
      <c r="F25" s="26" t="s">
        <v>416</v>
      </c>
    </row>
    <row r="26" spans="1:7" ht="30">
      <c r="A26" s="45">
        <v>22</v>
      </c>
      <c r="B26" s="20" t="s">
        <v>106</v>
      </c>
      <c r="C26" s="21" t="s">
        <v>107</v>
      </c>
      <c r="D26" s="21" t="s">
        <v>108</v>
      </c>
      <c r="E26" s="20" t="s">
        <v>109</v>
      </c>
      <c r="F26" s="26" t="s">
        <v>416</v>
      </c>
    </row>
    <row r="27" spans="1:7">
      <c r="A27" s="45">
        <v>23</v>
      </c>
      <c r="B27" s="20" t="s">
        <v>110</v>
      </c>
      <c r="C27" s="47" t="s">
        <v>111</v>
      </c>
      <c r="D27" s="21" t="s">
        <v>112</v>
      </c>
      <c r="E27" s="20" t="s">
        <v>113</v>
      </c>
      <c r="F27" s="26" t="s">
        <v>422</v>
      </c>
    </row>
    <row r="28" spans="1:7">
      <c r="A28" s="45">
        <v>24</v>
      </c>
      <c r="B28" s="20" t="s">
        <v>114</v>
      </c>
      <c r="C28" s="21" t="s">
        <v>115</v>
      </c>
      <c r="D28" s="21" t="s">
        <v>116</v>
      </c>
      <c r="E28" s="20" t="s">
        <v>117</v>
      </c>
      <c r="F28" s="26" t="s">
        <v>416</v>
      </c>
    </row>
    <row r="29" spans="1:7">
      <c r="A29" s="45">
        <v>25</v>
      </c>
      <c r="B29" s="20" t="s">
        <v>118</v>
      </c>
      <c r="C29" s="47" t="s">
        <v>119</v>
      </c>
      <c r="D29" s="21" t="s">
        <v>120</v>
      </c>
      <c r="E29" s="20" t="s">
        <v>121</v>
      </c>
      <c r="F29" s="26" t="s">
        <v>416</v>
      </c>
    </row>
    <row r="30" spans="1:7">
      <c r="A30" s="45">
        <v>26</v>
      </c>
      <c r="B30" s="20" t="s">
        <v>122</v>
      </c>
      <c r="C30" s="21" t="s">
        <v>123</v>
      </c>
      <c r="D30" s="21" t="s">
        <v>124</v>
      </c>
      <c r="E30" s="20" t="s">
        <v>125</v>
      </c>
      <c r="F30" s="26" t="s">
        <v>423</v>
      </c>
      <c r="G30" s="80" t="s">
        <v>591</v>
      </c>
    </row>
    <row r="31" spans="1:7">
      <c r="A31" s="45">
        <v>27</v>
      </c>
      <c r="B31" s="20" t="s">
        <v>126</v>
      </c>
      <c r="C31" s="47" t="s">
        <v>127</v>
      </c>
      <c r="D31" s="21" t="s">
        <v>128</v>
      </c>
      <c r="E31" s="20" t="s">
        <v>129</v>
      </c>
      <c r="F31" s="26" t="s">
        <v>416</v>
      </c>
    </row>
    <row r="32" spans="1:7">
      <c r="A32" s="45">
        <v>28</v>
      </c>
      <c r="B32" s="20" t="s">
        <v>130</v>
      </c>
      <c r="C32" s="21" t="s">
        <v>131</v>
      </c>
      <c r="D32" s="21" t="s">
        <v>132</v>
      </c>
      <c r="E32" s="20" t="s">
        <v>133</v>
      </c>
      <c r="F32" s="26" t="s">
        <v>416</v>
      </c>
    </row>
    <row r="33" spans="1:7" ht="30">
      <c r="A33" s="45">
        <v>29</v>
      </c>
      <c r="B33" s="20" t="s">
        <v>134</v>
      </c>
      <c r="C33" s="47" t="s">
        <v>135</v>
      </c>
      <c r="D33" s="21" t="s">
        <v>136</v>
      </c>
      <c r="E33" s="20" t="s">
        <v>137</v>
      </c>
      <c r="F33" s="26" t="s">
        <v>416</v>
      </c>
    </row>
    <row r="34" spans="1:7">
      <c r="A34" s="45">
        <v>30</v>
      </c>
      <c r="B34" s="20" t="s">
        <v>138</v>
      </c>
      <c r="C34" s="21" t="s">
        <v>139</v>
      </c>
      <c r="D34" s="21" t="s">
        <v>140</v>
      </c>
      <c r="E34" s="20" t="s">
        <v>141</v>
      </c>
      <c r="F34" s="26" t="s">
        <v>424</v>
      </c>
    </row>
    <row r="35" spans="1:7">
      <c r="A35" s="45">
        <v>31</v>
      </c>
      <c r="B35" s="20" t="s">
        <v>533</v>
      </c>
      <c r="C35" s="47" t="s">
        <v>142</v>
      </c>
      <c r="D35" s="21" t="s">
        <v>143</v>
      </c>
      <c r="E35" s="20" t="s">
        <v>144</v>
      </c>
      <c r="F35" s="26" t="s">
        <v>416</v>
      </c>
    </row>
    <row r="36" spans="1:7" ht="30">
      <c r="A36" s="45">
        <v>32</v>
      </c>
      <c r="B36" s="20" t="s">
        <v>145</v>
      </c>
      <c r="C36" s="21" t="s">
        <v>146</v>
      </c>
      <c r="D36" s="21" t="s">
        <v>147</v>
      </c>
      <c r="E36" s="20" t="s">
        <v>148</v>
      </c>
      <c r="F36" s="26" t="s">
        <v>422</v>
      </c>
    </row>
    <row r="37" spans="1:7" ht="30">
      <c r="A37" s="45">
        <v>33</v>
      </c>
      <c r="B37" s="20" t="s">
        <v>149</v>
      </c>
      <c r="C37" s="47" t="s">
        <v>150</v>
      </c>
      <c r="D37" s="21" t="s">
        <v>151</v>
      </c>
      <c r="E37" s="20" t="s">
        <v>152</v>
      </c>
      <c r="F37" s="26" t="s">
        <v>425</v>
      </c>
    </row>
    <row r="38" spans="1:7" ht="30">
      <c r="A38" s="45">
        <v>34</v>
      </c>
      <c r="B38" s="20" t="s">
        <v>153</v>
      </c>
      <c r="C38" s="21" t="s">
        <v>154</v>
      </c>
      <c r="D38" s="21" t="s">
        <v>155</v>
      </c>
      <c r="E38" s="20" t="s">
        <v>156</v>
      </c>
      <c r="F38" s="26" t="s">
        <v>416</v>
      </c>
    </row>
    <row r="39" spans="1:7">
      <c r="A39" s="45">
        <v>35</v>
      </c>
      <c r="B39" s="20" t="s">
        <v>157</v>
      </c>
      <c r="C39" s="47" t="s">
        <v>158</v>
      </c>
      <c r="D39" s="21" t="s">
        <v>159</v>
      </c>
      <c r="E39" s="20" t="s">
        <v>160</v>
      </c>
      <c r="F39" s="26" t="s">
        <v>416</v>
      </c>
    </row>
    <row r="40" spans="1:7">
      <c r="A40" s="45">
        <v>36</v>
      </c>
      <c r="B40" s="20" t="s">
        <v>161</v>
      </c>
      <c r="C40" s="21" t="s">
        <v>162</v>
      </c>
      <c r="D40" s="81" t="s">
        <v>163</v>
      </c>
      <c r="E40" s="20" t="s">
        <v>164</v>
      </c>
      <c r="F40" s="26" t="s">
        <v>423</v>
      </c>
      <c r="G40" s="80" t="s">
        <v>591</v>
      </c>
    </row>
    <row r="41" spans="1:7" ht="30">
      <c r="A41" s="45">
        <v>37</v>
      </c>
      <c r="B41" s="20" t="s">
        <v>165</v>
      </c>
      <c r="C41" s="47" t="s">
        <v>166</v>
      </c>
      <c r="D41" s="21" t="s">
        <v>167</v>
      </c>
      <c r="E41" s="20" t="s">
        <v>428</v>
      </c>
      <c r="F41" s="26" t="s">
        <v>427</v>
      </c>
    </row>
    <row r="42" spans="1:7">
      <c r="A42" s="45">
        <v>38</v>
      </c>
      <c r="B42" s="20" t="s">
        <v>168</v>
      </c>
      <c r="C42" s="21" t="s">
        <v>169</v>
      </c>
      <c r="D42" s="21" t="s">
        <v>170</v>
      </c>
      <c r="E42" s="20" t="s">
        <v>171</v>
      </c>
      <c r="F42" s="26" t="s">
        <v>416</v>
      </c>
    </row>
    <row r="43" spans="1:7">
      <c r="A43" s="45">
        <v>39</v>
      </c>
      <c r="B43" s="20" t="s">
        <v>172</v>
      </c>
      <c r="C43" s="47" t="s">
        <v>173</v>
      </c>
      <c r="D43" s="21" t="s">
        <v>174</v>
      </c>
      <c r="E43" s="20" t="s">
        <v>175</v>
      </c>
      <c r="F43" s="26" t="s">
        <v>426</v>
      </c>
    </row>
    <row r="44" spans="1:7" ht="30">
      <c r="A44" s="45">
        <v>40</v>
      </c>
      <c r="B44" s="20" t="s">
        <v>176</v>
      </c>
      <c r="C44" s="21" t="s">
        <v>177</v>
      </c>
      <c r="D44" s="21" t="s">
        <v>178</v>
      </c>
      <c r="E44" s="20" t="s">
        <v>179</v>
      </c>
      <c r="F44" s="26" t="s">
        <v>435</v>
      </c>
    </row>
    <row r="45" spans="1:7" ht="30">
      <c r="A45" s="45">
        <v>41</v>
      </c>
      <c r="B45" s="20" t="s">
        <v>180</v>
      </c>
      <c r="C45" s="47" t="s">
        <v>181</v>
      </c>
      <c r="D45" s="21" t="s">
        <v>182</v>
      </c>
      <c r="E45" s="20" t="s">
        <v>183</v>
      </c>
      <c r="F45" s="26" t="s">
        <v>423</v>
      </c>
    </row>
    <row r="46" spans="1:7" ht="30">
      <c r="A46" s="45">
        <v>42</v>
      </c>
      <c r="B46" s="20" t="s">
        <v>184</v>
      </c>
      <c r="C46" s="21" t="s">
        <v>185</v>
      </c>
      <c r="D46" s="21" t="s">
        <v>186</v>
      </c>
      <c r="E46" s="20" t="s">
        <v>187</v>
      </c>
      <c r="F46" s="26" t="s">
        <v>423</v>
      </c>
      <c r="G46" s="80" t="s">
        <v>591</v>
      </c>
    </row>
    <row r="47" spans="1:7">
      <c r="A47" s="45">
        <v>43</v>
      </c>
      <c r="B47" s="20" t="s">
        <v>188</v>
      </c>
      <c r="C47" s="47" t="s">
        <v>189</v>
      </c>
      <c r="D47" s="21" t="s">
        <v>190</v>
      </c>
      <c r="E47" s="20" t="s">
        <v>191</v>
      </c>
      <c r="F47" s="26" t="s">
        <v>423</v>
      </c>
    </row>
    <row r="48" spans="1:7" ht="30">
      <c r="A48" s="45">
        <v>44</v>
      </c>
      <c r="B48" s="20" t="s">
        <v>192</v>
      </c>
      <c r="C48" s="21" t="s">
        <v>193</v>
      </c>
      <c r="D48" s="21" t="s">
        <v>194</v>
      </c>
      <c r="E48" s="20" t="s">
        <v>195</v>
      </c>
      <c r="F48" s="26" t="s">
        <v>423</v>
      </c>
    </row>
    <row r="49" spans="1:7" ht="30">
      <c r="A49" s="45">
        <v>45</v>
      </c>
      <c r="B49" s="20" t="s">
        <v>97</v>
      </c>
      <c r="C49" s="47" t="s">
        <v>196</v>
      </c>
      <c r="D49" s="21" t="s">
        <v>197</v>
      </c>
      <c r="E49" s="20" t="s">
        <v>198</v>
      </c>
      <c r="F49" s="26" t="s">
        <v>438</v>
      </c>
    </row>
    <row r="50" spans="1:7">
      <c r="A50" s="45">
        <v>46</v>
      </c>
      <c r="B50" s="20" t="s">
        <v>199</v>
      </c>
      <c r="C50" s="21" t="s">
        <v>200</v>
      </c>
      <c r="D50" s="21" t="s">
        <v>201</v>
      </c>
      <c r="E50" s="20" t="s">
        <v>202</v>
      </c>
      <c r="F50" s="26" t="s">
        <v>423</v>
      </c>
    </row>
    <row r="51" spans="1:7" ht="45">
      <c r="A51" s="45">
        <v>47</v>
      </c>
      <c r="B51" s="20" t="s">
        <v>420</v>
      </c>
      <c r="C51" s="47" t="s">
        <v>203</v>
      </c>
      <c r="D51" s="21" t="s">
        <v>205</v>
      </c>
      <c r="E51" s="20" t="s">
        <v>204</v>
      </c>
      <c r="F51" s="26" t="s">
        <v>204</v>
      </c>
    </row>
    <row r="52" spans="1:7" ht="30">
      <c r="A52" s="45">
        <v>48</v>
      </c>
      <c r="B52" s="20" t="s">
        <v>209</v>
      </c>
      <c r="C52" s="21" t="s">
        <v>206</v>
      </c>
      <c r="D52" s="21" t="s">
        <v>208</v>
      </c>
      <c r="E52" s="20" t="s">
        <v>207</v>
      </c>
      <c r="F52" s="26" t="s">
        <v>434</v>
      </c>
    </row>
    <row r="53" spans="1:7" ht="30">
      <c r="A53" s="45">
        <v>49</v>
      </c>
      <c r="B53" s="20" t="s">
        <v>210</v>
      </c>
      <c r="C53" s="47" t="s">
        <v>211</v>
      </c>
      <c r="D53" s="21" t="s">
        <v>212</v>
      </c>
      <c r="E53" s="20" t="s">
        <v>213</v>
      </c>
      <c r="F53" s="26" t="s">
        <v>439</v>
      </c>
    </row>
    <row r="54" spans="1:7">
      <c r="A54" s="45">
        <v>50</v>
      </c>
      <c r="B54" s="20" t="s">
        <v>214</v>
      </c>
      <c r="C54" s="21" t="s">
        <v>215</v>
      </c>
      <c r="D54" s="21" t="s">
        <v>216</v>
      </c>
      <c r="E54" s="20" t="s">
        <v>217</v>
      </c>
      <c r="F54" s="26" t="s">
        <v>440</v>
      </c>
    </row>
    <row r="55" spans="1:7" ht="30">
      <c r="A55" s="45">
        <v>51</v>
      </c>
      <c r="B55" s="20" t="s">
        <v>218</v>
      </c>
      <c r="C55" s="47" t="s">
        <v>219</v>
      </c>
      <c r="D55" s="21" t="s">
        <v>220</v>
      </c>
      <c r="E55" s="20" t="s">
        <v>221</v>
      </c>
      <c r="F55" s="26" t="s">
        <v>429</v>
      </c>
    </row>
    <row r="56" spans="1:7" ht="30">
      <c r="A56" s="45">
        <v>52</v>
      </c>
      <c r="B56" s="20" t="s">
        <v>222</v>
      </c>
      <c r="C56" s="21" t="s">
        <v>223</v>
      </c>
      <c r="D56" s="21" t="s">
        <v>224</v>
      </c>
      <c r="E56" s="20" t="s">
        <v>225</v>
      </c>
      <c r="F56" s="26" t="s">
        <v>439</v>
      </c>
    </row>
    <row r="57" spans="1:7">
      <c r="A57" s="45">
        <v>53</v>
      </c>
      <c r="B57" s="20" t="s">
        <v>226</v>
      </c>
      <c r="C57" s="47" t="s">
        <v>227</v>
      </c>
      <c r="D57" s="21" t="s">
        <v>228</v>
      </c>
      <c r="E57" s="20" t="s">
        <v>229</v>
      </c>
      <c r="F57" s="26" t="s">
        <v>416</v>
      </c>
    </row>
    <row r="58" spans="1:7" ht="30">
      <c r="A58" s="45">
        <v>54</v>
      </c>
      <c r="B58" s="20" t="s">
        <v>231</v>
      </c>
      <c r="C58" s="21" t="s">
        <v>232</v>
      </c>
      <c r="D58" s="21" t="s">
        <v>233</v>
      </c>
      <c r="E58" s="20" t="s">
        <v>469</v>
      </c>
      <c r="F58" s="26" t="s">
        <v>416</v>
      </c>
    </row>
    <row r="59" spans="1:7" ht="30">
      <c r="A59" s="45">
        <v>55</v>
      </c>
      <c r="B59" s="20" t="s">
        <v>234</v>
      </c>
      <c r="C59" s="47" t="s">
        <v>240</v>
      </c>
      <c r="D59" s="21" t="s">
        <v>235</v>
      </c>
      <c r="E59" s="20" t="s">
        <v>236</v>
      </c>
      <c r="F59" s="26" t="s">
        <v>430</v>
      </c>
    </row>
    <row r="60" spans="1:7" ht="30">
      <c r="A60" s="45">
        <v>56</v>
      </c>
      <c r="B60" s="20" t="s">
        <v>237</v>
      </c>
      <c r="C60" s="21" t="s">
        <v>241</v>
      </c>
      <c r="D60" s="21" t="s">
        <v>238</v>
      </c>
      <c r="E60" s="20" t="s">
        <v>239</v>
      </c>
      <c r="F60" s="26" t="s">
        <v>416</v>
      </c>
    </row>
    <row r="61" spans="1:7" ht="30">
      <c r="A61" s="45">
        <v>57</v>
      </c>
      <c r="B61" s="20" t="s">
        <v>243</v>
      </c>
      <c r="C61" s="47" t="s">
        <v>244</v>
      </c>
      <c r="D61" s="21" t="s">
        <v>245</v>
      </c>
      <c r="E61" s="20" t="s">
        <v>246</v>
      </c>
      <c r="F61" s="26" t="s">
        <v>416</v>
      </c>
    </row>
    <row r="62" spans="1:7" ht="30">
      <c r="A62" s="45">
        <v>58</v>
      </c>
      <c r="B62" s="20" t="s">
        <v>460</v>
      </c>
      <c r="C62" s="21" t="s">
        <v>247</v>
      </c>
      <c r="D62" s="21" t="s">
        <v>248</v>
      </c>
      <c r="E62" s="20" t="s">
        <v>249</v>
      </c>
      <c r="F62" s="26" t="s">
        <v>423</v>
      </c>
      <c r="G62" s="73" t="s">
        <v>591</v>
      </c>
    </row>
    <row r="63" spans="1:7" ht="30">
      <c r="A63" s="45">
        <v>59</v>
      </c>
      <c r="B63" s="20" t="s">
        <v>250</v>
      </c>
      <c r="C63" s="47" t="s">
        <v>251</v>
      </c>
      <c r="D63" s="21" t="s">
        <v>252</v>
      </c>
      <c r="E63" s="20" t="s">
        <v>253</v>
      </c>
      <c r="F63" s="26" t="s">
        <v>416</v>
      </c>
    </row>
    <row r="64" spans="1:7" ht="30">
      <c r="A64" s="45">
        <v>60</v>
      </c>
      <c r="B64" s="20" t="s">
        <v>254</v>
      </c>
      <c r="C64" s="21" t="s">
        <v>255</v>
      </c>
      <c r="D64" s="21" t="s">
        <v>256</v>
      </c>
      <c r="E64" s="20" t="s">
        <v>257</v>
      </c>
      <c r="F64" s="26" t="s">
        <v>423</v>
      </c>
    </row>
    <row r="65" spans="1:6">
      <c r="A65" s="45">
        <v>61</v>
      </c>
      <c r="B65" s="20" t="s">
        <v>258</v>
      </c>
      <c r="C65" s="47" t="s">
        <v>259</v>
      </c>
      <c r="D65" s="21" t="s">
        <v>260</v>
      </c>
      <c r="E65" s="20" t="s">
        <v>261</v>
      </c>
      <c r="F65" s="26" t="s">
        <v>416</v>
      </c>
    </row>
    <row r="66" spans="1:6" ht="30">
      <c r="A66" s="45">
        <v>62</v>
      </c>
      <c r="B66" s="20" t="s">
        <v>242</v>
      </c>
      <c r="C66" s="21" t="s">
        <v>263</v>
      </c>
      <c r="D66" s="21" t="s">
        <v>264</v>
      </c>
      <c r="E66" s="20" t="s">
        <v>265</v>
      </c>
      <c r="F66" s="26" t="s">
        <v>416</v>
      </c>
    </row>
    <row r="67" spans="1:6" ht="30">
      <c r="A67" s="45">
        <v>63</v>
      </c>
      <c r="B67" s="20" t="s">
        <v>266</v>
      </c>
      <c r="C67" s="47" t="s">
        <v>267</v>
      </c>
      <c r="D67" s="20" t="s">
        <v>677</v>
      </c>
      <c r="E67" s="20" t="s">
        <v>268</v>
      </c>
      <c r="F67" s="26" t="s">
        <v>422</v>
      </c>
    </row>
    <row r="68" spans="1:6">
      <c r="A68" s="45">
        <v>64</v>
      </c>
      <c r="B68" s="20" t="s">
        <v>269</v>
      </c>
      <c r="C68" s="21" t="s">
        <v>270</v>
      </c>
      <c r="D68" s="21" t="s">
        <v>271</v>
      </c>
      <c r="E68" s="20" t="s">
        <v>272</v>
      </c>
      <c r="F68" s="26" t="s">
        <v>441</v>
      </c>
    </row>
    <row r="69" spans="1:6" ht="30">
      <c r="A69" s="45">
        <v>65</v>
      </c>
      <c r="B69" s="20" t="s">
        <v>273</v>
      </c>
      <c r="C69" s="47" t="s">
        <v>274</v>
      </c>
      <c r="D69" s="21" t="s">
        <v>275</v>
      </c>
      <c r="E69" s="20" t="s">
        <v>276</v>
      </c>
      <c r="F69" s="26" t="s">
        <v>422</v>
      </c>
    </row>
    <row r="70" spans="1:6" ht="30">
      <c r="A70" s="45">
        <v>66</v>
      </c>
      <c r="B70" s="20" t="s">
        <v>277</v>
      </c>
      <c r="C70" s="21" t="s">
        <v>278</v>
      </c>
      <c r="D70" s="21" t="s">
        <v>279</v>
      </c>
      <c r="E70" s="20" t="s">
        <v>280</v>
      </c>
      <c r="F70" s="26" t="s">
        <v>416</v>
      </c>
    </row>
    <row r="71" spans="1:6" ht="30">
      <c r="A71" s="45">
        <v>67</v>
      </c>
      <c r="B71" s="20" t="s">
        <v>281</v>
      </c>
      <c r="C71" s="47" t="s">
        <v>282</v>
      </c>
      <c r="D71" s="21" t="s">
        <v>283</v>
      </c>
      <c r="E71" s="20" t="s">
        <v>284</v>
      </c>
      <c r="F71" s="26" t="s">
        <v>423</v>
      </c>
    </row>
    <row r="72" spans="1:6" ht="30">
      <c r="A72" s="45">
        <v>68</v>
      </c>
      <c r="B72" s="20" t="s">
        <v>285</v>
      </c>
      <c r="C72" s="21" t="s">
        <v>286</v>
      </c>
      <c r="D72" s="21" t="s">
        <v>287</v>
      </c>
      <c r="E72" s="20" t="s">
        <v>288</v>
      </c>
      <c r="F72" s="26" t="s">
        <v>422</v>
      </c>
    </row>
    <row r="73" spans="1:6">
      <c r="A73" s="45">
        <v>69</v>
      </c>
      <c r="B73" s="20" t="s">
        <v>289</v>
      </c>
      <c r="C73" s="47" t="s">
        <v>290</v>
      </c>
      <c r="D73" s="21" t="s">
        <v>291</v>
      </c>
      <c r="E73" s="20" t="s">
        <v>292</v>
      </c>
      <c r="F73" s="26" t="s">
        <v>423</v>
      </c>
    </row>
    <row r="74" spans="1:6">
      <c r="A74" s="45">
        <v>70</v>
      </c>
      <c r="B74" s="20" t="s">
        <v>293</v>
      </c>
      <c r="C74" s="21" t="s">
        <v>294</v>
      </c>
      <c r="D74" s="21" t="s">
        <v>295</v>
      </c>
      <c r="E74" s="20" t="s">
        <v>296</v>
      </c>
      <c r="F74" s="26" t="s">
        <v>416</v>
      </c>
    </row>
    <row r="75" spans="1:6" ht="30">
      <c r="A75" s="45">
        <v>71</v>
      </c>
      <c r="B75" s="20" t="s">
        <v>297</v>
      </c>
      <c r="C75" s="47" t="s">
        <v>298</v>
      </c>
      <c r="D75" s="21" t="s">
        <v>299</v>
      </c>
      <c r="E75" s="20" t="s">
        <v>300</v>
      </c>
      <c r="F75" s="26" t="s">
        <v>442</v>
      </c>
    </row>
    <row r="76" spans="1:6">
      <c r="A76" s="45">
        <v>72</v>
      </c>
      <c r="B76" s="20" t="s">
        <v>301</v>
      </c>
      <c r="C76" s="21" t="s">
        <v>302</v>
      </c>
      <c r="D76" s="21" t="s">
        <v>303</v>
      </c>
      <c r="E76" s="20" t="s">
        <v>304</v>
      </c>
      <c r="F76" s="26" t="s">
        <v>416</v>
      </c>
    </row>
    <row r="77" spans="1:6" ht="30">
      <c r="A77" s="45">
        <v>73</v>
      </c>
      <c r="B77" s="20" t="s">
        <v>305</v>
      </c>
      <c r="C77" s="47" t="s">
        <v>306</v>
      </c>
      <c r="D77" s="21" t="s">
        <v>307</v>
      </c>
      <c r="E77" s="20" t="s">
        <v>308</v>
      </c>
      <c r="F77" s="26" t="s">
        <v>431</v>
      </c>
    </row>
    <row r="78" spans="1:6" ht="30">
      <c r="A78" s="45">
        <v>74</v>
      </c>
      <c r="B78" s="20" t="s">
        <v>309</v>
      </c>
      <c r="C78" s="21" t="s">
        <v>310</v>
      </c>
      <c r="D78" s="21" t="s">
        <v>311</v>
      </c>
      <c r="E78" s="20" t="s">
        <v>312</v>
      </c>
      <c r="F78" s="26" t="s">
        <v>439</v>
      </c>
    </row>
    <row r="79" spans="1:6" ht="30">
      <c r="A79" s="45">
        <v>75</v>
      </c>
      <c r="B79" s="20" t="s">
        <v>313</v>
      </c>
      <c r="C79" s="47" t="s">
        <v>314</v>
      </c>
      <c r="D79" s="21" t="s">
        <v>315</v>
      </c>
      <c r="E79" s="20" t="s">
        <v>316</v>
      </c>
      <c r="F79" s="26" t="s">
        <v>416</v>
      </c>
    </row>
    <row r="80" spans="1:6" ht="30">
      <c r="A80" s="45">
        <v>76</v>
      </c>
      <c r="B80" s="20" t="s">
        <v>317</v>
      </c>
      <c r="C80" s="21" t="s">
        <v>318</v>
      </c>
      <c r="D80" s="21" t="s">
        <v>319</v>
      </c>
      <c r="E80" s="20" t="s">
        <v>320</v>
      </c>
      <c r="F80" s="26" t="s">
        <v>422</v>
      </c>
    </row>
    <row r="81" spans="1:6" ht="30">
      <c r="A81" s="45">
        <v>77</v>
      </c>
      <c r="B81" s="20" t="s">
        <v>321</v>
      </c>
      <c r="C81" s="47" t="s">
        <v>322</v>
      </c>
      <c r="D81" s="21" t="s">
        <v>323</v>
      </c>
      <c r="E81" s="20" t="s">
        <v>324</v>
      </c>
      <c r="F81" s="26" t="s">
        <v>423</v>
      </c>
    </row>
    <row r="82" spans="1:6">
      <c r="A82" s="45">
        <v>78</v>
      </c>
      <c r="B82" s="20" t="s">
        <v>325</v>
      </c>
      <c r="C82" s="21" t="s">
        <v>326</v>
      </c>
      <c r="D82" s="21" t="s">
        <v>327</v>
      </c>
      <c r="E82" s="20" t="s">
        <v>328</v>
      </c>
      <c r="F82" s="26" t="s">
        <v>423</v>
      </c>
    </row>
    <row r="83" spans="1:6" ht="30">
      <c r="A83" s="45">
        <v>79</v>
      </c>
      <c r="B83" s="20" t="s">
        <v>329</v>
      </c>
      <c r="C83" s="47" t="s">
        <v>330</v>
      </c>
      <c r="D83" s="21" t="s">
        <v>331</v>
      </c>
      <c r="E83" s="20" t="s">
        <v>332</v>
      </c>
      <c r="F83" s="26" t="s">
        <v>423</v>
      </c>
    </row>
    <row r="84" spans="1:6" ht="30">
      <c r="A84" s="45">
        <v>80</v>
      </c>
      <c r="B84" s="20" t="s">
        <v>333</v>
      </c>
      <c r="C84" s="21" t="s">
        <v>334</v>
      </c>
      <c r="D84" s="21" t="s">
        <v>335</v>
      </c>
      <c r="E84" s="20" t="s">
        <v>336</v>
      </c>
      <c r="F84" s="26" t="s">
        <v>416</v>
      </c>
    </row>
    <row r="85" spans="1:6">
      <c r="A85" s="45">
        <v>81</v>
      </c>
      <c r="B85" s="20" t="s">
        <v>337</v>
      </c>
      <c r="C85" s="47" t="s">
        <v>338</v>
      </c>
      <c r="D85" s="21" t="s">
        <v>339</v>
      </c>
      <c r="E85" s="20" t="s">
        <v>340</v>
      </c>
      <c r="F85" s="26" t="s">
        <v>422</v>
      </c>
    </row>
    <row r="86" spans="1:6" ht="30">
      <c r="A86" s="45">
        <v>82</v>
      </c>
      <c r="B86" s="20" t="s">
        <v>341</v>
      </c>
      <c r="C86" s="21" t="s">
        <v>342</v>
      </c>
      <c r="D86" s="21" t="s">
        <v>343</v>
      </c>
      <c r="E86" s="20" t="s">
        <v>344</v>
      </c>
      <c r="F86" s="26" t="s">
        <v>424</v>
      </c>
    </row>
    <row r="87" spans="1:6">
      <c r="A87" s="45">
        <v>83</v>
      </c>
      <c r="B87" s="20" t="s">
        <v>345</v>
      </c>
      <c r="C87" s="47" t="s">
        <v>346</v>
      </c>
      <c r="D87" s="21" t="s">
        <v>347</v>
      </c>
      <c r="E87" s="20" t="s">
        <v>348</v>
      </c>
      <c r="F87" s="26" t="s">
        <v>416</v>
      </c>
    </row>
    <row r="88" spans="1:6" ht="30">
      <c r="A88" s="45">
        <v>84</v>
      </c>
      <c r="B88" s="20" t="s">
        <v>349</v>
      </c>
      <c r="C88" s="21" t="s">
        <v>350</v>
      </c>
      <c r="D88" s="21" t="s">
        <v>351</v>
      </c>
      <c r="E88" s="20" t="s">
        <v>352</v>
      </c>
      <c r="F88" s="26" t="s">
        <v>432</v>
      </c>
    </row>
    <row r="89" spans="1:6">
      <c r="A89" s="45">
        <v>85</v>
      </c>
      <c r="B89" s="20" t="s">
        <v>353</v>
      </c>
      <c r="C89" s="47" t="s">
        <v>354</v>
      </c>
      <c r="D89" s="21" t="s">
        <v>355</v>
      </c>
      <c r="E89" s="20" t="s">
        <v>356</v>
      </c>
      <c r="F89" s="26" t="s">
        <v>423</v>
      </c>
    </row>
    <row r="90" spans="1:6">
      <c r="A90" s="45">
        <v>86</v>
      </c>
      <c r="B90" s="20" t="s">
        <v>357</v>
      </c>
      <c r="C90" s="21" t="s">
        <v>358</v>
      </c>
      <c r="D90" s="21" t="s">
        <v>359</v>
      </c>
      <c r="E90" s="20" t="s">
        <v>360</v>
      </c>
      <c r="F90" s="26" t="s">
        <v>424</v>
      </c>
    </row>
    <row r="91" spans="1:6" ht="30">
      <c r="A91" s="45">
        <v>87</v>
      </c>
      <c r="B91" s="20" t="s">
        <v>361</v>
      </c>
      <c r="C91" s="47" t="s">
        <v>362</v>
      </c>
      <c r="D91" s="21" t="s">
        <v>363</v>
      </c>
      <c r="E91" s="20" t="s">
        <v>364</v>
      </c>
      <c r="F91" s="26" t="s">
        <v>434</v>
      </c>
    </row>
    <row r="92" spans="1:6" ht="30">
      <c r="A92" s="45">
        <v>88</v>
      </c>
      <c r="B92" s="20" t="s">
        <v>365</v>
      </c>
      <c r="C92" s="21" t="s">
        <v>366</v>
      </c>
      <c r="D92" s="21" t="s">
        <v>367</v>
      </c>
      <c r="E92" s="20" t="s">
        <v>368</v>
      </c>
      <c r="F92" s="26" t="s">
        <v>436</v>
      </c>
    </row>
    <row r="93" spans="1:6" ht="30">
      <c r="A93" s="45">
        <v>89</v>
      </c>
      <c r="B93" s="20" t="s">
        <v>369</v>
      </c>
      <c r="C93" s="47" t="s">
        <v>370</v>
      </c>
      <c r="D93" s="21" t="s">
        <v>371</v>
      </c>
      <c r="E93" s="20" t="s">
        <v>372</v>
      </c>
      <c r="F93" s="26" t="s">
        <v>416</v>
      </c>
    </row>
    <row r="94" spans="1:6" ht="30">
      <c r="A94" s="45">
        <v>90</v>
      </c>
      <c r="B94" s="20" t="s">
        <v>373</v>
      </c>
      <c r="C94" s="21" t="s">
        <v>374</v>
      </c>
      <c r="D94" s="21" t="s">
        <v>375</v>
      </c>
      <c r="E94" s="20" t="s">
        <v>376</v>
      </c>
      <c r="F94" s="26" t="s">
        <v>416</v>
      </c>
    </row>
    <row r="95" spans="1:6" ht="30">
      <c r="A95" s="45">
        <v>91</v>
      </c>
      <c r="B95" s="20" t="s">
        <v>823</v>
      </c>
      <c r="C95" s="47" t="s">
        <v>738</v>
      </c>
      <c r="D95" s="21" t="s">
        <v>377</v>
      </c>
      <c r="E95" s="20" t="s">
        <v>378</v>
      </c>
      <c r="F95" s="26" t="s">
        <v>416</v>
      </c>
    </row>
    <row r="96" spans="1:6" ht="30">
      <c r="A96" s="45">
        <v>92</v>
      </c>
      <c r="B96" s="20" t="s">
        <v>379</v>
      </c>
      <c r="C96" s="21" t="s">
        <v>380</v>
      </c>
      <c r="D96" s="21" t="s">
        <v>381</v>
      </c>
      <c r="E96" s="20" t="s">
        <v>382</v>
      </c>
      <c r="F96" s="26" t="s">
        <v>437</v>
      </c>
    </row>
    <row r="97" spans="1:7">
      <c r="A97" s="45">
        <v>93</v>
      </c>
      <c r="B97" s="20" t="s">
        <v>383</v>
      </c>
      <c r="C97" s="47" t="s">
        <v>384</v>
      </c>
      <c r="D97" s="21" t="s">
        <v>385</v>
      </c>
      <c r="E97" s="20" t="s">
        <v>386</v>
      </c>
      <c r="F97" s="26" t="s">
        <v>439</v>
      </c>
    </row>
    <row r="98" spans="1:7" ht="30">
      <c r="A98" s="45">
        <v>94</v>
      </c>
      <c r="B98" s="20" t="s">
        <v>387</v>
      </c>
      <c r="C98" s="21" t="s">
        <v>388</v>
      </c>
      <c r="D98" s="21" t="s">
        <v>389</v>
      </c>
      <c r="E98" s="20" t="s">
        <v>390</v>
      </c>
      <c r="F98" s="26" t="s">
        <v>443</v>
      </c>
    </row>
    <row r="99" spans="1:7">
      <c r="A99" s="45">
        <v>95</v>
      </c>
      <c r="B99" s="20" t="s">
        <v>391</v>
      </c>
      <c r="C99" s="47" t="s">
        <v>392</v>
      </c>
      <c r="D99" s="21" t="s">
        <v>393</v>
      </c>
      <c r="E99" s="20" t="s">
        <v>394</v>
      </c>
      <c r="F99" s="26" t="s">
        <v>433</v>
      </c>
    </row>
    <row r="100" spans="1:7" ht="30">
      <c r="A100" s="45">
        <v>96</v>
      </c>
      <c r="B100" s="20" t="s">
        <v>395</v>
      </c>
      <c r="C100" s="21" t="s">
        <v>396</v>
      </c>
      <c r="D100" s="21" t="s">
        <v>397</v>
      </c>
      <c r="E100" s="20" t="s">
        <v>398</v>
      </c>
      <c r="F100" s="26" t="s">
        <v>444</v>
      </c>
    </row>
    <row r="101" spans="1:7" ht="30">
      <c r="A101" s="45">
        <v>97</v>
      </c>
      <c r="B101" s="20" t="s">
        <v>399</v>
      </c>
      <c r="C101" s="47" t="s">
        <v>400</v>
      </c>
      <c r="D101" s="21" t="s">
        <v>401</v>
      </c>
      <c r="E101" s="20" t="s">
        <v>445</v>
      </c>
      <c r="F101" s="26" t="s">
        <v>443</v>
      </c>
    </row>
    <row r="102" spans="1:7" ht="30">
      <c r="A102" s="45">
        <v>98</v>
      </c>
      <c r="B102" s="20" t="s">
        <v>402</v>
      </c>
      <c r="C102" s="21" t="s">
        <v>404</v>
      </c>
      <c r="D102" s="21" t="s">
        <v>405</v>
      </c>
      <c r="E102" s="20" t="s">
        <v>406</v>
      </c>
      <c r="F102" s="26" t="s">
        <v>443</v>
      </c>
    </row>
    <row r="103" spans="1:7" ht="30">
      <c r="A103" s="45">
        <v>99</v>
      </c>
      <c r="B103" s="20" t="s">
        <v>403</v>
      </c>
      <c r="C103" s="47" t="s">
        <v>407</v>
      </c>
      <c r="D103" s="21" t="s">
        <v>408</v>
      </c>
      <c r="E103" s="20" t="s">
        <v>409</v>
      </c>
      <c r="F103" s="26" t="s">
        <v>422</v>
      </c>
    </row>
    <row r="104" spans="1:7" ht="30">
      <c r="A104" s="45">
        <v>100</v>
      </c>
      <c r="B104" s="20" t="s">
        <v>410</v>
      </c>
      <c r="C104" s="21" t="s">
        <v>411</v>
      </c>
      <c r="D104" s="21" t="s">
        <v>413</v>
      </c>
      <c r="E104" s="20" t="s">
        <v>412</v>
      </c>
      <c r="F104" s="26" t="s">
        <v>434</v>
      </c>
    </row>
    <row r="105" spans="1:7">
      <c r="A105" s="45">
        <v>101</v>
      </c>
      <c r="B105" s="20" t="s">
        <v>447</v>
      </c>
      <c r="C105" s="47" t="s">
        <v>448</v>
      </c>
      <c r="D105" s="21" t="s">
        <v>449</v>
      </c>
      <c r="E105" s="20" t="s">
        <v>450</v>
      </c>
      <c r="F105" s="26" t="s">
        <v>451</v>
      </c>
    </row>
    <row r="106" spans="1:7" ht="30">
      <c r="A106" s="45">
        <v>102</v>
      </c>
      <c r="B106" s="20" t="s">
        <v>79</v>
      </c>
      <c r="C106" s="55" t="s">
        <v>463</v>
      </c>
      <c r="D106" s="21" t="s">
        <v>335</v>
      </c>
      <c r="E106" s="20" t="s">
        <v>336</v>
      </c>
      <c r="F106" s="26" t="s">
        <v>416</v>
      </c>
    </row>
    <row r="107" spans="1:7" ht="30">
      <c r="A107" s="45">
        <v>103</v>
      </c>
      <c r="B107" s="20" t="s">
        <v>465</v>
      </c>
      <c r="C107" s="47" t="s">
        <v>466</v>
      </c>
      <c r="D107" s="21" t="s">
        <v>467</v>
      </c>
      <c r="E107" s="20" t="s">
        <v>468</v>
      </c>
      <c r="F107" s="26" t="s">
        <v>416</v>
      </c>
    </row>
    <row r="108" spans="1:7" ht="30">
      <c r="A108" s="45">
        <v>104</v>
      </c>
      <c r="B108" s="282" t="s">
        <v>470</v>
      </c>
      <c r="C108" s="21" t="s">
        <v>471</v>
      </c>
      <c r="D108" s="20" t="s">
        <v>688</v>
      </c>
      <c r="E108" s="20" t="s">
        <v>472</v>
      </c>
      <c r="F108" s="26" t="s">
        <v>416</v>
      </c>
    </row>
    <row r="109" spans="1:7" ht="30">
      <c r="A109" s="45">
        <v>105</v>
      </c>
      <c r="B109" s="20" t="s">
        <v>473</v>
      </c>
      <c r="C109" s="47" t="s">
        <v>474</v>
      </c>
      <c r="D109" s="21"/>
      <c r="E109" s="20" t="s">
        <v>475</v>
      </c>
      <c r="F109" s="26" t="s">
        <v>423</v>
      </c>
      <c r="G109" s="80" t="s">
        <v>591</v>
      </c>
    </row>
    <row r="110" spans="1:7" ht="30">
      <c r="A110" s="45">
        <v>106</v>
      </c>
      <c r="B110" s="20" t="s">
        <v>476</v>
      </c>
      <c r="C110" s="21" t="s">
        <v>477</v>
      </c>
      <c r="D110" s="21" t="s">
        <v>478</v>
      </c>
      <c r="E110" s="20" t="s">
        <v>479</v>
      </c>
      <c r="F110" s="26" t="s">
        <v>416</v>
      </c>
    </row>
    <row r="111" spans="1:7" ht="30">
      <c r="A111" s="45">
        <v>107</v>
      </c>
      <c r="B111" s="57" t="s">
        <v>481</v>
      </c>
      <c r="C111" s="47" t="s">
        <v>482</v>
      </c>
      <c r="D111" s="21" t="s">
        <v>483</v>
      </c>
      <c r="E111" s="20" t="s">
        <v>484</v>
      </c>
      <c r="F111" s="26" t="s">
        <v>423</v>
      </c>
    </row>
    <row r="112" spans="1:7" ht="30">
      <c r="A112" s="45">
        <v>108</v>
      </c>
      <c r="B112" s="57" t="s">
        <v>486</v>
      </c>
      <c r="C112" s="21" t="s">
        <v>540</v>
      </c>
      <c r="D112" s="21" t="s">
        <v>487</v>
      </c>
      <c r="E112" s="20" t="s">
        <v>488</v>
      </c>
      <c r="F112" s="26" t="s">
        <v>485</v>
      </c>
    </row>
    <row r="113" spans="1:7" ht="30">
      <c r="A113" s="45">
        <v>109</v>
      </c>
      <c r="B113" s="20" t="s">
        <v>490</v>
      </c>
      <c r="C113" s="47" t="s">
        <v>491</v>
      </c>
      <c r="D113" s="21" t="s">
        <v>492</v>
      </c>
      <c r="E113" s="20" t="s">
        <v>493</v>
      </c>
      <c r="F113" s="26" t="s">
        <v>439</v>
      </c>
    </row>
    <row r="114" spans="1:7" ht="30">
      <c r="A114" s="45">
        <v>110</v>
      </c>
      <c r="B114" s="20" t="s">
        <v>494</v>
      </c>
      <c r="C114" s="21" t="s">
        <v>495</v>
      </c>
      <c r="D114" s="21" t="s">
        <v>496</v>
      </c>
      <c r="E114" s="20" t="s">
        <v>497</v>
      </c>
      <c r="F114" s="26" t="s">
        <v>416</v>
      </c>
    </row>
    <row r="115" spans="1:7">
      <c r="A115" s="45">
        <v>111</v>
      </c>
      <c r="B115" s="20" t="s">
        <v>592</v>
      </c>
      <c r="C115" s="47" t="s">
        <v>498</v>
      </c>
      <c r="D115" s="21" t="s">
        <v>499</v>
      </c>
      <c r="E115" s="20" t="s">
        <v>500</v>
      </c>
      <c r="F115" s="26" t="s">
        <v>423</v>
      </c>
      <c r="G115" s="80" t="s">
        <v>591</v>
      </c>
    </row>
    <row r="116" spans="1:7" ht="30">
      <c r="A116" s="45">
        <v>112</v>
      </c>
      <c r="B116" s="20" t="s">
        <v>501</v>
      </c>
      <c r="C116" s="21" t="s">
        <v>502</v>
      </c>
      <c r="D116" s="21" t="s">
        <v>503</v>
      </c>
      <c r="E116" s="20" t="s">
        <v>504</v>
      </c>
      <c r="F116" s="26" t="s">
        <v>441</v>
      </c>
    </row>
    <row r="117" spans="1:7">
      <c r="A117" s="45">
        <v>113</v>
      </c>
      <c r="B117" s="20" t="s">
        <v>505</v>
      </c>
      <c r="C117" s="47" t="s">
        <v>506</v>
      </c>
      <c r="D117" s="21" t="s">
        <v>507</v>
      </c>
      <c r="E117" s="20" t="s">
        <v>508</v>
      </c>
      <c r="F117" s="26" t="s">
        <v>423</v>
      </c>
    </row>
    <row r="118" spans="1:7">
      <c r="A118" s="45">
        <v>114</v>
      </c>
      <c r="B118" s="20" t="s">
        <v>1135</v>
      </c>
      <c r="C118" s="21" t="s">
        <v>1136</v>
      </c>
      <c r="D118" s="21" t="s">
        <v>1137</v>
      </c>
      <c r="E118" s="20" t="s">
        <v>1138</v>
      </c>
      <c r="F118" s="26" t="s">
        <v>416</v>
      </c>
    </row>
    <row r="119" spans="1:7">
      <c r="A119" s="45">
        <v>115</v>
      </c>
      <c r="B119" s="20" t="s">
        <v>511</v>
      </c>
      <c r="C119" s="47"/>
      <c r="D119" s="21"/>
      <c r="E119" s="20"/>
      <c r="F119" s="26" t="s">
        <v>416</v>
      </c>
    </row>
    <row r="120" spans="1:7">
      <c r="A120" s="45">
        <v>116</v>
      </c>
      <c r="B120" s="20" t="s">
        <v>514</v>
      </c>
      <c r="C120" s="21" t="s">
        <v>516</v>
      </c>
      <c r="D120" s="21" t="s">
        <v>517</v>
      </c>
      <c r="E120" s="20" t="s">
        <v>518</v>
      </c>
      <c r="F120" s="26" t="s">
        <v>423</v>
      </c>
    </row>
    <row r="121" spans="1:7">
      <c r="A121" s="45">
        <v>117</v>
      </c>
      <c r="B121" s="20" t="s">
        <v>521</v>
      </c>
      <c r="C121" s="47"/>
      <c r="D121" s="21"/>
      <c r="E121" s="20"/>
      <c r="F121" s="26" t="s">
        <v>416</v>
      </c>
    </row>
    <row r="122" spans="1:7">
      <c r="A122" s="45">
        <v>118</v>
      </c>
      <c r="B122" s="20" t="s">
        <v>522</v>
      </c>
      <c r="C122" s="21"/>
      <c r="D122" s="21">
        <v>412078232</v>
      </c>
      <c r="E122" s="20"/>
      <c r="F122" s="26" t="s">
        <v>416</v>
      </c>
    </row>
    <row r="123" spans="1:7">
      <c r="A123" s="45">
        <v>119</v>
      </c>
      <c r="B123" s="20" t="s">
        <v>523</v>
      </c>
      <c r="C123" s="47"/>
      <c r="D123" s="21"/>
      <c r="E123" s="20"/>
      <c r="F123" s="26" t="s">
        <v>416</v>
      </c>
    </row>
    <row r="124" spans="1:7" ht="30">
      <c r="A124" s="45">
        <v>120</v>
      </c>
      <c r="B124" s="20" t="s">
        <v>526</v>
      </c>
      <c r="C124" s="21" t="s">
        <v>527</v>
      </c>
      <c r="D124" s="21" t="s">
        <v>528</v>
      </c>
      <c r="E124" s="20" t="s">
        <v>529</v>
      </c>
      <c r="F124" s="26" t="s">
        <v>423</v>
      </c>
    </row>
    <row r="125" spans="1:7" ht="30">
      <c r="A125" s="45">
        <v>121</v>
      </c>
      <c r="B125" s="20" t="s">
        <v>530</v>
      </c>
      <c r="C125" s="47" t="s">
        <v>509</v>
      </c>
      <c r="D125" s="21" t="s">
        <v>510</v>
      </c>
      <c r="E125" s="20" t="s">
        <v>531</v>
      </c>
      <c r="F125" s="26" t="s">
        <v>416</v>
      </c>
    </row>
    <row r="126" spans="1:7" ht="30">
      <c r="A126" s="45">
        <v>122</v>
      </c>
      <c r="B126" s="20" t="s">
        <v>513</v>
      </c>
      <c r="C126" s="21" t="s">
        <v>519</v>
      </c>
      <c r="D126" s="21" t="s">
        <v>520</v>
      </c>
      <c r="E126" s="20" t="s">
        <v>704</v>
      </c>
      <c r="F126" s="26" t="s">
        <v>423</v>
      </c>
      <c r="G126" s="80" t="s">
        <v>591</v>
      </c>
    </row>
    <row r="127" spans="1:7">
      <c r="A127" s="45">
        <v>123</v>
      </c>
      <c r="B127" s="20" t="s">
        <v>537</v>
      </c>
      <c r="C127" s="47"/>
      <c r="D127" s="21"/>
      <c r="E127" s="20"/>
      <c r="F127" s="26" t="s">
        <v>416</v>
      </c>
    </row>
    <row r="128" spans="1:7">
      <c r="A128" s="45">
        <v>124</v>
      </c>
      <c r="B128" s="20" t="s">
        <v>535</v>
      </c>
      <c r="C128" s="21"/>
      <c r="D128" s="21"/>
      <c r="E128" s="20"/>
      <c r="F128" s="26" t="s">
        <v>416</v>
      </c>
    </row>
    <row r="129" spans="1:7">
      <c r="A129" s="45">
        <v>125</v>
      </c>
      <c r="B129" s="20" t="s">
        <v>536</v>
      </c>
      <c r="C129" s="47"/>
      <c r="D129" s="21" t="s">
        <v>1123</v>
      </c>
      <c r="E129" s="20" t="s">
        <v>416</v>
      </c>
      <c r="F129" s="26" t="s">
        <v>416</v>
      </c>
    </row>
    <row r="130" spans="1:7">
      <c r="A130" s="45">
        <v>126</v>
      </c>
      <c r="B130" s="20" t="s">
        <v>542</v>
      </c>
      <c r="C130" s="21"/>
      <c r="D130" s="21"/>
      <c r="E130" s="20"/>
      <c r="F130" s="26" t="s">
        <v>423</v>
      </c>
    </row>
    <row r="131" spans="1:7">
      <c r="A131" s="45">
        <v>127</v>
      </c>
      <c r="B131" s="20" t="s">
        <v>544</v>
      </c>
      <c r="C131" s="47"/>
      <c r="D131" s="21"/>
      <c r="E131" s="20"/>
      <c r="F131" s="26" t="s">
        <v>416</v>
      </c>
    </row>
    <row r="132" spans="1:7">
      <c r="A132" s="45">
        <v>128</v>
      </c>
      <c r="B132" s="20" t="s">
        <v>545</v>
      </c>
      <c r="C132" s="21"/>
      <c r="D132" s="21"/>
      <c r="E132" s="20"/>
      <c r="F132" s="26" t="s">
        <v>416</v>
      </c>
    </row>
    <row r="133" spans="1:7" ht="30">
      <c r="A133" s="45">
        <v>129</v>
      </c>
      <c r="B133" s="20" t="s">
        <v>549</v>
      </c>
      <c r="C133" s="47" t="s">
        <v>489</v>
      </c>
      <c r="D133" s="21" t="s">
        <v>551</v>
      </c>
      <c r="E133" s="20" t="s">
        <v>895</v>
      </c>
      <c r="F133" s="26" t="s">
        <v>423</v>
      </c>
    </row>
    <row r="134" spans="1:7">
      <c r="A134" s="45">
        <v>130</v>
      </c>
      <c r="B134" s="20" t="s">
        <v>552</v>
      </c>
      <c r="C134" s="21"/>
      <c r="D134" s="21" t="s">
        <v>553</v>
      </c>
      <c r="E134" s="20"/>
      <c r="F134" s="26" t="s">
        <v>423</v>
      </c>
    </row>
    <row r="135" spans="1:7">
      <c r="A135" s="45">
        <v>131</v>
      </c>
      <c r="B135" s="20" t="s">
        <v>554</v>
      </c>
      <c r="C135" s="47" t="s">
        <v>555</v>
      </c>
      <c r="D135" s="21" t="s">
        <v>556</v>
      </c>
      <c r="E135" s="20" t="s">
        <v>557</v>
      </c>
      <c r="F135" s="26" t="s">
        <v>423</v>
      </c>
    </row>
    <row r="136" spans="1:7" ht="30">
      <c r="A136" s="45">
        <v>132</v>
      </c>
      <c r="B136" s="20" t="s">
        <v>558</v>
      </c>
      <c r="C136" s="21" t="s">
        <v>561</v>
      </c>
      <c r="D136" s="21" t="s">
        <v>560</v>
      </c>
      <c r="E136" s="20" t="s">
        <v>559</v>
      </c>
      <c r="F136" s="26" t="s">
        <v>423</v>
      </c>
      <c r="G136" s="80" t="s">
        <v>591</v>
      </c>
    </row>
    <row r="137" spans="1:7">
      <c r="A137" s="45">
        <v>133</v>
      </c>
      <c r="B137" s="20" t="s">
        <v>564</v>
      </c>
      <c r="C137" s="47"/>
      <c r="D137" s="21" t="s">
        <v>565</v>
      </c>
      <c r="E137" s="20"/>
      <c r="F137" s="26" t="s">
        <v>423</v>
      </c>
    </row>
    <row r="138" spans="1:7" ht="30">
      <c r="A138" s="45">
        <v>134</v>
      </c>
      <c r="B138" s="20" t="s">
        <v>566</v>
      </c>
      <c r="C138" s="21" t="s">
        <v>567</v>
      </c>
      <c r="D138" s="81" t="s">
        <v>568</v>
      </c>
      <c r="E138" s="20" t="s">
        <v>569</v>
      </c>
      <c r="F138" s="26" t="s">
        <v>423</v>
      </c>
    </row>
    <row r="139" spans="1:7">
      <c r="A139" s="45">
        <v>135</v>
      </c>
      <c r="B139" s="20" t="s">
        <v>570</v>
      </c>
      <c r="C139" s="47" t="s">
        <v>571</v>
      </c>
      <c r="D139" s="81" t="s">
        <v>572</v>
      </c>
      <c r="E139" s="20" t="s">
        <v>573</v>
      </c>
      <c r="F139" s="26" t="s">
        <v>423</v>
      </c>
    </row>
    <row r="140" spans="1:7">
      <c r="A140" s="45">
        <v>136</v>
      </c>
      <c r="B140" s="20" t="s">
        <v>574</v>
      </c>
      <c r="C140" s="21"/>
      <c r="D140" s="21"/>
      <c r="E140" s="20"/>
      <c r="F140" s="26" t="s">
        <v>423</v>
      </c>
    </row>
    <row r="141" spans="1:7" ht="30">
      <c r="A141" s="45">
        <v>137</v>
      </c>
      <c r="B141" s="20" t="s">
        <v>575</v>
      </c>
      <c r="C141" s="47" t="s">
        <v>576</v>
      </c>
      <c r="D141" s="21" t="s">
        <v>577</v>
      </c>
      <c r="E141" s="20" t="s">
        <v>578</v>
      </c>
      <c r="F141" s="26" t="s">
        <v>416</v>
      </c>
    </row>
    <row r="142" spans="1:7" ht="30">
      <c r="A142" s="45">
        <v>138</v>
      </c>
      <c r="B142" s="20" t="s">
        <v>581</v>
      </c>
      <c r="C142" s="21" t="s">
        <v>543</v>
      </c>
      <c r="D142" s="21" t="s">
        <v>579</v>
      </c>
      <c r="E142" s="20" t="s">
        <v>580</v>
      </c>
      <c r="F142" s="26" t="s">
        <v>416</v>
      </c>
    </row>
    <row r="143" spans="1:7">
      <c r="A143" s="45">
        <v>139</v>
      </c>
      <c r="B143" s="20" t="s">
        <v>582</v>
      </c>
      <c r="C143" s="47"/>
      <c r="D143" s="21"/>
      <c r="E143" s="20"/>
      <c r="F143" s="26" t="s">
        <v>416</v>
      </c>
    </row>
    <row r="144" spans="1:7" ht="30">
      <c r="A144" s="45">
        <v>140</v>
      </c>
      <c r="B144" s="20" t="s">
        <v>583</v>
      </c>
      <c r="C144" s="21" t="s">
        <v>584</v>
      </c>
      <c r="D144" s="21" t="s">
        <v>585</v>
      </c>
      <c r="E144" s="20" t="s">
        <v>586</v>
      </c>
      <c r="F144" s="26" t="s">
        <v>416</v>
      </c>
    </row>
    <row r="145" spans="1:7" ht="30">
      <c r="A145" s="45">
        <v>141</v>
      </c>
      <c r="B145" s="20" t="s">
        <v>587</v>
      </c>
      <c r="C145" s="47" t="s">
        <v>588</v>
      </c>
      <c r="D145" s="21" t="s">
        <v>589</v>
      </c>
      <c r="E145" s="20" t="s">
        <v>590</v>
      </c>
      <c r="F145" s="26" t="s">
        <v>461</v>
      </c>
    </row>
    <row r="146" spans="1:7">
      <c r="A146" s="45">
        <v>142</v>
      </c>
      <c r="B146" s="20" t="s">
        <v>593</v>
      </c>
      <c r="C146" s="21" t="s">
        <v>594</v>
      </c>
      <c r="D146" s="21" t="s">
        <v>601</v>
      </c>
      <c r="E146" s="20" t="s">
        <v>595</v>
      </c>
      <c r="F146" s="26" t="s">
        <v>416</v>
      </c>
    </row>
    <row r="147" spans="1:7">
      <c r="A147" s="45">
        <v>143</v>
      </c>
      <c r="B147" s="20" t="s">
        <v>596</v>
      </c>
      <c r="C147" s="47" t="s">
        <v>599</v>
      </c>
      <c r="D147" s="81" t="s">
        <v>600</v>
      </c>
      <c r="E147" s="20" t="s">
        <v>602</v>
      </c>
      <c r="F147" s="26" t="s">
        <v>423</v>
      </c>
    </row>
    <row r="148" spans="1:7" ht="30">
      <c r="A148" s="45">
        <v>144</v>
      </c>
      <c r="B148" s="20" t="s">
        <v>597</v>
      </c>
      <c r="C148" s="21" t="s">
        <v>603</v>
      </c>
      <c r="D148" s="21" t="s">
        <v>604</v>
      </c>
      <c r="E148" s="20" t="s">
        <v>598</v>
      </c>
      <c r="F148" s="26" t="s">
        <v>423</v>
      </c>
    </row>
    <row r="149" spans="1:7" s="67" customFormat="1">
      <c r="A149" s="45">
        <v>145</v>
      </c>
      <c r="B149" s="20" t="s">
        <v>605</v>
      </c>
      <c r="C149" s="21" t="s">
        <v>606</v>
      </c>
      <c r="D149" s="21" t="s">
        <v>607</v>
      </c>
      <c r="E149" s="20" t="s">
        <v>608</v>
      </c>
      <c r="F149" s="26" t="s">
        <v>416</v>
      </c>
    </row>
    <row r="150" spans="1:7" s="67" customFormat="1" ht="30">
      <c r="A150" s="45">
        <v>146</v>
      </c>
      <c r="B150" s="20" t="s">
        <v>609</v>
      </c>
      <c r="C150" s="21" t="s">
        <v>610</v>
      </c>
      <c r="D150" s="21" t="s">
        <v>676</v>
      </c>
      <c r="E150" s="20" t="s">
        <v>611</v>
      </c>
      <c r="F150" s="26" t="s">
        <v>423</v>
      </c>
      <c r="G150" s="80" t="s">
        <v>591</v>
      </c>
    </row>
    <row r="151" spans="1:7" s="67" customFormat="1" ht="30">
      <c r="A151" s="45">
        <v>147</v>
      </c>
      <c r="B151" s="20" t="s">
        <v>612</v>
      </c>
      <c r="C151" s="21" t="s">
        <v>613</v>
      </c>
      <c r="D151" s="21" t="s">
        <v>676</v>
      </c>
      <c r="E151" s="20" t="s">
        <v>614</v>
      </c>
      <c r="F151" s="26" t="s">
        <v>423</v>
      </c>
    </row>
    <row r="152" spans="1:7" s="67" customFormat="1">
      <c r="A152" s="45">
        <v>148</v>
      </c>
      <c r="B152" s="20" t="s">
        <v>615</v>
      </c>
      <c r="C152" s="21"/>
      <c r="D152" s="21"/>
      <c r="E152" s="20"/>
      <c r="F152" s="26" t="s">
        <v>416</v>
      </c>
    </row>
    <row r="153" spans="1:7" s="67" customFormat="1">
      <c r="A153" s="45">
        <v>149</v>
      </c>
      <c r="B153" s="20" t="s">
        <v>616</v>
      </c>
      <c r="C153" s="21"/>
      <c r="D153" s="21"/>
      <c r="E153" s="20"/>
      <c r="F153" s="26" t="s">
        <v>416</v>
      </c>
    </row>
    <row r="154" spans="1:7" s="67" customFormat="1" ht="30">
      <c r="A154" s="45">
        <v>150</v>
      </c>
      <c r="B154" s="20" t="s">
        <v>617</v>
      </c>
      <c r="C154" s="21" t="s">
        <v>618</v>
      </c>
      <c r="D154" s="21" t="s">
        <v>798</v>
      </c>
      <c r="E154" s="20" t="s">
        <v>799</v>
      </c>
      <c r="F154" s="26" t="s">
        <v>416</v>
      </c>
      <c r="G154" s="80" t="s">
        <v>591</v>
      </c>
    </row>
    <row r="155" spans="1:7" s="67" customFormat="1" ht="30">
      <c r="A155" s="45">
        <v>151</v>
      </c>
      <c r="B155" s="20" t="s">
        <v>619</v>
      </c>
      <c r="C155" s="21" t="s">
        <v>330</v>
      </c>
      <c r="D155" s="21" t="s">
        <v>331</v>
      </c>
      <c r="E155" s="20" t="s">
        <v>332</v>
      </c>
      <c r="F155" s="26" t="s">
        <v>423</v>
      </c>
    </row>
    <row r="156" spans="1:7" s="67" customFormat="1" ht="30">
      <c r="A156" s="45">
        <v>152</v>
      </c>
      <c r="B156" s="20" t="s">
        <v>620</v>
      </c>
      <c r="C156" s="21" t="s">
        <v>621</v>
      </c>
      <c r="D156" s="21" t="s">
        <v>622</v>
      </c>
      <c r="E156" s="20" t="s">
        <v>623</v>
      </c>
      <c r="F156" s="26" t="s">
        <v>423</v>
      </c>
    </row>
    <row r="157" spans="1:7" s="67" customFormat="1" ht="30">
      <c r="A157" s="45">
        <v>153</v>
      </c>
      <c r="B157" s="20" t="s">
        <v>624</v>
      </c>
      <c r="C157" s="21" t="s">
        <v>625</v>
      </c>
      <c r="D157" s="21" t="s">
        <v>626</v>
      </c>
      <c r="E157" s="20" t="s">
        <v>627</v>
      </c>
      <c r="F157" s="26" t="s">
        <v>423</v>
      </c>
    </row>
    <row r="158" spans="1:7" s="67" customFormat="1">
      <c r="A158" s="45">
        <v>154</v>
      </c>
      <c r="B158" s="20" t="s">
        <v>628</v>
      </c>
      <c r="C158" s="21" t="s">
        <v>629</v>
      </c>
      <c r="D158" s="21" t="s">
        <v>248</v>
      </c>
      <c r="E158" s="20" t="s">
        <v>630</v>
      </c>
      <c r="F158" s="26" t="s">
        <v>423</v>
      </c>
      <c r="G158" s="80" t="s">
        <v>591</v>
      </c>
    </row>
    <row r="159" spans="1:7" s="67" customFormat="1">
      <c r="A159" s="45">
        <v>155</v>
      </c>
      <c r="B159" s="20" t="s">
        <v>644</v>
      </c>
      <c r="C159" s="21" t="s">
        <v>645</v>
      </c>
      <c r="D159" s="21" t="s">
        <v>646</v>
      </c>
      <c r="E159" s="20" t="s">
        <v>647</v>
      </c>
      <c r="F159" s="26" t="s">
        <v>416</v>
      </c>
    </row>
    <row r="160" spans="1:7" s="67" customFormat="1">
      <c r="A160" s="45">
        <v>156</v>
      </c>
      <c r="B160" s="20" t="s">
        <v>665</v>
      </c>
      <c r="C160" s="21"/>
      <c r="D160" s="21"/>
      <c r="E160" s="20"/>
      <c r="F160" s="26" t="s">
        <v>416</v>
      </c>
    </row>
    <row r="161" spans="1:7" s="67" customFormat="1" ht="30">
      <c r="A161" s="45">
        <v>157</v>
      </c>
      <c r="B161" s="20" t="s">
        <v>648</v>
      </c>
      <c r="C161" s="21" t="s">
        <v>649</v>
      </c>
      <c r="D161" s="21" t="s">
        <v>650</v>
      </c>
      <c r="E161" s="20" t="s">
        <v>651</v>
      </c>
      <c r="F161" s="26" t="s">
        <v>423</v>
      </c>
      <c r="G161" s="73" t="s">
        <v>591</v>
      </c>
    </row>
    <row r="162" spans="1:7" s="67" customFormat="1" ht="30">
      <c r="A162" s="45">
        <v>158</v>
      </c>
      <c r="B162" s="20" t="s">
        <v>652</v>
      </c>
      <c r="C162" s="21" t="s">
        <v>653</v>
      </c>
      <c r="D162" s="21" t="s">
        <v>654</v>
      </c>
      <c r="E162" s="20" t="s">
        <v>655</v>
      </c>
      <c r="F162" s="26" t="s">
        <v>423</v>
      </c>
      <c r="G162" s="73" t="s">
        <v>591</v>
      </c>
    </row>
    <row r="163" spans="1:7" s="67" customFormat="1">
      <c r="A163" s="45">
        <v>159</v>
      </c>
      <c r="B163" s="20" t="s">
        <v>656</v>
      </c>
      <c r="C163" s="21" t="s">
        <v>657</v>
      </c>
      <c r="D163" s="21" t="s">
        <v>658</v>
      </c>
      <c r="E163" s="20" t="s">
        <v>659</v>
      </c>
      <c r="F163" s="26" t="s">
        <v>631</v>
      </c>
    </row>
    <row r="164" spans="1:7" s="67" customFormat="1">
      <c r="A164" s="45">
        <v>160</v>
      </c>
      <c r="B164" s="20" t="s">
        <v>660</v>
      </c>
      <c r="C164" s="21" t="s">
        <v>661</v>
      </c>
      <c r="D164" s="21" t="s">
        <v>662</v>
      </c>
      <c r="E164" s="20" t="s">
        <v>663</v>
      </c>
      <c r="F164" s="26" t="s">
        <v>416</v>
      </c>
    </row>
    <row r="165" spans="1:7" s="67" customFormat="1">
      <c r="A165" s="45">
        <v>161</v>
      </c>
      <c r="B165" s="20" t="s">
        <v>664</v>
      </c>
      <c r="C165" s="21"/>
      <c r="D165" s="21"/>
      <c r="E165" s="20"/>
      <c r="F165" s="26"/>
    </row>
    <row r="166" spans="1:7" s="67" customFormat="1" ht="30">
      <c r="A166" s="45">
        <v>162</v>
      </c>
      <c r="B166" s="20" t="s">
        <v>668</v>
      </c>
      <c r="C166" s="21" t="s">
        <v>669</v>
      </c>
      <c r="D166" s="21" t="s">
        <v>670</v>
      </c>
      <c r="E166" s="20" t="s">
        <v>671</v>
      </c>
      <c r="F166" s="26" t="s">
        <v>423</v>
      </c>
      <c r="G166" s="80" t="s">
        <v>591</v>
      </c>
    </row>
    <row r="167" spans="1:7" s="67" customFormat="1">
      <c r="A167" s="45">
        <v>163</v>
      </c>
      <c r="B167" s="20" t="s">
        <v>672</v>
      </c>
      <c r="C167" s="21"/>
      <c r="D167" s="21"/>
      <c r="E167" s="20"/>
      <c r="F167" s="26" t="s">
        <v>416</v>
      </c>
    </row>
    <row r="168" spans="1:7" s="67" customFormat="1" ht="30">
      <c r="A168" s="45">
        <v>164</v>
      </c>
      <c r="B168" s="20" t="s">
        <v>678</v>
      </c>
      <c r="C168" s="21" t="s">
        <v>679</v>
      </c>
      <c r="D168" s="20" t="s">
        <v>797</v>
      </c>
      <c r="E168" s="20" t="s">
        <v>680</v>
      </c>
      <c r="F168" s="26" t="s">
        <v>416</v>
      </c>
    </row>
    <row r="169" spans="1:7" s="67" customFormat="1">
      <c r="A169" s="45">
        <v>165</v>
      </c>
      <c r="B169" s="20" t="s">
        <v>683</v>
      </c>
      <c r="C169" s="21"/>
      <c r="D169" s="21"/>
      <c r="E169" s="20"/>
      <c r="F169" s="26" t="s">
        <v>416</v>
      </c>
    </row>
    <row r="170" spans="1:7" s="67" customFormat="1">
      <c r="A170" s="45">
        <v>166</v>
      </c>
      <c r="B170" s="20" t="s">
        <v>726</v>
      </c>
      <c r="C170" s="21" t="s">
        <v>684</v>
      </c>
      <c r="D170" s="21" t="s">
        <v>685</v>
      </c>
      <c r="E170" s="20" t="s">
        <v>686</v>
      </c>
      <c r="F170" s="26" t="s">
        <v>423</v>
      </c>
    </row>
    <row r="171" spans="1:7" s="67" customFormat="1">
      <c r="A171" s="45">
        <v>167</v>
      </c>
      <c r="B171" s="20" t="s">
        <v>689</v>
      </c>
      <c r="C171" s="21" t="s">
        <v>690</v>
      </c>
      <c r="D171" s="21" t="s">
        <v>691</v>
      </c>
      <c r="E171" s="20" t="s">
        <v>692</v>
      </c>
      <c r="F171" s="26" t="s">
        <v>423</v>
      </c>
    </row>
    <row r="172" spans="1:7" s="67" customFormat="1" ht="30">
      <c r="A172" s="45">
        <v>168</v>
      </c>
      <c r="B172" s="20" t="s">
        <v>693</v>
      </c>
      <c r="C172" s="21" t="s">
        <v>694</v>
      </c>
      <c r="D172" s="21" t="s">
        <v>695</v>
      </c>
      <c r="E172" s="20" t="s">
        <v>696</v>
      </c>
      <c r="F172" s="26" t="s">
        <v>416</v>
      </c>
    </row>
    <row r="173" spans="1:7" s="67" customFormat="1" ht="30">
      <c r="A173" s="45">
        <v>169</v>
      </c>
      <c r="B173" s="20" t="s">
        <v>700</v>
      </c>
      <c r="C173" s="21" t="s">
        <v>701</v>
      </c>
      <c r="D173" s="21" t="s">
        <v>702</v>
      </c>
      <c r="E173" s="20" t="s">
        <v>703</v>
      </c>
      <c r="F173" s="26" t="s">
        <v>423</v>
      </c>
    </row>
    <row r="174" spans="1:7" s="67" customFormat="1">
      <c r="A174" s="45">
        <v>170</v>
      </c>
      <c r="B174" s="20" t="s">
        <v>697</v>
      </c>
      <c r="C174" s="21"/>
      <c r="D174" s="21"/>
      <c r="E174" s="20"/>
      <c r="F174" s="26" t="s">
        <v>416</v>
      </c>
    </row>
    <row r="175" spans="1:7" s="67" customFormat="1">
      <c r="A175" s="45">
        <v>171</v>
      </c>
      <c r="B175" s="20" t="s">
        <v>698</v>
      </c>
      <c r="C175" s="21"/>
      <c r="D175" s="21"/>
      <c r="E175" s="20"/>
      <c r="F175" s="26" t="s">
        <v>423</v>
      </c>
    </row>
    <row r="176" spans="1:7" s="67" customFormat="1">
      <c r="A176" s="45">
        <v>172</v>
      </c>
      <c r="B176" s="20" t="s">
        <v>699</v>
      </c>
      <c r="C176" s="21"/>
      <c r="D176" s="21"/>
      <c r="E176" s="20"/>
      <c r="F176" s="26" t="s">
        <v>423</v>
      </c>
    </row>
    <row r="177" spans="1:6" s="67" customFormat="1">
      <c r="A177" s="45">
        <v>173</v>
      </c>
      <c r="B177" s="20" t="s">
        <v>708</v>
      </c>
      <c r="C177" s="21"/>
      <c r="D177" s="21"/>
      <c r="E177" s="20"/>
      <c r="F177" s="26"/>
    </row>
    <row r="178" spans="1:6" s="67" customFormat="1">
      <c r="A178" s="45">
        <v>174</v>
      </c>
      <c r="B178" s="20" t="s">
        <v>709</v>
      </c>
      <c r="C178" s="21"/>
      <c r="D178" s="21"/>
      <c r="E178" s="20"/>
      <c r="F178" s="26"/>
    </row>
    <row r="179" spans="1:6" s="67" customFormat="1" ht="30">
      <c r="A179" s="45">
        <v>175</v>
      </c>
      <c r="B179" s="20" t="s">
        <v>712</v>
      </c>
      <c r="C179" s="21" t="s">
        <v>713</v>
      </c>
      <c r="D179" s="21" t="s">
        <v>622</v>
      </c>
      <c r="E179" s="20" t="s">
        <v>714</v>
      </c>
      <c r="F179" s="26" t="s">
        <v>423</v>
      </c>
    </row>
    <row r="180" spans="1:6" s="67" customFormat="1">
      <c r="A180" s="45">
        <v>176</v>
      </c>
      <c r="B180" s="20" t="s">
        <v>715</v>
      </c>
      <c r="C180" s="21" t="s">
        <v>716</v>
      </c>
      <c r="D180" s="21" t="s">
        <v>717</v>
      </c>
      <c r="E180" s="20" t="s">
        <v>718</v>
      </c>
      <c r="F180" s="26" t="s">
        <v>416</v>
      </c>
    </row>
    <row r="181" spans="1:6" s="67" customFormat="1">
      <c r="A181" s="45">
        <v>177</v>
      </c>
      <c r="B181" s="20" t="s">
        <v>719</v>
      </c>
      <c r="C181" s="21"/>
      <c r="D181" s="21"/>
      <c r="E181" s="20"/>
      <c r="F181" s="26"/>
    </row>
    <row r="182" spans="1:6" s="67" customFormat="1">
      <c r="A182" s="45">
        <v>178</v>
      </c>
      <c r="B182" s="20" t="s">
        <v>720</v>
      </c>
      <c r="C182" s="21"/>
      <c r="D182" s="21"/>
      <c r="E182" s="20"/>
      <c r="F182" s="26" t="s">
        <v>423</v>
      </c>
    </row>
    <row r="183" spans="1:6" s="67" customFormat="1">
      <c r="A183" s="45">
        <v>179</v>
      </c>
      <c r="B183" s="20" t="s">
        <v>722</v>
      </c>
      <c r="C183" s="21" t="s">
        <v>723</v>
      </c>
      <c r="D183" s="21" t="s">
        <v>724</v>
      </c>
      <c r="E183" s="20" t="s">
        <v>725</v>
      </c>
      <c r="F183" s="26" t="s">
        <v>416</v>
      </c>
    </row>
    <row r="184" spans="1:6" s="67" customFormat="1" ht="30">
      <c r="A184" s="45">
        <v>180</v>
      </c>
      <c r="B184" s="20" t="s">
        <v>730</v>
      </c>
      <c r="C184" s="21" t="s">
        <v>731</v>
      </c>
      <c r="D184" s="21"/>
      <c r="E184" s="20" t="s">
        <v>732</v>
      </c>
      <c r="F184" s="26" t="s">
        <v>423</v>
      </c>
    </row>
    <row r="185" spans="1:6" s="67" customFormat="1">
      <c r="A185" s="45">
        <v>181</v>
      </c>
      <c r="B185" s="20" t="s">
        <v>734</v>
      </c>
      <c r="C185" s="21"/>
      <c r="D185" s="21"/>
      <c r="E185" s="20"/>
      <c r="F185" s="26" t="s">
        <v>423</v>
      </c>
    </row>
    <row r="186" spans="1:6" s="67" customFormat="1">
      <c r="A186" s="45">
        <v>182</v>
      </c>
      <c r="B186" s="20" t="s">
        <v>737</v>
      </c>
      <c r="C186" s="21"/>
      <c r="D186" s="21" t="s">
        <v>739</v>
      </c>
      <c r="E186" s="20" t="s">
        <v>740</v>
      </c>
      <c r="F186" s="26" t="s">
        <v>423</v>
      </c>
    </row>
    <row r="187" spans="1:6" s="67" customFormat="1">
      <c r="A187" s="45">
        <v>183</v>
      </c>
      <c r="B187" s="20" t="s">
        <v>741</v>
      </c>
      <c r="C187" s="21"/>
      <c r="D187" s="21"/>
      <c r="E187" s="20"/>
      <c r="F187" s="26" t="s">
        <v>423</v>
      </c>
    </row>
    <row r="188" spans="1:6" s="67" customFormat="1">
      <c r="A188" s="45">
        <v>184</v>
      </c>
      <c r="B188" s="20" t="s">
        <v>742</v>
      </c>
      <c r="C188" s="21"/>
      <c r="D188" s="21"/>
      <c r="E188" s="20"/>
      <c r="F188" s="26" t="s">
        <v>423</v>
      </c>
    </row>
    <row r="189" spans="1:6" s="67" customFormat="1">
      <c r="A189" s="45">
        <v>185</v>
      </c>
      <c r="B189" s="20" t="s">
        <v>743</v>
      </c>
      <c r="C189" s="21"/>
      <c r="D189" s="21"/>
      <c r="E189" s="20"/>
      <c r="F189" s="26" t="s">
        <v>423</v>
      </c>
    </row>
    <row r="190" spans="1:6" s="67" customFormat="1">
      <c r="A190" s="45">
        <v>186</v>
      </c>
      <c r="B190" s="20" t="s">
        <v>744</v>
      </c>
      <c r="C190" s="21"/>
      <c r="D190" s="88">
        <v>10966948</v>
      </c>
      <c r="E190" s="20"/>
      <c r="F190" s="26" t="s">
        <v>423</v>
      </c>
    </row>
    <row r="191" spans="1:6" s="67" customFormat="1" ht="30">
      <c r="A191" s="45">
        <v>187</v>
      </c>
      <c r="B191" s="20" t="s">
        <v>747</v>
      </c>
      <c r="C191" s="21" t="s">
        <v>745</v>
      </c>
      <c r="D191" s="21" t="s">
        <v>748</v>
      </c>
      <c r="E191" s="20" t="s">
        <v>746</v>
      </c>
      <c r="F191" s="26" t="s">
        <v>423</v>
      </c>
    </row>
    <row r="192" spans="1:6" s="67" customFormat="1">
      <c r="A192" s="45">
        <v>188</v>
      </c>
      <c r="B192" s="20" t="s">
        <v>759</v>
      </c>
      <c r="C192" s="21"/>
      <c r="D192" s="21"/>
      <c r="E192" s="20"/>
      <c r="F192" s="26" t="s">
        <v>423</v>
      </c>
    </row>
    <row r="193" spans="1:6" s="67" customFormat="1">
      <c r="A193" s="45">
        <v>189</v>
      </c>
      <c r="B193" s="20" t="s">
        <v>762</v>
      </c>
      <c r="C193" s="21"/>
      <c r="D193" s="21"/>
      <c r="E193" s="20"/>
      <c r="F193" s="26" t="s">
        <v>416</v>
      </c>
    </row>
    <row r="194" spans="1:6" s="67" customFormat="1">
      <c r="A194" s="45">
        <v>190</v>
      </c>
      <c r="B194" s="20" t="s">
        <v>749</v>
      </c>
      <c r="C194" s="21"/>
      <c r="D194" s="21"/>
      <c r="E194" s="20"/>
      <c r="F194" s="26" t="s">
        <v>423</v>
      </c>
    </row>
    <row r="195" spans="1:6" s="67" customFormat="1" ht="30">
      <c r="A195" s="45">
        <v>191</v>
      </c>
      <c r="B195" s="20" t="s">
        <v>820</v>
      </c>
      <c r="C195" s="21" t="s">
        <v>821</v>
      </c>
      <c r="D195" s="21">
        <v>4146573017</v>
      </c>
      <c r="E195" s="20" t="s">
        <v>822</v>
      </c>
      <c r="F195" s="26" t="s">
        <v>423</v>
      </c>
    </row>
    <row r="196" spans="1:6" s="67" customFormat="1">
      <c r="A196" s="45">
        <v>192</v>
      </c>
      <c r="B196" s="20" t="s">
        <v>977</v>
      </c>
      <c r="C196" s="21"/>
      <c r="D196" s="21">
        <v>4146643590</v>
      </c>
      <c r="E196" s="20" t="s">
        <v>910</v>
      </c>
      <c r="F196" s="26" t="s">
        <v>416</v>
      </c>
    </row>
    <row r="197" spans="1:6" s="67" customFormat="1">
      <c r="A197" s="45">
        <v>193</v>
      </c>
      <c r="B197" s="20" t="s">
        <v>79</v>
      </c>
      <c r="C197" s="21"/>
      <c r="D197" s="21"/>
      <c r="E197" s="20"/>
      <c r="F197" s="26" t="s">
        <v>416</v>
      </c>
    </row>
    <row r="198" spans="1:6" s="67" customFormat="1" ht="30">
      <c r="A198" s="45">
        <v>194</v>
      </c>
      <c r="B198" s="20" t="s">
        <v>824</v>
      </c>
      <c r="C198" s="21" t="s">
        <v>825</v>
      </c>
      <c r="D198" s="21">
        <v>4144756522</v>
      </c>
      <c r="E198" s="20" t="s">
        <v>826</v>
      </c>
      <c r="F198" s="26" t="s">
        <v>423</v>
      </c>
    </row>
    <row r="199" spans="1:6" s="67" customFormat="1">
      <c r="A199" s="45">
        <v>195</v>
      </c>
      <c r="B199" s="20" t="s">
        <v>828</v>
      </c>
      <c r="C199" s="21" t="s">
        <v>829</v>
      </c>
      <c r="D199" s="21">
        <v>4146959670</v>
      </c>
      <c r="E199" s="20" t="s">
        <v>830</v>
      </c>
      <c r="F199" s="26" t="s">
        <v>423</v>
      </c>
    </row>
    <row r="200" spans="1:6" s="67" customFormat="1">
      <c r="A200" s="45">
        <v>196</v>
      </c>
      <c r="B200" s="20" t="s">
        <v>522</v>
      </c>
      <c r="C200" s="21"/>
      <c r="D200" s="21">
        <v>4146831666</v>
      </c>
      <c r="E200" s="20" t="s">
        <v>831</v>
      </c>
      <c r="F200" s="26" t="s">
        <v>416</v>
      </c>
    </row>
    <row r="201" spans="1:6" s="67" customFormat="1">
      <c r="A201" s="45">
        <v>197</v>
      </c>
      <c r="B201" s="20" t="s">
        <v>833</v>
      </c>
      <c r="C201" s="21"/>
      <c r="D201" s="21">
        <v>4244127138</v>
      </c>
      <c r="E201" s="20" t="s">
        <v>834</v>
      </c>
      <c r="F201" s="26" t="s">
        <v>943</v>
      </c>
    </row>
    <row r="202" spans="1:6" s="67" customFormat="1">
      <c r="A202" s="45">
        <v>198</v>
      </c>
      <c r="B202" s="20" t="s">
        <v>858</v>
      </c>
      <c r="C202" s="21"/>
      <c r="D202" s="21">
        <v>4146453319</v>
      </c>
      <c r="E202" s="20" t="s">
        <v>859</v>
      </c>
      <c r="F202" s="26" t="s">
        <v>416</v>
      </c>
    </row>
    <row r="203" spans="1:6" s="67" customFormat="1" ht="30">
      <c r="A203" s="45">
        <v>199</v>
      </c>
      <c r="B203" s="57" t="s">
        <v>850</v>
      </c>
      <c r="C203" s="21" t="s">
        <v>863</v>
      </c>
      <c r="D203" s="20" t="s">
        <v>797</v>
      </c>
      <c r="E203" s="20" t="s">
        <v>864</v>
      </c>
      <c r="F203" s="26" t="s">
        <v>416</v>
      </c>
    </row>
    <row r="204" spans="1:6" s="67" customFormat="1">
      <c r="A204" s="45">
        <v>200</v>
      </c>
      <c r="B204" s="20" t="s">
        <v>865</v>
      </c>
      <c r="C204" s="21" t="s">
        <v>866</v>
      </c>
      <c r="D204" s="21">
        <v>4143683163</v>
      </c>
      <c r="E204" s="20" t="s">
        <v>867</v>
      </c>
      <c r="F204" s="26" t="s">
        <v>416</v>
      </c>
    </row>
    <row r="205" spans="1:6" s="67" customFormat="1">
      <c r="A205" s="45">
        <v>201</v>
      </c>
      <c r="B205" s="20" t="s">
        <v>868</v>
      </c>
      <c r="C205" s="21" t="s">
        <v>606</v>
      </c>
      <c r="D205" s="21">
        <v>4261635453</v>
      </c>
      <c r="E205" s="20" t="s">
        <v>869</v>
      </c>
      <c r="F205" s="26" t="s">
        <v>416</v>
      </c>
    </row>
    <row r="206" spans="1:6" s="67" customFormat="1">
      <c r="A206" s="45">
        <v>202</v>
      </c>
      <c r="B206" s="20" t="s">
        <v>870</v>
      </c>
      <c r="C206" s="21"/>
      <c r="D206" s="21"/>
      <c r="E206" s="20" t="s">
        <v>871</v>
      </c>
      <c r="F206" s="26" t="s">
        <v>416</v>
      </c>
    </row>
    <row r="207" spans="1:6" s="67" customFormat="1" ht="30">
      <c r="A207" s="45">
        <v>203</v>
      </c>
      <c r="B207" s="20" t="s">
        <v>872</v>
      </c>
      <c r="C207" s="21" t="s">
        <v>873</v>
      </c>
      <c r="D207" s="21" t="s">
        <v>20</v>
      </c>
      <c r="E207" s="20" t="s">
        <v>21</v>
      </c>
      <c r="F207" s="26" t="s">
        <v>416</v>
      </c>
    </row>
    <row r="208" spans="1:6" s="67" customFormat="1">
      <c r="A208" s="45">
        <v>204</v>
      </c>
      <c r="B208" s="20" t="s">
        <v>884</v>
      </c>
      <c r="C208" s="21"/>
      <c r="D208" s="21"/>
      <c r="E208" s="20" t="s">
        <v>869</v>
      </c>
      <c r="F208" s="26" t="s">
        <v>416</v>
      </c>
    </row>
    <row r="209" spans="1:6" s="67" customFormat="1">
      <c r="A209" s="45">
        <v>205</v>
      </c>
      <c r="B209" s="20" t="s">
        <v>886</v>
      </c>
      <c r="C209" s="21"/>
      <c r="D209" s="21"/>
      <c r="E209" s="20" t="s">
        <v>416</v>
      </c>
      <c r="F209" s="26" t="s">
        <v>416</v>
      </c>
    </row>
    <row r="210" spans="1:6" s="67" customFormat="1">
      <c r="A210" s="45">
        <v>206</v>
      </c>
      <c r="B210" s="20" t="s">
        <v>888</v>
      </c>
      <c r="C210" s="21"/>
      <c r="D210" s="21"/>
      <c r="E210" s="20" t="s">
        <v>416</v>
      </c>
      <c r="F210" s="26" t="s">
        <v>416</v>
      </c>
    </row>
    <row r="211" spans="1:6" s="67" customFormat="1" ht="30">
      <c r="A211" s="45">
        <v>207</v>
      </c>
      <c r="B211" s="20" t="s">
        <v>889</v>
      </c>
      <c r="C211" s="21" t="s">
        <v>890</v>
      </c>
      <c r="D211" s="21" t="s">
        <v>891</v>
      </c>
      <c r="E211" s="20" t="s">
        <v>892</v>
      </c>
      <c r="F211" s="26" t="s">
        <v>942</v>
      </c>
    </row>
    <row r="212" spans="1:6" s="67" customFormat="1">
      <c r="A212" s="45">
        <v>208</v>
      </c>
      <c r="B212" s="20" t="s">
        <v>978</v>
      </c>
      <c r="C212" s="21" t="s">
        <v>893</v>
      </c>
      <c r="D212" s="21">
        <v>4121707033</v>
      </c>
      <c r="E212" s="20" t="s">
        <v>894</v>
      </c>
      <c r="F212" s="26" t="s">
        <v>416</v>
      </c>
    </row>
    <row r="213" spans="1:6" s="67" customFormat="1">
      <c r="A213" s="45">
        <v>209</v>
      </c>
      <c r="B213" s="20" t="s">
        <v>896</v>
      </c>
      <c r="C213" s="21"/>
      <c r="D213" s="21" t="s">
        <v>1020</v>
      </c>
      <c r="E213" s="20" t="s">
        <v>1019</v>
      </c>
      <c r="F213" s="26" t="s">
        <v>416</v>
      </c>
    </row>
    <row r="214" spans="1:6" s="67" customFormat="1">
      <c r="A214" s="45">
        <v>210</v>
      </c>
      <c r="B214" s="20" t="s">
        <v>897</v>
      </c>
      <c r="C214" s="21" t="s">
        <v>898</v>
      </c>
      <c r="D214" s="21" t="s">
        <v>899</v>
      </c>
      <c r="E214" s="20" t="s">
        <v>900</v>
      </c>
      <c r="F214" s="26" t="s">
        <v>416</v>
      </c>
    </row>
    <row r="215" spans="1:6" s="67" customFormat="1">
      <c r="A215" s="45">
        <v>211</v>
      </c>
      <c r="B215" s="20" t="s">
        <v>902</v>
      </c>
      <c r="C215" s="21"/>
      <c r="D215" s="21"/>
      <c r="E215" s="20"/>
      <c r="F215" s="26" t="s">
        <v>416</v>
      </c>
    </row>
    <row r="216" spans="1:6" s="67" customFormat="1">
      <c r="A216" s="45">
        <v>212</v>
      </c>
      <c r="B216" s="20" t="s">
        <v>903</v>
      </c>
      <c r="C216" s="21"/>
      <c r="D216" s="21"/>
      <c r="E216" s="20"/>
      <c r="F216" s="26" t="s">
        <v>416</v>
      </c>
    </row>
    <row r="217" spans="1:6" s="67" customFormat="1" ht="30">
      <c r="A217" s="45">
        <v>213</v>
      </c>
      <c r="B217" s="20" t="s">
        <v>906</v>
      </c>
      <c r="C217" s="21">
        <v>9518588</v>
      </c>
      <c r="D217" s="21">
        <v>4124268607</v>
      </c>
      <c r="E217" s="20" t="s">
        <v>907</v>
      </c>
      <c r="F217" s="26" t="s">
        <v>416</v>
      </c>
    </row>
    <row r="218" spans="1:6" s="67" customFormat="1">
      <c r="A218" s="45">
        <v>214</v>
      </c>
      <c r="B218" s="20" t="s">
        <v>909</v>
      </c>
      <c r="C218" s="21"/>
      <c r="D218" s="21"/>
      <c r="E218" s="20"/>
      <c r="F218" s="26" t="s">
        <v>416</v>
      </c>
    </row>
    <row r="219" spans="1:6" s="67" customFormat="1">
      <c r="A219" s="45">
        <v>215</v>
      </c>
      <c r="B219" s="20" t="s">
        <v>911</v>
      </c>
      <c r="C219" s="21"/>
      <c r="D219" s="21"/>
      <c r="E219" s="20"/>
      <c r="F219" s="26" t="s">
        <v>416</v>
      </c>
    </row>
    <row r="220" spans="1:6" s="67" customFormat="1">
      <c r="A220" s="45">
        <v>216</v>
      </c>
      <c r="B220" s="20" t="s">
        <v>912</v>
      </c>
      <c r="C220" s="21"/>
      <c r="D220" s="21" t="s">
        <v>1148</v>
      </c>
      <c r="E220" s="20"/>
      <c r="F220" s="26" t="s">
        <v>416</v>
      </c>
    </row>
    <row r="221" spans="1:6" s="67" customFormat="1">
      <c r="A221" s="45">
        <v>217</v>
      </c>
      <c r="B221" s="20" t="s">
        <v>913</v>
      </c>
      <c r="C221" s="21"/>
      <c r="D221" s="21" t="s">
        <v>1013</v>
      </c>
      <c r="E221" s="20" t="s">
        <v>1014</v>
      </c>
      <c r="F221" s="26" t="s">
        <v>416</v>
      </c>
    </row>
    <row r="222" spans="1:6" s="67" customFormat="1">
      <c r="A222" s="45">
        <v>218</v>
      </c>
      <c r="B222" s="20" t="s">
        <v>914</v>
      </c>
      <c r="C222" s="21"/>
      <c r="D222" s="21">
        <v>4146848170</v>
      </c>
      <c r="E222" s="20" t="s">
        <v>416</v>
      </c>
      <c r="F222" s="26" t="s">
        <v>416</v>
      </c>
    </row>
    <row r="223" spans="1:6" s="67" customFormat="1" ht="30">
      <c r="A223" s="45">
        <v>219</v>
      </c>
      <c r="B223" s="20" t="s">
        <v>550</v>
      </c>
      <c r="C223" s="21" t="s">
        <v>915</v>
      </c>
      <c r="D223" s="21">
        <v>4129661907</v>
      </c>
      <c r="E223" s="20" t="s">
        <v>916</v>
      </c>
      <c r="F223" s="26" t="s">
        <v>416</v>
      </c>
    </row>
    <row r="224" spans="1:6" s="67" customFormat="1">
      <c r="A224" s="45">
        <v>220</v>
      </c>
      <c r="B224" s="20" t="s">
        <v>919</v>
      </c>
      <c r="C224" s="21"/>
      <c r="D224" s="21"/>
      <c r="E224" s="20"/>
      <c r="F224" s="26" t="s">
        <v>416</v>
      </c>
    </row>
    <row r="225" spans="1:6" s="67" customFormat="1">
      <c r="A225" s="45">
        <v>221</v>
      </c>
      <c r="B225" s="20" t="s">
        <v>920</v>
      </c>
      <c r="C225" s="21"/>
      <c r="D225" s="21"/>
      <c r="E225" s="20"/>
      <c r="F225" s="26" t="s">
        <v>416</v>
      </c>
    </row>
    <row r="226" spans="1:6" s="67" customFormat="1">
      <c r="A226" s="45">
        <v>222</v>
      </c>
      <c r="B226" s="20" t="s">
        <v>922</v>
      </c>
      <c r="C226" s="21"/>
      <c r="D226" s="21"/>
      <c r="E226" s="20" t="s">
        <v>924</v>
      </c>
      <c r="F226" s="26" t="s">
        <v>416</v>
      </c>
    </row>
    <row r="227" spans="1:6" s="67" customFormat="1">
      <c r="A227" s="45">
        <v>223</v>
      </c>
      <c r="B227" s="20" t="s">
        <v>923</v>
      </c>
      <c r="C227" s="21"/>
      <c r="D227" s="21"/>
      <c r="E227" s="20" t="s">
        <v>925</v>
      </c>
      <c r="F227" s="26" t="s">
        <v>416</v>
      </c>
    </row>
    <row r="228" spans="1:6" s="67" customFormat="1">
      <c r="A228" s="45">
        <v>224</v>
      </c>
      <c r="B228" s="20" t="s">
        <v>926</v>
      </c>
      <c r="C228" s="21"/>
      <c r="D228" s="274" t="s">
        <v>1116</v>
      </c>
      <c r="E228" s="26" t="s">
        <v>1117</v>
      </c>
      <c r="F228" s="26" t="s">
        <v>416</v>
      </c>
    </row>
    <row r="229" spans="1:6" s="67" customFormat="1">
      <c r="A229" s="45">
        <v>225</v>
      </c>
      <c r="B229" s="20" t="s">
        <v>928</v>
      </c>
      <c r="C229" s="21"/>
      <c r="D229" s="21"/>
      <c r="E229" s="20"/>
      <c r="F229" s="26" t="s">
        <v>416</v>
      </c>
    </row>
    <row r="230" spans="1:6" s="67" customFormat="1">
      <c r="A230" s="45">
        <v>226</v>
      </c>
      <c r="B230" s="20" t="s">
        <v>929</v>
      </c>
      <c r="C230" s="21"/>
      <c r="D230" s="21">
        <v>4144019981</v>
      </c>
      <c r="E230" s="26" t="s">
        <v>416</v>
      </c>
      <c r="F230" s="26" t="s">
        <v>416</v>
      </c>
    </row>
    <row r="231" spans="1:6" s="67" customFormat="1">
      <c r="A231" s="45">
        <v>227</v>
      </c>
      <c r="B231" s="20" t="s">
        <v>979</v>
      </c>
      <c r="C231" s="21"/>
      <c r="D231" s="21"/>
      <c r="E231" s="20"/>
      <c r="F231" s="26"/>
    </row>
    <row r="232" spans="1:6" s="67" customFormat="1" ht="30">
      <c r="A232" s="45">
        <v>228</v>
      </c>
      <c r="B232" s="20" t="s">
        <v>980</v>
      </c>
      <c r="C232" s="21" t="s">
        <v>981</v>
      </c>
      <c r="D232" s="21" t="s">
        <v>9</v>
      </c>
      <c r="E232" s="20" t="s">
        <v>24</v>
      </c>
      <c r="F232" s="26" t="s">
        <v>416</v>
      </c>
    </row>
    <row r="233" spans="1:6" s="67" customFormat="1">
      <c r="A233" s="45">
        <v>229</v>
      </c>
      <c r="B233" s="20" t="s">
        <v>983</v>
      </c>
      <c r="C233" s="21"/>
      <c r="D233" s="21"/>
      <c r="E233" s="20" t="s">
        <v>416</v>
      </c>
      <c r="F233" s="240" t="s">
        <v>416</v>
      </c>
    </row>
    <row r="234" spans="1:6" s="67" customFormat="1">
      <c r="A234" s="45">
        <v>230</v>
      </c>
      <c r="B234" s="20" t="s">
        <v>1000</v>
      </c>
      <c r="C234" s="21"/>
      <c r="D234" s="21" t="s">
        <v>1001</v>
      </c>
      <c r="E234" s="20" t="s">
        <v>416</v>
      </c>
      <c r="F234" s="240" t="s">
        <v>416</v>
      </c>
    </row>
    <row r="235" spans="1:6" s="67" customFormat="1">
      <c r="A235" s="45">
        <v>231</v>
      </c>
      <c r="B235" s="20" t="s">
        <v>1003</v>
      </c>
      <c r="C235" s="21"/>
      <c r="D235" s="21"/>
      <c r="E235" s="20" t="s">
        <v>416</v>
      </c>
      <c r="F235" s="26" t="s">
        <v>416</v>
      </c>
    </row>
    <row r="236" spans="1:6" s="67" customFormat="1">
      <c r="A236" s="45">
        <v>232</v>
      </c>
      <c r="B236" s="20" t="s">
        <v>1004</v>
      </c>
      <c r="C236" s="21"/>
      <c r="D236" s="21"/>
      <c r="E236" s="20" t="s">
        <v>416</v>
      </c>
      <c r="F236" s="26" t="s">
        <v>416</v>
      </c>
    </row>
    <row r="237" spans="1:6" s="67" customFormat="1">
      <c r="A237" s="45">
        <v>233</v>
      </c>
      <c r="B237" s="20" t="s">
        <v>1005</v>
      </c>
      <c r="C237" s="21"/>
      <c r="D237" s="21" t="s">
        <v>1006</v>
      </c>
      <c r="E237" s="20" t="s">
        <v>416</v>
      </c>
      <c r="F237" s="26" t="s">
        <v>416</v>
      </c>
    </row>
    <row r="238" spans="1:6" s="67" customFormat="1">
      <c r="A238" s="45">
        <v>234</v>
      </c>
      <c r="B238" s="20" t="s">
        <v>1007</v>
      </c>
      <c r="C238" s="21"/>
      <c r="D238" s="21" t="s">
        <v>1008</v>
      </c>
      <c r="E238" s="20" t="s">
        <v>416</v>
      </c>
      <c r="F238" s="26" t="s">
        <v>416</v>
      </c>
    </row>
    <row r="239" spans="1:6" s="67" customFormat="1">
      <c r="A239" s="45">
        <v>235</v>
      </c>
      <c r="B239" s="20" t="s">
        <v>1010</v>
      </c>
      <c r="C239" s="21"/>
      <c r="D239" s="21" t="s">
        <v>1011</v>
      </c>
      <c r="E239" s="20" t="s">
        <v>416</v>
      </c>
      <c r="F239" s="26" t="s">
        <v>416</v>
      </c>
    </row>
    <row r="240" spans="1:6" s="67" customFormat="1">
      <c r="A240" s="45">
        <v>236</v>
      </c>
      <c r="B240" s="20" t="s">
        <v>1015</v>
      </c>
      <c r="C240" s="21"/>
      <c r="D240" s="21" t="s">
        <v>1016</v>
      </c>
      <c r="E240" s="20" t="s">
        <v>416</v>
      </c>
      <c r="F240" s="26" t="s">
        <v>416</v>
      </c>
    </row>
    <row r="241" spans="1:6" s="67" customFormat="1">
      <c r="A241" s="45">
        <v>237</v>
      </c>
      <c r="B241" s="20" t="s">
        <v>1017</v>
      </c>
      <c r="C241" s="21"/>
      <c r="D241" s="21" t="s">
        <v>1018</v>
      </c>
      <c r="E241" s="20" t="s">
        <v>416</v>
      </c>
      <c r="F241" s="26" t="s">
        <v>416</v>
      </c>
    </row>
    <row r="242" spans="1:6" s="67" customFormat="1">
      <c r="A242" s="45">
        <v>238</v>
      </c>
      <c r="B242" s="20" t="s">
        <v>1175</v>
      </c>
      <c r="C242" s="21"/>
      <c r="D242" s="21"/>
      <c r="E242" s="20" t="s">
        <v>416</v>
      </c>
      <c r="F242" s="26" t="s">
        <v>416</v>
      </c>
    </row>
    <row r="243" spans="1:6" s="67" customFormat="1" ht="30">
      <c r="A243" s="45">
        <v>239</v>
      </c>
      <c r="B243" s="20" t="s">
        <v>1024</v>
      </c>
      <c r="C243" s="21" t="s">
        <v>1026</v>
      </c>
      <c r="D243" s="21" t="s">
        <v>1027</v>
      </c>
      <c r="E243" s="21" t="s">
        <v>1025</v>
      </c>
      <c r="F243" s="26" t="s">
        <v>423</v>
      </c>
    </row>
    <row r="244" spans="1:6" s="67" customFormat="1" ht="30">
      <c r="A244" s="45">
        <v>240</v>
      </c>
      <c r="B244" s="20" t="s">
        <v>1059</v>
      </c>
      <c r="C244" s="21" t="s">
        <v>1060</v>
      </c>
      <c r="D244" s="21" t="s">
        <v>1062</v>
      </c>
      <c r="E244" s="20" t="s">
        <v>1061</v>
      </c>
      <c r="F244" s="26" t="s">
        <v>416</v>
      </c>
    </row>
    <row r="245" spans="1:6">
      <c r="A245" s="45">
        <v>241</v>
      </c>
      <c r="B245" s="20" t="s">
        <v>1063</v>
      </c>
      <c r="C245" s="20"/>
      <c r="D245" s="21" t="s">
        <v>1064</v>
      </c>
      <c r="E245" s="20" t="s">
        <v>416</v>
      </c>
      <c r="F245" s="26" t="s">
        <v>416</v>
      </c>
    </row>
    <row r="246" spans="1:6">
      <c r="A246" s="45">
        <v>242</v>
      </c>
      <c r="B246" s="20" t="s">
        <v>1065</v>
      </c>
      <c r="C246" s="20"/>
      <c r="D246" s="21" t="s">
        <v>1066</v>
      </c>
      <c r="E246" s="20" t="s">
        <v>416</v>
      </c>
      <c r="F246" s="26" t="s">
        <v>416</v>
      </c>
    </row>
    <row r="247" spans="1:6" ht="45">
      <c r="A247" s="45">
        <v>243</v>
      </c>
      <c r="B247" s="20" t="s">
        <v>1069</v>
      </c>
      <c r="C247" s="20" t="s">
        <v>1275</v>
      </c>
      <c r="D247" s="21" t="s">
        <v>1070</v>
      </c>
      <c r="E247" s="20" t="s">
        <v>1071</v>
      </c>
      <c r="F247" s="26" t="s">
        <v>416</v>
      </c>
    </row>
    <row r="248" spans="1:6">
      <c r="A248" s="45">
        <v>244</v>
      </c>
      <c r="B248" s="20" t="s">
        <v>1072</v>
      </c>
      <c r="C248" s="20"/>
      <c r="D248" s="21" t="s">
        <v>1074</v>
      </c>
      <c r="E248" s="20" t="s">
        <v>1073</v>
      </c>
      <c r="F248" s="26" t="s">
        <v>416</v>
      </c>
    </row>
    <row r="249" spans="1:6" ht="30">
      <c r="A249" s="45">
        <v>245</v>
      </c>
      <c r="B249" s="20" t="s">
        <v>1096</v>
      </c>
      <c r="C249" s="20" t="s">
        <v>1093</v>
      </c>
      <c r="D249" s="21" t="s">
        <v>1094</v>
      </c>
      <c r="E249" s="20" t="s">
        <v>1095</v>
      </c>
      <c r="F249" s="26" t="s">
        <v>416</v>
      </c>
    </row>
    <row r="250" spans="1:6">
      <c r="A250" s="45">
        <v>246</v>
      </c>
      <c r="B250" s="20" t="s">
        <v>1099</v>
      </c>
      <c r="C250" s="20"/>
      <c r="D250" s="21" t="s">
        <v>1100</v>
      </c>
      <c r="E250" s="20" t="s">
        <v>416</v>
      </c>
      <c r="F250" s="26" t="s">
        <v>416</v>
      </c>
    </row>
    <row r="251" spans="1:6">
      <c r="A251" s="45">
        <v>247</v>
      </c>
      <c r="B251" s="20" t="s">
        <v>1101</v>
      </c>
      <c r="C251" s="20"/>
      <c r="D251" s="21" t="s">
        <v>1102</v>
      </c>
      <c r="E251" s="20" t="s">
        <v>416</v>
      </c>
      <c r="F251" s="26" t="s">
        <v>416</v>
      </c>
    </row>
    <row r="252" spans="1:6">
      <c r="A252" s="45">
        <v>248</v>
      </c>
      <c r="B252" s="20" t="s">
        <v>1104</v>
      </c>
      <c r="C252" s="20"/>
      <c r="D252" s="21" t="s">
        <v>1105</v>
      </c>
      <c r="E252" s="20" t="s">
        <v>416</v>
      </c>
      <c r="F252" s="26" t="s">
        <v>416</v>
      </c>
    </row>
    <row r="253" spans="1:6">
      <c r="A253" s="45">
        <v>249</v>
      </c>
      <c r="B253" s="20" t="s">
        <v>1106</v>
      </c>
      <c r="C253" s="20"/>
      <c r="D253" s="21" t="s">
        <v>1107</v>
      </c>
      <c r="E253" s="20" t="s">
        <v>416</v>
      </c>
      <c r="F253" s="26" t="s">
        <v>416</v>
      </c>
    </row>
    <row r="254" spans="1:6">
      <c r="A254" s="45">
        <v>250</v>
      </c>
      <c r="B254" s="20" t="s">
        <v>1108</v>
      </c>
      <c r="C254" s="20" t="s">
        <v>1109</v>
      </c>
      <c r="D254" s="21" t="s">
        <v>1110</v>
      </c>
      <c r="E254" s="20" t="s">
        <v>1111</v>
      </c>
      <c r="F254" s="26" t="s">
        <v>416</v>
      </c>
    </row>
    <row r="255" spans="1:6" s="86" customFormat="1">
      <c r="A255" s="45">
        <v>251</v>
      </c>
      <c r="B255" s="20" t="s">
        <v>1098</v>
      </c>
      <c r="C255" s="20"/>
      <c r="D255" s="21" t="s">
        <v>1124</v>
      </c>
      <c r="E255" s="20" t="s">
        <v>416</v>
      </c>
      <c r="F255" s="26" t="s">
        <v>416</v>
      </c>
    </row>
    <row r="256" spans="1:6" s="86" customFormat="1">
      <c r="A256" s="45">
        <v>252</v>
      </c>
      <c r="B256" s="20" t="s">
        <v>1113</v>
      </c>
      <c r="C256" s="20"/>
      <c r="D256" s="21" t="s">
        <v>1114</v>
      </c>
      <c r="E256" s="20" t="s">
        <v>416</v>
      </c>
      <c r="F256" s="26" t="s">
        <v>416</v>
      </c>
    </row>
    <row r="257" spans="1:6" s="86" customFormat="1">
      <c r="A257" s="45">
        <v>253</v>
      </c>
      <c r="B257" s="20" t="s">
        <v>1118</v>
      </c>
      <c r="C257" s="20"/>
      <c r="D257" s="21" t="s">
        <v>1119</v>
      </c>
      <c r="E257" s="20" t="s">
        <v>416</v>
      </c>
      <c r="F257" s="26" t="s">
        <v>416</v>
      </c>
    </row>
    <row r="258" spans="1:6" s="86" customFormat="1">
      <c r="A258" s="45">
        <v>254</v>
      </c>
      <c r="B258" s="20" t="s">
        <v>1121</v>
      </c>
      <c r="C258" s="20"/>
      <c r="D258" s="21" t="s">
        <v>1122</v>
      </c>
      <c r="E258" s="20" t="s">
        <v>416</v>
      </c>
      <c r="F258" s="26" t="s">
        <v>416</v>
      </c>
    </row>
    <row r="259" spans="1:6" s="86" customFormat="1" ht="30">
      <c r="A259" s="45">
        <v>255</v>
      </c>
      <c r="B259" s="20" t="s">
        <v>1125</v>
      </c>
      <c r="C259" s="20" t="s">
        <v>1126</v>
      </c>
      <c r="D259" s="21" t="s">
        <v>1128</v>
      </c>
      <c r="E259" s="20" t="s">
        <v>1127</v>
      </c>
      <c r="F259" s="26" t="s">
        <v>416</v>
      </c>
    </row>
    <row r="260" spans="1:6" s="86" customFormat="1">
      <c r="A260" s="45">
        <v>256</v>
      </c>
      <c r="B260" s="20" t="s">
        <v>1129</v>
      </c>
      <c r="C260" s="20" t="s">
        <v>1130</v>
      </c>
      <c r="D260" s="21" t="s">
        <v>1131</v>
      </c>
      <c r="E260" s="20" t="s">
        <v>416</v>
      </c>
      <c r="F260" s="26" t="s">
        <v>416</v>
      </c>
    </row>
    <row r="261" spans="1:6" s="86" customFormat="1" ht="30">
      <c r="A261" s="45">
        <v>257</v>
      </c>
      <c r="B261" s="20" t="s">
        <v>1143</v>
      </c>
      <c r="C261" s="20" t="s">
        <v>1144</v>
      </c>
      <c r="D261" s="21" t="s">
        <v>1146</v>
      </c>
      <c r="E261" s="20" t="s">
        <v>1145</v>
      </c>
      <c r="F261" s="26" t="s">
        <v>416</v>
      </c>
    </row>
    <row r="262" spans="1:6" s="86" customFormat="1">
      <c r="A262" s="45">
        <v>258</v>
      </c>
      <c r="B262" s="20" t="s">
        <v>1108</v>
      </c>
      <c r="C262" s="20" t="s">
        <v>1109</v>
      </c>
      <c r="D262" s="21" t="s">
        <v>1102</v>
      </c>
      <c r="E262" s="20" t="s">
        <v>1147</v>
      </c>
      <c r="F262" s="26" t="s">
        <v>416</v>
      </c>
    </row>
    <row r="263" spans="1:6" s="86" customFormat="1">
      <c r="A263" s="45">
        <v>259</v>
      </c>
      <c r="B263" s="20" t="s">
        <v>1154</v>
      </c>
      <c r="C263" s="20"/>
      <c r="D263" s="21"/>
      <c r="E263" s="26" t="s">
        <v>416</v>
      </c>
      <c r="F263" s="26" t="s">
        <v>416</v>
      </c>
    </row>
    <row r="264" spans="1:6" s="86" customFormat="1">
      <c r="A264" s="45">
        <v>260</v>
      </c>
      <c r="B264" s="20" t="s">
        <v>1155</v>
      </c>
      <c r="C264" s="20"/>
      <c r="D264" s="21" t="s">
        <v>1156</v>
      </c>
      <c r="E264" s="26" t="s">
        <v>416</v>
      </c>
      <c r="F264" s="26" t="s">
        <v>416</v>
      </c>
    </row>
    <row r="265" spans="1:6" s="86" customFormat="1">
      <c r="A265" s="45">
        <v>261</v>
      </c>
      <c r="B265" s="20" t="s">
        <v>1164</v>
      </c>
      <c r="C265" s="20" t="s">
        <v>1165</v>
      </c>
      <c r="D265" s="21" t="s">
        <v>1162</v>
      </c>
      <c r="E265" s="20" t="s">
        <v>1163</v>
      </c>
      <c r="F265" s="26" t="s">
        <v>416</v>
      </c>
    </row>
    <row r="266" spans="1:6" s="86" customFormat="1" ht="30">
      <c r="A266" s="45">
        <v>262</v>
      </c>
      <c r="B266" s="20" t="s">
        <v>1172</v>
      </c>
      <c r="C266" s="20" t="s">
        <v>1173</v>
      </c>
      <c r="D266" s="21" t="s">
        <v>1171</v>
      </c>
      <c r="E266" s="20" t="s">
        <v>1174</v>
      </c>
      <c r="F266" s="26" t="s">
        <v>416</v>
      </c>
    </row>
    <row r="267" spans="1:6" s="86" customFormat="1">
      <c r="A267" s="45">
        <v>263</v>
      </c>
      <c r="B267" s="20" t="s">
        <v>1188</v>
      </c>
      <c r="C267" s="20"/>
      <c r="D267" s="21" t="s">
        <v>1190</v>
      </c>
      <c r="E267" s="20" t="s">
        <v>1191</v>
      </c>
      <c r="F267" s="26" t="s">
        <v>416</v>
      </c>
    </row>
    <row r="268" spans="1:6" s="86" customFormat="1">
      <c r="A268" s="45">
        <v>264</v>
      </c>
      <c r="B268" s="20" t="s">
        <v>1189</v>
      </c>
      <c r="C268" s="20"/>
      <c r="D268" s="21" t="s">
        <v>1192</v>
      </c>
      <c r="E268" s="20" t="s">
        <v>1193</v>
      </c>
      <c r="F268" s="26" t="s">
        <v>416</v>
      </c>
    </row>
    <row r="269" spans="1:6" s="86" customFormat="1">
      <c r="A269" s="45">
        <v>265</v>
      </c>
      <c r="B269" s="20" t="s">
        <v>1194</v>
      </c>
      <c r="C269" s="20"/>
      <c r="D269" s="21" t="s">
        <v>1195</v>
      </c>
      <c r="E269" s="20" t="s">
        <v>416</v>
      </c>
      <c r="F269" s="26" t="s">
        <v>416</v>
      </c>
    </row>
    <row r="270" spans="1:6" s="86" customFormat="1">
      <c r="A270" s="45">
        <v>266</v>
      </c>
      <c r="B270" s="20" t="s">
        <v>1198</v>
      </c>
      <c r="C270" s="20"/>
      <c r="D270" s="21" t="s">
        <v>1199</v>
      </c>
      <c r="E270" s="20" t="s">
        <v>416</v>
      </c>
      <c r="F270" s="26" t="s">
        <v>416</v>
      </c>
    </row>
    <row r="271" spans="1:6" s="86" customFormat="1">
      <c r="A271" s="45">
        <v>267</v>
      </c>
      <c r="B271" s="20" t="s">
        <v>1208</v>
      </c>
      <c r="C271" s="20" t="s">
        <v>1211</v>
      </c>
      <c r="D271" s="21" t="s">
        <v>1212</v>
      </c>
      <c r="E271" s="20" t="s">
        <v>1213</v>
      </c>
      <c r="F271" s="26" t="s">
        <v>416</v>
      </c>
    </row>
    <row r="272" spans="1:6" s="86" customFormat="1" ht="30">
      <c r="A272" s="45">
        <v>268</v>
      </c>
      <c r="B272" s="20" t="s">
        <v>1209</v>
      </c>
      <c r="C272" s="20" t="s">
        <v>1214</v>
      </c>
      <c r="D272" s="21" t="s">
        <v>1215</v>
      </c>
      <c r="E272" s="20" t="s">
        <v>1216</v>
      </c>
      <c r="F272" s="26" t="s">
        <v>416</v>
      </c>
    </row>
    <row r="273" spans="1:6" s="86" customFormat="1">
      <c r="A273" s="45">
        <v>269</v>
      </c>
      <c r="B273" s="20" t="s">
        <v>1207</v>
      </c>
      <c r="C273" s="20"/>
      <c r="D273" s="21"/>
      <c r="E273" s="20"/>
      <c r="F273" s="26" t="s">
        <v>416</v>
      </c>
    </row>
    <row r="274" spans="1:6" s="86" customFormat="1">
      <c r="A274" s="45">
        <v>270</v>
      </c>
      <c r="B274" s="20" t="s">
        <v>1217</v>
      </c>
      <c r="C274" s="20"/>
      <c r="D274" s="21" t="s">
        <v>1219</v>
      </c>
      <c r="E274" s="20" t="s">
        <v>1220</v>
      </c>
      <c r="F274" s="26" t="s">
        <v>416</v>
      </c>
    </row>
    <row r="275" spans="1:6" s="86" customFormat="1" ht="30">
      <c r="A275" s="45">
        <v>271</v>
      </c>
      <c r="B275" s="20" t="s">
        <v>1218</v>
      </c>
      <c r="C275" s="20" t="s">
        <v>1221</v>
      </c>
      <c r="D275" s="21" t="s">
        <v>1222</v>
      </c>
      <c r="E275" s="20" t="s">
        <v>1223</v>
      </c>
      <c r="F275" s="26" t="s">
        <v>416</v>
      </c>
    </row>
    <row r="276" spans="1:6" s="86" customFormat="1">
      <c r="A276" s="45">
        <v>272</v>
      </c>
      <c r="B276" s="20" t="s">
        <v>1252</v>
      </c>
      <c r="C276" s="20" t="s">
        <v>1253</v>
      </c>
      <c r="D276" s="21" t="s">
        <v>1254</v>
      </c>
      <c r="E276" s="20" t="s">
        <v>1255</v>
      </c>
      <c r="F276" s="26" t="s">
        <v>416</v>
      </c>
    </row>
    <row r="277" spans="1:6" s="86" customFormat="1">
      <c r="A277" s="45">
        <v>273</v>
      </c>
      <c r="B277" s="20" t="s">
        <v>1278</v>
      </c>
      <c r="C277" s="20" t="s">
        <v>1279</v>
      </c>
      <c r="D277" s="21" t="s">
        <v>1280</v>
      </c>
      <c r="E277" s="20" t="s">
        <v>416</v>
      </c>
      <c r="F277" s="26" t="s">
        <v>416</v>
      </c>
    </row>
    <row r="278" spans="1:6" s="86" customFormat="1">
      <c r="A278" s="45">
        <v>274</v>
      </c>
      <c r="B278" s="20"/>
      <c r="C278" s="20"/>
      <c r="D278" s="21"/>
      <c r="E278" s="20"/>
      <c r="F278" s="26"/>
    </row>
    <row r="279" spans="1:6" s="86" customFormat="1">
      <c r="A279" s="45">
        <v>275</v>
      </c>
      <c r="B279" s="20"/>
      <c r="C279" s="20"/>
      <c r="D279" s="21"/>
      <c r="E279" s="20"/>
      <c r="F279" s="26"/>
    </row>
    <row r="280" spans="1:6" s="86" customFormat="1">
      <c r="A280" s="45">
        <v>276</v>
      </c>
      <c r="B280" s="20"/>
      <c r="C280" s="20"/>
      <c r="D280" s="21"/>
      <c r="E280" s="20"/>
      <c r="F280" s="26"/>
    </row>
    <row r="281" spans="1:6" s="86" customFormat="1">
      <c r="A281" s="45">
        <v>277</v>
      </c>
      <c r="B281" s="20"/>
      <c r="C281" s="20"/>
      <c r="D281" s="21"/>
      <c r="E281" s="20"/>
      <c r="F281" s="26"/>
    </row>
    <row r="282" spans="1:6" s="86" customFormat="1">
      <c r="A282" s="45">
        <v>278</v>
      </c>
      <c r="B282" s="20"/>
      <c r="C282" s="20"/>
      <c r="D282" s="21"/>
      <c r="E282" s="20"/>
      <c r="F282" s="26"/>
    </row>
    <row r="283" spans="1:6" s="86" customFormat="1">
      <c r="A283" s="45">
        <v>279</v>
      </c>
      <c r="B283" s="20"/>
      <c r="C283" s="20"/>
      <c r="D283" s="21"/>
      <c r="E283" s="20"/>
      <c r="F283" s="26"/>
    </row>
    <row r="284" spans="1:6" s="86" customFormat="1">
      <c r="A284" s="45">
        <v>280</v>
      </c>
      <c r="B284" s="20"/>
      <c r="C284" s="20"/>
      <c r="D284" s="21"/>
      <c r="E284" s="20"/>
      <c r="F284" s="26"/>
    </row>
    <row r="285" spans="1:6" s="86" customFormat="1">
      <c r="A285" s="45">
        <v>281</v>
      </c>
      <c r="B285" s="20"/>
      <c r="C285" s="20"/>
      <c r="D285" s="21"/>
      <c r="E285" s="20"/>
      <c r="F285" s="26"/>
    </row>
    <row r="286" spans="1:6" s="86" customFormat="1">
      <c r="A286" s="45">
        <v>282</v>
      </c>
      <c r="B286" s="20"/>
      <c r="C286" s="20"/>
      <c r="D286" s="21"/>
      <c r="E286" s="20"/>
      <c r="F286" s="26"/>
    </row>
    <row r="287" spans="1:6" s="86" customFormat="1">
      <c r="A287" s="45">
        <v>283</v>
      </c>
      <c r="B287" s="20"/>
      <c r="C287" s="20"/>
      <c r="D287" s="21"/>
      <c r="E287" s="20"/>
      <c r="F287" s="26"/>
    </row>
    <row r="288" spans="1:6" s="86" customFormat="1">
      <c r="A288" s="45">
        <v>284</v>
      </c>
      <c r="B288" s="20"/>
      <c r="C288" s="20"/>
      <c r="D288" s="21"/>
      <c r="E288" s="20"/>
      <c r="F288" s="26"/>
    </row>
    <row r="289" spans="1:6" s="86" customFormat="1">
      <c r="A289" s="45">
        <v>285</v>
      </c>
      <c r="B289" s="20"/>
      <c r="C289" s="20"/>
      <c r="D289" s="21"/>
      <c r="E289" s="20"/>
      <c r="F289" s="26"/>
    </row>
    <row r="290" spans="1:6" s="86" customFormat="1">
      <c r="A290" s="45">
        <v>286</v>
      </c>
      <c r="B290" s="20"/>
      <c r="C290" s="20"/>
      <c r="D290" s="21"/>
      <c r="E290" s="20"/>
      <c r="F290" s="26"/>
    </row>
    <row r="291" spans="1:6" s="86" customFormat="1">
      <c r="A291" s="45">
        <v>287</v>
      </c>
      <c r="B291" s="20"/>
      <c r="C291" s="20"/>
      <c r="D291" s="21"/>
      <c r="E291" s="20"/>
      <c r="F291" s="26"/>
    </row>
    <row r="292" spans="1:6" s="86" customFormat="1">
      <c r="A292" s="45">
        <v>288</v>
      </c>
      <c r="B292" s="20"/>
      <c r="C292" s="20"/>
      <c r="D292" s="21"/>
      <c r="E292" s="20"/>
      <c r="F292" s="26"/>
    </row>
    <row r="293" spans="1:6" s="86" customFormat="1">
      <c r="A293" s="45">
        <v>289</v>
      </c>
      <c r="B293" s="20"/>
      <c r="C293" s="20"/>
      <c r="D293" s="21"/>
      <c r="E293" s="20"/>
      <c r="F293" s="26"/>
    </row>
    <row r="294" spans="1:6" s="86" customFormat="1">
      <c r="A294" s="45">
        <v>290</v>
      </c>
      <c r="B294" s="20"/>
      <c r="C294" s="20"/>
      <c r="D294" s="21"/>
      <c r="E294" s="20"/>
      <c r="F294" s="26"/>
    </row>
    <row r="295" spans="1:6" s="86" customFormat="1">
      <c r="A295" s="45">
        <v>291</v>
      </c>
      <c r="B295" s="20"/>
      <c r="C295" s="20"/>
      <c r="D295" s="21"/>
      <c r="E295" s="20"/>
      <c r="F295" s="26"/>
    </row>
    <row r="296" spans="1:6" s="86" customFormat="1">
      <c r="A296" s="45">
        <v>292</v>
      </c>
      <c r="B296" s="20"/>
      <c r="C296" s="20"/>
      <c r="D296" s="21"/>
      <c r="E296" s="20"/>
      <c r="F296" s="26"/>
    </row>
    <row r="297" spans="1:6" s="86" customFormat="1">
      <c r="A297" s="45">
        <v>293</v>
      </c>
      <c r="B297" s="20"/>
      <c r="C297" s="20"/>
      <c r="D297" s="21"/>
      <c r="E297" s="20"/>
      <c r="F297" s="26"/>
    </row>
    <row r="298" spans="1:6" s="86" customFormat="1">
      <c r="A298" s="45">
        <v>294</v>
      </c>
      <c r="B298" s="20"/>
      <c r="C298" s="20"/>
      <c r="D298" s="21"/>
      <c r="E298" s="20"/>
      <c r="F298" s="26"/>
    </row>
    <row r="299" spans="1:6" s="86" customFormat="1">
      <c r="A299" s="45">
        <v>295</v>
      </c>
      <c r="B299" s="20"/>
      <c r="C299" s="20"/>
      <c r="D299" s="21"/>
      <c r="E299" s="20"/>
      <c r="F299" s="26"/>
    </row>
    <row r="300" spans="1:6" s="86" customFormat="1">
      <c r="A300" s="45">
        <v>296</v>
      </c>
      <c r="B300" s="20"/>
      <c r="C300" s="20"/>
      <c r="D300" s="21"/>
      <c r="E300" s="20"/>
      <c r="F300" s="26"/>
    </row>
    <row r="301" spans="1:6" s="86" customFormat="1">
      <c r="A301" s="45">
        <v>297</v>
      </c>
      <c r="B301" s="20"/>
      <c r="C301" s="20"/>
      <c r="D301" s="21"/>
      <c r="E301" s="20"/>
      <c r="F301" s="26"/>
    </row>
    <row r="302" spans="1:6" s="86" customFormat="1">
      <c r="A302" s="45">
        <v>298</v>
      </c>
      <c r="B302" s="20"/>
      <c r="C302" s="20"/>
      <c r="D302" s="21"/>
      <c r="E302" s="20"/>
      <c r="F302" s="26"/>
    </row>
    <row r="303" spans="1:6" s="86" customFormat="1">
      <c r="A303" s="45">
        <v>299</v>
      </c>
      <c r="B303" s="20"/>
      <c r="C303" s="20"/>
      <c r="D303" s="21"/>
      <c r="E303" s="20"/>
      <c r="F303" s="26"/>
    </row>
    <row r="304" spans="1:6" s="86" customFormat="1">
      <c r="A304" s="45">
        <v>300</v>
      </c>
      <c r="B304" s="20"/>
      <c r="C304" s="20"/>
      <c r="D304" s="21"/>
      <c r="E304" s="20"/>
      <c r="F304" s="26"/>
    </row>
  </sheetData>
  <autoFilter ref="A4:G244"/>
  <customSheetViews>
    <customSheetView guid="{9C7DF5E1-0B31-456B-8B95-9E84EC8BB2AA}" showGridLines="0" showAutoFilter="1">
      <pane xSplit="2" ySplit="4" topLeftCell="C122" activePane="bottomRight" state="frozen"/>
      <selection pane="bottomRight" activeCell="B126" sqref="B126"/>
      <pageMargins left="0.7" right="0.7" top="0.75" bottom="0.75" header="0.3" footer="0.3"/>
      <pageSetup orientation="portrait" r:id="rId1"/>
      <autoFilter ref="A4:K148"/>
    </customSheetView>
    <customSheetView guid="{2EDA8CC3-84EB-4F05-BF1F-BD8B14370E50}" showGridLines="0" showAutoFilter="1">
      <pane xSplit="2" ySplit="4" topLeftCell="C35" activePane="bottomRight" state="frozen"/>
      <selection pane="bottomRight" activeCell="B40" sqref="B40"/>
      <pageMargins left="0.7" right="0.7" top="0.75" bottom="0.75" header="0.3" footer="0.3"/>
      <pageSetup orientation="portrait" r:id="rId2"/>
      <autoFilter ref="A4:K148"/>
    </customSheetView>
  </customSheetViews>
  <mergeCells count="1">
    <mergeCell ref="A2:F2"/>
  </mergeCells>
  <conditionalFormatting sqref="B5:F94 B96:F148 C95:F95">
    <cfRule type="expression" dxfId="1352" priority="63">
      <formula>IF(ISODD($A5)=TRUE,1,0)</formula>
    </cfRule>
  </conditionalFormatting>
  <conditionalFormatting sqref="A5:A304">
    <cfRule type="expression" dxfId="1351" priority="62">
      <formula>IF(ISODD($A5)=TRUE,1,0)</formula>
    </cfRule>
  </conditionalFormatting>
  <conditionalFormatting sqref="B149:F149">
    <cfRule type="expression" dxfId="1350" priority="61">
      <formula>IF(ISODD($A149)=TRUE,1,0)</formula>
    </cfRule>
  </conditionalFormatting>
  <conditionalFormatting sqref="B150:F202 B204:F206 B232:C232 B233:E234 B235:F244 F246:F248 D245:E249 B245:B249 B208:F231">
    <cfRule type="expression" dxfId="1349" priority="58">
      <formula>IF(ISODD($A150)=TRUE,1,0)</formula>
    </cfRule>
  </conditionalFormatting>
  <conditionalFormatting sqref="B95">
    <cfRule type="expression" dxfId="1348" priority="41">
      <formula>IF(ISODD($A95)=TRUE,1,0)</formula>
    </cfRule>
  </conditionalFormatting>
  <conditionalFormatting sqref="B203:F203">
    <cfRule type="expression" dxfId="1347" priority="40">
      <formula>IF(ISODD($A203)=TRUE,1,0)</formula>
    </cfRule>
  </conditionalFormatting>
  <conditionalFormatting sqref="B207:F207">
    <cfRule type="expression" dxfId="1346" priority="38">
      <formula>IF(ISODD($A207)=TRUE,1,0)</formula>
    </cfRule>
  </conditionalFormatting>
  <conditionalFormatting sqref="D232:F232">
    <cfRule type="expression" dxfId="1345" priority="35">
      <formula>IF(ISODD($A232)=TRUE,1,0)</formula>
    </cfRule>
  </conditionalFormatting>
  <conditionalFormatting sqref="F233">
    <cfRule type="expression" dxfId="1344" priority="34">
      <formula>IF(ISODD($A233)=TRUE,1,0)</formula>
    </cfRule>
  </conditionalFormatting>
  <conditionalFormatting sqref="F234">
    <cfRule type="expression" dxfId="1343" priority="33">
      <formula>IF(ISODD($A234)=TRUE,1,0)</formula>
    </cfRule>
  </conditionalFormatting>
  <conditionalFormatting sqref="F245">
    <cfRule type="expression" dxfId="1342" priority="32">
      <formula>IF(ISODD($A245)=TRUE,1,0)</formula>
    </cfRule>
  </conditionalFormatting>
  <conditionalFormatting sqref="C245:C248">
    <cfRule type="expression" dxfId="1341" priority="31">
      <formula>IF(ISODD($A245)=TRUE,1,0)</formula>
    </cfRule>
  </conditionalFormatting>
  <conditionalFormatting sqref="F249">
    <cfRule type="expression" dxfId="1340" priority="30">
      <formula>IF(ISODD($A249)=TRUE,1,0)</formula>
    </cfRule>
  </conditionalFormatting>
  <conditionalFormatting sqref="C249">
    <cfRule type="expression" dxfId="1339" priority="29">
      <formula>IF(ISODD($A249)=TRUE,1,0)</formula>
    </cfRule>
  </conditionalFormatting>
  <conditionalFormatting sqref="C253">
    <cfRule type="expression" dxfId="1338" priority="15">
      <formula>IF(ISODD($A253)=TRUE,1,0)</formula>
    </cfRule>
  </conditionalFormatting>
  <conditionalFormatting sqref="D250:F250 B250">
    <cfRule type="expression" dxfId="1337" priority="14">
      <formula>IF(ISODD($A250)=TRUE,1,0)</formula>
    </cfRule>
  </conditionalFormatting>
  <conditionalFormatting sqref="D251:E251 B251">
    <cfRule type="expression" dxfId="1336" priority="20">
      <formula>IF(ISODD($A251)=TRUE,1,0)</formula>
    </cfRule>
  </conditionalFormatting>
  <conditionalFormatting sqref="C250">
    <cfRule type="expression" dxfId="1335" priority="13">
      <formula>IF(ISODD($A250)=TRUE,1,0)</formula>
    </cfRule>
  </conditionalFormatting>
  <conditionalFormatting sqref="F251">
    <cfRule type="expression" dxfId="1334" priority="19">
      <formula>IF(ISODD($A251)=TRUE,1,0)</formula>
    </cfRule>
  </conditionalFormatting>
  <conditionalFormatting sqref="C251">
    <cfRule type="expression" dxfId="1333" priority="18">
      <formula>IF(ISODD($A251)=TRUE,1,0)</formula>
    </cfRule>
  </conditionalFormatting>
  <conditionalFormatting sqref="D253:E253 B253">
    <cfRule type="expression" dxfId="1332" priority="17">
      <formula>IF(ISODD($A253)=TRUE,1,0)</formula>
    </cfRule>
  </conditionalFormatting>
  <conditionalFormatting sqref="F253">
    <cfRule type="expression" dxfId="1331" priority="16">
      <formula>IF(ISODD($A253)=TRUE,1,0)</formula>
    </cfRule>
  </conditionalFormatting>
  <conditionalFormatting sqref="D252:F252 B252">
    <cfRule type="expression" dxfId="1330" priority="12">
      <formula>IF(ISODD($A252)=TRUE,1,0)</formula>
    </cfRule>
  </conditionalFormatting>
  <conditionalFormatting sqref="C252">
    <cfRule type="expression" dxfId="1329" priority="11">
      <formula>IF(ISODD($A252)=TRUE,1,0)</formula>
    </cfRule>
  </conditionalFormatting>
  <conditionalFormatting sqref="D254:F254 B254">
    <cfRule type="expression" dxfId="1328" priority="10">
      <formula>IF(ISODD($A254)=TRUE,1,0)</formula>
    </cfRule>
  </conditionalFormatting>
  <conditionalFormatting sqref="C254">
    <cfRule type="expression" dxfId="1327" priority="9">
      <formula>IF(ISODD($A254)=TRUE,1,0)</formula>
    </cfRule>
  </conditionalFormatting>
  <conditionalFormatting sqref="D255:F255 B255:B304 D256:D258 D259:E259 D260:F261 E262:F262 D263:F304">
    <cfRule type="expression" dxfId="1326" priority="7">
      <formula>IF(ISODD($A255)=TRUE,1,0)</formula>
    </cfRule>
  </conditionalFormatting>
  <conditionalFormatting sqref="C255:C304">
    <cfRule type="expression" dxfId="1325" priority="6">
      <formula>IF(ISODD($A255)=TRUE,1,0)</formula>
    </cfRule>
  </conditionalFormatting>
  <conditionalFormatting sqref="E256:F256">
    <cfRule type="expression" dxfId="1324" priority="5">
      <formula>IF(ISODD($A256)=TRUE,1,0)</formula>
    </cfRule>
  </conditionalFormatting>
  <conditionalFormatting sqref="E257:F257">
    <cfRule type="expression" dxfId="1323" priority="4">
      <formula>IF(ISODD($A257)=TRUE,1,0)</formula>
    </cfRule>
  </conditionalFormatting>
  <conditionalFormatting sqref="E258:F258">
    <cfRule type="expression" dxfId="1322" priority="3">
      <formula>IF(ISODD($A258)=TRUE,1,0)</formula>
    </cfRule>
  </conditionalFormatting>
  <conditionalFormatting sqref="F259">
    <cfRule type="expression" dxfId="1321" priority="2">
      <formula>IF(ISODD($A259)=TRUE,1,0)</formula>
    </cfRule>
  </conditionalFormatting>
  <conditionalFormatting sqref="D262">
    <cfRule type="expression" dxfId="1320" priority="1">
      <formula>IF(ISODD($A262)=TRUE,1,0)</formula>
    </cfRule>
  </conditionalFormatting>
  <pageMargins left="0.7" right="0.7" top="0.75" bottom="0.75" header="0.3" footer="0.3"/>
  <pageSetup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92D050"/>
  </sheetPr>
  <dimension ref="A1:W204"/>
  <sheetViews>
    <sheetView zoomScale="50" zoomScaleNormal="50" workbookViewId="0">
      <pane ySplit="11" topLeftCell="A12" activePane="bottomLeft" state="frozen"/>
      <selection pane="bottomLeft" activeCell="I15" sqref="I15"/>
    </sheetView>
  </sheetViews>
  <sheetFormatPr baseColWidth="10" defaultColWidth="11.42578125" defaultRowHeight="15"/>
  <cols>
    <col min="1" max="1" width="0.7109375" customWidth="1"/>
    <col min="2" max="2" width="10.85546875" customWidth="1"/>
    <col min="3" max="3" width="7.28515625" customWidth="1"/>
    <col min="4" max="4" width="13" customWidth="1"/>
    <col min="6" max="6" width="11.140625" customWidth="1"/>
    <col min="7" max="7" width="5.140625" customWidth="1"/>
    <col min="8" max="8" width="2.7109375" customWidth="1"/>
    <col min="9" max="9" width="17.85546875" customWidth="1"/>
    <col min="10" max="10" width="7.28515625" customWidth="1"/>
    <col min="11" max="11" width="6" customWidth="1"/>
    <col min="12" max="12" width="8.140625" customWidth="1"/>
    <col min="13" max="13" width="14.85546875" customWidth="1"/>
    <col min="14" max="14" width="60.7109375" customWidth="1"/>
    <col min="15" max="15" width="55.7109375" customWidth="1"/>
  </cols>
  <sheetData>
    <row r="1" spans="1:23" ht="15" customHeight="1">
      <c r="A1" s="193"/>
      <c r="M1" s="10" t="s">
        <v>93</v>
      </c>
      <c r="N1" s="90" t="s">
        <v>1305</v>
      </c>
    </row>
    <row r="2" spans="1:23" ht="11.25" customHeight="1">
      <c r="A2" s="9"/>
      <c r="M2" s="10" t="s">
        <v>667</v>
      </c>
      <c r="N2" s="15" t="s">
        <v>673</v>
      </c>
    </row>
    <row r="3" spans="1:23" ht="3.75" customHeight="1">
      <c r="A3" s="9"/>
      <c r="M3" s="37" t="s">
        <v>946</v>
      </c>
      <c r="N3" s="14" t="s">
        <v>94</v>
      </c>
      <c r="O3" s="14" t="s">
        <v>95</v>
      </c>
    </row>
    <row r="4" spans="1:23" ht="14.25" customHeight="1">
      <c r="A4" s="9"/>
      <c r="M4" s="15" t="s">
        <v>947</v>
      </c>
      <c r="N4" s="16" t="s">
        <v>76</v>
      </c>
      <c r="O4" s="16" t="s">
        <v>767</v>
      </c>
    </row>
    <row r="5" spans="1:23" ht="8.25" customHeight="1">
      <c r="A5" s="9"/>
      <c r="N5" s="16" t="s">
        <v>453</v>
      </c>
      <c r="O5" s="16" t="s">
        <v>666</v>
      </c>
    </row>
    <row r="6" spans="1:23" ht="6.75" customHeight="1">
      <c r="A6" s="9"/>
      <c r="I6" s="7" t="s">
        <v>80</v>
      </c>
      <c r="J6" s="7" t="s">
        <v>81</v>
      </c>
      <c r="K6" s="7" t="s">
        <v>82</v>
      </c>
      <c r="L6" s="7" t="s">
        <v>83</v>
      </c>
      <c r="N6" s="16" t="s">
        <v>480</v>
      </c>
      <c r="O6" s="16" t="s">
        <v>480</v>
      </c>
      <c r="P6" t="s">
        <v>563</v>
      </c>
    </row>
    <row r="7" spans="1:23" ht="15.75" customHeight="1">
      <c r="A7" s="194"/>
      <c r="B7" s="92"/>
      <c r="C7" s="92"/>
      <c r="D7" s="92"/>
      <c r="E7" s="92"/>
      <c r="F7" s="92"/>
      <c r="G7" s="92"/>
      <c r="H7" s="93"/>
      <c r="I7" s="94" t="s">
        <v>84</v>
      </c>
      <c r="J7" s="95">
        <f>DAY(VLOOKUP(N1,'RELACION VTAS - CHS'!F:H,2,FALSE))</f>
        <v>25</v>
      </c>
      <c r="K7" s="95" t="str">
        <f>IF(LEN(MONTH(VLOOKUP(N1,'RELACION VTAS - CHS'!F:H,2,FALSE)))=1,CONCATENATE("0",MONTH(VLOOKUP(N1,'RELACION VTAS - CHS'!F:H,2,FALSE))),MONTH(VLOOKUP(N1,'RELACION VTAS - CHS'!F:H,2,FALSE)))</f>
        <v>02</v>
      </c>
      <c r="L7" s="95">
        <f>YEAR(VLOOKUP(N1,'RELACION VTAS - CHS'!F:H,2,FALSE))</f>
        <v>2022</v>
      </c>
      <c r="N7" s="16" t="s">
        <v>524</v>
      </c>
      <c r="O7" s="16" t="s">
        <v>524</v>
      </c>
    </row>
    <row r="8" spans="1:23" ht="16.5" customHeight="1">
      <c r="A8" s="194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N8" s="16" t="s">
        <v>534</v>
      </c>
      <c r="O8" s="16" t="s">
        <v>908</v>
      </c>
      <c r="V8" t="s">
        <v>632</v>
      </c>
      <c r="W8">
        <v>0</v>
      </c>
    </row>
    <row r="9" spans="1:23" ht="16.5" customHeight="1">
      <c r="A9" s="195" t="s">
        <v>85</v>
      </c>
      <c r="B9" s="95"/>
      <c r="C9" s="95"/>
      <c r="D9" s="85" t="str">
        <f>VLOOKUP(N1,'RELACION VTAS - CHS'!F:H,3,FALSE)</f>
        <v>INVERSIONES FERRECASA ATA, C.A.</v>
      </c>
      <c r="E9" s="85"/>
      <c r="F9" s="96"/>
      <c r="G9" s="96"/>
      <c r="H9" s="96"/>
      <c r="I9" s="92"/>
      <c r="J9" s="97" t="str">
        <f>IF(ISERROR(VLOOKUP(D9,'DATOS CLIENTES'!$B:$E,2,FALSE))=FALSE,VLOOKUP(D9,'DATOS CLIENTES'!$B:$E,2,FALSE),"")</f>
        <v>J-40234765-0</v>
      </c>
      <c r="K9" s="97"/>
      <c r="L9" s="97"/>
      <c r="N9" s="17" t="s">
        <v>525</v>
      </c>
      <c r="O9" s="16" t="s">
        <v>525</v>
      </c>
      <c r="V9" t="s">
        <v>562</v>
      </c>
      <c r="W9" s="67">
        <v>0</v>
      </c>
    </row>
    <row r="10" spans="1:23" ht="18" customHeight="1">
      <c r="A10" s="195" t="s">
        <v>86</v>
      </c>
      <c r="B10" s="95"/>
      <c r="C10" s="95"/>
      <c r="D10" s="346" t="str">
        <f>IF(ISERROR(VLOOKUP(D9,'DATOS CLIENTES'!$B:$E,2,FALSE))=FALSE,VLOOKUP(D9,'DATOS CLIENTES'!$B:$E,4,FALSE),"")</f>
        <v>AV. BUCHIVACOA, ESQ. CALLEJON JURADO Y AV. LOS MEDANOS.</v>
      </c>
      <c r="E10" s="346"/>
      <c r="F10" s="346"/>
      <c r="G10" s="346"/>
      <c r="H10" s="346"/>
      <c r="I10" s="346"/>
      <c r="J10" s="346"/>
      <c r="K10" s="346"/>
      <c r="L10" s="346"/>
      <c r="N10" s="17" t="s">
        <v>538</v>
      </c>
      <c r="O10" s="16" t="s">
        <v>538</v>
      </c>
      <c r="V10" t="s">
        <v>563</v>
      </c>
      <c r="W10" s="67">
        <v>0</v>
      </c>
    </row>
    <row r="11" spans="1:23" ht="20.25" customHeight="1">
      <c r="A11" s="196" t="s">
        <v>87</v>
      </c>
      <c r="B11" s="97"/>
      <c r="C11" s="97"/>
      <c r="D11" s="97"/>
      <c r="E11" s="97"/>
      <c r="F11" s="97"/>
      <c r="G11" s="97"/>
      <c r="H11" s="97"/>
      <c r="I11" s="347" t="str">
        <f>IF(ISERROR(VLOOKUP(D9,'DATOS CLIENTES'!$B:$E,2,FALSE))=FALSE,VLOOKUP(D9,'DATOS CLIENTES'!$B:$E,3,FALSE),"")</f>
        <v>0424-6815069</v>
      </c>
      <c r="J11" s="347"/>
      <c r="K11" s="347"/>
      <c r="L11" s="347"/>
      <c r="N11" s="17" t="s">
        <v>548</v>
      </c>
      <c r="O11" s="16" t="s">
        <v>548</v>
      </c>
      <c r="V11" t="s">
        <v>538</v>
      </c>
      <c r="W11" s="67">
        <v>0</v>
      </c>
    </row>
    <row r="12" spans="1:23">
      <c r="A12" s="9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N12" s="17" t="s">
        <v>563</v>
      </c>
      <c r="O12" s="16" t="s">
        <v>563</v>
      </c>
      <c r="V12" t="s">
        <v>524</v>
      </c>
      <c r="W12" s="67">
        <v>0</v>
      </c>
    </row>
    <row r="13" spans="1:23">
      <c r="A13" s="197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N13" s="16" t="s">
        <v>562</v>
      </c>
      <c r="O13" s="16" t="s">
        <v>562</v>
      </c>
      <c r="V13" t="s">
        <v>512</v>
      </c>
      <c r="W13" s="67">
        <v>0</v>
      </c>
    </row>
    <row r="14" spans="1:23" ht="26.25" customHeight="1">
      <c r="A14" s="9"/>
      <c r="B14" s="85"/>
      <c r="C14" s="85"/>
      <c r="D14" s="98"/>
      <c r="E14" s="98"/>
      <c r="F14" s="98"/>
      <c r="G14" s="98"/>
      <c r="H14" s="98"/>
      <c r="I14" s="85"/>
      <c r="J14" s="98"/>
      <c r="K14" s="98"/>
      <c r="L14" s="98"/>
      <c r="N14" s="16" t="s">
        <v>512</v>
      </c>
      <c r="O14" s="16" t="s">
        <v>512</v>
      </c>
      <c r="V14" t="s">
        <v>480</v>
      </c>
      <c r="W14" s="67">
        <v>0</v>
      </c>
    </row>
    <row r="15" spans="1:23" ht="18" customHeight="1">
      <c r="B15" s="92">
        <f>IF(ISERROR(VLOOKUP(CONCATENATE($M15,$N$1),'RELACION VTAS - CHS'!$A:$O,10,FALSE))=FALSE,VLOOKUP(CONCATENATE($M15,$N$1),'RELACION VTAS - CHS'!$A:$L,10,FALSE),"")</f>
        <v>54</v>
      </c>
      <c r="C15" s="92"/>
      <c r="D15" s="133" t="str">
        <f>IF(B15="","",VLOOKUP(IF(ISERROR(VLOOKUP(CONCATENATE($M15,$N$1),'RELACION VTAS - CHS'!$A:$L,9,FALSE))=FALSE,VLOOKUP(CONCATENATE($M15,$N$1),'RELACION VTAS - CHS'!$A:$L,9,FALSE),""),$N$4:$O$53,2,FALSE))</f>
        <v>STYLOSA HIDROXIETIL (85 GR.)</v>
      </c>
      <c r="E15" s="92"/>
      <c r="F15" s="92"/>
      <c r="G15" s="92"/>
      <c r="H15" s="92"/>
      <c r="I15" s="168">
        <f>IF(ISERROR(VLOOKUP(CONCATENATE($M15,$N$1),'RELACION VTAS - CHS'!$A:$O,11,FALSE))=FALSE,VLOOKUP(CONCATENATE($M15,$N$1),'RELACION VTAS - CHS'!$A:$O,IF($M$4="BS",14,11),FALSE),"")</f>
        <v>1.3899999999999997</v>
      </c>
      <c r="J15" s="345">
        <f>IF(B15="","",I15*B15)</f>
        <v>75.059999999999988</v>
      </c>
      <c r="K15" s="345"/>
      <c r="L15" s="345"/>
      <c r="M15" s="19">
        <v>1</v>
      </c>
      <c r="N15" s="16" t="s">
        <v>515</v>
      </c>
      <c r="O15" s="16" t="s">
        <v>515</v>
      </c>
      <c r="V15" t="s">
        <v>515</v>
      </c>
      <c r="W15" s="67">
        <v>0</v>
      </c>
    </row>
    <row r="16" spans="1:23" ht="18" customHeight="1">
      <c r="B16" s="92" t="str">
        <f>IF(ISERROR(VLOOKUP(CONCATENATE($M16,$N$1),'RELACION VTAS - CHS'!$A:$L,10,FALSE))=FALSE,VLOOKUP(CONCATENATE($M16,$N$1),'RELACION VTAS - CHS'!$A:$L,10,FALSE),"")</f>
        <v/>
      </c>
      <c r="C16" s="92"/>
      <c r="D16" s="133" t="str">
        <f>IF(B16="","",VLOOKUP(IF(ISERROR(VLOOKUP(CONCATENATE($M16,$N$1),'RELACION VTAS - CHS'!$A:$L,9,FALSE))=FALSE,VLOOKUP(CONCATENATE($M16,$N$1),'RELACION VTAS - CHS'!$A:$L,9,FALSE),""),$N$4:$O$55,2,FALSE))</f>
        <v/>
      </c>
      <c r="E16" s="92"/>
      <c r="F16" s="92"/>
      <c r="G16" s="92"/>
      <c r="H16" s="92"/>
      <c r="I16" s="168" t="str">
        <f>IF(ISERROR(VLOOKUP(CONCATENATE($M16,$N$1),'RELACION VTAS - CHS'!$A:$O,11,FALSE))=FALSE,VLOOKUP(CONCATENATE($M16,$N$1),'RELACION VTAS - CHS'!$A:$O,IF($M$4="BS",14,11),FALSE),"")</f>
        <v/>
      </c>
      <c r="J16" s="345" t="str">
        <f t="shared" ref="J16:J30" si="0">IF(B16="","",I16*B16)</f>
        <v/>
      </c>
      <c r="K16" s="345"/>
      <c r="L16" s="345"/>
      <c r="M16" s="19">
        <v>2</v>
      </c>
      <c r="N16" s="16" t="s">
        <v>632</v>
      </c>
      <c r="O16" s="16" t="s">
        <v>632</v>
      </c>
      <c r="V16" t="s">
        <v>525</v>
      </c>
      <c r="W16" s="67">
        <v>0</v>
      </c>
    </row>
    <row r="17" spans="2:23" ht="18" customHeight="1">
      <c r="B17" s="92" t="str">
        <f>IF(ISERROR(VLOOKUP(CONCATENATE($M17,$N$1),'RELACION VTAS - CHS'!$A:$L,10,FALSE))=FALSE,VLOOKUP(CONCATENATE($M17,$N$1),'RELACION VTAS - CHS'!$A:$L,10,FALSE),"")</f>
        <v/>
      </c>
      <c r="C17" s="92"/>
      <c r="D17" s="133" t="str">
        <f>IF(B17="","",VLOOKUP(IF(ISERROR(VLOOKUP(CONCATENATE($M17,$N$1),'RELACION VTAS - CHS'!$A:$L,9,FALSE))=FALSE,VLOOKUP(CONCATENATE($M17,$N$1),'RELACION VTAS - CHS'!$A:$L,9,FALSE),""),$N$4:$O$60,2,FALSE))</f>
        <v/>
      </c>
      <c r="E17" s="92"/>
      <c r="F17" s="92"/>
      <c r="G17" s="92"/>
      <c r="H17" s="92"/>
      <c r="I17" s="168" t="str">
        <f>IF(ISERROR(VLOOKUP(CONCATENATE($M17,$N$1),'RELACION VTAS - CHS'!$A:$O,11,FALSE))=FALSE,VLOOKUP(CONCATENATE($M17,$N$1),'RELACION VTAS - CHS'!$A:$O,IF($M$4="BS",14,11),FALSE),"")</f>
        <v/>
      </c>
      <c r="J17" s="345" t="str">
        <f t="shared" si="0"/>
        <v/>
      </c>
      <c r="K17" s="345"/>
      <c r="L17" s="345"/>
      <c r="M17" s="19">
        <v>3</v>
      </c>
      <c r="N17" s="16" t="s">
        <v>681</v>
      </c>
      <c r="O17" s="16" t="s">
        <v>681</v>
      </c>
      <c r="V17" t="s">
        <v>548</v>
      </c>
      <c r="W17" s="67">
        <v>0</v>
      </c>
    </row>
    <row r="18" spans="2:23" ht="18" customHeight="1">
      <c r="B18" s="92" t="str">
        <f>IF(ISERROR(VLOOKUP(CONCATENATE($M18,$N$1),'RELACION VTAS - CHS'!$A:$L,10,FALSE))=FALSE,VLOOKUP(CONCATENATE($M18,$N$1),'RELACION VTAS - CHS'!$A:$L,10,FALSE),"")</f>
        <v/>
      </c>
      <c r="C18" s="92"/>
      <c r="D18" s="199" t="str">
        <f>IF(B18="","",VLOOKUP(IF(ISERROR(VLOOKUP(CONCATENATE($M18,$N$1),'RELACION VTAS - CHS'!$A:$L,9,FALSE))=FALSE,VLOOKUP(CONCATENATE($M18,$N$1),'RELACION VTAS - CHS'!$A:$L,9,FALSE),""),$N$4:$O$58,2,FALSE))</f>
        <v/>
      </c>
      <c r="E18" s="200"/>
      <c r="F18" s="200"/>
      <c r="G18" s="92"/>
      <c r="H18" s="92"/>
      <c r="I18" s="168" t="str">
        <f>IF(ISERROR(VLOOKUP(CONCATENATE($M18,$N$1),'RELACION VTAS - CHS'!$A:$O,11,FALSE))=FALSE,VLOOKUP(CONCATENATE($M18,$N$1),'RELACION VTAS - CHS'!$A:$O,IF($M$4="BS",14,11),FALSE),"")</f>
        <v/>
      </c>
      <c r="J18" s="345" t="str">
        <f t="shared" si="0"/>
        <v/>
      </c>
      <c r="K18" s="345"/>
      <c r="L18" s="345"/>
      <c r="M18" s="19">
        <v>4</v>
      </c>
      <c r="N18" s="16" t="s">
        <v>687</v>
      </c>
      <c r="O18" s="16" t="s">
        <v>687</v>
      </c>
      <c r="V18" t="s">
        <v>534</v>
      </c>
      <c r="W18" s="67">
        <v>0</v>
      </c>
    </row>
    <row r="19" spans="2:23" ht="18" customHeight="1">
      <c r="B19" s="92" t="str">
        <f>IF(ISERROR(VLOOKUP(CONCATENATE($M19,$N$1),'RELACION VTAS - CHS'!$A:$L,10,FALSE))=FALSE,VLOOKUP(CONCATENATE($M19,$N$1),'RELACION VTAS - CHS'!$A:$L,10,FALSE),"")</f>
        <v/>
      </c>
      <c r="C19" s="92"/>
      <c r="D19" s="199" t="str">
        <f>IF(B19="","",VLOOKUP(IF(ISERROR(VLOOKUP(CONCATENATE($M19,$N$1),'RELACION VTAS - CHS'!$A:$L,9,FALSE))=FALSE,VLOOKUP(CONCATENATE($M19,$N$1),'RELACION VTAS - CHS'!$A:$L,9,FALSE),""),$N$4:$O$54,2,FALSE))</f>
        <v/>
      </c>
      <c r="E19" s="201"/>
      <c r="F19" s="200"/>
      <c r="G19" s="92"/>
      <c r="H19" s="92"/>
      <c r="I19" s="168" t="str">
        <f>IF(ISERROR(VLOOKUP(CONCATENATE($M19,$N$1),'RELACION VTAS - CHS'!$A:$O,11,FALSE))=FALSE,VLOOKUP(CONCATENATE($M19,$N$1),'RELACION VTAS - CHS'!$A:$O,IF($M$4="BS",14,11),FALSE),"")</f>
        <v/>
      </c>
      <c r="J19" s="345" t="str">
        <f t="shared" si="0"/>
        <v/>
      </c>
      <c r="K19" s="345"/>
      <c r="L19" s="345"/>
      <c r="M19" s="19">
        <v>5</v>
      </c>
      <c r="N19" s="16" t="s">
        <v>705</v>
      </c>
      <c r="O19" s="16" t="s">
        <v>705</v>
      </c>
      <c r="V19" t="s">
        <v>76</v>
      </c>
      <c r="W19" s="67">
        <v>0</v>
      </c>
    </row>
    <row r="20" spans="2:23" ht="18" customHeight="1">
      <c r="B20" s="92" t="str">
        <f>IF(ISERROR(VLOOKUP(CONCATENATE($M20,$N$1),'RELACION VTAS - CHS'!$A:$L,10,FALSE))=FALSE,VLOOKUP(CONCATENATE($M20,$N$1),'RELACION VTAS - CHS'!$A:$L,10,FALSE),"")</f>
        <v/>
      </c>
      <c r="C20" s="92"/>
      <c r="D20" s="133" t="str">
        <f>IF(B20="","",VLOOKUP(IF(ISERROR(VLOOKUP(CONCATENATE($M20,$N$1),'RELACION VTAS - CHS'!$A:$L,9,FALSE))=FALSE,VLOOKUP(CONCATENATE($M20,$N$1),'RELACION VTAS - CHS'!$A:$L,9,FALSE),""),$N$4:$O$51,2,FALSE))</f>
        <v/>
      </c>
      <c r="E20" s="92"/>
      <c r="F20" s="92"/>
      <c r="G20" s="92"/>
      <c r="H20" s="92"/>
      <c r="I20" s="168" t="str">
        <f>IF(ISERROR(VLOOKUP(CONCATENATE($M20,$N$1),'RELACION VTAS - CHS'!$A:$O,11,FALSE))=FALSE,VLOOKUP(CONCATENATE($M20,$N$1),'RELACION VTAS - CHS'!$A:$O,IF($M$4="BS",14,11),FALSE),"")</f>
        <v/>
      </c>
      <c r="J20" s="345" t="str">
        <f t="shared" si="0"/>
        <v/>
      </c>
      <c r="K20" s="345"/>
      <c r="L20" s="345"/>
      <c r="M20" s="19">
        <v>6</v>
      </c>
      <c r="N20" s="16" t="s">
        <v>706</v>
      </c>
      <c r="O20" s="16" t="s">
        <v>706</v>
      </c>
      <c r="V20" t="s">
        <v>262</v>
      </c>
      <c r="W20" s="67">
        <v>0</v>
      </c>
    </row>
    <row r="21" spans="2:23" ht="18" customHeight="1">
      <c r="B21" s="92" t="str">
        <f>IF(ISERROR(VLOOKUP(CONCATENATE($M21,$N$1),'RELACION VTAS - CHS'!$A:$L,10,FALSE))=FALSE,VLOOKUP(CONCATENATE($M21,$N$1),'RELACION VTAS - CHS'!$A:$L,10,FALSE),"")</f>
        <v/>
      </c>
      <c r="C21" s="92"/>
      <c r="D21" s="133" t="str">
        <f>IF(B21="","",VLOOKUP(IF(ISERROR(VLOOKUP(CONCATENATE($M21,$N$1),'RELACION VTAS - CHS'!$A:$L,9,FALSE))=FALSE,VLOOKUP(CONCATENATE($M21,$N$1),'RELACION VTAS - CHS'!$A:$L,9,FALSE),""),$N$4:$O$62,2,FALSE))</f>
        <v/>
      </c>
      <c r="E21" s="92"/>
      <c r="F21" s="92"/>
      <c r="G21" s="92"/>
      <c r="H21" s="92"/>
      <c r="I21" s="168" t="str">
        <f>IF(ISERROR(VLOOKUP(CONCATENATE($M21,$N$1),'RELACION VTAS - CHS'!$A:$O,11,FALSE))=FALSE,VLOOKUP(CONCATENATE($M21,$N$1),'RELACION VTAS - CHS'!$A:$O,IF($M$4="BS",14,11),FALSE),"")</f>
        <v/>
      </c>
      <c r="J21" s="345" t="str">
        <f t="shared" si="0"/>
        <v/>
      </c>
      <c r="K21" s="345"/>
      <c r="L21" s="345"/>
      <c r="M21" s="19">
        <v>7</v>
      </c>
      <c r="N21" s="16" t="s">
        <v>707</v>
      </c>
      <c r="O21" s="16" t="s">
        <v>707</v>
      </c>
      <c r="V21" t="s">
        <v>75</v>
      </c>
      <c r="W21" s="67">
        <v>0</v>
      </c>
    </row>
    <row r="22" spans="2:23" ht="18" customHeight="1">
      <c r="B22" s="92" t="str">
        <f>IF(ISERROR(VLOOKUP(CONCATENATE($M22,$N$1),'RELACION VTAS - CHS'!$A:$L,10,FALSE))=FALSE,VLOOKUP(CONCATENATE($M22,$N$1),'RELACION VTAS - CHS'!$A:$L,10,FALSE),"")</f>
        <v/>
      </c>
      <c r="C22" s="92"/>
      <c r="D22" s="133" t="str">
        <f>IF(B22="","",VLOOKUP(IF(ISERROR(VLOOKUP(CONCATENATE($M22,$N$1),'RELACION VTAS - CHS'!$A:$L,9,FALSE))=FALSE,VLOOKUP(CONCATENATE($M22,$N$1),'RELACION VTAS - CHS'!$A:$L,9,FALSE),""),$N$4:$O$64,2,FALSE))</f>
        <v/>
      </c>
      <c r="E22" s="92"/>
      <c r="F22" s="92"/>
      <c r="G22" s="92"/>
      <c r="H22" s="92"/>
      <c r="I22" s="168" t="str">
        <f>IF(ISERROR(VLOOKUP(CONCATENATE($M22,$N$1),'RELACION VTAS - CHS'!$A:$O,11,FALSE))=FALSE,VLOOKUP(CONCATENATE($M22,$N$1),'RELACION VTAS - CHS'!$A:$O,IF($M$4="BS",14,11),FALSE),"")</f>
        <v/>
      </c>
      <c r="J22" s="345" t="str">
        <f t="shared" si="0"/>
        <v/>
      </c>
      <c r="K22" s="345"/>
      <c r="L22" s="345"/>
      <c r="M22" s="19">
        <v>8</v>
      </c>
      <c r="N22" s="16" t="s">
        <v>710</v>
      </c>
      <c r="O22" s="16" t="s">
        <v>710</v>
      </c>
      <c r="V22" t="s">
        <v>453</v>
      </c>
      <c r="W22" s="67">
        <v>0</v>
      </c>
    </row>
    <row r="23" spans="2:23" ht="18" customHeight="1">
      <c r="B23" s="92" t="str">
        <f>IF(ISERROR(VLOOKUP(CONCATENATE($M23,$N$1),'RELACION VTAS - CHS'!$A:$L,10,FALSE))=FALSE,VLOOKUP(CONCATENATE($M23,$N$1),'RELACION VTAS - CHS'!$A:$L,10,FALSE),"")</f>
        <v/>
      </c>
      <c r="C23" s="92"/>
      <c r="D23" s="133" t="str">
        <f>IF(B23="","",VLOOKUP(IF(ISERROR(VLOOKUP(CONCATENATE($M23,$N$1),'RELACION VTAS - CHS'!$A:$L,9,FALSE))=FALSE,VLOOKUP(CONCATENATE($M23,$N$1),'RELACION VTAS - CHS'!$A:$L,9,FALSE),""),$N$4:$O$64,2,FALSE))</f>
        <v/>
      </c>
      <c r="E23" s="92"/>
      <c r="F23" s="92"/>
      <c r="G23" s="92"/>
      <c r="H23" s="92"/>
      <c r="I23" s="168" t="str">
        <f>IF(ISERROR(VLOOKUP(CONCATENATE($M23,$N$1),'RELACION VTAS - CHS'!$A:$O,11,FALSE))=FALSE,VLOOKUP(CONCATENATE($M23,$N$1),'RELACION VTAS - CHS'!$A:$O,IF($M$4="BS",14,11),FALSE),"")</f>
        <v/>
      </c>
      <c r="J23" s="345" t="str">
        <f t="shared" si="0"/>
        <v/>
      </c>
      <c r="K23" s="345"/>
      <c r="L23" s="345"/>
      <c r="M23" s="19">
        <v>9</v>
      </c>
      <c r="N23" s="16" t="s">
        <v>711</v>
      </c>
      <c r="O23" s="16" t="s">
        <v>711</v>
      </c>
      <c r="V23" t="s">
        <v>96</v>
      </c>
      <c r="W23" s="67">
        <v>0</v>
      </c>
    </row>
    <row r="24" spans="2:23" ht="18" customHeight="1">
      <c r="B24" s="92" t="str">
        <f>IF(ISERROR(VLOOKUP(CONCATENATE($M24,$N$1),'RELACION VTAS - CHS'!$A:$L,10,FALSE))=FALSE,VLOOKUP(CONCATENATE($M24,$N$1),'RELACION VTAS - CHS'!$A:$L,10,FALSE),"")</f>
        <v/>
      </c>
      <c r="C24" s="92"/>
      <c r="D24" s="133" t="str">
        <f>IF(B24="","",VLOOKUP(IF(ISERROR(VLOOKUP(CONCATENATE($M24,$N$1),'RELACION VTAS - CHS'!$A:$L,9,FALSE))=FALSE,VLOOKUP(CONCATENATE($M24,$N$1),'RELACION VTAS - CHS'!$A:$L,9,FALSE),""),$N$4:$O$36,2,FALSE))</f>
        <v/>
      </c>
      <c r="E24" s="92"/>
      <c r="F24" s="92"/>
      <c r="G24" s="92"/>
      <c r="H24" s="92"/>
      <c r="I24" s="168" t="str">
        <f>IF(ISERROR(VLOOKUP(CONCATENATE($M24,$N$1),'RELACION VTAS - CHS'!$A:$O,11,FALSE))=FALSE,VLOOKUP(CONCATENATE($M24,$N$1),'RELACION VTAS - CHS'!$A:$O,IF($M$4="BS",14,11),FALSE),"")</f>
        <v/>
      </c>
      <c r="J24" s="345" t="str">
        <f t="shared" si="0"/>
        <v/>
      </c>
      <c r="K24" s="345"/>
      <c r="L24" s="345"/>
      <c r="M24" s="19">
        <v>10</v>
      </c>
      <c r="N24" s="16" t="s">
        <v>727</v>
      </c>
      <c r="O24" s="16" t="s">
        <v>727</v>
      </c>
      <c r="V24" t="s">
        <v>632</v>
      </c>
      <c r="W24" s="67">
        <v>1</v>
      </c>
    </row>
    <row r="25" spans="2:23" ht="15.75">
      <c r="B25" s="92" t="str">
        <f>IF(ISERROR(VLOOKUP(CONCATENATE($M25,$N$1),'RELACION VTAS - CHS'!$A:$L,10,FALSE))=FALSE,VLOOKUP(CONCATENATE($M25,$N$1),'RELACION VTAS - CHS'!$A:$L,10,FALSE),"")</f>
        <v/>
      </c>
      <c r="C25" s="92"/>
      <c r="D25" s="133" t="str">
        <f>IF(B25="","",VLOOKUP(IF(ISERROR(VLOOKUP(CONCATENATE($M25,$N$1),'RELACION VTAS - CHS'!$A:$L,9,FALSE))=FALSE,VLOOKUP(CONCATENATE($M25,$N$1),'RELACION VTAS - CHS'!$A:$L,9,FALSE),""),$N$4:$O$54,2,FALSE))</f>
        <v/>
      </c>
      <c r="E25" s="92"/>
      <c r="F25" s="92"/>
      <c r="G25" s="92"/>
      <c r="H25" s="92"/>
      <c r="I25" s="168" t="str">
        <f>IF(ISERROR(VLOOKUP(CONCATENATE($M25,$N$1),'RELACION VTAS - CHS'!$A:$O,11,FALSE))=FALSE,VLOOKUP(CONCATENATE($M25,$N$1),'RELACION VTAS - CHS'!$A:$O,IF($M$4="BS",14,11),FALSE),"")</f>
        <v/>
      </c>
      <c r="J25" s="345" t="str">
        <f t="shared" si="0"/>
        <v/>
      </c>
      <c r="K25" s="345"/>
      <c r="L25" s="345"/>
      <c r="M25" s="19">
        <v>11</v>
      </c>
      <c r="N25" s="16" t="s">
        <v>729</v>
      </c>
      <c r="O25" s="16" t="s">
        <v>729</v>
      </c>
      <c r="V25" t="s">
        <v>632</v>
      </c>
      <c r="W25" s="67">
        <v>1</v>
      </c>
    </row>
    <row r="26" spans="2:23" ht="15.75">
      <c r="B26" s="92" t="str">
        <f>IF(ISERROR(VLOOKUP(CONCATENATE($M26,$N$1),'RELACION VTAS - CHS'!$A:$L,10,FALSE))=FALSE,VLOOKUP(CONCATENATE($M26,$N$1),'RELACION VTAS - CHS'!$A:$L,10,FALSE),"")</f>
        <v/>
      </c>
      <c r="C26" s="92"/>
      <c r="D26" s="133" t="str">
        <f>IF(B26="","",VLOOKUP(IF(ISERROR(VLOOKUP(CONCATENATE($M26,$N$1),'RELACION VTAS - CHS'!$A:$L,9,FALSE))=FALSE,VLOOKUP(CONCATENATE($M26,$N$1),'RELACION VTAS - CHS'!$A:$L,9,FALSE),""),$N$4:$O$36,2,FALSE))</f>
        <v/>
      </c>
      <c r="E26" s="92"/>
      <c r="F26" s="92"/>
      <c r="G26" s="92"/>
      <c r="H26" s="92"/>
      <c r="I26" s="168" t="str">
        <f>IF(ISERROR(VLOOKUP(CONCATENATE($M26,$N$1),'RELACION VTAS - CHS'!$A:$O,11,FALSE))=FALSE,VLOOKUP(CONCATENATE($M26,$N$1),'RELACION VTAS - CHS'!$A:$O,IF($M$4="BS",14,11),FALSE),"")</f>
        <v/>
      </c>
      <c r="J26" s="345" t="str">
        <f t="shared" si="0"/>
        <v/>
      </c>
      <c r="K26" s="345"/>
      <c r="L26" s="345"/>
      <c r="M26" s="19">
        <v>12</v>
      </c>
      <c r="N26" s="16" t="s">
        <v>735</v>
      </c>
      <c r="O26" s="16" t="s">
        <v>735</v>
      </c>
      <c r="V26" t="s">
        <v>632</v>
      </c>
      <c r="W26" s="67">
        <v>1</v>
      </c>
    </row>
    <row r="27" spans="2:23" ht="15.75">
      <c r="B27" s="92" t="str">
        <f>IF(ISERROR(VLOOKUP(CONCATENATE($M27,$N$1),'RELACION VTAS - CHS'!$A:$L,10,FALSE))=FALSE,VLOOKUP(CONCATENATE($M27,$N$1),'RELACION VTAS - CHS'!$A:$L,10,FALSE),"")</f>
        <v/>
      </c>
      <c r="C27" s="92"/>
      <c r="D27" s="133" t="str">
        <f>IF(B27="","",VLOOKUP(IF(ISERROR(VLOOKUP(CONCATENATE($M27,$N$1),'RELACION VTAS - CHS'!$A:$L,9,FALSE))=FALSE,VLOOKUP(CONCATENATE($M27,$N$1),'RELACION VTAS - CHS'!$A:$L,9,FALSE),""),$N$4:$O$36,2,FALSE))</f>
        <v/>
      </c>
      <c r="E27" s="92"/>
      <c r="F27" s="92"/>
      <c r="G27" s="92"/>
      <c r="H27" s="92"/>
      <c r="I27" s="168" t="str">
        <f>IF(ISERROR(VLOOKUP(CONCATENATE($M27,$N$1),'RELACION VTAS - CHS'!$A:$O,11,FALSE))=FALSE,VLOOKUP(CONCATENATE($M27,$N$1),'RELACION VTAS - CHS'!$A:$O,IF($M$4="BS",14,11),FALSE),"")</f>
        <v/>
      </c>
      <c r="J27" s="345" t="str">
        <f t="shared" si="0"/>
        <v/>
      </c>
      <c r="K27" s="345"/>
      <c r="L27" s="345"/>
      <c r="M27" s="19">
        <v>13</v>
      </c>
      <c r="N27" s="16" t="s">
        <v>750</v>
      </c>
      <c r="O27" s="16" t="s">
        <v>750</v>
      </c>
      <c r="V27" t="s">
        <v>632</v>
      </c>
      <c r="W27" s="67">
        <v>1</v>
      </c>
    </row>
    <row r="28" spans="2:23" ht="15.75">
      <c r="B28" s="92" t="str">
        <f>IF(ISERROR(VLOOKUP(CONCATENATE($M28,$N$1),'RELACION VTAS - CHS'!$A:$L,10,FALSE))=FALSE,VLOOKUP(CONCATENATE($M28,$N$1),'RELACION VTAS - CHS'!$A:$L,10,FALSE),"")</f>
        <v/>
      </c>
      <c r="C28" s="92"/>
      <c r="D28" s="133" t="str">
        <f>IF(B28="","",VLOOKUP(IF(ISERROR(VLOOKUP(CONCATENATE($M28,$N$1),'RELACION VTAS - CHS'!$A:$L,9,FALSE))=FALSE,VLOOKUP(CONCATENATE($M28,$N$1),'RELACION VTAS - CHS'!$A:$L,9,FALSE),""),$N$4:$O$36,2,FALSE))</f>
        <v/>
      </c>
      <c r="E28" s="92"/>
      <c r="F28" s="92"/>
      <c r="G28" s="92"/>
      <c r="H28" s="92"/>
      <c r="I28" s="168" t="str">
        <f>IF(ISERROR(VLOOKUP(CONCATENATE($M28,$N$1),'RELACION VTAS - CHS'!$A:$O,11,FALSE))=FALSE,VLOOKUP(CONCATENATE($M28,$N$1),'RELACION VTAS - CHS'!$A:$O,IF($M$4="BS",14,11),FALSE),"")</f>
        <v/>
      </c>
      <c r="J28" s="345" t="str">
        <f t="shared" si="0"/>
        <v/>
      </c>
      <c r="K28" s="345"/>
      <c r="L28" s="345"/>
      <c r="M28" s="19">
        <v>14</v>
      </c>
      <c r="N28" s="16" t="s">
        <v>751</v>
      </c>
      <c r="O28" s="16" t="s">
        <v>751</v>
      </c>
      <c r="V28" t="s">
        <v>632</v>
      </c>
      <c r="W28" s="67">
        <v>1</v>
      </c>
    </row>
    <row r="29" spans="2:23" ht="15.75">
      <c r="B29" s="92" t="str">
        <f>IF(ISERROR(VLOOKUP(CONCATENATE($M29,$N$1),'RELACION VTAS - CHS'!$A:$L,10,FALSE))=FALSE,VLOOKUP(CONCATENATE($M29,$N$1),'RELACION VTAS - CHS'!$A:$L,10,FALSE),"")</f>
        <v/>
      </c>
      <c r="C29" s="92"/>
      <c r="D29" s="133" t="str">
        <f>IF(B29="","",VLOOKUP(IF(ISERROR(VLOOKUP(CONCATENATE($M29,$N$1),'RELACION VTAS - CHS'!$A:$L,9,FALSE))=FALSE,VLOOKUP(CONCATENATE($M29,$N$1),'RELACION VTAS - CHS'!$A:$L,9,FALSE),""),$N$4:$O$36,2,FALSE))</f>
        <v/>
      </c>
      <c r="E29" s="92"/>
      <c r="F29" s="92"/>
      <c r="G29" s="92"/>
      <c r="H29" s="92"/>
      <c r="I29" s="168" t="str">
        <f>IF(ISERROR(VLOOKUP(CONCATENATE($M29,$N$1),'RELACION VTAS - CHS'!$A:$O,11,FALSE))=FALSE,VLOOKUP(CONCATENATE($M29,$N$1),'RELACION VTAS - CHS'!$A:$O,IF($M$4="BS",14,11),FALSE),"")</f>
        <v/>
      </c>
      <c r="J29" s="345" t="str">
        <f t="shared" si="0"/>
        <v/>
      </c>
      <c r="K29" s="345"/>
      <c r="L29" s="345"/>
      <c r="M29" s="19">
        <v>15</v>
      </c>
      <c r="N29" s="16" t="s">
        <v>752</v>
      </c>
      <c r="O29" s="16" t="s">
        <v>752</v>
      </c>
      <c r="V29" t="s">
        <v>632</v>
      </c>
      <c r="W29" s="67">
        <v>1</v>
      </c>
    </row>
    <row r="30" spans="2:23" ht="15.75">
      <c r="B30" s="92" t="str">
        <f>IF(ISERROR(VLOOKUP(CONCATENATE($M30,$N$1),'RELACION VTAS - CHS'!$A:$L,10,FALSE))=FALSE,VLOOKUP(CONCATENATE($M30,$N$1),'RELACION VTAS - CHS'!$A:$L,10,FALSE),"")</f>
        <v/>
      </c>
      <c r="C30" s="92"/>
      <c r="D30" s="92" t="str">
        <f>IF(B30="","",VLOOKUP(IF(ISERROR(VLOOKUP(CONCATENATE($M30,$N$1),'RELACION VTAS - CHS'!$A:$L,9,FALSE))=FALSE,VLOOKUP(CONCATENATE($M30,$N$1),'RELACION VTAS - CHS'!$A:$L,9,FALSE),""),$N$4:$O$36,2,FALSE))</f>
        <v/>
      </c>
      <c r="E30" s="92"/>
      <c r="F30" s="92"/>
      <c r="G30" s="92"/>
      <c r="H30" s="92"/>
      <c r="I30" s="168" t="str">
        <f>IF(ISERROR(VLOOKUP(CONCATENATE($M30,$N$1),'RELACION VTAS - CHS'!$A:$O,11,FALSE))=FALSE,VLOOKUP(CONCATENATE($M30,$N$1),'RELACION VTAS - CHS'!$A:$O,IF($M$4="BS",14,11),FALSE),"")</f>
        <v/>
      </c>
      <c r="J30" s="345" t="str">
        <f t="shared" si="0"/>
        <v/>
      </c>
      <c r="K30" s="345"/>
      <c r="L30" s="345"/>
      <c r="M30" s="19">
        <v>16</v>
      </c>
      <c r="N30" s="16" t="s">
        <v>753</v>
      </c>
      <c r="O30" s="16" t="s">
        <v>753</v>
      </c>
      <c r="V30" t="s">
        <v>632</v>
      </c>
      <c r="W30" s="67">
        <v>1</v>
      </c>
    </row>
    <row r="31" spans="2:23" ht="15.75">
      <c r="B31" s="92"/>
      <c r="C31" s="85"/>
      <c r="D31" s="92"/>
      <c r="E31" s="92"/>
      <c r="F31" s="92"/>
      <c r="G31" s="92"/>
      <c r="H31" s="92"/>
      <c r="I31" s="85"/>
      <c r="J31" s="85"/>
      <c r="K31" s="85"/>
      <c r="L31" s="85"/>
      <c r="M31" s="19"/>
      <c r="N31" s="16" t="s">
        <v>754</v>
      </c>
      <c r="O31" s="16" t="s">
        <v>754</v>
      </c>
      <c r="V31" t="s">
        <v>632</v>
      </c>
      <c r="W31" s="67">
        <v>1</v>
      </c>
    </row>
    <row r="32" spans="2:23" ht="15.75">
      <c r="B32" s="92"/>
      <c r="C32" s="85"/>
      <c r="D32" s="92"/>
      <c r="E32" s="92"/>
      <c r="F32" s="92"/>
      <c r="G32" s="92"/>
      <c r="H32" s="92"/>
      <c r="I32" s="85"/>
      <c r="J32" s="85"/>
      <c r="K32" s="85"/>
      <c r="L32" s="85"/>
      <c r="M32" s="19"/>
      <c r="N32" s="16" t="s">
        <v>755</v>
      </c>
      <c r="O32" s="16" t="s">
        <v>755</v>
      </c>
      <c r="V32" t="s">
        <v>632</v>
      </c>
      <c r="W32" s="67">
        <v>1</v>
      </c>
    </row>
    <row r="33" spans="2:23"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N33" s="16" t="s">
        <v>756</v>
      </c>
      <c r="O33" s="16" t="s">
        <v>756</v>
      </c>
      <c r="V33" t="s">
        <v>632</v>
      </c>
      <c r="W33" s="67">
        <v>1</v>
      </c>
    </row>
    <row r="34" spans="2:23"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N34" s="16" t="s">
        <v>757</v>
      </c>
      <c r="O34" s="16" t="s">
        <v>757</v>
      </c>
      <c r="V34" t="s">
        <v>632</v>
      </c>
      <c r="W34" s="67">
        <v>1</v>
      </c>
    </row>
    <row r="35" spans="2:23"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N35" s="16" t="s">
        <v>760</v>
      </c>
      <c r="O35" s="16" t="s">
        <v>760</v>
      </c>
      <c r="V35" t="s">
        <v>632</v>
      </c>
      <c r="W35" s="67">
        <v>1</v>
      </c>
    </row>
    <row r="36" spans="2:23"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N36" s="16" t="s">
        <v>761</v>
      </c>
      <c r="O36" s="16" t="s">
        <v>761</v>
      </c>
      <c r="V36" t="s">
        <v>632</v>
      </c>
      <c r="W36" s="67">
        <v>1</v>
      </c>
    </row>
    <row r="37" spans="2:23" ht="26.25" customHeight="1"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N37" s="16" t="s">
        <v>758</v>
      </c>
      <c r="O37" s="16" t="s">
        <v>758</v>
      </c>
      <c r="V37" t="s">
        <v>632</v>
      </c>
      <c r="W37" s="67">
        <v>1</v>
      </c>
    </row>
    <row r="38" spans="2:23" ht="15" customHeight="1">
      <c r="B38" s="85"/>
      <c r="C38" s="85"/>
      <c r="D38" s="85"/>
      <c r="E38" s="85"/>
      <c r="F38" s="85"/>
      <c r="G38" s="85"/>
      <c r="H38" s="85"/>
      <c r="I38" s="85"/>
      <c r="J38" s="343">
        <f>SUM(J15:L24)</f>
        <v>75.059999999999988</v>
      </c>
      <c r="K38" s="343"/>
      <c r="L38" s="343"/>
      <c r="N38" s="16" t="s">
        <v>764</v>
      </c>
      <c r="O38" s="16" t="s">
        <v>764</v>
      </c>
      <c r="V38" t="s">
        <v>632</v>
      </c>
      <c r="W38" s="67">
        <v>1</v>
      </c>
    </row>
    <row r="39" spans="2:23" ht="20.25" customHeight="1">
      <c r="B39" s="85"/>
      <c r="C39" s="85"/>
      <c r="D39" s="85"/>
      <c r="E39" s="85"/>
      <c r="F39" s="85"/>
      <c r="G39" s="99">
        <f>IF(N2="EFECTIVO",16%,IF(AND(N2="ELECTRONICO",J38&gt;2000000),7%,9%))</f>
        <v>0.16</v>
      </c>
      <c r="H39" s="85"/>
      <c r="I39" s="100">
        <f>+J38</f>
        <v>75.059999999999988</v>
      </c>
      <c r="J39" s="343">
        <f>+J38*G39</f>
        <v>12.009599999999999</v>
      </c>
      <c r="K39" s="343"/>
      <c r="L39" s="343"/>
      <c r="N39" s="16" t="s">
        <v>763</v>
      </c>
      <c r="O39" s="16" t="s">
        <v>763</v>
      </c>
      <c r="V39" t="s">
        <v>632</v>
      </c>
      <c r="W39" s="67">
        <v>1</v>
      </c>
    </row>
    <row r="40" spans="2:23" ht="15.75">
      <c r="B40" s="85"/>
      <c r="C40" s="85"/>
      <c r="D40" s="85"/>
      <c r="E40" s="85"/>
      <c r="F40" s="85"/>
      <c r="G40" s="85"/>
      <c r="H40" s="85"/>
      <c r="I40" s="85"/>
      <c r="J40" s="344">
        <f>+J39+J38</f>
        <v>87.06959999999998</v>
      </c>
      <c r="K40" s="344"/>
      <c r="L40" s="344"/>
      <c r="N40" s="16" t="s">
        <v>766</v>
      </c>
      <c r="O40" s="16" t="s">
        <v>766</v>
      </c>
      <c r="V40" t="s">
        <v>632</v>
      </c>
      <c r="W40" s="67">
        <v>1</v>
      </c>
    </row>
    <row r="41" spans="2:23">
      <c r="B41" s="85"/>
      <c r="C41" s="85"/>
      <c r="D41" s="85"/>
      <c r="E41" s="85"/>
      <c r="F41" s="85"/>
      <c r="N41" s="16" t="s">
        <v>765</v>
      </c>
      <c r="O41" s="16" t="s">
        <v>765</v>
      </c>
      <c r="V41" t="s">
        <v>632</v>
      </c>
      <c r="W41" s="67">
        <v>1</v>
      </c>
    </row>
    <row r="42" spans="2:23">
      <c r="B42" s="85"/>
      <c r="C42" s="85"/>
      <c r="D42" s="85"/>
      <c r="E42" s="85"/>
      <c r="F42" s="85"/>
      <c r="N42" s="16" t="s">
        <v>768</v>
      </c>
      <c r="O42" s="16" t="s">
        <v>768</v>
      </c>
      <c r="V42" t="s">
        <v>632</v>
      </c>
      <c r="W42" s="67">
        <v>1</v>
      </c>
    </row>
    <row r="43" spans="2:23">
      <c r="B43" s="85"/>
      <c r="C43" s="85"/>
      <c r="D43" s="85"/>
      <c r="E43" s="85"/>
      <c r="F43" s="85"/>
      <c r="G43" s="85"/>
      <c r="H43" s="85"/>
      <c r="I43" s="85">
        <f>5*7.5</f>
        <v>37.5</v>
      </c>
      <c r="J43" s="85"/>
      <c r="K43" s="85"/>
      <c r="L43" s="284"/>
      <c r="M43" s="269"/>
      <c r="N43" s="16" t="s">
        <v>940</v>
      </c>
      <c r="O43" s="16" t="s">
        <v>940</v>
      </c>
      <c r="V43" t="s">
        <v>632</v>
      </c>
      <c r="W43" s="67">
        <v>1</v>
      </c>
    </row>
    <row r="44" spans="2:23">
      <c r="I44" s="11">
        <f>+I43-2.5</f>
        <v>35</v>
      </c>
      <c r="N44" s="16" t="s">
        <v>801</v>
      </c>
      <c r="O44" s="16" t="s">
        <v>801</v>
      </c>
      <c r="V44" t="s">
        <v>632</v>
      </c>
      <c r="W44" s="67">
        <v>1</v>
      </c>
    </row>
    <row r="45" spans="2:23">
      <c r="N45" s="16" t="s">
        <v>849</v>
      </c>
      <c r="O45" s="16" t="s">
        <v>849</v>
      </c>
      <c r="V45" t="s">
        <v>632</v>
      </c>
      <c r="W45" s="67">
        <v>1</v>
      </c>
    </row>
    <row r="46" spans="2:23">
      <c r="N46" s="16" t="s">
        <v>860</v>
      </c>
      <c r="O46" s="16" t="s">
        <v>860</v>
      </c>
      <c r="V46" t="s">
        <v>632</v>
      </c>
      <c r="W46" s="67">
        <v>1</v>
      </c>
    </row>
    <row r="47" spans="2:23">
      <c r="N47" s="16" t="s">
        <v>861</v>
      </c>
      <c r="O47" s="16" t="s">
        <v>861</v>
      </c>
      <c r="V47" t="s">
        <v>632</v>
      </c>
      <c r="W47" s="67">
        <v>1</v>
      </c>
    </row>
    <row r="48" spans="2:23">
      <c r="N48" s="16" t="s">
        <v>862</v>
      </c>
      <c r="O48" s="16" t="s">
        <v>862</v>
      </c>
      <c r="V48" t="s">
        <v>632</v>
      </c>
      <c r="W48" s="67">
        <v>1</v>
      </c>
    </row>
    <row r="49" spans="14:23">
      <c r="N49" s="16" t="s">
        <v>877</v>
      </c>
      <c r="O49" s="16" t="s">
        <v>877</v>
      </c>
      <c r="V49" s="102" t="s">
        <v>875</v>
      </c>
      <c r="W49" s="67">
        <v>1</v>
      </c>
    </row>
    <row r="50" spans="14:23">
      <c r="N50" s="16" t="s">
        <v>1002</v>
      </c>
      <c r="O50" s="16" t="s">
        <v>878</v>
      </c>
      <c r="V50" s="102" t="s">
        <v>876</v>
      </c>
      <c r="W50" s="67">
        <v>1</v>
      </c>
    </row>
    <row r="51" spans="14:23">
      <c r="N51" s="16" t="s">
        <v>75</v>
      </c>
      <c r="O51" s="16" t="s">
        <v>75</v>
      </c>
      <c r="V51" t="s">
        <v>562</v>
      </c>
      <c r="W51" s="67">
        <v>1</v>
      </c>
    </row>
    <row r="52" spans="14:23">
      <c r="N52" s="16" t="s">
        <v>941</v>
      </c>
      <c r="O52" s="16" t="s">
        <v>941</v>
      </c>
      <c r="V52" t="s">
        <v>562</v>
      </c>
      <c r="W52" s="67">
        <v>1</v>
      </c>
    </row>
    <row r="53" spans="14:23">
      <c r="N53" s="16" t="s">
        <v>1021</v>
      </c>
      <c r="O53" s="16" t="s">
        <v>1021</v>
      </c>
      <c r="V53" t="s">
        <v>538</v>
      </c>
      <c r="W53" s="67">
        <v>1</v>
      </c>
    </row>
    <row r="54" spans="14:23">
      <c r="N54" s="16" t="s">
        <v>1185</v>
      </c>
      <c r="O54" s="16" t="s">
        <v>1185</v>
      </c>
      <c r="V54" t="s">
        <v>538</v>
      </c>
      <c r="W54" s="67">
        <v>1</v>
      </c>
    </row>
    <row r="55" spans="14:23">
      <c r="N55" s="16"/>
      <c r="O55" s="16"/>
      <c r="V55" t="s">
        <v>538</v>
      </c>
      <c r="W55" s="67">
        <v>1</v>
      </c>
    </row>
    <row r="56" spans="14:23">
      <c r="N56" s="16"/>
      <c r="O56" s="16"/>
      <c r="V56" t="s">
        <v>524</v>
      </c>
      <c r="W56" s="67">
        <v>1</v>
      </c>
    </row>
    <row r="57" spans="14:23">
      <c r="N57" s="16"/>
      <c r="O57" s="16"/>
      <c r="V57" t="s">
        <v>524</v>
      </c>
      <c r="W57" s="67">
        <v>1</v>
      </c>
    </row>
    <row r="58" spans="14:23">
      <c r="N58" s="16"/>
      <c r="O58" s="16"/>
      <c r="V58" t="s">
        <v>524</v>
      </c>
      <c r="W58" s="67">
        <v>1</v>
      </c>
    </row>
    <row r="59" spans="14:23">
      <c r="N59" s="16"/>
      <c r="O59" s="16"/>
      <c r="V59" t="s">
        <v>524</v>
      </c>
      <c r="W59" s="67">
        <v>1</v>
      </c>
    </row>
    <row r="60" spans="14:23">
      <c r="N60" s="16"/>
      <c r="O60" s="16"/>
      <c r="V60" t="s">
        <v>524</v>
      </c>
      <c r="W60" s="67">
        <v>1</v>
      </c>
    </row>
    <row r="61" spans="14:23">
      <c r="N61" s="16"/>
      <c r="O61" s="16"/>
      <c r="V61" t="s">
        <v>524</v>
      </c>
      <c r="W61" s="67">
        <v>1</v>
      </c>
    </row>
    <row r="62" spans="14:23">
      <c r="N62" s="16"/>
      <c r="O62" s="16"/>
      <c r="V62" t="s">
        <v>524</v>
      </c>
      <c r="W62" s="67">
        <v>1</v>
      </c>
    </row>
    <row r="63" spans="14:23">
      <c r="N63" s="16"/>
      <c r="O63" s="16"/>
      <c r="V63" t="s">
        <v>524</v>
      </c>
      <c r="W63" s="67">
        <v>1</v>
      </c>
    </row>
    <row r="64" spans="14:23">
      <c r="N64" s="16"/>
      <c r="O64" s="16"/>
      <c r="V64" t="s">
        <v>524</v>
      </c>
      <c r="W64" s="67">
        <v>1</v>
      </c>
    </row>
    <row r="65" spans="14:23">
      <c r="N65" s="16"/>
      <c r="O65" s="16"/>
      <c r="V65" t="s">
        <v>524</v>
      </c>
      <c r="W65" s="67">
        <v>1</v>
      </c>
    </row>
    <row r="66" spans="14:23">
      <c r="N66" s="16"/>
      <c r="O66" s="16"/>
      <c r="V66" t="s">
        <v>524</v>
      </c>
      <c r="W66" s="67">
        <v>1</v>
      </c>
    </row>
    <row r="67" spans="14:23">
      <c r="N67" s="16"/>
      <c r="O67" s="16"/>
      <c r="V67" t="s">
        <v>524</v>
      </c>
      <c r="W67" s="67">
        <v>1</v>
      </c>
    </row>
    <row r="68" spans="14:23">
      <c r="N68" s="16"/>
      <c r="O68" s="16"/>
      <c r="V68" t="s">
        <v>512</v>
      </c>
      <c r="W68" s="67">
        <v>1</v>
      </c>
    </row>
    <row r="69" spans="14:23">
      <c r="N69" s="16"/>
      <c r="O69" s="16"/>
      <c r="V69" t="s">
        <v>512</v>
      </c>
      <c r="W69" s="67">
        <v>1</v>
      </c>
    </row>
    <row r="70" spans="14:23">
      <c r="N70" s="16"/>
      <c r="O70" s="16"/>
      <c r="V70" t="s">
        <v>512</v>
      </c>
      <c r="W70" s="67">
        <v>1</v>
      </c>
    </row>
    <row r="71" spans="14:23">
      <c r="N71" s="16"/>
      <c r="O71" s="16"/>
      <c r="V71" t="s">
        <v>512</v>
      </c>
      <c r="W71" s="67">
        <v>1</v>
      </c>
    </row>
    <row r="72" spans="14:23">
      <c r="N72" s="16"/>
      <c r="O72" s="16"/>
      <c r="V72" t="s">
        <v>512</v>
      </c>
      <c r="W72" s="67">
        <v>1</v>
      </c>
    </row>
    <row r="73" spans="14:23">
      <c r="N73" s="16"/>
      <c r="O73" s="16"/>
      <c r="V73" t="s">
        <v>512</v>
      </c>
      <c r="W73" s="67">
        <v>1</v>
      </c>
    </row>
    <row r="74" spans="14:23">
      <c r="N74" s="16"/>
      <c r="O74" s="16"/>
      <c r="V74" t="s">
        <v>512</v>
      </c>
      <c r="W74" s="67">
        <v>1</v>
      </c>
    </row>
    <row r="75" spans="14:23">
      <c r="N75" s="16"/>
      <c r="O75" s="16"/>
      <c r="V75" t="s">
        <v>512</v>
      </c>
      <c r="W75" s="67">
        <v>1</v>
      </c>
    </row>
    <row r="76" spans="14:23">
      <c r="N76" s="16"/>
      <c r="O76" s="16"/>
      <c r="V76" t="s">
        <v>512</v>
      </c>
      <c r="W76" s="67">
        <v>1</v>
      </c>
    </row>
    <row r="77" spans="14:23">
      <c r="N77" s="16"/>
      <c r="O77" s="16"/>
      <c r="V77" t="s">
        <v>512</v>
      </c>
      <c r="W77" s="67">
        <v>1</v>
      </c>
    </row>
    <row r="78" spans="14:23">
      <c r="N78" s="16"/>
      <c r="O78" s="16"/>
      <c r="V78" t="s">
        <v>512</v>
      </c>
      <c r="W78" s="67">
        <v>1</v>
      </c>
    </row>
    <row r="79" spans="14:23">
      <c r="N79" s="16"/>
      <c r="O79" s="16"/>
      <c r="V79" t="s">
        <v>512</v>
      </c>
      <c r="W79" s="67">
        <v>1</v>
      </c>
    </row>
    <row r="80" spans="14:23">
      <c r="N80" s="16"/>
      <c r="O80" s="16"/>
      <c r="V80" t="s">
        <v>512</v>
      </c>
      <c r="W80" s="67">
        <v>1</v>
      </c>
    </row>
    <row r="81" spans="14:23">
      <c r="N81" s="16"/>
      <c r="O81" s="16"/>
      <c r="V81" t="s">
        <v>512</v>
      </c>
      <c r="W81" s="67">
        <v>1</v>
      </c>
    </row>
    <row r="82" spans="14:23">
      <c r="N82" s="16"/>
      <c r="O82" s="16"/>
      <c r="V82" t="s">
        <v>512</v>
      </c>
      <c r="W82" s="67">
        <v>1</v>
      </c>
    </row>
    <row r="83" spans="14:23">
      <c r="N83" s="16"/>
      <c r="O83" s="16"/>
      <c r="V83" t="s">
        <v>512</v>
      </c>
      <c r="W83" s="67">
        <v>1</v>
      </c>
    </row>
    <row r="84" spans="14:23">
      <c r="N84" s="16"/>
      <c r="O84" s="16"/>
      <c r="V84" t="s">
        <v>512</v>
      </c>
      <c r="W84" s="67">
        <v>1</v>
      </c>
    </row>
    <row r="85" spans="14:23">
      <c r="N85" s="16"/>
      <c r="O85" s="16"/>
      <c r="V85" t="s">
        <v>512</v>
      </c>
      <c r="W85" s="67">
        <v>1</v>
      </c>
    </row>
    <row r="86" spans="14:23">
      <c r="N86" s="16"/>
      <c r="O86" s="16"/>
      <c r="V86" t="s">
        <v>512</v>
      </c>
      <c r="W86" s="67">
        <v>1</v>
      </c>
    </row>
    <row r="87" spans="14:23">
      <c r="N87" s="16"/>
      <c r="O87" s="16"/>
      <c r="V87" t="s">
        <v>512</v>
      </c>
      <c r="W87" s="67">
        <v>1</v>
      </c>
    </row>
    <row r="88" spans="14:23">
      <c r="N88" s="16"/>
      <c r="O88" s="16"/>
      <c r="V88" t="s">
        <v>512</v>
      </c>
      <c r="W88" s="67">
        <v>1</v>
      </c>
    </row>
    <row r="89" spans="14:23">
      <c r="N89" s="16"/>
      <c r="O89" s="16"/>
      <c r="V89" t="s">
        <v>512</v>
      </c>
      <c r="W89" s="67">
        <v>1</v>
      </c>
    </row>
    <row r="90" spans="14:23">
      <c r="N90" s="16"/>
      <c r="O90" s="16"/>
      <c r="V90" t="s">
        <v>512</v>
      </c>
      <c r="W90" s="67">
        <v>1</v>
      </c>
    </row>
    <row r="91" spans="14:23">
      <c r="N91" s="16"/>
      <c r="O91" s="16"/>
      <c r="V91" t="s">
        <v>512</v>
      </c>
      <c r="W91" s="67">
        <v>1</v>
      </c>
    </row>
    <row r="92" spans="14:23">
      <c r="N92" s="16"/>
      <c r="O92" s="16"/>
      <c r="V92" t="s">
        <v>512</v>
      </c>
      <c r="W92" s="67">
        <v>1</v>
      </c>
    </row>
    <row r="93" spans="14:23">
      <c r="N93" s="16"/>
      <c r="O93" s="16"/>
      <c r="V93" t="s">
        <v>512</v>
      </c>
      <c r="W93" s="67">
        <v>1</v>
      </c>
    </row>
    <row r="94" spans="14:23">
      <c r="N94" s="16"/>
      <c r="O94" s="16"/>
      <c r="V94" t="s">
        <v>512</v>
      </c>
      <c r="W94" s="67">
        <v>1</v>
      </c>
    </row>
    <row r="95" spans="14:23">
      <c r="N95" s="16"/>
      <c r="O95" s="16"/>
      <c r="V95" t="s">
        <v>512</v>
      </c>
      <c r="W95" s="67">
        <v>1</v>
      </c>
    </row>
    <row r="96" spans="14:23">
      <c r="N96" s="16"/>
      <c r="O96" s="16"/>
      <c r="V96" t="s">
        <v>512</v>
      </c>
      <c r="W96" s="67">
        <v>1</v>
      </c>
    </row>
    <row r="97" spans="14:23">
      <c r="N97" s="16"/>
      <c r="O97" s="16"/>
      <c r="V97" t="s">
        <v>512</v>
      </c>
      <c r="W97" s="67">
        <v>1</v>
      </c>
    </row>
    <row r="98" spans="14:23">
      <c r="N98" s="16"/>
      <c r="O98" s="16"/>
      <c r="V98" t="s">
        <v>512</v>
      </c>
      <c r="W98" s="67">
        <v>1</v>
      </c>
    </row>
    <row r="99" spans="14:23">
      <c r="N99" s="16"/>
      <c r="O99" s="16"/>
      <c r="V99" t="s">
        <v>480</v>
      </c>
      <c r="W99" s="67">
        <v>1</v>
      </c>
    </row>
    <row r="100" spans="14:23">
      <c r="V100" t="s">
        <v>480</v>
      </c>
      <c r="W100" s="67">
        <v>1</v>
      </c>
    </row>
    <row r="101" spans="14:23">
      <c r="V101" t="s">
        <v>480</v>
      </c>
      <c r="W101" s="67">
        <v>1</v>
      </c>
    </row>
    <row r="102" spans="14:23">
      <c r="V102" t="s">
        <v>480</v>
      </c>
      <c r="W102" s="67">
        <v>1</v>
      </c>
    </row>
    <row r="103" spans="14:23">
      <c r="V103" t="s">
        <v>480</v>
      </c>
      <c r="W103" s="67">
        <v>1</v>
      </c>
    </row>
    <row r="104" spans="14:23">
      <c r="V104" t="s">
        <v>480</v>
      </c>
      <c r="W104" s="67">
        <v>1</v>
      </c>
    </row>
    <row r="105" spans="14:23">
      <c r="V105" t="s">
        <v>515</v>
      </c>
      <c r="W105" s="67">
        <v>1</v>
      </c>
    </row>
    <row r="106" spans="14:23">
      <c r="V106" t="s">
        <v>515</v>
      </c>
      <c r="W106" s="67">
        <v>1</v>
      </c>
    </row>
    <row r="107" spans="14:23">
      <c r="V107" t="s">
        <v>515</v>
      </c>
      <c r="W107" s="67">
        <v>1</v>
      </c>
    </row>
    <row r="108" spans="14:23">
      <c r="V108" t="s">
        <v>515</v>
      </c>
      <c r="W108" s="67">
        <v>1</v>
      </c>
    </row>
    <row r="109" spans="14:23">
      <c r="V109" t="s">
        <v>515</v>
      </c>
      <c r="W109" s="67">
        <v>1</v>
      </c>
    </row>
    <row r="110" spans="14:23">
      <c r="V110" t="s">
        <v>515</v>
      </c>
      <c r="W110" s="67">
        <v>1</v>
      </c>
    </row>
    <row r="111" spans="14:23">
      <c r="V111" t="s">
        <v>515</v>
      </c>
      <c r="W111" s="67">
        <v>1</v>
      </c>
    </row>
    <row r="112" spans="14:23">
      <c r="V112" t="s">
        <v>515</v>
      </c>
      <c r="W112" s="67">
        <v>1</v>
      </c>
    </row>
    <row r="113" spans="22:23">
      <c r="V113" t="s">
        <v>515</v>
      </c>
      <c r="W113" s="67">
        <v>1</v>
      </c>
    </row>
    <row r="114" spans="22:23">
      <c r="V114" t="s">
        <v>515</v>
      </c>
      <c r="W114" s="67">
        <v>1</v>
      </c>
    </row>
    <row r="115" spans="22:23">
      <c r="V115" t="s">
        <v>515</v>
      </c>
      <c r="W115" s="67">
        <v>1</v>
      </c>
    </row>
    <row r="116" spans="22:23">
      <c r="V116" t="s">
        <v>515</v>
      </c>
      <c r="W116" s="67">
        <v>1</v>
      </c>
    </row>
    <row r="117" spans="22:23">
      <c r="V117" t="s">
        <v>515</v>
      </c>
      <c r="W117" s="67">
        <v>1</v>
      </c>
    </row>
    <row r="118" spans="22:23">
      <c r="V118" t="s">
        <v>515</v>
      </c>
      <c r="W118" s="67">
        <v>1</v>
      </c>
    </row>
    <row r="119" spans="22:23">
      <c r="V119" t="s">
        <v>515</v>
      </c>
      <c r="W119" s="67">
        <v>1</v>
      </c>
    </row>
    <row r="120" spans="22:23">
      <c r="V120" t="s">
        <v>515</v>
      </c>
      <c r="W120" s="67">
        <v>1</v>
      </c>
    </row>
    <row r="121" spans="22:23">
      <c r="V121" t="s">
        <v>515</v>
      </c>
      <c r="W121" s="67">
        <v>1</v>
      </c>
    </row>
    <row r="122" spans="22:23">
      <c r="V122" t="s">
        <v>515</v>
      </c>
      <c r="W122" s="67">
        <v>1</v>
      </c>
    </row>
    <row r="123" spans="22:23">
      <c r="V123" t="s">
        <v>515</v>
      </c>
      <c r="W123" s="67">
        <v>1</v>
      </c>
    </row>
    <row r="124" spans="22:23">
      <c r="V124" t="s">
        <v>515</v>
      </c>
      <c r="W124" s="67">
        <v>1</v>
      </c>
    </row>
    <row r="125" spans="22:23">
      <c r="V125" t="s">
        <v>515</v>
      </c>
      <c r="W125" s="67">
        <v>1</v>
      </c>
    </row>
    <row r="126" spans="22:23">
      <c r="V126" t="s">
        <v>515</v>
      </c>
      <c r="W126" s="67">
        <v>1</v>
      </c>
    </row>
    <row r="127" spans="22:23">
      <c r="V127" t="s">
        <v>515</v>
      </c>
      <c r="W127" s="67">
        <v>1</v>
      </c>
    </row>
    <row r="128" spans="22:23">
      <c r="V128" t="s">
        <v>515</v>
      </c>
      <c r="W128" s="67">
        <v>1</v>
      </c>
    </row>
    <row r="129" spans="22:23">
      <c r="V129" t="s">
        <v>525</v>
      </c>
      <c r="W129" s="67">
        <v>1</v>
      </c>
    </row>
    <row r="130" spans="22:23">
      <c r="V130" t="s">
        <v>525</v>
      </c>
      <c r="W130" s="67">
        <v>1</v>
      </c>
    </row>
    <row r="131" spans="22:23">
      <c r="V131" t="s">
        <v>525</v>
      </c>
      <c r="W131" s="67">
        <v>1</v>
      </c>
    </row>
    <row r="132" spans="22:23">
      <c r="V132" t="s">
        <v>525</v>
      </c>
      <c r="W132" s="67">
        <v>1</v>
      </c>
    </row>
    <row r="133" spans="22:23">
      <c r="V133" t="s">
        <v>548</v>
      </c>
      <c r="W133" s="67">
        <v>1</v>
      </c>
    </row>
    <row r="134" spans="22:23">
      <c r="V134" t="s">
        <v>548</v>
      </c>
      <c r="W134" s="67">
        <v>1</v>
      </c>
    </row>
    <row r="135" spans="22:23">
      <c r="V135" t="s">
        <v>548</v>
      </c>
      <c r="W135" s="67">
        <v>1</v>
      </c>
    </row>
    <row r="136" spans="22:23">
      <c r="V136" t="s">
        <v>534</v>
      </c>
      <c r="W136" s="67">
        <v>1</v>
      </c>
    </row>
    <row r="137" spans="22:23">
      <c r="V137" t="s">
        <v>534</v>
      </c>
      <c r="W137" s="67">
        <v>1</v>
      </c>
    </row>
    <row r="138" spans="22:23">
      <c r="V138" t="s">
        <v>534</v>
      </c>
      <c r="W138" s="67">
        <v>1</v>
      </c>
    </row>
    <row r="139" spans="22:23">
      <c r="V139" t="s">
        <v>534</v>
      </c>
      <c r="W139" s="67">
        <v>1</v>
      </c>
    </row>
    <row r="140" spans="22:23">
      <c r="V140" t="s">
        <v>534</v>
      </c>
      <c r="W140" s="67">
        <v>1</v>
      </c>
    </row>
    <row r="141" spans="22:23">
      <c r="V141" t="s">
        <v>534</v>
      </c>
      <c r="W141" s="67">
        <v>1</v>
      </c>
    </row>
    <row r="142" spans="22:23">
      <c r="V142" t="s">
        <v>534</v>
      </c>
      <c r="W142" s="67">
        <v>1</v>
      </c>
    </row>
    <row r="143" spans="22:23">
      <c r="V143" t="s">
        <v>534</v>
      </c>
      <c r="W143" s="67">
        <v>1</v>
      </c>
    </row>
    <row r="144" spans="22:23">
      <c r="V144" t="s">
        <v>534</v>
      </c>
      <c r="W144" s="67">
        <v>1</v>
      </c>
    </row>
    <row r="145" spans="22:23">
      <c r="V145" t="s">
        <v>76</v>
      </c>
      <c r="W145" s="67">
        <v>1</v>
      </c>
    </row>
    <row r="146" spans="22:23">
      <c r="V146" t="s">
        <v>76</v>
      </c>
      <c r="W146" s="67">
        <v>1</v>
      </c>
    </row>
    <row r="147" spans="22:23">
      <c r="V147" t="s">
        <v>76</v>
      </c>
      <c r="W147" s="67">
        <v>1</v>
      </c>
    </row>
    <row r="148" spans="22:23">
      <c r="V148" t="s">
        <v>76</v>
      </c>
      <c r="W148" s="67">
        <v>1</v>
      </c>
    </row>
    <row r="149" spans="22:23">
      <c r="V149" t="s">
        <v>76</v>
      </c>
      <c r="W149" s="67">
        <v>1</v>
      </c>
    </row>
    <row r="150" spans="22:23">
      <c r="V150" t="s">
        <v>76</v>
      </c>
      <c r="W150" s="67">
        <v>1</v>
      </c>
    </row>
    <row r="151" spans="22:23">
      <c r="V151" t="s">
        <v>76</v>
      </c>
      <c r="W151" s="67">
        <v>1</v>
      </c>
    </row>
    <row r="152" spans="22:23">
      <c r="V152" t="s">
        <v>76</v>
      </c>
      <c r="W152" s="67">
        <v>1</v>
      </c>
    </row>
    <row r="153" spans="22:23">
      <c r="V153" t="s">
        <v>76</v>
      </c>
      <c r="W153" s="67">
        <v>1</v>
      </c>
    </row>
    <row r="154" spans="22:23">
      <c r="V154" t="s">
        <v>76</v>
      </c>
      <c r="W154" s="67">
        <v>1</v>
      </c>
    </row>
    <row r="155" spans="22:23">
      <c r="V155" t="s">
        <v>76</v>
      </c>
      <c r="W155" s="67">
        <v>1</v>
      </c>
    </row>
    <row r="156" spans="22:23">
      <c r="V156" t="s">
        <v>76</v>
      </c>
      <c r="W156" s="67">
        <v>1</v>
      </c>
    </row>
    <row r="157" spans="22:23">
      <c r="V157" t="s">
        <v>76</v>
      </c>
      <c r="W157" s="67">
        <v>1</v>
      </c>
    </row>
    <row r="158" spans="22:23">
      <c r="V158" t="s">
        <v>76</v>
      </c>
      <c r="W158" s="67">
        <v>1</v>
      </c>
    </row>
    <row r="159" spans="22:23">
      <c r="V159" t="s">
        <v>76</v>
      </c>
      <c r="W159" s="67">
        <v>1</v>
      </c>
    </row>
    <row r="160" spans="22:23">
      <c r="V160" t="s">
        <v>76</v>
      </c>
      <c r="W160" s="67">
        <v>1</v>
      </c>
    </row>
    <row r="161" spans="22:23">
      <c r="V161" t="s">
        <v>76</v>
      </c>
      <c r="W161" s="67">
        <v>1</v>
      </c>
    </row>
    <row r="162" spans="22:23">
      <c r="V162" t="s">
        <v>76</v>
      </c>
      <c r="W162" s="67">
        <v>1</v>
      </c>
    </row>
    <row r="163" spans="22:23">
      <c r="V163" t="s">
        <v>453</v>
      </c>
      <c r="W163" s="67">
        <v>1</v>
      </c>
    </row>
    <row r="164" spans="22:23">
      <c r="V164" t="s">
        <v>453</v>
      </c>
      <c r="W164" s="67">
        <v>1</v>
      </c>
    </row>
    <row r="165" spans="22:23">
      <c r="V165" t="s">
        <v>453</v>
      </c>
      <c r="W165" s="67">
        <v>1</v>
      </c>
    </row>
    <row r="166" spans="22:23">
      <c r="V166" t="s">
        <v>453</v>
      </c>
      <c r="W166" s="67">
        <v>1</v>
      </c>
    </row>
    <row r="167" spans="22:23">
      <c r="V167" t="s">
        <v>453</v>
      </c>
      <c r="W167" s="67">
        <v>1</v>
      </c>
    </row>
    <row r="168" spans="22:23">
      <c r="V168" t="s">
        <v>453</v>
      </c>
      <c r="W168" s="67">
        <v>1</v>
      </c>
    </row>
    <row r="169" spans="22:23">
      <c r="V169" t="s">
        <v>453</v>
      </c>
      <c r="W169" s="67">
        <v>1</v>
      </c>
    </row>
    <row r="170" spans="22:23">
      <c r="V170" t="s">
        <v>453</v>
      </c>
      <c r="W170" s="67">
        <v>1</v>
      </c>
    </row>
    <row r="171" spans="22:23">
      <c r="V171" t="s">
        <v>453</v>
      </c>
      <c r="W171" s="67">
        <v>1</v>
      </c>
    </row>
    <row r="172" spans="22:23">
      <c r="V172" t="s">
        <v>453</v>
      </c>
      <c r="W172" s="67">
        <v>1</v>
      </c>
    </row>
    <row r="173" spans="22:23">
      <c r="V173" t="s">
        <v>453</v>
      </c>
      <c r="W173" s="67">
        <v>1</v>
      </c>
    </row>
    <row r="174" spans="22:23">
      <c r="V174" t="s">
        <v>453</v>
      </c>
      <c r="W174" s="67">
        <v>1</v>
      </c>
    </row>
    <row r="175" spans="22:23">
      <c r="V175" t="s">
        <v>453</v>
      </c>
      <c r="W175" s="67">
        <v>1</v>
      </c>
    </row>
    <row r="176" spans="22:23">
      <c r="V176" t="s">
        <v>453</v>
      </c>
      <c r="W176" s="67">
        <v>1</v>
      </c>
    </row>
    <row r="177" spans="22:23">
      <c r="V177" t="s">
        <v>453</v>
      </c>
      <c r="W177" s="67">
        <v>1</v>
      </c>
    </row>
    <row r="178" spans="22:23">
      <c r="V178" t="s">
        <v>453</v>
      </c>
      <c r="W178" s="67">
        <v>1</v>
      </c>
    </row>
    <row r="179" spans="22:23">
      <c r="V179" t="s">
        <v>453</v>
      </c>
      <c r="W179" s="67">
        <v>1</v>
      </c>
    </row>
    <row r="180" spans="22:23">
      <c r="V180" t="s">
        <v>453</v>
      </c>
      <c r="W180" s="67">
        <v>1</v>
      </c>
    </row>
    <row r="181" spans="22:23">
      <c r="V181" t="s">
        <v>453</v>
      </c>
      <c r="W181" s="67">
        <v>1</v>
      </c>
    </row>
    <row r="182" spans="22:23">
      <c r="V182" t="s">
        <v>453</v>
      </c>
      <c r="W182" s="67">
        <v>1</v>
      </c>
    </row>
    <row r="183" spans="22:23">
      <c r="V183" t="s">
        <v>453</v>
      </c>
      <c r="W183" s="67">
        <v>1</v>
      </c>
    </row>
    <row r="184" spans="22:23">
      <c r="V184" t="s">
        <v>453</v>
      </c>
      <c r="W184" s="67">
        <v>1</v>
      </c>
    </row>
    <row r="185" spans="22:23">
      <c r="V185" t="s">
        <v>453</v>
      </c>
      <c r="W185" s="67">
        <v>1</v>
      </c>
    </row>
    <row r="186" spans="22:23">
      <c r="V186" t="s">
        <v>453</v>
      </c>
      <c r="W186" s="67">
        <v>1</v>
      </c>
    </row>
    <row r="187" spans="22:23">
      <c r="V187" t="s">
        <v>453</v>
      </c>
      <c r="W187" s="67">
        <v>1</v>
      </c>
    </row>
    <row r="188" spans="22:23">
      <c r="V188" t="s">
        <v>453</v>
      </c>
      <c r="W188" s="67">
        <v>1</v>
      </c>
    </row>
    <row r="189" spans="22:23">
      <c r="V189" t="s">
        <v>453</v>
      </c>
      <c r="W189" s="67">
        <v>1</v>
      </c>
    </row>
    <row r="190" spans="22:23">
      <c r="V190" t="s">
        <v>453</v>
      </c>
      <c r="W190" s="67">
        <v>1</v>
      </c>
    </row>
    <row r="191" spans="22:23">
      <c r="V191" t="s">
        <v>453</v>
      </c>
      <c r="W191" s="67">
        <v>1</v>
      </c>
    </row>
    <row r="192" spans="22:23">
      <c r="V192" t="s">
        <v>453</v>
      </c>
      <c r="W192" s="67">
        <v>1</v>
      </c>
    </row>
    <row r="193" spans="22:23">
      <c r="V193" t="s">
        <v>453</v>
      </c>
      <c r="W193" s="67">
        <v>1</v>
      </c>
    </row>
    <row r="194" spans="22:23">
      <c r="V194" t="s">
        <v>453</v>
      </c>
      <c r="W194" s="67">
        <v>1</v>
      </c>
    </row>
    <row r="195" spans="22:23">
      <c r="V195" t="s">
        <v>453</v>
      </c>
      <c r="W195" s="67">
        <v>1</v>
      </c>
    </row>
    <row r="196" spans="22:23">
      <c r="V196" t="s">
        <v>453</v>
      </c>
      <c r="W196" s="67">
        <v>1</v>
      </c>
    </row>
    <row r="197" spans="22:23">
      <c r="V197" t="s">
        <v>453</v>
      </c>
      <c r="W197" s="67">
        <v>1</v>
      </c>
    </row>
    <row r="198" spans="22:23">
      <c r="V198" t="s">
        <v>453</v>
      </c>
      <c r="W198" s="67">
        <v>1</v>
      </c>
    </row>
    <row r="199" spans="22:23">
      <c r="V199" t="s">
        <v>453</v>
      </c>
      <c r="W199" s="67">
        <v>1</v>
      </c>
    </row>
    <row r="200" spans="22:23">
      <c r="V200" t="s">
        <v>453</v>
      </c>
      <c r="W200" s="67">
        <v>1</v>
      </c>
    </row>
    <row r="201" spans="22:23">
      <c r="V201" t="s">
        <v>453</v>
      </c>
      <c r="W201" s="67">
        <v>1</v>
      </c>
    </row>
    <row r="202" spans="22:23">
      <c r="V202" t="s">
        <v>453</v>
      </c>
      <c r="W202" s="67">
        <v>1</v>
      </c>
    </row>
    <row r="203" spans="22:23">
      <c r="V203" t="s">
        <v>453</v>
      </c>
      <c r="W203" s="67">
        <v>1</v>
      </c>
    </row>
    <row r="204" spans="22:23">
      <c r="V204" t="s">
        <v>96</v>
      </c>
      <c r="W204" s="67">
        <v>1</v>
      </c>
    </row>
  </sheetData>
  <sortState ref="V9:W205">
    <sortCondition ref="W9:W205"/>
  </sortState>
  <dataConsolidate/>
  <customSheetViews>
    <customSheetView guid="{9C7DF5E1-0B31-456B-8B95-9E84EC8BB2AA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1"/>
    </customSheetView>
    <customSheetView guid="{2EDA8CC3-84EB-4F05-BF1F-BD8B14370E50}" state="hidden">
      <pane ySplit="12" topLeftCell="A13" activePane="bottomLeft" state="frozen"/>
      <selection pane="bottomLeft" activeCell="A14" sqref="A14"/>
      <pageMargins left="0.7" right="0.7" top="0.75" bottom="0.75" header="0.3" footer="0.3"/>
      <pageSetup orientation="portrait" r:id="rId2"/>
    </customSheetView>
  </customSheetViews>
  <mergeCells count="21">
    <mergeCell ref="D10:L10"/>
    <mergeCell ref="J20:L20"/>
    <mergeCell ref="J15:L15"/>
    <mergeCell ref="J16:L16"/>
    <mergeCell ref="J17:L17"/>
    <mergeCell ref="J18:L18"/>
    <mergeCell ref="J19:L19"/>
    <mergeCell ref="I11:L11"/>
    <mergeCell ref="J39:L39"/>
    <mergeCell ref="J40:L40"/>
    <mergeCell ref="J21:L21"/>
    <mergeCell ref="J22:L22"/>
    <mergeCell ref="J23:L23"/>
    <mergeCell ref="J24:L24"/>
    <mergeCell ref="J25:L25"/>
    <mergeCell ref="J26:L26"/>
    <mergeCell ref="J27:L27"/>
    <mergeCell ref="J28:L28"/>
    <mergeCell ref="J29:L29"/>
    <mergeCell ref="J30:L30"/>
    <mergeCell ref="J38:L38"/>
  </mergeCells>
  <dataValidations count="2">
    <dataValidation type="list" allowBlank="1" showInputMessage="1" showErrorMessage="1" sqref="N2">
      <formula1>"EFECTIVO,ELECTRONICO"</formula1>
    </dataValidation>
    <dataValidation type="list" allowBlank="1" showInputMessage="1" showErrorMessage="1" sqref="M4">
      <formula1>"USD,BS"</formula1>
    </dataValidation>
  </dataValidations>
  <pageMargins left="0" right="0" top="0" bottom="0" header="0" footer="0"/>
  <pageSetup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B0F0"/>
  </sheetPr>
  <dimension ref="A1:AZ64"/>
  <sheetViews>
    <sheetView zoomScale="120" zoomScaleNormal="120" workbookViewId="0">
      <selection activeCell="A7" sqref="A7"/>
    </sheetView>
  </sheetViews>
  <sheetFormatPr baseColWidth="10" defaultColWidth="11.42578125" defaultRowHeight="15"/>
  <cols>
    <col min="1" max="1" width="40.7109375" style="86" bestFit="1" customWidth="1"/>
    <col min="2" max="2" width="11.42578125" style="86"/>
    <col min="3" max="3" width="37.5703125" style="86" bestFit="1" customWidth="1"/>
    <col min="4" max="4" width="7.28515625" style="86" bestFit="1" customWidth="1"/>
    <col min="5" max="5" width="16.42578125" style="86" bestFit="1" customWidth="1"/>
    <col min="6" max="6" width="13.42578125" style="86" customWidth="1"/>
    <col min="7" max="7" width="16.42578125" style="86" bestFit="1" customWidth="1"/>
    <col min="8" max="8" width="16.28515625" style="86" customWidth="1"/>
    <col min="9" max="9" width="16.42578125" style="86" bestFit="1" customWidth="1"/>
    <col min="10" max="13" width="11.42578125" style="86"/>
    <col min="14" max="14" width="30.42578125" style="86" bestFit="1" customWidth="1"/>
    <col min="15" max="16" width="30.42578125" style="86" customWidth="1"/>
    <col min="17" max="17" width="20.7109375" style="86" bestFit="1" customWidth="1"/>
    <col min="18" max="18" width="11.42578125" style="86"/>
    <col min="19" max="19" width="16.5703125" style="86" bestFit="1" customWidth="1"/>
    <col min="20" max="20" width="12.7109375" style="86" bestFit="1" customWidth="1"/>
    <col min="21" max="16384" width="11.42578125" style="86"/>
  </cols>
  <sheetData>
    <row r="1" spans="1:52">
      <c r="AZ1" s="86">
        <v>80</v>
      </c>
    </row>
    <row r="2" spans="1:52" ht="15.75">
      <c r="E2" s="63">
        <v>44216</v>
      </c>
      <c r="F2" s="71"/>
      <c r="H2" s="38" t="s">
        <v>847</v>
      </c>
    </row>
    <row r="3" spans="1:52" ht="26.25">
      <c r="C3" s="24" t="s">
        <v>769</v>
      </c>
      <c r="D3" s="348" t="s">
        <v>770</v>
      </c>
      <c r="E3" s="348"/>
      <c r="F3" s="348"/>
      <c r="G3" s="212" t="s">
        <v>882</v>
      </c>
      <c r="H3" s="349">
        <v>5.0999999999999996</v>
      </c>
      <c r="I3" s="349"/>
    </row>
    <row r="4" spans="1:52">
      <c r="D4" s="212" t="s">
        <v>416</v>
      </c>
      <c r="E4" s="212" t="s">
        <v>771</v>
      </c>
      <c r="F4" s="212" t="s">
        <v>887</v>
      </c>
      <c r="G4" s="212" t="s">
        <v>416</v>
      </c>
      <c r="H4" s="212" t="s">
        <v>771</v>
      </c>
      <c r="I4" s="212" t="s">
        <v>772</v>
      </c>
      <c r="N4" s="86" t="s">
        <v>416</v>
      </c>
      <c r="O4" s="86" t="s">
        <v>771</v>
      </c>
      <c r="P4" s="86" t="s">
        <v>887</v>
      </c>
      <c r="R4" s="86" t="s">
        <v>416</v>
      </c>
      <c r="S4" s="86" t="s">
        <v>771</v>
      </c>
      <c r="T4" s="86" t="s">
        <v>887</v>
      </c>
    </row>
    <row r="5" spans="1:52">
      <c r="A5" s="68" t="s">
        <v>76</v>
      </c>
      <c r="C5" s="86" t="s">
        <v>880</v>
      </c>
      <c r="D5" s="210">
        <f>IF(ISERROR(VLOOKUP($K5,$Q:$T,2,FALSE)+1-1)=FALSE,VLOOKUP($K5,$Q:$T,2,FALSE)+1-1,0)</f>
        <v>1.1200000000000001</v>
      </c>
      <c r="E5" s="210">
        <f>IF(ISERROR(VLOOKUP($K5,$Q:$T,2,FALSE)+1-1)=FALSE,VLOOKUP($K5,$Q:$T,3,FALSE)+1-1,0)</f>
        <v>1.17</v>
      </c>
      <c r="F5" s="210">
        <f t="shared" ref="F5:F19" si="0">IF(ISERROR(VLOOKUP($K5,$Q:$T,2,FALSE)+1-1)=FALSE,VLOOKUP($K5,$Q:$T,4,FALSE)+1-1,0)</f>
        <v>0</v>
      </c>
      <c r="G5" s="101">
        <f>+D5*$H$3</f>
        <v>5.7119999999999997</v>
      </c>
      <c r="H5" s="101">
        <f>+E5*$H$3</f>
        <v>5.9669999999999996</v>
      </c>
      <c r="I5" s="101">
        <f>+F5*$H$3</f>
        <v>0</v>
      </c>
      <c r="K5" s="68" t="s">
        <v>637</v>
      </c>
      <c r="N5" s="68" t="s">
        <v>1028</v>
      </c>
      <c r="O5" s="68" t="s">
        <v>1043</v>
      </c>
      <c r="P5" s="68"/>
      <c r="Q5" s="68" t="str">
        <f>MID(N5,1,FIND(":",N5,1)-1)</f>
        <v>MACRO 100GR</v>
      </c>
      <c r="R5" s="68" t="str">
        <f>IF(N5="",0,MID(N5,FIND(":",N5,1)+2,LEN(N5)))</f>
        <v>1,12</v>
      </c>
      <c r="S5" s="68" t="str">
        <f>IF(O5="",0,MID(O5,FIND(":",O5,1)+2,LEN(O5)))</f>
        <v>1,17</v>
      </c>
      <c r="T5" s="68">
        <f>IF(P5="",0,MID(P5,FIND(":",P5,1)+2,LEN(P5)))</f>
        <v>0</v>
      </c>
    </row>
    <row r="6" spans="1:52">
      <c r="A6" s="68" t="s">
        <v>75</v>
      </c>
      <c r="C6" s="86" t="s">
        <v>881</v>
      </c>
      <c r="D6" s="210">
        <f t="shared" ref="D6:D43" si="1">IF(ISERROR(VLOOKUP($K6,$Q:$T,2,FALSE)+1-1)=FALSE,VLOOKUP($K6,$Q:$T,2,FALSE)+1-1,0)</f>
        <v>1.7999999999999998</v>
      </c>
      <c r="E6" s="210">
        <f t="shared" ref="E6:E43" si="2">IF(ISERROR(VLOOKUP($K6,$Q:$T,2,FALSE)+1-1)=FALSE,VLOOKUP($K6,$Q:$T,3,FALSE)+1-1,0)</f>
        <v>1.8899999999999997</v>
      </c>
      <c r="F6" s="210">
        <f t="shared" si="0"/>
        <v>0</v>
      </c>
      <c r="G6" s="101">
        <f t="shared" ref="G6:G31" si="3">+D6*$H$3</f>
        <v>9.1799999999999979</v>
      </c>
      <c r="H6" s="101">
        <f t="shared" ref="H6:H31" si="4">+E6*$H$3</f>
        <v>9.6389999999999976</v>
      </c>
      <c r="I6" s="101">
        <f t="shared" ref="I6:I29" si="5">+F6*$H$3</f>
        <v>0</v>
      </c>
      <c r="K6" s="68" t="s">
        <v>931</v>
      </c>
      <c r="N6" s="68" t="s">
        <v>1157</v>
      </c>
      <c r="O6" s="68" t="s">
        <v>1159</v>
      </c>
      <c r="P6" s="68"/>
      <c r="Q6" s="68" t="str">
        <f t="shared" ref="Q6:Q27" si="6">MID(N6,1,FIND(":",N6,1)-1)</f>
        <v>MICRO 100GR</v>
      </c>
      <c r="R6" s="68" t="str">
        <f t="shared" ref="R6:R27" si="7">IF(N6="",0,MID(N6,FIND(":",N6,1)+2,LEN(N6)))</f>
        <v>1,8</v>
      </c>
      <c r="S6" s="68" t="str">
        <f t="shared" ref="S6:S27" si="8">IF(O6="",0,MID(O6,FIND(":",O6,1)+2,LEN(O6)))</f>
        <v>1,89</v>
      </c>
      <c r="T6" s="68">
        <f t="shared" ref="T6:T27" si="9">IF(P6="",0,MID(P6,FIND(":",P6,1)+2,LEN(P6)))</f>
        <v>0</v>
      </c>
    </row>
    <row r="7" spans="1:52">
      <c r="A7" s="68" t="s">
        <v>453</v>
      </c>
      <c r="C7" s="86" t="s">
        <v>638</v>
      </c>
      <c r="D7" s="210">
        <f t="shared" si="1"/>
        <v>1.3899999999999997</v>
      </c>
      <c r="E7" s="210">
        <f t="shared" si="2"/>
        <v>1.5099999999999998</v>
      </c>
      <c r="F7" s="210">
        <f t="shared" si="0"/>
        <v>0</v>
      </c>
      <c r="G7" s="101">
        <f t="shared" si="3"/>
        <v>7.0889999999999977</v>
      </c>
      <c r="H7" s="101">
        <f>+E7*$H$3</f>
        <v>7.7009999999999987</v>
      </c>
      <c r="I7" s="101">
        <f t="shared" si="5"/>
        <v>0</v>
      </c>
      <c r="K7" s="68" t="s">
        <v>638</v>
      </c>
      <c r="N7" s="68" t="s">
        <v>1029</v>
      </c>
      <c r="O7" s="68" t="s">
        <v>1044</v>
      </c>
      <c r="P7" s="68"/>
      <c r="Q7" s="68" t="str">
        <f t="shared" si="6"/>
        <v>STYLOSA 85GR</v>
      </c>
      <c r="R7" s="68" t="str">
        <f t="shared" si="7"/>
        <v>1,39</v>
      </c>
      <c r="S7" s="68" t="str">
        <f t="shared" si="8"/>
        <v>1,51</v>
      </c>
      <c r="T7" s="68">
        <f t="shared" si="9"/>
        <v>0</v>
      </c>
    </row>
    <row r="8" spans="1:52">
      <c r="A8" s="68" t="s">
        <v>515</v>
      </c>
      <c r="C8" s="86" t="s">
        <v>773</v>
      </c>
      <c r="D8" s="210">
        <f t="shared" si="1"/>
        <v>2.16</v>
      </c>
      <c r="E8" s="210">
        <f t="shared" si="2"/>
        <v>2.2599999999999998</v>
      </c>
      <c r="F8" s="210">
        <f t="shared" si="0"/>
        <v>0</v>
      </c>
      <c r="G8" s="101">
        <f t="shared" si="3"/>
        <v>11.016</v>
      </c>
      <c r="H8" s="101">
        <f t="shared" si="4"/>
        <v>11.525999999999998</v>
      </c>
      <c r="I8" s="101">
        <f t="shared" si="5"/>
        <v>0</v>
      </c>
      <c r="K8" s="68" t="s">
        <v>636</v>
      </c>
      <c r="N8" s="68" t="s">
        <v>1030</v>
      </c>
      <c r="O8" s="68" t="s">
        <v>1045</v>
      </c>
      <c r="P8" s="68"/>
      <c r="Q8" s="68" t="str">
        <f t="shared" si="6"/>
        <v>PASTA PLUS 3K</v>
      </c>
      <c r="R8" s="68" t="str">
        <f t="shared" si="7"/>
        <v>2,16</v>
      </c>
      <c r="S8" s="68" t="str">
        <f t="shared" si="8"/>
        <v>2,26</v>
      </c>
      <c r="T8" s="68">
        <f t="shared" si="9"/>
        <v>0</v>
      </c>
    </row>
    <row r="9" spans="1:52">
      <c r="A9" s="68" t="s">
        <v>480</v>
      </c>
      <c r="C9" s="86" t="s">
        <v>774</v>
      </c>
      <c r="D9" s="210">
        <f t="shared" si="1"/>
        <v>0.54</v>
      </c>
      <c r="E9" s="210">
        <f t="shared" si="2"/>
        <v>0.56999999999999984</v>
      </c>
      <c r="F9" s="210">
        <f t="shared" si="0"/>
        <v>0</v>
      </c>
      <c r="G9" s="101">
        <f t="shared" si="3"/>
        <v>2.754</v>
      </c>
      <c r="H9" s="101">
        <f t="shared" si="4"/>
        <v>2.9069999999999991</v>
      </c>
      <c r="I9" s="101">
        <f t="shared" si="5"/>
        <v>0</v>
      </c>
      <c r="K9" s="68" t="s">
        <v>635</v>
      </c>
      <c r="N9" s="68" t="s">
        <v>1031</v>
      </c>
      <c r="O9" s="68" t="s">
        <v>1046</v>
      </c>
      <c r="P9" s="68"/>
      <c r="Q9" s="68" t="str">
        <f t="shared" si="6"/>
        <v>PASTA 0,75K</v>
      </c>
      <c r="R9" s="68" t="str">
        <f t="shared" si="7"/>
        <v>0,54</v>
      </c>
      <c r="S9" s="68" t="str">
        <f t="shared" si="8"/>
        <v>0,57</v>
      </c>
      <c r="T9" s="68">
        <f t="shared" si="9"/>
        <v>0</v>
      </c>
    </row>
    <row r="10" spans="1:52">
      <c r="A10" s="68" t="s">
        <v>512</v>
      </c>
      <c r="C10" s="86" t="s">
        <v>775</v>
      </c>
      <c r="D10" s="210">
        <f t="shared" si="1"/>
        <v>1.9699999999999998</v>
      </c>
      <c r="E10" s="210">
        <f t="shared" si="2"/>
        <v>2.06</v>
      </c>
      <c r="F10" s="210">
        <f t="shared" si="0"/>
        <v>0</v>
      </c>
      <c r="G10" s="101">
        <f t="shared" si="3"/>
        <v>10.046999999999999</v>
      </c>
      <c r="H10" s="101">
        <f t="shared" si="4"/>
        <v>10.506</v>
      </c>
      <c r="I10" s="101">
        <f t="shared" si="5"/>
        <v>0</v>
      </c>
      <c r="K10" s="68" t="s">
        <v>634</v>
      </c>
      <c r="N10" s="68" t="s">
        <v>1083</v>
      </c>
      <c r="O10" s="68" t="s">
        <v>1047</v>
      </c>
      <c r="P10" s="68"/>
      <c r="Q10" s="68" t="str">
        <f t="shared" si="6"/>
        <v>GRAFIADO 6K</v>
      </c>
      <c r="R10" s="68" t="str">
        <f t="shared" si="7"/>
        <v>1,97</v>
      </c>
      <c r="S10" s="68" t="str">
        <f t="shared" si="8"/>
        <v>2,06</v>
      </c>
      <c r="T10" s="68">
        <f t="shared" si="9"/>
        <v>0</v>
      </c>
    </row>
    <row r="11" spans="1:52">
      <c r="A11" s="68" t="s">
        <v>534</v>
      </c>
      <c r="C11" s="86" t="s">
        <v>539</v>
      </c>
      <c r="D11" s="210">
        <f t="shared" si="1"/>
        <v>1.9100000000000001</v>
      </c>
      <c r="E11" s="210">
        <f t="shared" si="2"/>
        <v>2</v>
      </c>
      <c r="F11" s="210">
        <f t="shared" si="0"/>
        <v>0</v>
      </c>
      <c r="G11" s="101">
        <f t="shared" si="3"/>
        <v>9.7409999999999997</v>
      </c>
      <c r="H11" s="101">
        <f t="shared" si="4"/>
        <v>10.199999999999999</v>
      </c>
      <c r="I11" s="101">
        <f t="shared" si="5"/>
        <v>0</v>
      </c>
      <c r="K11" s="68" t="s">
        <v>539</v>
      </c>
      <c r="N11" s="68" t="s">
        <v>1032</v>
      </c>
      <c r="O11" s="68" t="s">
        <v>1048</v>
      </c>
      <c r="P11" s="68"/>
      <c r="Q11" s="68" t="str">
        <f t="shared" si="6"/>
        <v>IMPERMEABILIZANTE PLUS</v>
      </c>
      <c r="R11" s="68" t="str">
        <f t="shared" si="7"/>
        <v>1,91</v>
      </c>
      <c r="S11" s="68" t="str">
        <f t="shared" si="8"/>
        <v>2</v>
      </c>
      <c r="T11" s="68">
        <f t="shared" si="9"/>
        <v>0</v>
      </c>
    </row>
    <row r="12" spans="1:52">
      <c r="A12" s="68" t="s">
        <v>632</v>
      </c>
      <c r="C12" s="86" t="s">
        <v>776</v>
      </c>
      <c r="D12" s="210">
        <f t="shared" si="1"/>
        <v>1.5499999999999998</v>
      </c>
      <c r="E12" s="210">
        <f t="shared" si="2"/>
        <v>1.6799999999999997</v>
      </c>
      <c r="F12" s="210">
        <f t="shared" si="0"/>
        <v>0</v>
      </c>
      <c r="G12" s="101">
        <f t="shared" si="3"/>
        <v>7.9049999999999985</v>
      </c>
      <c r="H12" s="101">
        <f t="shared" si="4"/>
        <v>8.5679999999999978</v>
      </c>
      <c r="I12" s="101">
        <f t="shared" si="5"/>
        <v>0</v>
      </c>
      <c r="K12" s="68" t="s">
        <v>642</v>
      </c>
      <c r="N12" s="68" t="s">
        <v>1084</v>
      </c>
      <c r="O12" s="68" t="s">
        <v>1078</v>
      </c>
      <c r="P12" s="68"/>
      <c r="Q12" s="68" t="str">
        <f t="shared" si="6"/>
        <v>BASE REND. 1K</v>
      </c>
      <c r="R12" s="68" t="str">
        <f t="shared" si="7"/>
        <v>1,55</v>
      </c>
      <c r="S12" s="68" t="str">
        <f t="shared" si="8"/>
        <v>1,68</v>
      </c>
      <c r="T12" s="68">
        <f t="shared" si="9"/>
        <v>0</v>
      </c>
    </row>
    <row r="13" spans="1:52">
      <c r="A13" s="68" t="s">
        <v>524</v>
      </c>
      <c r="C13" s="86" t="s">
        <v>546</v>
      </c>
      <c r="D13" s="210">
        <f t="shared" si="1"/>
        <v>1.1499999999999999</v>
      </c>
      <c r="E13" s="210">
        <f t="shared" si="2"/>
        <v>1.2000000000000002</v>
      </c>
      <c r="F13" s="210">
        <f t="shared" si="0"/>
        <v>0</v>
      </c>
      <c r="G13" s="101">
        <f t="shared" si="3"/>
        <v>5.8649999999999993</v>
      </c>
      <c r="H13" s="101">
        <f t="shared" si="4"/>
        <v>6.12</v>
      </c>
      <c r="I13" s="101">
        <f t="shared" si="5"/>
        <v>0</v>
      </c>
      <c r="K13" s="68" t="s">
        <v>633</v>
      </c>
      <c r="N13" s="68" t="s">
        <v>1033</v>
      </c>
      <c r="O13" s="68" t="s">
        <v>1049</v>
      </c>
      <c r="P13" s="68"/>
      <c r="Q13" s="68" t="str">
        <f t="shared" si="6"/>
        <v>CEMENTO BLCO 1K</v>
      </c>
      <c r="R13" s="68" t="str">
        <f t="shared" si="7"/>
        <v>1,15</v>
      </c>
      <c r="S13" s="68" t="str">
        <f t="shared" si="8"/>
        <v>1,2</v>
      </c>
      <c r="T13" s="68">
        <f t="shared" si="9"/>
        <v>0</v>
      </c>
    </row>
    <row r="14" spans="1:52">
      <c r="A14" s="68" t="s">
        <v>538</v>
      </c>
      <c r="C14" s="86" t="s">
        <v>547</v>
      </c>
      <c r="D14" s="210">
        <f t="shared" si="1"/>
        <v>1.6600000000000001</v>
      </c>
      <c r="E14" s="210">
        <f t="shared" si="2"/>
        <v>1.7400000000000002</v>
      </c>
      <c r="F14" s="210">
        <f t="shared" si="0"/>
        <v>0</v>
      </c>
      <c r="G14" s="101">
        <f t="shared" si="3"/>
        <v>8.4659999999999993</v>
      </c>
      <c r="H14" s="101">
        <f t="shared" si="4"/>
        <v>8.8740000000000006</v>
      </c>
      <c r="I14" s="101">
        <f t="shared" si="5"/>
        <v>0</v>
      </c>
      <c r="K14" s="68" t="s">
        <v>639</v>
      </c>
      <c r="N14" s="68" t="s">
        <v>1085</v>
      </c>
      <c r="O14" s="68" t="s">
        <v>1079</v>
      </c>
      <c r="P14" s="68"/>
      <c r="Q14" s="68" t="str">
        <f t="shared" si="6"/>
        <v>CAL LIQ. 1GAL</v>
      </c>
      <c r="R14" s="68" t="str">
        <f t="shared" si="7"/>
        <v>1,66</v>
      </c>
      <c r="S14" s="68" t="str">
        <f t="shared" si="8"/>
        <v>1,74</v>
      </c>
      <c r="T14" s="68">
        <f t="shared" si="9"/>
        <v>0</v>
      </c>
    </row>
    <row r="15" spans="1:52">
      <c r="A15" s="68" t="s">
        <v>563</v>
      </c>
      <c r="C15" s="86" t="s">
        <v>777</v>
      </c>
      <c r="D15" s="218">
        <f>D16*3</f>
        <v>2.0999999999999996</v>
      </c>
      <c r="E15" s="218">
        <f>E16*3</f>
        <v>2.16</v>
      </c>
      <c r="F15" s="218">
        <f t="shared" si="0"/>
        <v>0</v>
      </c>
      <c r="G15" s="101">
        <f t="shared" si="3"/>
        <v>10.709999999999997</v>
      </c>
      <c r="H15" s="101">
        <f t="shared" si="4"/>
        <v>11.016</v>
      </c>
      <c r="I15" s="101">
        <f t="shared" si="5"/>
        <v>0</v>
      </c>
      <c r="K15" s="68"/>
      <c r="N15" s="68" t="s">
        <v>1034</v>
      </c>
      <c r="O15" s="68" t="s">
        <v>1050</v>
      </c>
      <c r="P15" s="68"/>
      <c r="Q15" s="68" t="str">
        <f t="shared" si="6"/>
        <v>CAL 1K</v>
      </c>
      <c r="R15" s="68" t="str">
        <f t="shared" si="7"/>
        <v>0,7</v>
      </c>
      <c r="S15" s="68" t="str">
        <f t="shared" si="8"/>
        <v>0,72</v>
      </c>
      <c r="T15" s="68">
        <f t="shared" si="9"/>
        <v>0</v>
      </c>
    </row>
    <row r="16" spans="1:52">
      <c r="A16" s="68" t="s">
        <v>562</v>
      </c>
      <c r="C16" s="86" t="s">
        <v>778</v>
      </c>
      <c r="D16" s="210">
        <f t="shared" si="1"/>
        <v>0.7</v>
      </c>
      <c r="E16" s="210">
        <f t="shared" si="2"/>
        <v>0.72</v>
      </c>
      <c r="F16" s="210">
        <f t="shared" si="0"/>
        <v>0</v>
      </c>
      <c r="G16" s="101">
        <f t="shared" si="3"/>
        <v>3.5699999999999994</v>
      </c>
      <c r="H16" s="101">
        <f t="shared" si="4"/>
        <v>3.6719999999999997</v>
      </c>
      <c r="I16" s="101">
        <f t="shared" si="5"/>
        <v>0</v>
      </c>
      <c r="K16" s="68" t="s">
        <v>641</v>
      </c>
      <c r="N16" s="68" t="s">
        <v>1035</v>
      </c>
      <c r="O16" s="68" t="s">
        <v>1051</v>
      </c>
      <c r="P16" s="68"/>
      <c r="Q16" s="68" t="str">
        <f t="shared" si="6"/>
        <v>YESO 1K</v>
      </c>
      <c r="R16" s="68" t="str">
        <f t="shared" si="7"/>
        <v>1,24</v>
      </c>
      <c r="S16" s="68" t="str">
        <f t="shared" si="8"/>
        <v>1,3</v>
      </c>
      <c r="T16" s="68">
        <f t="shared" si="9"/>
        <v>0</v>
      </c>
    </row>
    <row r="17" spans="1:20">
      <c r="A17" s="68" t="s">
        <v>548</v>
      </c>
      <c r="C17" s="86" t="s">
        <v>779</v>
      </c>
      <c r="D17" s="210">
        <f t="shared" si="1"/>
        <v>1.2400000000000002</v>
      </c>
      <c r="E17" s="210">
        <f t="shared" si="2"/>
        <v>1.2999999999999998</v>
      </c>
      <c r="F17" s="210">
        <f t="shared" si="0"/>
        <v>0</v>
      </c>
      <c r="G17" s="101">
        <f t="shared" si="3"/>
        <v>6.3240000000000007</v>
      </c>
      <c r="H17" s="101">
        <f t="shared" si="4"/>
        <v>6.629999999999999</v>
      </c>
      <c r="I17" s="101">
        <f t="shared" si="5"/>
        <v>0</v>
      </c>
      <c r="K17" s="68" t="s">
        <v>640</v>
      </c>
      <c r="N17" s="68" t="s">
        <v>1036</v>
      </c>
      <c r="O17" s="68" t="s">
        <v>1052</v>
      </c>
      <c r="P17" s="68"/>
      <c r="Q17" s="68" t="str">
        <f t="shared" si="6"/>
        <v>PEGO 7KG</v>
      </c>
      <c r="R17" s="68" t="str">
        <f t="shared" si="7"/>
        <v>1,52</v>
      </c>
      <c r="S17" s="68" t="str">
        <f t="shared" si="8"/>
        <v>1,55</v>
      </c>
      <c r="T17" s="68">
        <f t="shared" si="9"/>
        <v>0</v>
      </c>
    </row>
    <row r="18" spans="1:20">
      <c r="A18" s="68" t="s">
        <v>525</v>
      </c>
      <c r="C18" s="86" t="s">
        <v>643</v>
      </c>
      <c r="D18" s="210">
        <f t="shared" si="1"/>
        <v>1.52</v>
      </c>
      <c r="E18" s="210">
        <f t="shared" si="2"/>
        <v>1.5499999999999998</v>
      </c>
      <c r="F18" s="210">
        <f t="shared" si="0"/>
        <v>0</v>
      </c>
      <c r="G18" s="101">
        <f t="shared" si="3"/>
        <v>7.7519999999999998</v>
      </c>
      <c r="H18" s="101">
        <f t="shared" si="4"/>
        <v>7.9049999999999985</v>
      </c>
      <c r="I18" s="101">
        <f t="shared" si="5"/>
        <v>0</v>
      </c>
      <c r="K18" s="68" t="s">
        <v>643</v>
      </c>
      <c r="N18" s="68" t="s">
        <v>1037</v>
      </c>
      <c r="O18" s="68" t="s">
        <v>1053</v>
      </c>
      <c r="P18" s="68"/>
      <c r="Q18" s="68" t="str">
        <f t="shared" si="6"/>
        <v>PEGO 10KG</v>
      </c>
      <c r="R18" s="68" t="str">
        <f t="shared" si="7"/>
        <v>2,02</v>
      </c>
      <c r="S18" s="68" t="str">
        <f t="shared" si="8"/>
        <v>2,07</v>
      </c>
      <c r="T18" s="68">
        <f t="shared" si="9"/>
        <v>0</v>
      </c>
    </row>
    <row r="19" spans="1:20">
      <c r="A19" s="68" t="s">
        <v>681</v>
      </c>
      <c r="C19" s="86" t="s">
        <v>682</v>
      </c>
      <c r="D19" s="210">
        <f t="shared" si="1"/>
        <v>2.02</v>
      </c>
      <c r="E19" s="210">
        <f t="shared" si="2"/>
        <v>2.0699999999999998</v>
      </c>
      <c r="F19" s="210">
        <f t="shared" si="0"/>
        <v>0</v>
      </c>
      <c r="G19" s="101">
        <f t="shared" si="3"/>
        <v>10.302</v>
      </c>
      <c r="H19" s="101">
        <f t="shared" si="4"/>
        <v>10.556999999999999</v>
      </c>
      <c r="I19" s="101">
        <f t="shared" si="5"/>
        <v>0</v>
      </c>
      <c r="K19" s="68" t="s">
        <v>682</v>
      </c>
      <c r="N19" s="68" t="s">
        <v>1038</v>
      </c>
      <c r="O19" s="68" t="s">
        <v>1054</v>
      </c>
      <c r="P19" s="68"/>
      <c r="Q19" s="68" t="str">
        <f t="shared" si="6"/>
        <v>PEGA PLUS 15KG</v>
      </c>
      <c r="R19" s="68" t="str">
        <f t="shared" si="7"/>
        <v>1,97</v>
      </c>
      <c r="S19" s="68" t="str">
        <f t="shared" si="8"/>
        <v>2,08</v>
      </c>
      <c r="T19" s="68">
        <f t="shared" si="9"/>
        <v>0</v>
      </c>
    </row>
    <row r="20" spans="1:20">
      <c r="A20" s="68" t="s">
        <v>707</v>
      </c>
      <c r="C20" s="86" t="s">
        <v>780</v>
      </c>
      <c r="D20" s="218">
        <v>4.16</v>
      </c>
      <c r="E20" s="218">
        <v>4.3600000000000003</v>
      </c>
      <c r="F20" s="218">
        <f>F13*4.5</f>
        <v>0</v>
      </c>
      <c r="G20" s="101">
        <f t="shared" si="3"/>
        <v>21.215999999999998</v>
      </c>
      <c r="H20" s="101">
        <f t="shared" si="4"/>
        <v>22.236000000000001</v>
      </c>
      <c r="I20" s="101">
        <f t="shared" si="5"/>
        <v>0</v>
      </c>
      <c r="N20" s="68" t="s">
        <v>1039</v>
      </c>
      <c r="O20" s="68" t="s">
        <v>1055</v>
      </c>
      <c r="P20" s="68"/>
      <c r="Q20" s="68" t="str">
        <f t="shared" si="6"/>
        <v>CONCRE PLUS 15KG</v>
      </c>
      <c r="R20" s="68" t="str">
        <f t="shared" si="7"/>
        <v>2,14</v>
      </c>
      <c r="S20" s="68" t="str">
        <f t="shared" si="8"/>
        <v>2,28</v>
      </c>
      <c r="T20" s="68">
        <f t="shared" si="9"/>
        <v>0</v>
      </c>
    </row>
    <row r="21" spans="1:20">
      <c r="A21" s="68" t="s">
        <v>711</v>
      </c>
      <c r="C21" s="86" t="s">
        <v>781</v>
      </c>
      <c r="D21" s="210">
        <f t="shared" si="1"/>
        <v>0</v>
      </c>
      <c r="E21" s="210">
        <f t="shared" si="2"/>
        <v>0</v>
      </c>
      <c r="F21" s="210">
        <f t="shared" ref="F21:F31" si="10">IF(ISERROR(VLOOKUP($K21,$Q:$T,2,FALSE)+1-1)=FALSE,VLOOKUP($K21,$Q:$T,4,FALSE)+1-1,0)</f>
        <v>0</v>
      </c>
      <c r="G21" s="101">
        <f t="shared" si="3"/>
        <v>0</v>
      </c>
      <c r="H21" s="101">
        <f t="shared" si="4"/>
        <v>0</v>
      </c>
      <c r="I21" s="101">
        <f t="shared" si="5"/>
        <v>0</v>
      </c>
      <c r="N21" s="68" t="s">
        <v>1040</v>
      </c>
      <c r="O21" s="68" t="s">
        <v>1056</v>
      </c>
      <c r="P21" s="68"/>
      <c r="Q21" s="68" t="str">
        <f t="shared" si="6"/>
        <v>PEGO 15KG</v>
      </c>
      <c r="R21" s="68" t="str">
        <f t="shared" si="7"/>
        <v>2,88</v>
      </c>
      <c r="S21" s="68" t="str">
        <f t="shared" si="8"/>
        <v>2,95</v>
      </c>
      <c r="T21" s="68">
        <f t="shared" si="9"/>
        <v>0</v>
      </c>
    </row>
    <row r="22" spans="1:20">
      <c r="A22" s="68" t="s">
        <v>727</v>
      </c>
      <c r="C22" s="86" t="s">
        <v>728</v>
      </c>
      <c r="D22" s="210">
        <f t="shared" si="1"/>
        <v>1.9699999999999998</v>
      </c>
      <c r="E22" s="210">
        <f t="shared" si="2"/>
        <v>2.08</v>
      </c>
      <c r="F22" s="210">
        <f t="shared" si="10"/>
        <v>0</v>
      </c>
      <c r="G22" s="101">
        <f t="shared" si="3"/>
        <v>10.046999999999999</v>
      </c>
      <c r="H22" s="101">
        <f t="shared" si="4"/>
        <v>10.607999999999999</v>
      </c>
      <c r="I22" s="101">
        <f t="shared" si="5"/>
        <v>0</v>
      </c>
      <c r="K22" s="68" t="s">
        <v>728</v>
      </c>
      <c r="N22" s="68" t="s">
        <v>1097</v>
      </c>
      <c r="O22" s="68" t="s">
        <v>1160</v>
      </c>
      <c r="P22" s="68"/>
      <c r="Q22" s="68" t="str">
        <f t="shared" si="6"/>
        <v>STYLOSA "A" 50GR</v>
      </c>
      <c r="R22" s="68" t="str">
        <f t="shared" si="7"/>
        <v>2,39</v>
      </c>
      <c r="S22" s="68" t="str">
        <f t="shared" si="8"/>
        <v>2,5</v>
      </c>
      <c r="T22" s="68">
        <f t="shared" si="9"/>
        <v>0</v>
      </c>
    </row>
    <row r="23" spans="1:20">
      <c r="A23" s="68" t="s">
        <v>735</v>
      </c>
      <c r="C23" s="86" t="s">
        <v>782</v>
      </c>
      <c r="D23" s="210">
        <f t="shared" si="1"/>
        <v>2.14</v>
      </c>
      <c r="E23" s="210">
        <f t="shared" si="2"/>
        <v>2.2799999999999998</v>
      </c>
      <c r="F23" s="210">
        <f t="shared" si="10"/>
        <v>0</v>
      </c>
      <c r="G23" s="101">
        <f t="shared" si="3"/>
        <v>10.914</v>
      </c>
      <c r="H23" s="101">
        <f t="shared" si="4"/>
        <v>11.627999999999998</v>
      </c>
      <c r="I23" s="101">
        <f t="shared" si="5"/>
        <v>0</v>
      </c>
      <c r="K23" s="68" t="s">
        <v>736</v>
      </c>
      <c r="N23" s="68" t="s">
        <v>1086</v>
      </c>
      <c r="O23" s="68" t="s">
        <v>1080</v>
      </c>
      <c r="P23" s="68"/>
      <c r="Q23" s="68" t="str">
        <f t="shared" si="6"/>
        <v>GRAFIADO 15K</v>
      </c>
      <c r="R23" s="68" t="str">
        <f t="shared" si="7"/>
        <v>4,19</v>
      </c>
      <c r="S23" s="68" t="str">
        <f t="shared" si="8"/>
        <v>4,31</v>
      </c>
      <c r="T23" s="68">
        <f t="shared" si="9"/>
        <v>0</v>
      </c>
    </row>
    <row r="24" spans="1:20">
      <c r="A24" s="68" t="s">
        <v>758</v>
      </c>
      <c r="C24" s="86" t="s">
        <v>883</v>
      </c>
      <c r="D24" s="210">
        <f t="shared" si="1"/>
        <v>2.88</v>
      </c>
      <c r="E24" s="210">
        <f t="shared" si="2"/>
        <v>2.95</v>
      </c>
      <c r="F24" s="210">
        <f t="shared" si="10"/>
        <v>0</v>
      </c>
      <c r="G24" s="101">
        <f t="shared" si="3"/>
        <v>14.687999999999999</v>
      </c>
      <c r="H24" s="101">
        <f t="shared" si="4"/>
        <v>15.045</v>
      </c>
      <c r="I24" s="101">
        <f t="shared" si="5"/>
        <v>0</v>
      </c>
      <c r="K24" s="68" t="s">
        <v>883</v>
      </c>
      <c r="N24" s="68" t="s">
        <v>1041</v>
      </c>
      <c r="O24" s="68" t="s">
        <v>1057</v>
      </c>
      <c r="P24" s="68"/>
      <c r="Q24" s="68" t="str">
        <f t="shared" si="6"/>
        <v>PASTA PLUS 8K</v>
      </c>
      <c r="R24" s="68" t="str">
        <f t="shared" si="7"/>
        <v>5</v>
      </c>
      <c r="S24" s="68" t="str">
        <f t="shared" si="8"/>
        <v>5,24</v>
      </c>
      <c r="T24" s="68">
        <f t="shared" si="9"/>
        <v>0</v>
      </c>
    </row>
    <row r="25" spans="1:20">
      <c r="A25" s="68" t="s">
        <v>940</v>
      </c>
      <c r="C25" s="23" t="s">
        <v>837</v>
      </c>
      <c r="D25" s="210">
        <f t="shared" si="1"/>
        <v>2.39</v>
      </c>
      <c r="E25" s="210">
        <f t="shared" si="2"/>
        <v>2.5</v>
      </c>
      <c r="F25" s="210">
        <f t="shared" si="10"/>
        <v>0</v>
      </c>
      <c r="G25" s="101">
        <f t="shared" si="3"/>
        <v>12.189</v>
      </c>
      <c r="H25" s="101">
        <f t="shared" si="4"/>
        <v>12.75</v>
      </c>
      <c r="I25" s="101">
        <f t="shared" si="5"/>
        <v>0</v>
      </c>
      <c r="K25" s="68" t="s">
        <v>932</v>
      </c>
      <c r="N25" s="68" t="s">
        <v>1042</v>
      </c>
      <c r="O25" s="68" t="s">
        <v>1058</v>
      </c>
      <c r="P25" s="68"/>
      <c r="Q25" s="68" t="str">
        <f t="shared" si="6"/>
        <v>PINT IMP 10K</v>
      </c>
      <c r="R25" s="68" t="str">
        <f t="shared" si="7"/>
        <v>5,4</v>
      </c>
      <c r="S25" s="68" t="str">
        <f t="shared" si="8"/>
        <v>5,65</v>
      </c>
      <c r="T25" s="68">
        <f t="shared" si="9"/>
        <v>0</v>
      </c>
    </row>
    <row r="26" spans="1:20">
      <c r="A26" s="68" t="s">
        <v>849</v>
      </c>
      <c r="C26" s="23" t="s">
        <v>856</v>
      </c>
      <c r="D26" s="210">
        <f t="shared" si="1"/>
        <v>4.1900000000000004</v>
      </c>
      <c r="E26" s="210">
        <f t="shared" si="2"/>
        <v>4.3099999999999996</v>
      </c>
      <c r="F26" s="210">
        <f t="shared" si="10"/>
        <v>0</v>
      </c>
      <c r="G26" s="101">
        <f t="shared" si="3"/>
        <v>21.369</v>
      </c>
      <c r="H26" s="101">
        <f t="shared" si="4"/>
        <v>21.980999999999998</v>
      </c>
      <c r="I26" s="101">
        <f t="shared" si="5"/>
        <v>0</v>
      </c>
      <c r="K26" s="68" t="s">
        <v>933</v>
      </c>
      <c r="N26" s="68" t="s">
        <v>1087</v>
      </c>
      <c r="O26" s="68" t="s">
        <v>1081</v>
      </c>
      <c r="P26" s="68"/>
      <c r="Q26" s="68" t="str">
        <f t="shared" si="6"/>
        <v>PEGO B 15K</v>
      </c>
      <c r="R26" s="68" t="str">
        <f t="shared" si="7"/>
        <v>3,25</v>
      </c>
      <c r="S26" s="68" t="str">
        <f t="shared" si="8"/>
        <v>3,3</v>
      </c>
      <c r="T26" s="68">
        <f t="shared" si="9"/>
        <v>0</v>
      </c>
    </row>
    <row r="27" spans="1:20">
      <c r="A27" s="68" t="s">
        <v>862</v>
      </c>
      <c r="C27" s="23" t="s">
        <v>857</v>
      </c>
      <c r="D27" s="210">
        <f t="shared" si="1"/>
        <v>5</v>
      </c>
      <c r="E27" s="210">
        <f t="shared" si="2"/>
        <v>5.24</v>
      </c>
      <c r="F27" s="210">
        <f t="shared" si="10"/>
        <v>0</v>
      </c>
      <c r="G27" s="101">
        <f t="shared" si="3"/>
        <v>25.5</v>
      </c>
      <c r="H27" s="101">
        <f t="shared" si="4"/>
        <v>26.724</v>
      </c>
      <c r="I27" s="101">
        <f t="shared" si="5"/>
        <v>0</v>
      </c>
      <c r="K27" s="68" t="s">
        <v>934</v>
      </c>
      <c r="N27" s="68" t="s">
        <v>1158</v>
      </c>
      <c r="O27" s="68" t="s">
        <v>1082</v>
      </c>
      <c r="P27" s="68"/>
      <c r="Q27" s="68" t="str">
        <f t="shared" si="6"/>
        <v>EST. GRIS 12K</v>
      </c>
      <c r="R27" s="68" t="str">
        <f t="shared" si="7"/>
        <v>5,6</v>
      </c>
      <c r="S27" s="68" t="str">
        <f t="shared" si="8"/>
        <v xml:space="preserve">5,87 </v>
      </c>
      <c r="T27" s="68">
        <f t="shared" si="9"/>
        <v>0</v>
      </c>
    </row>
    <row r="28" spans="1:20">
      <c r="A28" s="68" t="s">
        <v>1002</v>
      </c>
      <c r="C28" s="23" t="s">
        <v>879</v>
      </c>
      <c r="D28" s="210">
        <f t="shared" si="1"/>
        <v>5.4</v>
      </c>
      <c r="E28" s="210">
        <f t="shared" si="2"/>
        <v>5.65</v>
      </c>
      <c r="F28" s="210">
        <f t="shared" si="10"/>
        <v>0</v>
      </c>
      <c r="G28" s="101">
        <f t="shared" si="3"/>
        <v>27.54</v>
      </c>
      <c r="H28" s="101">
        <f t="shared" si="4"/>
        <v>28.815000000000001</v>
      </c>
      <c r="I28" s="101">
        <f t="shared" si="5"/>
        <v>0</v>
      </c>
      <c r="K28" s="68" t="s">
        <v>935</v>
      </c>
    </row>
    <row r="29" spans="1:20">
      <c r="A29" s="68" t="s">
        <v>877</v>
      </c>
      <c r="C29" s="23" t="s">
        <v>885</v>
      </c>
      <c r="D29" s="218">
        <v>9.9</v>
      </c>
      <c r="E29" s="218">
        <v>10.38</v>
      </c>
      <c r="F29" s="218">
        <f t="shared" si="10"/>
        <v>0</v>
      </c>
      <c r="G29" s="211">
        <f t="shared" si="3"/>
        <v>50.489999999999995</v>
      </c>
      <c r="H29" s="211">
        <f t="shared" si="4"/>
        <v>52.938000000000002</v>
      </c>
      <c r="I29" s="211">
        <f t="shared" si="5"/>
        <v>0</v>
      </c>
      <c r="K29" s="68" t="s">
        <v>885</v>
      </c>
    </row>
    <row r="30" spans="1:20">
      <c r="A30" s="68" t="s">
        <v>801</v>
      </c>
      <c r="C30" s="23" t="s">
        <v>901</v>
      </c>
      <c r="D30" s="210">
        <f t="shared" si="1"/>
        <v>0</v>
      </c>
      <c r="E30" s="210">
        <f t="shared" si="2"/>
        <v>0</v>
      </c>
      <c r="F30" s="210">
        <f t="shared" si="10"/>
        <v>0</v>
      </c>
      <c r="G30" s="211">
        <f t="shared" si="3"/>
        <v>0</v>
      </c>
      <c r="H30" s="211">
        <f t="shared" si="4"/>
        <v>0</v>
      </c>
      <c r="I30" s="169"/>
    </row>
    <row r="31" spans="1:20">
      <c r="A31" s="68" t="s">
        <v>941</v>
      </c>
      <c r="C31" s="23" t="s">
        <v>927</v>
      </c>
      <c r="D31" s="210">
        <f t="shared" si="1"/>
        <v>3.25</v>
      </c>
      <c r="E31" s="210">
        <f t="shared" si="2"/>
        <v>3.3</v>
      </c>
      <c r="F31" s="210">
        <f t="shared" si="10"/>
        <v>0</v>
      </c>
      <c r="G31" s="211">
        <f t="shared" si="3"/>
        <v>16.574999999999999</v>
      </c>
      <c r="H31" s="211">
        <f t="shared" si="4"/>
        <v>16.829999999999998</v>
      </c>
      <c r="I31" s="169"/>
      <c r="K31" s="68" t="s">
        <v>936</v>
      </c>
    </row>
    <row r="32" spans="1:20">
      <c r="A32" s="68" t="s">
        <v>710</v>
      </c>
      <c r="D32" s="218">
        <v>1.3</v>
      </c>
      <c r="E32" s="218">
        <f>D32*1.25</f>
        <v>1.625</v>
      </c>
      <c r="F32" s="218">
        <f>E32</f>
        <v>1.625</v>
      </c>
      <c r="G32" s="211">
        <f t="shared" ref="G32:G43" si="11">+D32*$H$3</f>
        <v>6.63</v>
      </c>
      <c r="H32" s="211">
        <f t="shared" ref="H32:H43" si="12">+E32*$H$3</f>
        <v>8.2874999999999996</v>
      </c>
      <c r="I32" s="169"/>
    </row>
    <row r="33" spans="1:11">
      <c r="A33" s="68" t="s">
        <v>1021</v>
      </c>
      <c r="C33" s="86" t="s">
        <v>1021</v>
      </c>
      <c r="D33" s="210">
        <f t="shared" si="1"/>
        <v>5.6</v>
      </c>
      <c r="E33" s="210">
        <f t="shared" si="2"/>
        <v>5.87</v>
      </c>
      <c r="F33" s="210">
        <f t="shared" ref="F33:F43" si="13">IF(ISERROR(VLOOKUP($K33,$Q:$T,2,FALSE)+1-1)=FALSE,VLOOKUP($K33,$Q:$T,4,FALSE)+1-1,0)</f>
        <v>0</v>
      </c>
      <c r="G33" s="211">
        <f t="shared" si="11"/>
        <v>28.559999999999995</v>
      </c>
      <c r="H33" s="211">
        <f t="shared" si="12"/>
        <v>29.936999999999998</v>
      </c>
      <c r="I33" s="169"/>
      <c r="K33" s="68" t="s">
        <v>1022</v>
      </c>
    </row>
    <row r="34" spans="1:11">
      <c r="A34" s="68" t="s">
        <v>1076</v>
      </c>
      <c r="C34" s="86" t="s">
        <v>1075</v>
      </c>
      <c r="D34" s="210">
        <v>6.5</v>
      </c>
      <c r="E34" s="210">
        <v>7.5</v>
      </c>
      <c r="F34" s="210">
        <f t="shared" si="13"/>
        <v>0</v>
      </c>
      <c r="G34" s="211">
        <f t="shared" si="11"/>
        <v>33.15</v>
      </c>
      <c r="H34" s="211">
        <f t="shared" si="12"/>
        <v>38.25</v>
      </c>
      <c r="I34" s="169"/>
    </row>
    <row r="35" spans="1:11">
      <c r="A35" s="68" t="s">
        <v>1185</v>
      </c>
      <c r="C35" s="86" t="s">
        <v>877</v>
      </c>
      <c r="D35" s="218">
        <f>+D29</f>
        <v>9.9</v>
      </c>
      <c r="E35" s="218">
        <f>+E29</f>
        <v>10.38</v>
      </c>
      <c r="F35" s="218">
        <f t="shared" si="13"/>
        <v>0</v>
      </c>
      <c r="G35" s="211">
        <f t="shared" si="11"/>
        <v>50.489999999999995</v>
      </c>
      <c r="H35" s="211">
        <f t="shared" si="12"/>
        <v>52.938000000000002</v>
      </c>
      <c r="I35" s="169"/>
    </row>
    <row r="36" spans="1:11">
      <c r="A36" s="68"/>
      <c r="D36" s="210">
        <f t="shared" si="1"/>
        <v>0</v>
      </c>
      <c r="E36" s="210">
        <f t="shared" si="2"/>
        <v>0</v>
      </c>
      <c r="F36" s="210">
        <f t="shared" si="13"/>
        <v>0</v>
      </c>
      <c r="G36" s="211">
        <f t="shared" si="11"/>
        <v>0</v>
      </c>
      <c r="H36" s="211">
        <f t="shared" si="12"/>
        <v>0</v>
      </c>
      <c r="I36" s="169"/>
    </row>
    <row r="37" spans="1:11">
      <c r="A37" s="68"/>
      <c r="D37" s="210">
        <f t="shared" si="1"/>
        <v>0</v>
      </c>
      <c r="E37" s="210">
        <f t="shared" si="2"/>
        <v>0</v>
      </c>
      <c r="F37" s="210">
        <f t="shared" si="13"/>
        <v>0</v>
      </c>
      <c r="G37" s="211">
        <f t="shared" si="11"/>
        <v>0</v>
      </c>
      <c r="H37" s="211">
        <f t="shared" si="12"/>
        <v>0</v>
      </c>
      <c r="I37" s="169"/>
    </row>
    <row r="38" spans="1:11">
      <c r="A38" s="68"/>
      <c r="D38" s="210">
        <f t="shared" si="1"/>
        <v>0</v>
      </c>
      <c r="E38" s="210">
        <f t="shared" si="2"/>
        <v>0</v>
      </c>
      <c r="F38" s="210">
        <f t="shared" si="13"/>
        <v>0</v>
      </c>
      <c r="G38" s="211">
        <f t="shared" si="11"/>
        <v>0</v>
      </c>
      <c r="H38" s="211">
        <f t="shared" si="12"/>
        <v>0</v>
      </c>
      <c r="I38" s="169"/>
    </row>
    <row r="39" spans="1:11">
      <c r="A39" s="68"/>
      <c r="D39" s="210">
        <f t="shared" si="1"/>
        <v>0</v>
      </c>
      <c r="E39" s="210">
        <f t="shared" si="2"/>
        <v>0</v>
      </c>
      <c r="F39" s="210">
        <f t="shared" si="13"/>
        <v>0</v>
      </c>
      <c r="G39" s="211">
        <f t="shared" si="11"/>
        <v>0</v>
      </c>
      <c r="H39" s="211">
        <f t="shared" si="12"/>
        <v>0</v>
      </c>
      <c r="I39" s="169"/>
    </row>
    <row r="40" spans="1:11">
      <c r="A40" s="68"/>
      <c r="D40" s="210">
        <f t="shared" si="1"/>
        <v>0</v>
      </c>
      <c r="E40" s="210">
        <f t="shared" si="2"/>
        <v>0</v>
      </c>
      <c r="F40" s="210">
        <f t="shared" si="13"/>
        <v>0</v>
      </c>
      <c r="G40" s="211">
        <f t="shared" si="11"/>
        <v>0</v>
      </c>
      <c r="H40" s="211">
        <f t="shared" si="12"/>
        <v>0</v>
      </c>
      <c r="I40" s="169"/>
    </row>
    <row r="41" spans="1:11">
      <c r="A41" s="68"/>
      <c r="D41" s="210">
        <f t="shared" si="1"/>
        <v>0</v>
      </c>
      <c r="E41" s="210">
        <f t="shared" si="2"/>
        <v>0</v>
      </c>
      <c r="F41" s="210">
        <f t="shared" si="13"/>
        <v>0</v>
      </c>
      <c r="G41" s="211">
        <f t="shared" si="11"/>
        <v>0</v>
      </c>
      <c r="H41" s="211">
        <f t="shared" si="12"/>
        <v>0</v>
      </c>
      <c r="I41" s="169"/>
    </row>
    <row r="42" spans="1:11">
      <c r="A42" s="68"/>
      <c r="D42" s="210">
        <f t="shared" si="1"/>
        <v>0</v>
      </c>
      <c r="E42" s="210">
        <f t="shared" si="2"/>
        <v>0</v>
      </c>
      <c r="F42" s="210">
        <f t="shared" si="13"/>
        <v>0</v>
      </c>
      <c r="G42" s="211">
        <f t="shared" si="11"/>
        <v>0</v>
      </c>
      <c r="H42" s="211">
        <f t="shared" si="12"/>
        <v>0</v>
      </c>
      <c r="I42" s="169"/>
    </row>
    <row r="43" spans="1:11">
      <c r="A43" s="68"/>
      <c r="D43" s="210">
        <f t="shared" si="1"/>
        <v>0</v>
      </c>
      <c r="E43" s="210">
        <f t="shared" si="2"/>
        <v>0</v>
      </c>
      <c r="F43" s="210">
        <f t="shared" si="13"/>
        <v>0</v>
      </c>
      <c r="G43" s="211">
        <f t="shared" si="11"/>
        <v>0</v>
      </c>
      <c r="H43" s="211">
        <f t="shared" si="12"/>
        <v>0</v>
      </c>
      <c r="I43" s="169"/>
    </row>
    <row r="44" spans="1:11">
      <c r="A44" s="68"/>
      <c r="D44" s="189"/>
    </row>
    <row r="45" spans="1:11">
      <c r="A45" s="68"/>
      <c r="D45" s="189"/>
    </row>
    <row r="46" spans="1:11">
      <c r="A46" s="68"/>
      <c r="D46" s="189"/>
    </row>
    <row r="47" spans="1:11">
      <c r="A47" s="68"/>
      <c r="D47" s="189"/>
    </row>
    <row r="48" spans="1:11">
      <c r="A48" s="68"/>
      <c r="D48" s="189"/>
    </row>
    <row r="49" spans="1:4">
      <c r="A49" s="68"/>
      <c r="D49" s="189"/>
    </row>
    <row r="50" spans="1:4">
      <c r="A50" s="68"/>
      <c r="D50" s="189"/>
    </row>
    <row r="51" spans="1:4">
      <c r="A51" s="68"/>
      <c r="D51" s="189"/>
    </row>
    <row r="52" spans="1:4">
      <c r="A52" s="68"/>
      <c r="D52" s="189"/>
    </row>
    <row r="53" spans="1:4">
      <c r="A53" s="68"/>
      <c r="D53" s="189"/>
    </row>
    <row r="54" spans="1:4">
      <c r="A54" s="68"/>
      <c r="D54" s="189"/>
    </row>
    <row r="55" spans="1:4">
      <c r="A55" s="68"/>
      <c r="D55" s="189"/>
    </row>
    <row r="56" spans="1:4">
      <c r="A56" s="68"/>
      <c r="D56" s="189"/>
    </row>
    <row r="57" spans="1:4">
      <c r="A57" s="68"/>
      <c r="D57" s="189"/>
    </row>
    <row r="58" spans="1:4">
      <c r="A58" s="68"/>
      <c r="D58" s="189"/>
    </row>
    <row r="59" spans="1:4">
      <c r="A59" s="68"/>
      <c r="C59" s="23"/>
      <c r="D59" s="189"/>
    </row>
    <row r="60" spans="1:4">
      <c r="A60" s="68"/>
      <c r="C60" s="23"/>
      <c r="D60" s="189"/>
    </row>
    <row r="61" spans="1:4">
      <c r="A61" s="68"/>
      <c r="C61" s="23"/>
      <c r="D61" s="189"/>
    </row>
    <row r="62" spans="1:4">
      <c r="C62" s="23"/>
      <c r="D62" s="189"/>
    </row>
    <row r="63" spans="1:4">
      <c r="C63" s="23"/>
      <c r="D63" s="189"/>
    </row>
    <row r="64" spans="1:4">
      <c r="D64" s="189">
        <f>+E64*1.1</f>
        <v>0</v>
      </c>
    </row>
  </sheetData>
  <sortState ref="A5:B47">
    <sortCondition ref="B5:B47"/>
  </sortState>
  <mergeCells count="2">
    <mergeCell ref="D3:F3"/>
    <mergeCell ref="H3:I3"/>
  </mergeCells>
  <pageMargins left="0" right="0" top="0" bottom="0" header="0" footer="0"/>
  <pageSetup scale="6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B0F0"/>
  </sheetPr>
  <dimension ref="A1:BA1048576"/>
  <sheetViews>
    <sheetView showGridLines="0" topLeftCell="B1" zoomScaleNormal="100" zoomScaleSheetLayoutView="100" workbookViewId="0">
      <pane xSplit="7" ySplit="6" topLeftCell="I29" activePane="bottomRight" state="frozen"/>
      <selection activeCell="B1" sqref="B1"/>
      <selection pane="topRight" activeCell="I1" sqref="I1"/>
      <selection pane="bottomLeft" activeCell="B7" sqref="B7"/>
      <selection pane="bottomRight" activeCell="K81" sqref="K41:K81"/>
    </sheetView>
  </sheetViews>
  <sheetFormatPr baseColWidth="10" defaultRowHeight="15"/>
  <cols>
    <col min="1" max="1" width="8.7109375" hidden="1" customWidth="1"/>
    <col min="2" max="2" width="5.7109375" customWidth="1"/>
    <col min="3" max="3" width="12.7109375" customWidth="1"/>
    <col min="4" max="5" width="2.7109375" hidden="1" customWidth="1"/>
    <col min="6" max="7" width="13.7109375" customWidth="1"/>
    <col min="8" max="9" width="50.7109375" customWidth="1"/>
    <col min="10" max="10" width="11.7109375" customWidth="1"/>
    <col min="11" max="11" width="15.7109375" customWidth="1"/>
    <col min="12" max="12" width="24.5703125" bestFit="1" customWidth="1"/>
    <col min="13" max="13" width="15.7109375" customWidth="1"/>
    <col min="14" max="14" width="18.7109375" bestFit="1" customWidth="1"/>
    <col min="15" max="15" width="19.7109375" bestFit="1" customWidth="1"/>
    <col min="16" max="16" width="6.85546875" bestFit="1" customWidth="1"/>
    <col min="17" max="17" width="12.7109375" bestFit="1" customWidth="1"/>
    <col min="19" max="19" width="4" bestFit="1" customWidth="1"/>
    <col min="22" max="22" width="16" bestFit="1" customWidth="1"/>
    <col min="25" max="26" width="11.42578125" style="86"/>
    <col min="27" max="28" width="13.7109375" customWidth="1"/>
    <col min="29" max="30" width="50.7109375" customWidth="1"/>
    <col min="31" max="31" width="11.7109375" customWidth="1"/>
    <col min="32" max="32" width="15.7109375" customWidth="1"/>
  </cols>
  <sheetData>
    <row r="1" spans="1:53" ht="80.099999999999994" customHeight="1">
      <c r="F1" s="49"/>
      <c r="G1" s="49"/>
      <c r="H1" s="49"/>
      <c r="I1" s="49"/>
      <c r="J1" s="49"/>
      <c r="K1" s="49"/>
      <c r="L1" s="54"/>
      <c r="M1" s="51"/>
      <c r="N1" s="52"/>
      <c r="O1" s="53"/>
      <c r="AZ1">
        <v>6</v>
      </c>
      <c r="BA1">
        <v>59</v>
      </c>
    </row>
    <row r="2" spans="1:53" ht="24.95" customHeight="1">
      <c r="F2" s="65" t="s">
        <v>415</v>
      </c>
      <c r="G2" s="65"/>
      <c r="H2" s="65"/>
      <c r="I2" s="65"/>
      <c r="J2" s="65"/>
      <c r="K2" s="65"/>
      <c r="L2" s="65"/>
      <c r="M2" s="65"/>
      <c r="N2" s="65"/>
      <c r="O2" s="65"/>
    </row>
    <row r="3" spans="1:53" ht="25.15" customHeight="1">
      <c r="F3" s="6"/>
      <c r="G3" s="6"/>
      <c r="H3" s="33"/>
      <c r="I3" s="33"/>
      <c r="K3" s="1"/>
      <c r="L3" s="2"/>
      <c r="M3" s="5"/>
      <c r="N3" s="5"/>
      <c r="O3" s="5"/>
    </row>
    <row r="4" spans="1:53" ht="21.75" customHeight="1">
      <c r="F4" s="27" t="s">
        <v>457</v>
      </c>
      <c r="G4" s="213">
        <v>44593</v>
      </c>
      <c r="I4" s="277"/>
      <c r="K4" s="267" t="s">
        <v>1068</v>
      </c>
      <c r="L4" s="266">
        <f>L251</f>
        <v>3571.9999999999995</v>
      </c>
      <c r="M4" s="272"/>
      <c r="N4" s="4"/>
      <c r="O4" s="4"/>
      <c r="Q4" s="227">
        <f ca="1">NOW()</f>
        <v>44798.615374421293</v>
      </c>
      <c r="R4" s="68" t="str">
        <f ca="1">CONCATENATE(IF(LEN(DAY(Q4))=1,CONCATENATE("0",DAY(Q4)),DAY(Q4)),"-",IF(LEN(MONTH(Q4))=1,CONCATENATE("0",MONTH(Q4)),MONTH(Q4)),"-",YEAR(Q4))</f>
        <v>25-08-2022</v>
      </c>
      <c r="T4" s="68" t="str">
        <f ca="1">CONCATENATE(VLOOKUP(MONTH(G4),AK7:AL19,2,FALSE),"-",YEAR(NOW()))</f>
        <v>FEB-2022</v>
      </c>
    </row>
    <row r="5" spans="1:53">
      <c r="B5" s="87"/>
      <c r="F5" s="86"/>
      <c r="G5" s="86"/>
      <c r="H5" s="86"/>
      <c r="L5" s="89"/>
      <c r="P5" s="69">
        <f>250-COUNTBLANK(F7:F250)</f>
        <v>80</v>
      </c>
    </row>
    <row r="6" spans="1:53" s="31" customFormat="1" ht="30">
      <c r="B6" s="32" t="s">
        <v>414</v>
      </c>
      <c r="C6" s="32" t="s">
        <v>419</v>
      </c>
      <c r="F6" s="32" t="s">
        <v>454</v>
      </c>
      <c r="G6" s="32" t="s">
        <v>455</v>
      </c>
      <c r="H6" s="32" t="s">
        <v>452</v>
      </c>
      <c r="I6" s="32" t="s">
        <v>456</v>
      </c>
      <c r="J6" s="32" t="s">
        <v>446</v>
      </c>
      <c r="K6" s="32" t="s">
        <v>930</v>
      </c>
      <c r="L6" s="32" t="s">
        <v>937</v>
      </c>
      <c r="M6" s="32" t="s">
        <v>721</v>
      </c>
      <c r="N6" s="32" t="s">
        <v>938</v>
      </c>
      <c r="O6" s="32" t="s">
        <v>939</v>
      </c>
      <c r="P6" s="72"/>
      <c r="R6" s="214" t="s">
        <v>421</v>
      </c>
      <c r="U6" s="214" t="s">
        <v>954</v>
      </c>
      <c r="V6" s="214" t="s">
        <v>955</v>
      </c>
      <c r="Y6" s="226" t="s">
        <v>414</v>
      </c>
      <c r="Z6" s="226" t="s">
        <v>419</v>
      </c>
      <c r="AA6" s="226" t="s">
        <v>454</v>
      </c>
      <c r="AB6" s="226" t="s">
        <v>455</v>
      </c>
      <c r="AC6" s="226" t="s">
        <v>452</v>
      </c>
      <c r="AD6" s="226" t="s">
        <v>456</v>
      </c>
      <c r="AE6" s="226" t="s">
        <v>446</v>
      </c>
      <c r="AF6" s="226" t="s">
        <v>930</v>
      </c>
      <c r="AG6" s="226" t="s">
        <v>721</v>
      </c>
    </row>
    <row r="7" spans="1:53">
      <c r="A7" s="18" t="str">
        <f t="shared" ref="A7:A73" si="0">CONCATENATE(E7,F7)</f>
        <v>1SFC-0222-001</v>
      </c>
      <c r="B7" s="219" t="s">
        <v>945</v>
      </c>
      <c r="C7" s="58" t="s">
        <v>964</v>
      </c>
      <c r="D7" s="44">
        <f t="shared" ref="D7" si="1">IF(OR(H7="",AND(H7=H6,G7=G6)),D6,D6+1)</f>
        <v>1</v>
      </c>
      <c r="E7" s="59">
        <f t="shared" ref="E7" si="2">IF(F7="","",IF(OR(F7=0,F7=F6),E6+1,1))</f>
        <v>1</v>
      </c>
      <c r="F7" s="90" t="str">
        <f t="shared" ref="F7" si="3">IF(G7="","",CONCATENATE("SFC-",IF(LEN(MONTH($G$4))=1,CONCATENATE("0",MONTH($G$4)),MONTH($G$4)),RIGHT(YEAR($G$4),2),"-",S7))</f>
        <v>SFC-0222-001</v>
      </c>
      <c r="G7" s="190">
        <v>44595</v>
      </c>
      <c r="H7" s="191" t="s">
        <v>1207</v>
      </c>
      <c r="I7" s="203" t="s">
        <v>1021</v>
      </c>
      <c r="J7" s="42">
        <v>4</v>
      </c>
      <c r="K7" s="39">
        <f>IF(I7="",0,VLOOKUP(I7,'[4]LISTA DE PRECIOS'!A:F,IF(R7="CORO",4,5),FALSE))</f>
        <v>5.6</v>
      </c>
      <c r="L7" s="206">
        <f>ROUND(K7*J7,2)</f>
        <v>22.4</v>
      </c>
      <c r="M7" s="217">
        <f>IF(F7="",0,IF(SUMIF('REPORTE GASTOS'!$C$6:$C$210,F7,'REPORTE GASTOS'!$G$6:$G$210)=0,'LISTA DE PRECIOS'!$H$3,SUMIF('REPORTE GASTOS'!$C$6:$C$210,F7,'REPORTE GASTOS'!$I$6:$I$210)/SUMIF('REPORTE GASTOS'!$C$6:$C$210,F7,'REPORTE GASTOS'!$G$6:$G$210)))</f>
        <v>4.6000000000000005</v>
      </c>
      <c r="N7" s="12">
        <f t="shared" ref="N7:N28" si="4">M7*K7</f>
        <v>25.76</v>
      </c>
      <c r="O7" s="43">
        <f t="shared" ref="O7:O28" si="5">N7*J7</f>
        <v>103.04</v>
      </c>
      <c r="P7" s="70"/>
      <c r="R7" s="68" t="str">
        <f>IF(H7="","",VLOOKUP(H7,'DATOS CLIENTES'!B:F,5,FALSE))</f>
        <v>CORO</v>
      </c>
      <c r="S7" s="68" t="str">
        <f>IF(B7="CHS",S6,IF(D7=D6,S6,IF(S6+1-1&lt;9,CONCATENATE("00",S6+1),IF(S6+1-1&lt;99,CONCATENATE("0",S6+1),S6+1))))</f>
        <v>001</v>
      </c>
      <c r="U7" s="69">
        <f t="shared" ref="U7:U70" si="6">IF(R7="PUNTO FIJO",0,SUMIF($F$7:$F$250,F7,$L$7:$L$250))</f>
        <v>24.56</v>
      </c>
      <c r="V7" s="69">
        <f t="shared" ref="V7:V70" si="7">IF(R7="PUNTO FIJO",0,SUMIF($F$7:$F$250,F7,$O$7:$O$250))</f>
        <v>112.97600000000001</v>
      </c>
      <c r="X7" s="68">
        <f>IF(Y7="",X6,X6+1)</f>
        <v>1</v>
      </c>
      <c r="Y7" s="68" t="str">
        <f>IF(AND($R7&lt;&gt;"PUNTO FIJO",$R7&lt;&gt;""),B7,"")</f>
        <v>SFACT</v>
      </c>
      <c r="Z7" s="68" t="str">
        <f>IF(AND($R7&lt;&gt;"PUNTO FIJO",$R7&lt;&gt;""),C7,"")</f>
        <v>FREDDY R. CH</v>
      </c>
      <c r="AA7" s="68" t="str">
        <f t="shared" ref="AA7:AF7" si="8">IF(AND($R7&lt;&gt;"PUNTO FIJO",$R7&lt;&gt;""),F7,"")</f>
        <v>SFC-0222-001</v>
      </c>
      <c r="AB7" s="227">
        <f t="shared" si="8"/>
        <v>44595</v>
      </c>
      <c r="AC7" s="68" t="str">
        <f t="shared" si="8"/>
        <v>JAVI FONSECA</v>
      </c>
      <c r="AD7" s="68" t="str">
        <f t="shared" si="8"/>
        <v>CHS - ESTUCO GRIS - SACO 12KG</v>
      </c>
      <c r="AE7" s="68">
        <f t="shared" si="8"/>
        <v>4</v>
      </c>
      <c r="AF7" s="68">
        <f t="shared" si="8"/>
        <v>5.6</v>
      </c>
      <c r="AG7" s="68">
        <f>IF(AND($R7&lt;&gt;"PUNTO FIJO",$R7&lt;&gt;""),M7,"")</f>
        <v>4.6000000000000005</v>
      </c>
      <c r="AK7" s="68">
        <v>1</v>
      </c>
      <c r="AL7" s="68" t="s">
        <v>965</v>
      </c>
    </row>
    <row r="8" spans="1:53">
      <c r="A8" s="18" t="str">
        <f t="shared" si="0"/>
        <v>2SFC-0222-001</v>
      </c>
      <c r="B8" s="219" t="s">
        <v>945</v>
      </c>
      <c r="C8" s="58" t="s">
        <v>964</v>
      </c>
      <c r="D8" s="44">
        <f t="shared" ref="D8" si="9">IF(OR(H8="",AND(H8=H7,G8=G7)),D7,D7+1)</f>
        <v>1</v>
      </c>
      <c r="E8" s="59">
        <f t="shared" ref="E8" si="10">IF(F8="","",IF(OR(F8=0,F8=F7),E7+1,1))</f>
        <v>2</v>
      </c>
      <c r="F8" s="90" t="str">
        <f t="shared" ref="F8" si="11">IF(G8="","",CONCATENATE("SFC-",IF(LEN(MONTH($G$4))=1,CONCATENATE("0",MONTH($G$4)),MONTH($G$4)),RIGHT(YEAR($G$4),2),"-",S8))</f>
        <v>SFC-0222-001</v>
      </c>
      <c r="G8" s="190">
        <v>44595</v>
      </c>
      <c r="H8" s="191" t="s">
        <v>1207</v>
      </c>
      <c r="I8" s="191" t="s">
        <v>515</v>
      </c>
      <c r="J8" s="204">
        <v>1</v>
      </c>
      <c r="K8" s="39">
        <f>IF(I8="",0,VLOOKUP(I8,'LISTA DE PRECIOS'!A:F,IF(R8="CORO",4,5),FALSE))</f>
        <v>2.16</v>
      </c>
      <c r="L8" s="206">
        <f t="shared" ref="L8:L71" si="12">ROUND(K8*J8,2)</f>
        <v>2.16</v>
      </c>
      <c r="M8" s="217">
        <f>IF(F8="",0,IF(SUMIF('REPORTE GASTOS'!$C$6:$C$210,F8,'REPORTE GASTOS'!$G$6:$G$210)=0,'LISTA DE PRECIOS'!$H$3,SUMIF('REPORTE GASTOS'!$C$6:$C$210,F8,'REPORTE GASTOS'!$I$6:$I$210)/SUMIF('REPORTE GASTOS'!$C$6:$C$210,F8,'REPORTE GASTOS'!$G$6:$G$210)))</f>
        <v>4.6000000000000005</v>
      </c>
      <c r="N8" s="12">
        <f t="shared" si="4"/>
        <v>9.9360000000000017</v>
      </c>
      <c r="O8" s="43">
        <f t="shared" si="5"/>
        <v>9.9360000000000017</v>
      </c>
      <c r="P8" s="70"/>
      <c r="R8" s="68" t="str">
        <f>IF(H8="","",VLOOKUP(H8,'DATOS CLIENTES'!B:F,5,FALSE))</f>
        <v>CORO</v>
      </c>
      <c r="S8" s="68" t="str">
        <f t="shared" ref="S8:S72" si="13">IF(B8="CHS",S7,IF(D8=D7,S7,IF(S7+1-1&lt;9,CONCATENATE("00",S7+1),IF(S7+1-1&lt;99,CONCATENATE("0",S7+1),S7+1))))</f>
        <v>001</v>
      </c>
      <c r="U8" s="69">
        <f t="shared" si="6"/>
        <v>24.56</v>
      </c>
      <c r="V8" s="69">
        <f t="shared" si="7"/>
        <v>112.97600000000001</v>
      </c>
      <c r="X8" s="68">
        <f t="shared" ref="X8:X71" si="14">IF(Y8="",X7,X7+1)</f>
        <v>2</v>
      </c>
      <c r="Y8" s="68" t="str">
        <f t="shared" ref="Y8:Y72" si="15">IF(AND($R8&lt;&gt;"PUNTO FIJO",$R8&lt;&gt;""),B8,"")</f>
        <v>SFACT</v>
      </c>
      <c r="Z8" s="68" t="str">
        <f t="shared" ref="Z8:Z72" si="16">IF(AND($R8&lt;&gt;"PUNTO FIJO",$R8&lt;&gt;""),C8,"")</f>
        <v>FREDDY R. CH</v>
      </c>
      <c r="AA8" s="68" t="str">
        <f t="shared" ref="AA8:AA72" si="17">IF(AND($R8&lt;&gt;"PUNTO FIJO",$R8&lt;&gt;""),F8,"")</f>
        <v>SFC-0222-001</v>
      </c>
      <c r="AB8" s="227">
        <f t="shared" ref="AB8:AB72" si="18">IF(AND($R8&lt;&gt;"PUNTO FIJO",$R8&lt;&gt;""),G8,"")</f>
        <v>44595</v>
      </c>
      <c r="AC8" s="68" t="str">
        <f t="shared" ref="AC8:AC72" si="19">IF(AND($R8&lt;&gt;"PUNTO FIJO",$R8&lt;&gt;""),H8,"")</f>
        <v>JAVI FONSECA</v>
      </c>
      <c r="AD8" s="68" t="str">
        <f t="shared" ref="AD8:AD72" si="20">IF(AND($R8&lt;&gt;"PUNTO FIJO",$R8&lt;&gt;""),I8,"")</f>
        <v>CHS - PASTA EN POLVO PLUS - SACO 3KG</v>
      </c>
      <c r="AE8" s="68">
        <f t="shared" ref="AE8:AE72" si="21">IF(AND($R8&lt;&gt;"PUNTO FIJO",$R8&lt;&gt;""),J8,"")</f>
        <v>1</v>
      </c>
      <c r="AF8" s="68">
        <f t="shared" ref="AF8:AF72" si="22">IF(AND($R8&lt;&gt;"PUNTO FIJO",$R8&lt;&gt;""),K8,"")</f>
        <v>2.16</v>
      </c>
      <c r="AG8" s="68">
        <f t="shared" ref="AG8:AG72" si="23">IF(AND($R8&lt;&gt;"PUNTO FIJO",$R8&lt;&gt;""),M8,"")</f>
        <v>4.6000000000000005</v>
      </c>
      <c r="AK8" s="68">
        <v>2</v>
      </c>
      <c r="AL8" s="68" t="s">
        <v>966</v>
      </c>
    </row>
    <row r="9" spans="1:53">
      <c r="A9" s="18" t="str">
        <f t="shared" si="0"/>
        <v>1SFC-0222-002</v>
      </c>
      <c r="B9" s="219" t="s">
        <v>945</v>
      </c>
      <c r="C9" s="58" t="s">
        <v>964</v>
      </c>
      <c r="D9" s="44">
        <f t="shared" ref="D9" si="24">IF(OR(H9="",AND(H9=H8,G9=G8)),D8,D8+1)</f>
        <v>2</v>
      </c>
      <c r="E9" s="59">
        <f t="shared" ref="E9" si="25">IF(F9="","",IF(OR(F9=0,F9=F8),E8+1,1))</f>
        <v>1</v>
      </c>
      <c r="F9" s="90" t="str">
        <f t="shared" ref="F9" si="26">IF(G9="","",CONCATENATE("SFC-",IF(LEN(MONTH($G$4))=1,CONCATENATE("0",MONTH($G$4)),MONTH($G$4)),RIGHT(YEAR($G$4),2),"-",S9))</f>
        <v>SFC-0222-002</v>
      </c>
      <c r="G9" s="190">
        <v>44596</v>
      </c>
      <c r="H9" s="191" t="s">
        <v>1198</v>
      </c>
      <c r="I9" s="203" t="s">
        <v>76</v>
      </c>
      <c r="J9" s="42">
        <v>4</v>
      </c>
      <c r="K9" s="39">
        <f>IF(I9="",0,VLOOKUP(I9,'LISTA DE PRECIOS'!A:F,IF(R9="CORO",4,5),FALSE))</f>
        <v>1.1200000000000001</v>
      </c>
      <c r="L9" s="206">
        <f t="shared" si="12"/>
        <v>4.4800000000000004</v>
      </c>
      <c r="M9" s="217">
        <f>IF(F9="",0,IF(SUMIF('REPORTE GASTOS'!$C$6:$C$210,F9,'REPORTE GASTOS'!$G$6:$G$210)=0,'LISTA DE PRECIOS'!$H$3,SUMIF('REPORTE GASTOS'!$C$6:$C$210,F9,'REPORTE GASTOS'!$I$6:$I$210)/SUMIF('REPORTE GASTOS'!$C$6:$C$210,F9,'REPORTE GASTOS'!$G$6:$G$210)))</f>
        <v>4.5999999999999996</v>
      </c>
      <c r="N9" s="12">
        <f t="shared" ref="N9" si="27">M9*K9</f>
        <v>5.1520000000000001</v>
      </c>
      <c r="O9" s="43">
        <f t="shared" ref="O9" si="28">N9*J9</f>
        <v>20.608000000000001</v>
      </c>
      <c r="P9" s="70"/>
      <c r="R9" s="68" t="str">
        <f>IF(H9="","",VLOOKUP(H9,'DATOS CLIENTES'!B:F,5,FALSE))</f>
        <v>CORO</v>
      </c>
      <c r="S9" s="68" t="str">
        <f t="shared" si="13"/>
        <v>002</v>
      </c>
      <c r="U9" s="69">
        <f t="shared" si="6"/>
        <v>4.4800000000000004</v>
      </c>
      <c r="V9" s="69">
        <f t="shared" si="7"/>
        <v>20.608000000000001</v>
      </c>
      <c r="X9" s="68">
        <f t="shared" si="14"/>
        <v>3</v>
      </c>
      <c r="Y9" s="68" t="str">
        <f t="shared" si="15"/>
        <v>SFACT</v>
      </c>
      <c r="Z9" s="68" t="str">
        <f t="shared" si="16"/>
        <v>FREDDY R. CH</v>
      </c>
      <c r="AA9" s="68" t="str">
        <f t="shared" si="17"/>
        <v>SFC-0222-002</v>
      </c>
      <c r="AB9" s="227">
        <f t="shared" si="18"/>
        <v>44596</v>
      </c>
      <c r="AC9" s="68" t="str">
        <f t="shared" si="19"/>
        <v>ANIEL CALDERON</v>
      </c>
      <c r="AD9" s="68" t="str">
        <f t="shared" si="20"/>
        <v>MACROFIBRA TEREFTALATO DE DIMETILO (100 GR)</v>
      </c>
      <c r="AE9" s="68">
        <f t="shared" si="21"/>
        <v>4</v>
      </c>
      <c r="AF9" s="68">
        <f t="shared" si="22"/>
        <v>1.1200000000000001</v>
      </c>
      <c r="AG9" s="68">
        <f t="shared" si="23"/>
        <v>4.5999999999999996</v>
      </c>
      <c r="AK9" s="68">
        <v>3</v>
      </c>
      <c r="AL9" s="68" t="s">
        <v>967</v>
      </c>
    </row>
    <row r="10" spans="1:53" s="86" customFormat="1">
      <c r="A10" s="18" t="str">
        <f t="shared" si="0"/>
        <v>1SFC-0222-003</v>
      </c>
      <c r="B10" s="219" t="s">
        <v>945</v>
      </c>
      <c r="C10" s="58" t="s">
        <v>964</v>
      </c>
      <c r="D10" s="44">
        <f t="shared" ref="D10:D27" si="29">IF(OR(H10="",AND(H10=H9,G10=G9)),D9,D9+1)</f>
        <v>3</v>
      </c>
      <c r="E10" s="59">
        <f t="shared" ref="E10:E27" si="30">IF(F10="","",IF(OR(F10=0,F10=F9),E9+1,1))</f>
        <v>1</v>
      </c>
      <c r="F10" s="90" t="str">
        <f t="shared" ref="F10:F27" si="31">IF(G10="","",CONCATENATE("SFC-",IF(LEN(MONTH($G$4))=1,CONCATENATE("0",MONTH($G$4)),MONTH($G$4)),RIGHT(YEAR($G$4),2),"-",S10))</f>
        <v>SFC-0222-003</v>
      </c>
      <c r="G10" s="190">
        <v>44596</v>
      </c>
      <c r="H10" s="191" t="s">
        <v>865</v>
      </c>
      <c r="I10" s="203" t="s">
        <v>862</v>
      </c>
      <c r="J10" s="42">
        <v>20</v>
      </c>
      <c r="K10" s="39">
        <f>IF(I10="",0,VLOOKUP(I10,'LISTA DE PRECIOS'!A:F,IF(R10="CORO",4,5),FALSE))</f>
        <v>5</v>
      </c>
      <c r="L10" s="206">
        <f t="shared" si="12"/>
        <v>100</v>
      </c>
      <c r="M10" s="217">
        <f>IF(F10="",0,IF(SUMIF('REPORTE GASTOS'!$C$6:$C$210,F10,'REPORTE GASTOS'!$G$6:$G$210)=0,'LISTA DE PRECIOS'!$H$3,SUMIF('REPORTE GASTOS'!$C$6:$C$210,F10,'REPORTE GASTOS'!$I$6:$I$210)/SUMIF('REPORTE GASTOS'!$C$6:$C$210,F10,'REPORTE GASTOS'!$G$6:$G$210)))</f>
        <v>4.5999999999999996</v>
      </c>
      <c r="N10" s="12">
        <f t="shared" si="4"/>
        <v>23</v>
      </c>
      <c r="O10" s="43">
        <f t="shared" si="5"/>
        <v>460</v>
      </c>
      <c r="P10" s="70"/>
      <c r="R10" s="68" t="str">
        <f>IF(H10="","",VLOOKUP(H10,'DATOS CLIENTES'!B:F,5,FALSE))</f>
        <v>CORO</v>
      </c>
      <c r="S10" s="68" t="str">
        <f t="shared" si="13"/>
        <v>003</v>
      </c>
      <c r="U10" s="69">
        <f t="shared" si="6"/>
        <v>156</v>
      </c>
      <c r="V10" s="69">
        <f t="shared" si="7"/>
        <v>717.59999999999991</v>
      </c>
      <c r="X10" s="68">
        <f t="shared" si="14"/>
        <v>4</v>
      </c>
      <c r="Y10" s="68" t="str">
        <f t="shared" si="15"/>
        <v>SFACT</v>
      </c>
      <c r="Z10" s="68" t="str">
        <f t="shared" si="16"/>
        <v>FREDDY R. CH</v>
      </c>
      <c r="AA10" s="68" t="str">
        <f t="shared" si="17"/>
        <v>SFC-0222-003</v>
      </c>
      <c r="AB10" s="227">
        <f t="shared" si="18"/>
        <v>44596</v>
      </c>
      <c r="AC10" s="68" t="str">
        <f t="shared" si="19"/>
        <v>INVERSIONES Y SERVICIOS TOTALES, C.A.</v>
      </c>
      <c r="AD10" s="68" t="str">
        <f t="shared" si="20"/>
        <v>CHS - PASTA EN POLVO PLUS - SACO 8KG</v>
      </c>
      <c r="AE10" s="68">
        <f t="shared" si="21"/>
        <v>20</v>
      </c>
      <c r="AF10" s="68">
        <f t="shared" si="22"/>
        <v>5</v>
      </c>
      <c r="AG10" s="68">
        <f t="shared" si="23"/>
        <v>4.5999999999999996</v>
      </c>
      <c r="AK10" s="68">
        <v>4</v>
      </c>
      <c r="AL10" s="68" t="s">
        <v>968</v>
      </c>
    </row>
    <row r="11" spans="1:53">
      <c r="A11" s="18" t="str">
        <f t="shared" si="0"/>
        <v>2SFC-0222-003</v>
      </c>
      <c r="B11" s="219" t="s">
        <v>945</v>
      </c>
      <c r="C11" s="58" t="s">
        <v>964</v>
      </c>
      <c r="D11" s="44">
        <f t="shared" ref="D11" si="32">IF(OR(H11="",AND(H11=H10,G11=G10)),D10,D10+1)</f>
        <v>3</v>
      </c>
      <c r="E11" s="59">
        <f t="shared" ref="E11" si="33">IF(F11="","",IF(OR(F11=0,F11=F10),E10+1,1))</f>
        <v>2</v>
      </c>
      <c r="F11" s="90" t="str">
        <f t="shared" ref="F11" si="34">IF(G11="","",CONCATENATE("SFC-",IF(LEN(MONTH($G$4))=1,CONCATENATE("0",MONTH($G$4)),MONTH($G$4)),RIGHT(YEAR($G$4),2),"-",S11))</f>
        <v>SFC-0222-003</v>
      </c>
      <c r="G11" s="190">
        <v>44596</v>
      </c>
      <c r="H11" s="191" t="s">
        <v>865</v>
      </c>
      <c r="I11" s="203" t="s">
        <v>1021</v>
      </c>
      <c r="J11" s="42">
        <v>10</v>
      </c>
      <c r="K11" s="39">
        <f>IF(I11="",0,VLOOKUP(I11,'LISTA DE PRECIOS'!A:F,IF(R11="CORO",4,5),FALSE))</f>
        <v>5.6</v>
      </c>
      <c r="L11" s="206">
        <f t="shared" si="12"/>
        <v>56</v>
      </c>
      <c r="M11" s="217">
        <f>IF(F11="",0,IF(SUMIF('REPORTE GASTOS'!$C$6:$C$210,F11,'REPORTE GASTOS'!$G$6:$G$210)=0,'LISTA DE PRECIOS'!$H$3,SUMIF('REPORTE GASTOS'!$C$6:$C$210,F11,'REPORTE GASTOS'!$I$6:$I$210)/SUMIF('REPORTE GASTOS'!$C$6:$C$210,F11,'REPORTE GASTOS'!$G$6:$G$210)))</f>
        <v>4.5999999999999996</v>
      </c>
      <c r="N11" s="12">
        <f t="shared" si="4"/>
        <v>25.759999999999998</v>
      </c>
      <c r="O11" s="43">
        <f t="shared" si="5"/>
        <v>257.59999999999997</v>
      </c>
      <c r="P11" s="70"/>
      <c r="R11" s="68" t="str">
        <f>IF(H11="","",VLOOKUP(H11,'DATOS CLIENTES'!B:F,5,FALSE))</f>
        <v>CORO</v>
      </c>
      <c r="S11" s="68" t="str">
        <f t="shared" si="13"/>
        <v>003</v>
      </c>
      <c r="U11" s="69">
        <f t="shared" si="6"/>
        <v>156</v>
      </c>
      <c r="V11" s="69">
        <f t="shared" si="7"/>
        <v>717.59999999999991</v>
      </c>
      <c r="X11" s="68">
        <f t="shared" si="14"/>
        <v>5</v>
      </c>
      <c r="Y11" s="68" t="str">
        <f t="shared" si="15"/>
        <v>SFACT</v>
      </c>
      <c r="Z11" s="68" t="str">
        <f t="shared" si="16"/>
        <v>FREDDY R. CH</v>
      </c>
      <c r="AA11" s="68" t="str">
        <f t="shared" si="17"/>
        <v>SFC-0222-003</v>
      </c>
      <c r="AB11" s="227">
        <f t="shared" si="18"/>
        <v>44596</v>
      </c>
      <c r="AC11" s="68" t="str">
        <f t="shared" si="19"/>
        <v>INVERSIONES Y SERVICIOS TOTALES, C.A.</v>
      </c>
      <c r="AD11" s="68" t="str">
        <f t="shared" si="20"/>
        <v>CHS - ESTUCO GRIS - SACO 12KG</v>
      </c>
      <c r="AE11" s="68">
        <f t="shared" si="21"/>
        <v>10</v>
      </c>
      <c r="AF11" s="68">
        <f t="shared" si="22"/>
        <v>5.6</v>
      </c>
      <c r="AG11" s="68">
        <f t="shared" si="23"/>
        <v>4.5999999999999996</v>
      </c>
      <c r="AK11" s="68">
        <v>5</v>
      </c>
      <c r="AL11" s="68" t="s">
        <v>969</v>
      </c>
    </row>
    <row r="12" spans="1:53" s="86" customFormat="1">
      <c r="A12" s="18" t="str">
        <f>CONCATENATE(E12,F12)</f>
        <v>1SFC-0222-004</v>
      </c>
      <c r="B12" s="219" t="s">
        <v>945</v>
      </c>
      <c r="C12" s="58" t="s">
        <v>964</v>
      </c>
      <c r="D12" s="44">
        <f t="shared" ref="D12" si="35">IF(OR(H12="",AND(H12=H11,G12=G11)),D11,D11+1)</f>
        <v>4</v>
      </c>
      <c r="E12" s="59">
        <f t="shared" ref="E12" si="36">IF(F12="","",IF(OR(F12=0,F12=F11),E11+1,1))</f>
        <v>1</v>
      </c>
      <c r="F12" s="90" t="str">
        <f t="shared" ref="F12" si="37">IF(G12="","",CONCATENATE("SFC-",IF(LEN(MONTH($G$4))=1,CONCATENATE("0",MONTH($G$4)),MONTH($G$4)),RIGHT(YEAR($G$4),2),"-",S12))</f>
        <v>SFC-0222-004</v>
      </c>
      <c r="G12" s="190">
        <v>44597</v>
      </c>
      <c r="H12" s="191" t="s">
        <v>301</v>
      </c>
      <c r="I12" s="203" t="s">
        <v>76</v>
      </c>
      <c r="J12" s="42">
        <v>80</v>
      </c>
      <c r="K12" s="39">
        <f>IF(I12="",0,VLOOKUP(I12,'LISTA DE PRECIOS'!A:F,IF(R12="CORO",4,5),FALSE))</f>
        <v>1.1200000000000001</v>
      </c>
      <c r="L12" s="206">
        <f t="shared" si="12"/>
        <v>89.6</v>
      </c>
      <c r="M12" s="217">
        <f>IF(F12="",0,IF(SUMIF('REPORTE GASTOS'!$C$6:$C$210,F12,'REPORTE GASTOS'!$G$6:$G$210)=0,'LISTA DE PRECIOS'!$H$3,SUMIF('REPORTE GASTOS'!$C$6:$C$210,F12,'REPORTE GASTOS'!$I$6:$I$210)/SUMIF('REPORTE GASTOS'!$C$6:$C$210,F12,'REPORTE GASTOS'!$G$6:$G$210)))</f>
        <v>5.0999999999999996</v>
      </c>
      <c r="N12" s="12">
        <f t="shared" si="4"/>
        <v>5.7119999999999997</v>
      </c>
      <c r="O12" s="43">
        <f t="shared" si="5"/>
        <v>456.96</v>
      </c>
      <c r="P12" s="70"/>
      <c r="R12" s="68" t="str">
        <f>IF(H12="","",VLOOKUP(H12,'DATOS CLIENTES'!B:F,5,FALSE))</f>
        <v>CORO</v>
      </c>
      <c r="S12" s="68" t="str">
        <f t="shared" si="13"/>
        <v>004</v>
      </c>
      <c r="U12" s="69">
        <f t="shared" si="6"/>
        <v>95.199999999999989</v>
      </c>
      <c r="V12" s="69">
        <f t="shared" si="7"/>
        <v>485.52</v>
      </c>
      <c r="X12" s="68">
        <f t="shared" si="14"/>
        <v>6</v>
      </c>
      <c r="Y12" s="68" t="str">
        <f>IF(AND($R12&lt;&gt;"PUNTO FIJO",$R12&lt;&gt;""),B12,"")</f>
        <v>SFACT</v>
      </c>
      <c r="Z12" s="68" t="str">
        <f>IF(AND($R12&lt;&gt;"PUNTO FIJO",$R12&lt;&gt;""),C12,"")</f>
        <v>FREDDY R. CH</v>
      </c>
      <c r="AA12" s="68" t="str">
        <f t="shared" ref="AA12:AF12" si="38">IF(AND($R12&lt;&gt;"PUNTO FIJO",$R12&lt;&gt;""),F12,"")</f>
        <v>SFC-0222-004</v>
      </c>
      <c r="AB12" s="227">
        <f t="shared" si="38"/>
        <v>44597</v>
      </c>
      <c r="AC12" s="68" t="str">
        <f t="shared" si="38"/>
        <v>DISTRIBUIDORA DISMACONR, C.A.</v>
      </c>
      <c r="AD12" s="68" t="str">
        <f t="shared" si="38"/>
        <v>MACROFIBRA TEREFTALATO DE DIMETILO (100 GR)</v>
      </c>
      <c r="AE12" s="68">
        <f t="shared" si="38"/>
        <v>80</v>
      </c>
      <c r="AF12" s="68">
        <f t="shared" si="38"/>
        <v>1.1200000000000001</v>
      </c>
      <c r="AG12" s="68">
        <f>IF(AND($R12&lt;&gt;"PUNTO FIJO",$R12&lt;&gt;""),M12,"")</f>
        <v>5.0999999999999996</v>
      </c>
      <c r="AK12" s="68">
        <v>5</v>
      </c>
      <c r="AL12" s="68" t="s">
        <v>969</v>
      </c>
    </row>
    <row r="13" spans="1:53">
      <c r="A13" s="18" t="str">
        <f t="shared" si="0"/>
        <v>2SFC-0222-004</v>
      </c>
      <c r="B13" s="219" t="s">
        <v>945</v>
      </c>
      <c r="C13" s="58" t="s">
        <v>964</v>
      </c>
      <c r="D13" s="44">
        <f t="shared" ref="D13" si="39">IF(OR(H13="",AND(H13=H12,G13=G12)),D12,D12+1)</f>
        <v>4</v>
      </c>
      <c r="E13" s="59">
        <f t="shared" ref="E13" si="40">IF(F13="","",IF(OR(F13=0,F13=F12),E12+1,1))</f>
        <v>2</v>
      </c>
      <c r="F13" s="90" t="str">
        <f t="shared" ref="F13" si="41">IF(G13="","",CONCATENATE("SFC-",IF(LEN(MONTH($G$4))=1,CONCATENATE("0",MONTH($G$4)),MONTH($G$4)),RIGHT(YEAR($G$4),2),"-",S13))</f>
        <v>SFC-0222-004</v>
      </c>
      <c r="G13" s="190">
        <v>44597</v>
      </c>
      <c r="H13" s="191" t="s">
        <v>301</v>
      </c>
      <c r="I13" s="203" t="s">
        <v>1021</v>
      </c>
      <c r="J13" s="42">
        <v>1</v>
      </c>
      <c r="K13" s="39">
        <f>IF(I13="",0,VLOOKUP(I13,'LISTA DE PRECIOS'!A:F,IF(R13="CORO",4,5),FALSE))</f>
        <v>5.6</v>
      </c>
      <c r="L13" s="206">
        <f t="shared" si="12"/>
        <v>5.6</v>
      </c>
      <c r="M13" s="217">
        <f>IF(F13="",0,IF(SUMIF('REPORTE GASTOS'!$C$6:$C$210,F13,'REPORTE GASTOS'!$G$6:$G$210)=0,'LISTA DE PRECIOS'!$H$3,SUMIF('REPORTE GASTOS'!$C$6:$C$210,F13,'REPORTE GASTOS'!$I$6:$I$210)/SUMIF('REPORTE GASTOS'!$C$6:$C$210,F13,'REPORTE GASTOS'!$G$6:$G$210)))</f>
        <v>5.0999999999999996</v>
      </c>
      <c r="N13" s="12">
        <f t="shared" si="4"/>
        <v>28.559999999999995</v>
      </c>
      <c r="O13" s="43">
        <f t="shared" si="5"/>
        <v>28.559999999999995</v>
      </c>
      <c r="P13" s="70"/>
      <c r="R13" s="68" t="str">
        <f>IF(H13="","",VLOOKUP(H13,'DATOS CLIENTES'!B:F,5,FALSE))</f>
        <v>CORO</v>
      </c>
      <c r="S13" s="68" t="str">
        <f t="shared" si="13"/>
        <v>004</v>
      </c>
      <c r="U13" s="69">
        <f t="shared" si="6"/>
        <v>95.199999999999989</v>
      </c>
      <c r="V13" s="69">
        <f t="shared" si="7"/>
        <v>485.52</v>
      </c>
      <c r="X13" s="68">
        <f t="shared" si="14"/>
        <v>7</v>
      </c>
      <c r="Y13" s="68" t="str">
        <f t="shared" si="15"/>
        <v>SFACT</v>
      </c>
      <c r="Z13" s="68" t="str">
        <f t="shared" si="16"/>
        <v>FREDDY R. CH</v>
      </c>
      <c r="AA13" s="68" t="str">
        <f t="shared" si="17"/>
        <v>SFC-0222-004</v>
      </c>
      <c r="AB13" s="227">
        <f t="shared" si="18"/>
        <v>44597</v>
      </c>
      <c r="AC13" s="68" t="str">
        <f t="shared" si="19"/>
        <v>DISTRIBUIDORA DISMACONR, C.A.</v>
      </c>
      <c r="AD13" s="68" t="str">
        <f t="shared" si="20"/>
        <v>CHS - ESTUCO GRIS - SACO 12KG</v>
      </c>
      <c r="AE13" s="68">
        <f t="shared" si="21"/>
        <v>1</v>
      </c>
      <c r="AF13" s="68">
        <f t="shared" si="22"/>
        <v>5.6</v>
      </c>
      <c r="AG13" s="68">
        <f t="shared" si="23"/>
        <v>5.0999999999999996</v>
      </c>
      <c r="AK13" s="68">
        <v>6</v>
      </c>
      <c r="AL13" s="68" t="s">
        <v>970</v>
      </c>
    </row>
    <row r="14" spans="1:53">
      <c r="A14" s="18" t="str">
        <f t="shared" si="0"/>
        <v>1SFC-0222-005</v>
      </c>
      <c r="B14" s="219" t="s">
        <v>945</v>
      </c>
      <c r="C14" s="58" t="s">
        <v>964</v>
      </c>
      <c r="D14" s="44">
        <f t="shared" ref="D14" si="42">IF(OR(H14="",AND(H14=H13,G14=G13)),D13,D13+1)</f>
        <v>5</v>
      </c>
      <c r="E14" s="59">
        <f t="shared" ref="E14" si="43">IF(F14="","",IF(OR(F14=0,F14=F13),E13+1,1))</f>
        <v>1</v>
      </c>
      <c r="F14" s="90" t="str">
        <f t="shared" ref="F14" si="44">IF(G14="","",CONCATENATE("SFC-",IF(LEN(MONTH($G$4))=1,CONCATENATE("0",MONTH($G$4)),MONTH($G$4)),RIGHT(YEAR($G$4),2),"-",S14))</f>
        <v>SFC-0222-005</v>
      </c>
      <c r="G14" s="190">
        <v>44599</v>
      </c>
      <c r="H14" s="191" t="s">
        <v>1208</v>
      </c>
      <c r="I14" s="203" t="s">
        <v>1021</v>
      </c>
      <c r="J14" s="204">
        <v>10</v>
      </c>
      <c r="K14" s="39">
        <f>IF(I14="",0,VLOOKUP(I14,'LISTA DE PRECIOS'!A:F,IF(R14="CORO",4,5),FALSE))</f>
        <v>5.6</v>
      </c>
      <c r="L14" s="206">
        <f t="shared" si="12"/>
        <v>56</v>
      </c>
      <c r="M14" s="217">
        <f>IF(F14="",0,IF(SUMIF('REPORTE GASTOS'!$C$6:$C$210,F14,'REPORTE GASTOS'!$G$6:$G$210)=0,'LISTA DE PRECIOS'!$H$3,SUMIF('REPORTE GASTOS'!$C$6:$C$210,F14,'REPORTE GASTOS'!$I$6:$I$210)/SUMIF('REPORTE GASTOS'!$C$6:$C$210,F14,'REPORTE GASTOS'!$G$6:$G$210)))</f>
        <v>4.4804305283757335</v>
      </c>
      <c r="N14" s="12">
        <f t="shared" ref="N14:N17" si="45">M14*K14</f>
        <v>25.090410958904105</v>
      </c>
      <c r="O14" s="43">
        <f t="shared" ref="O14:O17" si="46">N14*J14</f>
        <v>250.90410958904104</v>
      </c>
      <c r="P14" s="70"/>
      <c r="R14" s="68" t="str">
        <f>IF(H14="","",VLOOKUP(H14,'DATOS CLIENTES'!B:F,5,FALSE))</f>
        <v>CORO</v>
      </c>
      <c r="S14" s="68" t="str">
        <f t="shared" si="13"/>
        <v>005</v>
      </c>
      <c r="U14" s="69">
        <f t="shared" si="6"/>
        <v>102.2</v>
      </c>
      <c r="V14" s="69">
        <f t="shared" si="7"/>
        <v>457.9</v>
      </c>
      <c r="X14" s="68">
        <f t="shared" si="14"/>
        <v>8</v>
      </c>
      <c r="Y14" s="68" t="str">
        <f t="shared" si="15"/>
        <v>SFACT</v>
      </c>
      <c r="Z14" s="68" t="str">
        <f t="shared" si="16"/>
        <v>FREDDY R. CH</v>
      </c>
      <c r="AA14" s="68" t="str">
        <f t="shared" si="17"/>
        <v>SFC-0222-005</v>
      </c>
      <c r="AB14" s="227">
        <f t="shared" si="18"/>
        <v>44599</v>
      </c>
      <c r="AC14" s="68" t="str">
        <f t="shared" si="19"/>
        <v>JAVI EFREN CHIRINOS</v>
      </c>
      <c r="AD14" s="68" t="str">
        <f t="shared" si="20"/>
        <v>CHS - ESTUCO GRIS - SACO 12KG</v>
      </c>
      <c r="AE14" s="68">
        <f t="shared" si="21"/>
        <v>10</v>
      </c>
      <c r="AF14" s="68">
        <f t="shared" si="22"/>
        <v>5.6</v>
      </c>
      <c r="AG14" s="68">
        <f t="shared" si="23"/>
        <v>4.4804305283757335</v>
      </c>
      <c r="AK14" s="68">
        <v>7</v>
      </c>
      <c r="AL14" s="68" t="s">
        <v>971</v>
      </c>
    </row>
    <row r="15" spans="1:53" s="86" customFormat="1">
      <c r="A15" s="18" t="str">
        <f>CONCATENATE(E15,F15)</f>
        <v>2SFC-0222-005</v>
      </c>
      <c r="B15" s="219" t="s">
        <v>945</v>
      </c>
      <c r="C15" s="58" t="s">
        <v>964</v>
      </c>
      <c r="D15" s="44">
        <f t="shared" ref="D15:D17" si="47">IF(OR(H15="",AND(H15=H14,G15=G14)),D14,D14+1)</f>
        <v>5</v>
      </c>
      <c r="E15" s="59">
        <f t="shared" ref="E15:E17" si="48">IF(F15="","",IF(OR(F15=0,F15=F14),E14+1,1))</f>
        <v>2</v>
      </c>
      <c r="F15" s="90" t="str">
        <f t="shared" ref="F15:F17" si="49">IF(G15="","",CONCATENATE("SFC-",IF(LEN(MONTH($G$4))=1,CONCATENATE("0",MONTH($G$4)),MONTH($G$4)),RIGHT(YEAR($G$4),2),"-",S15))</f>
        <v>SFC-0222-005</v>
      </c>
      <c r="G15" s="190">
        <v>44599</v>
      </c>
      <c r="H15" s="191" t="s">
        <v>1208</v>
      </c>
      <c r="I15" s="203" t="s">
        <v>524</v>
      </c>
      <c r="J15" s="42">
        <v>10</v>
      </c>
      <c r="K15" s="39">
        <f>IF(I15="",0,VLOOKUP(I15,'LISTA DE PRECIOS'!A:F,IF(R15="CORO",4,5),FALSE))</f>
        <v>1.1499999999999999</v>
      </c>
      <c r="L15" s="206">
        <f t="shared" si="12"/>
        <v>11.5</v>
      </c>
      <c r="M15" s="217">
        <f>IF(F15="",0,IF(SUMIF('REPORTE GASTOS'!$C$6:$C$210,F15,'REPORTE GASTOS'!$G$6:$G$210)=0,'LISTA DE PRECIOS'!$H$3,SUMIF('REPORTE GASTOS'!$C$6:$C$210,F15,'REPORTE GASTOS'!$I$6:$I$210)/SUMIF('REPORTE GASTOS'!$C$6:$C$210,F15,'REPORTE GASTOS'!$G$6:$G$210)))</f>
        <v>4.4804305283757335</v>
      </c>
      <c r="N15" s="12">
        <f t="shared" si="45"/>
        <v>5.1524951076320935</v>
      </c>
      <c r="O15" s="43">
        <f t="shared" si="46"/>
        <v>51.524951076320932</v>
      </c>
      <c r="P15" s="70"/>
      <c r="R15" s="68" t="str">
        <f>IF(H15="","",VLOOKUP(H15,'DATOS CLIENTES'!B:F,5,FALSE))</f>
        <v>CORO</v>
      </c>
      <c r="S15" s="68" t="str">
        <f t="shared" si="13"/>
        <v>005</v>
      </c>
      <c r="U15" s="69">
        <f t="shared" si="6"/>
        <v>102.2</v>
      </c>
      <c r="V15" s="69">
        <f t="shared" si="7"/>
        <v>457.9</v>
      </c>
      <c r="X15" s="68">
        <f t="shared" si="14"/>
        <v>9</v>
      </c>
      <c r="Y15" s="68" t="str">
        <f t="shared" si="15"/>
        <v>SFACT</v>
      </c>
      <c r="Z15" s="68" t="str">
        <f t="shared" si="16"/>
        <v>FREDDY R. CH</v>
      </c>
      <c r="AA15" s="68" t="str">
        <f t="shared" si="17"/>
        <v>SFC-0222-005</v>
      </c>
      <c r="AB15" s="227">
        <f t="shared" si="18"/>
        <v>44599</v>
      </c>
      <c r="AC15" s="68" t="str">
        <f t="shared" si="19"/>
        <v>JAVI EFREN CHIRINOS</v>
      </c>
      <c r="AD15" s="68" t="str">
        <f t="shared" si="20"/>
        <v>CHS - CEMENTO BLANCO - SACO 1 KG</v>
      </c>
      <c r="AE15" s="68">
        <f t="shared" si="21"/>
        <v>10</v>
      </c>
      <c r="AF15" s="68">
        <f t="shared" si="22"/>
        <v>1.1499999999999999</v>
      </c>
      <c r="AG15" s="68">
        <f t="shared" si="23"/>
        <v>4.4804305283757335</v>
      </c>
      <c r="AK15" s="68">
        <v>8</v>
      </c>
      <c r="AL15" s="68" t="s">
        <v>972</v>
      </c>
    </row>
    <row r="16" spans="1:53">
      <c r="A16" s="18" t="str">
        <f t="shared" si="0"/>
        <v>3SFC-0222-005</v>
      </c>
      <c r="B16" s="219" t="s">
        <v>945</v>
      </c>
      <c r="C16" s="58" t="s">
        <v>964</v>
      </c>
      <c r="D16" s="44">
        <f t="shared" si="47"/>
        <v>5</v>
      </c>
      <c r="E16" s="59">
        <f t="shared" si="48"/>
        <v>3</v>
      </c>
      <c r="F16" s="90" t="str">
        <f t="shared" si="49"/>
        <v>SFC-0222-005</v>
      </c>
      <c r="G16" s="190">
        <v>44599</v>
      </c>
      <c r="H16" s="191" t="s">
        <v>1208</v>
      </c>
      <c r="I16" s="203" t="s">
        <v>940</v>
      </c>
      <c r="J16" s="42">
        <v>10</v>
      </c>
      <c r="K16" s="39">
        <f>IF(I16="",0,VLOOKUP(I16,'LISTA DE PRECIOS'!A:F,IF(R16="CORO",4,5),FALSE))</f>
        <v>2.39</v>
      </c>
      <c r="L16" s="206">
        <f t="shared" si="12"/>
        <v>23.9</v>
      </c>
      <c r="M16" s="217">
        <f>IF(F16="",0,IF(SUMIF('REPORTE GASTOS'!$C$6:$C$210,F16,'REPORTE GASTOS'!$G$6:$G$210)=0,'LISTA DE PRECIOS'!$H$3,SUMIF('REPORTE GASTOS'!$C$6:$C$210,F16,'REPORTE GASTOS'!$I$6:$I$210)/SUMIF('REPORTE GASTOS'!$C$6:$C$210,F16,'REPORTE GASTOS'!$G$6:$G$210)))</f>
        <v>4.4804305283757335</v>
      </c>
      <c r="N16" s="12">
        <f t="shared" si="45"/>
        <v>10.708228962818003</v>
      </c>
      <c r="O16" s="43">
        <f t="shared" si="46"/>
        <v>107.08228962818004</v>
      </c>
      <c r="P16" s="70"/>
      <c r="R16" s="68" t="str">
        <f>IF(H16="","",VLOOKUP(H16,'DATOS CLIENTES'!B:F,5,FALSE))</f>
        <v>CORO</v>
      </c>
      <c r="S16" s="68" t="str">
        <f t="shared" si="13"/>
        <v>005</v>
      </c>
      <c r="U16" s="69">
        <f t="shared" si="6"/>
        <v>102.2</v>
      </c>
      <c r="V16" s="69">
        <f t="shared" si="7"/>
        <v>457.9</v>
      </c>
      <c r="X16" s="68">
        <f t="shared" si="14"/>
        <v>10</v>
      </c>
      <c r="Y16" s="68" t="str">
        <f t="shared" si="15"/>
        <v>SFACT</v>
      </c>
      <c r="Z16" s="68" t="str">
        <f t="shared" si="16"/>
        <v>FREDDY R. CH</v>
      </c>
      <c r="AA16" s="68" t="str">
        <f t="shared" si="17"/>
        <v>SFC-0222-005</v>
      </c>
      <c r="AB16" s="227">
        <f t="shared" si="18"/>
        <v>44599</v>
      </c>
      <c r="AC16" s="68" t="str">
        <f t="shared" si="19"/>
        <v>JAVI EFREN CHIRINOS</v>
      </c>
      <c r="AD16" s="68" t="str">
        <f t="shared" si="20"/>
        <v>STYLOSA TIPO A (50GR.)</v>
      </c>
      <c r="AE16" s="68">
        <f t="shared" si="21"/>
        <v>10</v>
      </c>
      <c r="AF16" s="68">
        <f t="shared" si="22"/>
        <v>2.39</v>
      </c>
      <c r="AG16" s="68">
        <f t="shared" si="23"/>
        <v>4.4804305283757335</v>
      </c>
      <c r="AK16" s="68">
        <v>9</v>
      </c>
      <c r="AL16" s="68" t="s">
        <v>973</v>
      </c>
    </row>
    <row r="17" spans="1:38">
      <c r="A17" s="18" t="str">
        <f t="shared" si="0"/>
        <v>4SFC-0222-005</v>
      </c>
      <c r="B17" s="219" t="s">
        <v>945</v>
      </c>
      <c r="C17" s="58" t="s">
        <v>964</v>
      </c>
      <c r="D17" s="44">
        <f t="shared" si="47"/>
        <v>5</v>
      </c>
      <c r="E17" s="59">
        <f t="shared" si="48"/>
        <v>4</v>
      </c>
      <c r="F17" s="90" t="str">
        <f t="shared" si="49"/>
        <v>SFC-0222-005</v>
      </c>
      <c r="G17" s="190">
        <v>44599</v>
      </c>
      <c r="H17" s="191" t="s">
        <v>1208</v>
      </c>
      <c r="I17" s="191" t="s">
        <v>515</v>
      </c>
      <c r="J17" s="42">
        <v>5</v>
      </c>
      <c r="K17" s="39">
        <f>IF(I17="",0,VLOOKUP(I17,'LISTA DE PRECIOS'!A:F,IF(R17="CORO",4,5),FALSE))</f>
        <v>2.16</v>
      </c>
      <c r="L17" s="206">
        <f t="shared" si="12"/>
        <v>10.8</v>
      </c>
      <c r="M17" s="217">
        <f>IF(F17="",0,IF(SUMIF('REPORTE GASTOS'!$C$6:$C$210,F17,'REPORTE GASTOS'!$G$6:$G$210)=0,'LISTA DE PRECIOS'!$H$3,SUMIF('REPORTE GASTOS'!$C$6:$C$210,F17,'REPORTE GASTOS'!$I$6:$I$210)/SUMIF('REPORTE GASTOS'!$C$6:$C$210,F17,'REPORTE GASTOS'!$G$6:$G$210)))</f>
        <v>4.4804305283757335</v>
      </c>
      <c r="N17" s="12">
        <f t="shared" si="45"/>
        <v>9.6777299412915845</v>
      </c>
      <c r="O17" s="43">
        <f t="shared" si="46"/>
        <v>48.388649706457926</v>
      </c>
      <c r="P17" s="70"/>
      <c r="R17" s="68" t="str">
        <f>IF(H17="","",VLOOKUP(H17,'DATOS CLIENTES'!B:F,5,FALSE))</f>
        <v>CORO</v>
      </c>
      <c r="S17" s="68" t="str">
        <f t="shared" si="13"/>
        <v>005</v>
      </c>
      <c r="U17" s="69">
        <f t="shared" si="6"/>
        <v>102.2</v>
      </c>
      <c r="V17" s="69">
        <f t="shared" si="7"/>
        <v>457.9</v>
      </c>
      <c r="X17" s="68">
        <f t="shared" si="14"/>
        <v>11</v>
      </c>
      <c r="Y17" s="68" t="str">
        <f t="shared" si="15"/>
        <v>SFACT</v>
      </c>
      <c r="Z17" s="68" t="str">
        <f t="shared" si="16"/>
        <v>FREDDY R. CH</v>
      </c>
      <c r="AA17" s="68" t="str">
        <f t="shared" si="17"/>
        <v>SFC-0222-005</v>
      </c>
      <c r="AB17" s="227">
        <f t="shared" si="18"/>
        <v>44599</v>
      </c>
      <c r="AC17" s="68" t="str">
        <f t="shared" si="19"/>
        <v>JAVI EFREN CHIRINOS</v>
      </c>
      <c r="AD17" s="68" t="str">
        <f t="shared" si="20"/>
        <v>CHS - PASTA EN POLVO PLUS - SACO 3KG</v>
      </c>
      <c r="AE17" s="68">
        <f t="shared" si="21"/>
        <v>5</v>
      </c>
      <c r="AF17" s="68">
        <f t="shared" si="22"/>
        <v>2.16</v>
      </c>
      <c r="AG17" s="68">
        <f t="shared" si="23"/>
        <v>4.4804305283757335</v>
      </c>
      <c r="AK17" s="68">
        <v>10</v>
      </c>
      <c r="AL17" s="68" t="s">
        <v>974</v>
      </c>
    </row>
    <row r="18" spans="1:38">
      <c r="A18" s="18" t="str">
        <f t="shared" si="0"/>
        <v>1SFC-0222-006</v>
      </c>
      <c r="B18" s="219" t="s">
        <v>945</v>
      </c>
      <c r="C18" s="58" t="s">
        <v>964</v>
      </c>
      <c r="D18" s="44">
        <f t="shared" ref="D18" si="50">IF(OR(H18="",AND(H18=H17,G18=G17)),D17,D17+1)</f>
        <v>6</v>
      </c>
      <c r="E18" s="59">
        <f t="shared" ref="E18" si="51">IF(F18="","",IF(OR(F18=0,F18=F17),E17+1,1))</f>
        <v>1</v>
      </c>
      <c r="F18" s="90" t="str">
        <f t="shared" ref="F18" si="52">IF(G18="","",CONCATENATE("SFC-",IF(LEN(MONTH($G$4))=1,CONCATENATE("0",MONTH($G$4)),MONTH($G$4)),RIGHT(YEAR($G$4),2),"-",S18))</f>
        <v>SFC-0222-006</v>
      </c>
      <c r="G18" s="205">
        <v>44600</v>
      </c>
      <c r="H18" s="191" t="s">
        <v>823</v>
      </c>
      <c r="I18" s="6" t="s">
        <v>538</v>
      </c>
      <c r="J18" s="42">
        <v>50</v>
      </c>
      <c r="K18" s="39">
        <f>IF(I18="",0,VLOOKUP(I18,'LISTA DE PRECIOS'!A:F,IF(R18="CORO",4,5),FALSE))</f>
        <v>1.6600000000000001</v>
      </c>
      <c r="L18" s="206">
        <f t="shared" si="12"/>
        <v>83</v>
      </c>
      <c r="M18" s="217">
        <f>IF(F18="",0,IF(SUMIF('REPORTE GASTOS'!$C$6:$C$210,F18,'REPORTE GASTOS'!$G$6:$G$210)=0,'LISTA DE PRECIOS'!$H$3,SUMIF('REPORTE GASTOS'!$C$6:$C$210,F18,'REPORTE GASTOS'!$I$6:$I$210)/SUMIF('REPORTE GASTOS'!$C$6:$C$210,F18,'REPORTE GASTOS'!$G$6:$G$210)))</f>
        <v>4.5999999999999996</v>
      </c>
      <c r="N18" s="12">
        <f t="shared" ref="N18:N19" si="53">M18*K18</f>
        <v>7.6360000000000001</v>
      </c>
      <c r="O18" s="43">
        <f t="shared" ref="O18:O19" si="54">N18*J18</f>
        <v>381.8</v>
      </c>
      <c r="P18" s="70"/>
      <c r="R18" s="68" t="str">
        <f>IF(H18="","",VLOOKUP(H18,'DATOS CLIENTES'!B:F,5,FALSE))</f>
        <v>CORO</v>
      </c>
      <c r="S18" s="68" t="str">
        <f t="shared" si="13"/>
        <v>006</v>
      </c>
      <c r="U18" s="69">
        <f t="shared" si="6"/>
        <v>285.60000000000002</v>
      </c>
      <c r="V18" s="69">
        <f t="shared" si="7"/>
        <v>1313.76</v>
      </c>
      <c r="X18" s="68">
        <f t="shared" si="14"/>
        <v>12</v>
      </c>
      <c r="Y18" s="68" t="str">
        <f t="shared" si="15"/>
        <v>SFACT</v>
      </c>
      <c r="Z18" s="68" t="str">
        <f t="shared" si="16"/>
        <v>FREDDY R. CH</v>
      </c>
      <c r="AA18" s="68" t="str">
        <f t="shared" si="17"/>
        <v>SFC-0222-006</v>
      </c>
      <c r="AB18" s="227">
        <f t="shared" si="18"/>
        <v>44600</v>
      </c>
      <c r="AC18" s="68" t="str">
        <f t="shared" si="19"/>
        <v>XIOMARA DEL CARMEN YOBERA</v>
      </c>
      <c r="AD18" s="68" t="str">
        <f t="shared" si="20"/>
        <v>CHS - CAL PREPARADA LIQUIDA (1 GAL)</v>
      </c>
      <c r="AE18" s="68">
        <f t="shared" si="21"/>
        <v>50</v>
      </c>
      <c r="AF18" s="68">
        <f t="shared" si="22"/>
        <v>1.6600000000000001</v>
      </c>
      <c r="AG18" s="68">
        <f t="shared" si="23"/>
        <v>4.5999999999999996</v>
      </c>
      <c r="AK18" s="68">
        <v>11</v>
      </c>
      <c r="AL18" s="68" t="s">
        <v>975</v>
      </c>
    </row>
    <row r="19" spans="1:38">
      <c r="A19" s="18" t="str">
        <f t="shared" si="0"/>
        <v>2SFC-0222-006</v>
      </c>
      <c r="B19" s="219" t="s">
        <v>945</v>
      </c>
      <c r="C19" s="58" t="s">
        <v>964</v>
      </c>
      <c r="D19" s="44">
        <f t="shared" ref="D19" si="55">IF(OR(H19="",AND(H19=H18,G19=G18)),D18,D18+1)</f>
        <v>6</v>
      </c>
      <c r="E19" s="59">
        <f t="shared" ref="E19" si="56">IF(F19="","",IF(OR(F19=0,F19=F18),E18+1,1))</f>
        <v>2</v>
      </c>
      <c r="F19" s="90" t="str">
        <f t="shared" ref="F19" si="57">IF(G19="","",CONCATENATE("SFC-",IF(LEN(MONTH($G$4))=1,CONCATENATE("0",MONTH($G$4)),MONTH($G$4)),RIGHT(YEAR($G$4),2),"-",S19))</f>
        <v>SFC-0222-006</v>
      </c>
      <c r="G19" s="205">
        <v>44600</v>
      </c>
      <c r="H19" s="191" t="s">
        <v>823</v>
      </c>
      <c r="I19" s="191" t="s">
        <v>849</v>
      </c>
      <c r="J19" s="42">
        <v>20</v>
      </c>
      <c r="K19" s="39">
        <f>IF(I19="",0,VLOOKUP(I19,'LISTA DE PRECIOS'!A:F,IF(R19="CORO",4,5),FALSE))</f>
        <v>4.1900000000000004</v>
      </c>
      <c r="L19" s="206">
        <f t="shared" si="12"/>
        <v>83.8</v>
      </c>
      <c r="M19" s="217">
        <f>IF(F19="",0,IF(SUMIF('REPORTE GASTOS'!$C$6:$C$210,F19,'REPORTE GASTOS'!$G$6:$G$210)=0,'LISTA DE PRECIOS'!$H$3,SUMIF('REPORTE GASTOS'!$C$6:$C$210,F19,'REPORTE GASTOS'!$I$6:$I$210)/SUMIF('REPORTE GASTOS'!$C$6:$C$210,F19,'REPORTE GASTOS'!$G$6:$G$210)))</f>
        <v>4.5999999999999996</v>
      </c>
      <c r="N19" s="12">
        <f t="shared" si="53"/>
        <v>19.274000000000001</v>
      </c>
      <c r="O19" s="43">
        <f t="shared" si="54"/>
        <v>385.48</v>
      </c>
      <c r="P19" s="70"/>
      <c r="R19" s="68" t="str">
        <f>IF(H19="","",VLOOKUP(H19,'DATOS CLIENTES'!B:F,5,FALSE))</f>
        <v>CORO</v>
      </c>
      <c r="S19" s="68" t="str">
        <f t="shared" si="13"/>
        <v>006</v>
      </c>
      <c r="U19" s="69">
        <f t="shared" si="6"/>
        <v>285.60000000000002</v>
      </c>
      <c r="V19" s="69">
        <f t="shared" si="7"/>
        <v>1313.76</v>
      </c>
      <c r="X19" s="68">
        <f t="shared" si="14"/>
        <v>13</v>
      </c>
      <c r="Y19" s="68" t="str">
        <f t="shared" si="15"/>
        <v>SFACT</v>
      </c>
      <c r="Z19" s="68" t="str">
        <f t="shared" si="16"/>
        <v>FREDDY R. CH</v>
      </c>
      <c r="AA19" s="68" t="str">
        <f t="shared" si="17"/>
        <v>SFC-0222-006</v>
      </c>
      <c r="AB19" s="227">
        <f t="shared" si="18"/>
        <v>44600</v>
      </c>
      <c r="AC19" s="68" t="str">
        <f t="shared" si="19"/>
        <v>XIOMARA DEL CARMEN YOBERA</v>
      </c>
      <c r="AD19" s="68" t="str">
        <f t="shared" si="20"/>
        <v>CHS - GRAFIADO EN POLVO - SACO 15KG</v>
      </c>
      <c r="AE19" s="68">
        <f t="shared" si="21"/>
        <v>20</v>
      </c>
      <c r="AF19" s="68">
        <f t="shared" si="22"/>
        <v>4.1900000000000004</v>
      </c>
      <c r="AG19" s="68">
        <f t="shared" si="23"/>
        <v>4.5999999999999996</v>
      </c>
      <c r="AK19" s="68">
        <v>12</v>
      </c>
      <c r="AL19" s="68" t="s">
        <v>976</v>
      </c>
    </row>
    <row r="20" spans="1:38">
      <c r="A20" s="18" t="str">
        <f t="shared" si="0"/>
        <v>3SFC-0222-006</v>
      </c>
      <c r="B20" s="219" t="s">
        <v>945</v>
      </c>
      <c r="C20" s="58" t="s">
        <v>964</v>
      </c>
      <c r="D20" s="44">
        <f t="shared" ref="D20:D22" si="58">IF(OR(H20="",AND(H20=H19,G20=G19)),D19,D19+1)</f>
        <v>6</v>
      </c>
      <c r="E20" s="59">
        <f t="shared" ref="E20:E22" si="59">IF(F20="","",IF(OR(F20=0,F20=F19),E19+1,1))</f>
        <v>3</v>
      </c>
      <c r="F20" s="90" t="str">
        <f t="shared" ref="F20:F22" si="60">IF(G20="","",CONCATENATE("SFC-",IF(LEN(MONTH($G$4))=1,CONCATENATE("0",MONTH($G$4)),MONTH($G$4)),RIGHT(YEAR($G$4),2),"-",S20))</f>
        <v>SFC-0222-006</v>
      </c>
      <c r="G20" s="205">
        <v>44600</v>
      </c>
      <c r="H20" s="191" t="s">
        <v>823</v>
      </c>
      <c r="I20" s="203" t="s">
        <v>1002</v>
      </c>
      <c r="J20" s="42">
        <v>22</v>
      </c>
      <c r="K20" s="39">
        <f>IF(I20="",0,VLOOKUP(I20,'LISTA DE PRECIOS'!A:F,IF(R20="CORO",4,5),FALSE))</f>
        <v>5.4</v>
      </c>
      <c r="L20" s="206">
        <f t="shared" si="12"/>
        <v>118.8</v>
      </c>
      <c r="M20" s="217">
        <f>IF(F20="",0,IF(SUMIF('REPORTE GASTOS'!$C$6:$C$210,F20,'REPORTE GASTOS'!$G$6:$G$210)=0,'LISTA DE PRECIOS'!$H$3,SUMIF('REPORTE GASTOS'!$C$6:$C$210,F20,'REPORTE GASTOS'!$I$6:$I$210)/SUMIF('REPORTE GASTOS'!$C$6:$C$210,F20,'REPORTE GASTOS'!$G$6:$G$210)))</f>
        <v>4.5999999999999996</v>
      </c>
      <c r="N20" s="12">
        <f t="shared" ref="N20:N22" si="61">M20*K20</f>
        <v>24.84</v>
      </c>
      <c r="O20" s="43">
        <f t="shared" ref="O20:O22" si="62">N20*J20</f>
        <v>546.48</v>
      </c>
      <c r="P20" s="70"/>
      <c r="R20" s="68" t="str">
        <f>IF(H20="","",VLOOKUP(H20,'DATOS CLIENTES'!B:F,5,FALSE))</f>
        <v>CORO</v>
      </c>
      <c r="S20" s="68" t="str">
        <f t="shared" si="13"/>
        <v>006</v>
      </c>
      <c r="U20" s="69">
        <f t="shared" si="6"/>
        <v>285.60000000000002</v>
      </c>
      <c r="V20" s="69">
        <f t="shared" si="7"/>
        <v>1313.76</v>
      </c>
      <c r="X20" s="68">
        <f t="shared" si="14"/>
        <v>14</v>
      </c>
      <c r="Y20" s="68" t="str">
        <f t="shared" si="15"/>
        <v>SFACT</v>
      </c>
      <c r="Z20" s="68" t="str">
        <f t="shared" si="16"/>
        <v>FREDDY R. CH</v>
      </c>
      <c r="AA20" s="68" t="str">
        <f t="shared" si="17"/>
        <v>SFC-0222-006</v>
      </c>
      <c r="AB20" s="227">
        <f t="shared" si="18"/>
        <v>44600</v>
      </c>
      <c r="AC20" s="68" t="str">
        <f t="shared" si="19"/>
        <v>XIOMARA DEL CARMEN YOBERA</v>
      </c>
      <c r="AD20" s="68" t="str">
        <f t="shared" si="20"/>
        <v>CHS - PINTURA IMPERMEABLE - SACO 10KG</v>
      </c>
      <c r="AE20" s="68">
        <f t="shared" si="21"/>
        <v>22</v>
      </c>
      <c r="AF20" s="68">
        <f t="shared" si="22"/>
        <v>5.4</v>
      </c>
      <c r="AG20" s="68">
        <f t="shared" si="23"/>
        <v>4.5999999999999996</v>
      </c>
    </row>
    <row r="21" spans="1:38">
      <c r="A21" s="18" t="str">
        <f t="shared" si="0"/>
        <v>1SFC-0222-007</v>
      </c>
      <c r="B21" s="219" t="s">
        <v>945</v>
      </c>
      <c r="C21" s="58" t="s">
        <v>964</v>
      </c>
      <c r="D21" s="44">
        <f t="shared" si="58"/>
        <v>7</v>
      </c>
      <c r="E21" s="59">
        <f t="shared" si="59"/>
        <v>1</v>
      </c>
      <c r="F21" s="90" t="str">
        <f t="shared" si="60"/>
        <v>SFC-0222-007</v>
      </c>
      <c r="G21" s="205">
        <v>44600</v>
      </c>
      <c r="H21" s="191" t="s">
        <v>850</v>
      </c>
      <c r="I21" s="202" t="s">
        <v>849</v>
      </c>
      <c r="J21" s="42">
        <v>20</v>
      </c>
      <c r="K21" s="39">
        <f>IF(I21="",0,VLOOKUP(I21,'LISTA DE PRECIOS'!A:F,IF(R21="CORO",4,5),FALSE))</f>
        <v>4.1900000000000004</v>
      </c>
      <c r="L21" s="206">
        <f t="shared" si="12"/>
        <v>83.8</v>
      </c>
      <c r="M21" s="217">
        <f>IF(F21="",0,IF(SUMIF('REPORTE GASTOS'!$C$6:$C$210,F21,'REPORTE GASTOS'!$G$6:$G$210)=0,'LISTA DE PRECIOS'!$H$3,SUMIF('REPORTE GASTOS'!$C$6:$C$210,F21,'REPORTE GASTOS'!$I$6:$I$210)/SUMIF('REPORTE GASTOS'!$C$6:$C$210,F21,'REPORTE GASTOS'!$G$6:$G$210)))</f>
        <v>4.4000000000000004</v>
      </c>
      <c r="N21" s="12">
        <f t="shared" si="61"/>
        <v>18.436000000000003</v>
      </c>
      <c r="O21" s="43">
        <f t="shared" si="62"/>
        <v>368.72000000000008</v>
      </c>
      <c r="P21" s="70"/>
      <c r="R21" s="68" t="str">
        <f>IF(H21="","",VLOOKUP(H21,'DATOS CLIENTES'!B:F,5,FALSE))</f>
        <v>CORO</v>
      </c>
      <c r="S21" s="68" t="str">
        <f t="shared" si="13"/>
        <v>007</v>
      </c>
      <c r="U21" s="69">
        <f t="shared" si="6"/>
        <v>83.8</v>
      </c>
      <c r="V21" s="69">
        <f t="shared" si="7"/>
        <v>368.72000000000008</v>
      </c>
      <c r="X21" s="68">
        <f t="shared" si="14"/>
        <v>15</v>
      </c>
      <c r="Y21" s="68" t="str">
        <f t="shared" si="15"/>
        <v>SFACT</v>
      </c>
      <c r="Z21" s="68" t="str">
        <f t="shared" si="16"/>
        <v>FREDDY R. CH</v>
      </c>
      <c r="AA21" s="68" t="str">
        <f t="shared" si="17"/>
        <v>SFC-0222-007</v>
      </c>
      <c r="AB21" s="227">
        <f t="shared" si="18"/>
        <v>44600</v>
      </c>
      <c r="AC21" s="68" t="str">
        <f t="shared" si="19"/>
        <v>FERRE CERAMICAS FALCON, C.A.</v>
      </c>
      <c r="AD21" s="68" t="str">
        <f t="shared" si="20"/>
        <v>CHS - GRAFIADO EN POLVO - SACO 15KG</v>
      </c>
      <c r="AE21" s="68">
        <f t="shared" si="21"/>
        <v>20</v>
      </c>
      <c r="AF21" s="68">
        <f t="shared" si="22"/>
        <v>4.1900000000000004</v>
      </c>
      <c r="AG21" s="68">
        <f t="shared" si="23"/>
        <v>4.4000000000000004</v>
      </c>
    </row>
    <row r="22" spans="1:38">
      <c r="A22" s="18" t="str">
        <f t="shared" si="0"/>
        <v>1SFC-0222-008</v>
      </c>
      <c r="B22" s="219" t="s">
        <v>945</v>
      </c>
      <c r="C22" s="58" t="s">
        <v>964</v>
      </c>
      <c r="D22" s="44">
        <f t="shared" si="58"/>
        <v>8</v>
      </c>
      <c r="E22" s="59">
        <f t="shared" si="59"/>
        <v>1</v>
      </c>
      <c r="F22" s="90" t="str">
        <f t="shared" si="60"/>
        <v>SFC-0222-008</v>
      </c>
      <c r="G22" s="205">
        <v>44600</v>
      </c>
      <c r="H22" s="191" t="s">
        <v>1188</v>
      </c>
      <c r="I22" s="203" t="s">
        <v>1002</v>
      </c>
      <c r="J22" s="204">
        <v>10</v>
      </c>
      <c r="K22" s="39">
        <f>IF(I22="",0,VLOOKUP(I22,'LISTA DE PRECIOS'!A:F,IF(R22="CORO",4,5),FALSE))</f>
        <v>5.4</v>
      </c>
      <c r="L22" s="206">
        <f t="shared" si="12"/>
        <v>54</v>
      </c>
      <c r="M22" s="217">
        <f>IF(F22="",0,IF(SUMIF('REPORTE GASTOS'!$C$6:$C$210,F22,'REPORTE GASTOS'!$G$6:$G$210)=0,'LISTA DE PRECIOS'!$H$3,SUMIF('REPORTE GASTOS'!$C$6:$C$210,F22,'REPORTE GASTOS'!$I$6:$I$210)/SUMIF('REPORTE GASTOS'!$C$6:$C$210,F22,'REPORTE GASTOS'!$G$6:$G$210)))</f>
        <v>4.5955555555555554</v>
      </c>
      <c r="N22" s="12">
        <f t="shared" si="61"/>
        <v>24.816000000000003</v>
      </c>
      <c r="O22" s="43">
        <f t="shared" si="62"/>
        <v>248.16000000000003</v>
      </c>
      <c r="P22" s="70"/>
      <c r="R22" s="68" t="str">
        <f>IF(H22="","",VLOOKUP(H22,'DATOS CLIENTES'!B:F,5,FALSE))</f>
        <v>CORO</v>
      </c>
      <c r="S22" s="68" t="str">
        <f t="shared" si="13"/>
        <v>008</v>
      </c>
      <c r="U22" s="69">
        <f t="shared" si="6"/>
        <v>54</v>
      </c>
      <c r="V22" s="69">
        <f t="shared" si="7"/>
        <v>248.16000000000003</v>
      </c>
      <c r="X22" s="68">
        <f t="shared" si="14"/>
        <v>16</v>
      </c>
      <c r="Y22" s="68" t="str">
        <f t="shared" si="15"/>
        <v>SFACT</v>
      </c>
      <c r="Z22" s="68" t="str">
        <f t="shared" si="16"/>
        <v>FREDDY R. CH</v>
      </c>
      <c r="AA22" s="68" t="str">
        <f t="shared" si="17"/>
        <v>SFC-0222-008</v>
      </c>
      <c r="AB22" s="227">
        <f t="shared" si="18"/>
        <v>44600</v>
      </c>
      <c r="AC22" s="68" t="str">
        <f t="shared" si="19"/>
        <v>ALCIDES CAMACHO</v>
      </c>
      <c r="AD22" s="68" t="str">
        <f t="shared" si="20"/>
        <v>CHS - PINTURA IMPERMEABLE - SACO 10KG</v>
      </c>
      <c r="AE22" s="68">
        <f t="shared" si="21"/>
        <v>10</v>
      </c>
      <c r="AF22" s="68">
        <f t="shared" si="22"/>
        <v>5.4</v>
      </c>
      <c r="AG22" s="68">
        <f t="shared" si="23"/>
        <v>4.5955555555555554</v>
      </c>
    </row>
    <row r="23" spans="1:38">
      <c r="A23" s="18" t="str">
        <f t="shared" si="0"/>
        <v>1SFC-0222-009</v>
      </c>
      <c r="B23" s="219" t="s">
        <v>945</v>
      </c>
      <c r="C23" s="58" t="s">
        <v>964</v>
      </c>
      <c r="D23" s="44">
        <f t="shared" si="29"/>
        <v>9</v>
      </c>
      <c r="E23" s="59">
        <f t="shared" si="30"/>
        <v>1</v>
      </c>
      <c r="F23" s="90" t="str">
        <f t="shared" si="31"/>
        <v>SFC-0222-009</v>
      </c>
      <c r="G23" s="205">
        <v>44602</v>
      </c>
      <c r="H23" s="191" t="s">
        <v>865</v>
      </c>
      <c r="I23" s="202" t="s">
        <v>758</v>
      </c>
      <c r="J23" s="204">
        <v>39</v>
      </c>
      <c r="K23" s="39">
        <f>IF(I23="",0,VLOOKUP(I23,'LISTA DE PRECIOS'!A:F,IF(R23="CORO",4,5),FALSE))</f>
        <v>2.88</v>
      </c>
      <c r="L23" s="206">
        <f t="shared" si="12"/>
        <v>112.32</v>
      </c>
      <c r="M23" s="217">
        <f>IF(F23="",0,IF(SUMIF('REPORTE GASTOS'!$C$6:$C$210,F23,'REPORTE GASTOS'!$G$6:$G$210)=0,'LISTA DE PRECIOS'!$H$3,SUMIF('REPORTE GASTOS'!$C$6:$C$210,F23,'REPORTE GASTOS'!$I$6:$I$210)/SUMIF('REPORTE GASTOS'!$C$6:$C$210,F23,'REPORTE GASTOS'!$G$6:$G$210)))</f>
        <v>4.6000000000000005</v>
      </c>
      <c r="N23" s="12">
        <f t="shared" si="4"/>
        <v>13.248000000000001</v>
      </c>
      <c r="O23" s="43">
        <f t="shared" si="5"/>
        <v>516.67200000000003</v>
      </c>
      <c r="P23" s="70"/>
      <c r="R23" s="68" t="str">
        <f>IF(H23="","",VLOOKUP(H23,'DATOS CLIENTES'!B:F,5,FALSE))</f>
        <v>CORO</v>
      </c>
      <c r="S23" s="68" t="str">
        <f t="shared" si="13"/>
        <v>009</v>
      </c>
      <c r="U23" s="69">
        <f t="shared" si="6"/>
        <v>148.82</v>
      </c>
      <c r="V23" s="69">
        <f t="shared" si="7"/>
        <v>684.57200000000012</v>
      </c>
      <c r="X23" s="68">
        <f t="shared" si="14"/>
        <v>17</v>
      </c>
      <c r="Y23" s="68" t="str">
        <f t="shared" si="15"/>
        <v>SFACT</v>
      </c>
      <c r="Z23" s="68" t="str">
        <f t="shared" si="16"/>
        <v>FREDDY R. CH</v>
      </c>
      <c r="AA23" s="68" t="str">
        <f t="shared" si="17"/>
        <v>SFC-0222-009</v>
      </c>
      <c r="AB23" s="227">
        <f t="shared" si="18"/>
        <v>44602</v>
      </c>
      <c r="AC23" s="68" t="str">
        <f t="shared" si="19"/>
        <v>INVERSIONES Y SERVICIOS TOTALES, C.A.</v>
      </c>
      <c r="AD23" s="68" t="str">
        <f t="shared" si="20"/>
        <v>CHS - PEGO GRIS - SACO 15KG</v>
      </c>
      <c r="AE23" s="68">
        <f t="shared" si="21"/>
        <v>39</v>
      </c>
      <c r="AF23" s="68">
        <f t="shared" si="22"/>
        <v>2.88</v>
      </c>
      <c r="AG23" s="68">
        <f t="shared" si="23"/>
        <v>4.6000000000000005</v>
      </c>
    </row>
    <row r="24" spans="1:38">
      <c r="A24" s="18" t="str">
        <f t="shared" si="0"/>
        <v>2SFC-0222-009</v>
      </c>
      <c r="B24" s="219" t="s">
        <v>945</v>
      </c>
      <c r="C24" s="58" t="s">
        <v>964</v>
      </c>
      <c r="D24" s="44">
        <f t="shared" ref="D24" si="63">IF(OR(H24="",AND(H24=H23,G24=G23)),D23,D23+1)</f>
        <v>9</v>
      </c>
      <c r="E24" s="59">
        <f t="shared" ref="E24" si="64">IF(F24="","",IF(OR(F24=0,F24=F23),E23+1,1))</f>
        <v>2</v>
      </c>
      <c r="F24" s="90" t="str">
        <f t="shared" ref="F24" si="65">IF(G24="","",CONCATENATE("SFC-",IF(LEN(MONTH($G$4))=1,CONCATENATE("0",MONTH($G$4)),MONTH($G$4)),RIGHT(YEAR($G$4),2),"-",S24))</f>
        <v>SFC-0222-009</v>
      </c>
      <c r="G24" s="205">
        <v>44602</v>
      </c>
      <c r="H24" s="191" t="s">
        <v>865</v>
      </c>
      <c r="I24" s="191" t="s">
        <v>480</v>
      </c>
      <c r="J24" s="42">
        <v>10</v>
      </c>
      <c r="K24" s="39">
        <f>IF(I24="",0,VLOOKUP(I24,'LISTA DE PRECIOS'!A:F,IF(R24="CORO",4,5),FALSE))</f>
        <v>0.54</v>
      </c>
      <c r="L24" s="206">
        <f t="shared" si="12"/>
        <v>5.4</v>
      </c>
      <c r="M24" s="217">
        <f>IF(F24="",0,IF(SUMIF('REPORTE GASTOS'!$C$6:$C$210,F24,'REPORTE GASTOS'!$G$6:$G$210)=0,'LISTA DE PRECIOS'!$H$3,SUMIF('REPORTE GASTOS'!$C$6:$C$210,F24,'REPORTE GASTOS'!$I$6:$I$210)/SUMIF('REPORTE GASTOS'!$C$6:$C$210,F24,'REPORTE GASTOS'!$G$6:$G$210)))</f>
        <v>4.6000000000000005</v>
      </c>
      <c r="N24" s="12">
        <f t="shared" ref="N24" si="66">M24*K24</f>
        <v>2.4840000000000004</v>
      </c>
      <c r="O24" s="43">
        <f t="shared" ref="O24" si="67">N24*J24</f>
        <v>24.840000000000003</v>
      </c>
      <c r="P24" s="70"/>
      <c r="R24" s="68" t="str">
        <f>IF(H24="","",VLOOKUP(H24,'DATOS CLIENTES'!B:F,5,FALSE))</f>
        <v>CORO</v>
      </c>
      <c r="S24" s="68" t="str">
        <f t="shared" si="13"/>
        <v>009</v>
      </c>
      <c r="U24" s="69">
        <f t="shared" si="6"/>
        <v>148.82</v>
      </c>
      <c r="V24" s="69">
        <f t="shared" si="7"/>
        <v>684.57200000000012</v>
      </c>
      <c r="X24" s="68">
        <f t="shared" si="14"/>
        <v>18</v>
      </c>
      <c r="Y24" s="68" t="str">
        <f t="shared" si="15"/>
        <v>SFACT</v>
      </c>
      <c r="Z24" s="68" t="str">
        <f t="shared" si="16"/>
        <v>FREDDY R. CH</v>
      </c>
      <c r="AA24" s="68" t="str">
        <f t="shared" si="17"/>
        <v>SFC-0222-009</v>
      </c>
      <c r="AB24" s="227">
        <f t="shared" si="18"/>
        <v>44602</v>
      </c>
      <c r="AC24" s="68" t="str">
        <f t="shared" si="19"/>
        <v>INVERSIONES Y SERVICIOS TOTALES, C.A.</v>
      </c>
      <c r="AD24" s="68" t="str">
        <f t="shared" si="20"/>
        <v>CHS - PASTA EN POLVO - SACO 0,75 KG</v>
      </c>
      <c r="AE24" s="68">
        <f t="shared" si="21"/>
        <v>10</v>
      </c>
      <c r="AF24" s="68">
        <f t="shared" si="22"/>
        <v>0.54</v>
      </c>
      <c r="AG24" s="68">
        <f t="shared" si="23"/>
        <v>4.6000000000000005</v>
      </c>
    </row>
    <row r="25" spans="1:38">
      <c r="A25" s="18" t="str">
        <f t="shared" si="0"/>
        <v>3SFC-0222-009</v>
      </c>
      <c r="B25" s="219" t="s">
        <v>945</v>
      </c>
      <c r="C25" s="58" t="s">
        <v>964</v>
      </c>
      <c r="D25" s="44">
        <f t="shared" si="29"/>
        <v>9</v>
      </c>
      <c r="E25" s="59">
        <f t="shared" si="30"/>
        <v>3</v>
      </c>
      <c r="F25" s="90" t="str">
        <f t="shared" si="31"/>
        <v>SFC-0222-009</v>
      </c>
      <c r="G25" s="205">
        <v>44602</v>
      </c>
      <c r="H25" s="191" t="s">
        <v>865</v>
      </c>
      <c r="I25" s="202" t="s">
        <v>76</v>
      </c>
      <c r="J25" s="204">
        <v>25</v>
      </c>
      <c r="K25" s="39">
        <f>IF(I25="",0,VLOOKUP(I25,'LISTA DE PRECIOS'!A:F,IF(R25="CORO",4,5),FALSE))</f>
        <v>1.1200000000000001</v>
      </c>
      <c r="L25" s="206">
        <f t="shared" si="12"/>
        <v>28</v>
      </c>
      <c r="M25" s="217">
        <f>IF(F25="",0,IF(SUMIF('REPORTE GASTOS'!$C$6:$C$210,F25,'REPORTE GASTOS'!$G$6:$G$210)=0,'LISTA DE PRECIOS'!$H$3,SUMIF('REPORTE GASTOS'!$C$6:$C$210,F25,'REPORTE GASTOS'!$I$6:$I$210)/SUMIF('REPORTE GASTOS'!$C$6:$C$210,F25,'REPORTE GASTOS'!$G$6:$G$210)))</f>
        <v>4.6000000000000005</v>
      </c>
      <c r="N25" s="12">
        <f t="shared" si="4"/>
        <v>5.152000000000001</v>
      </c>
      <c r="O25" s="43">
        <f t="shared" si="5"/>
        <v>128.80000000000001</v>
      </c>
      <c r="P25" s="70"/>
      <c r="R25" s="68" t="str">
        <f>IF(H25="","",VLOOKUP(H25,'DATOS CLIENTES'!B:F,5,FALSE))</f>
        <v>CORO</v>
      </c>
      <c r="S25" s="68" t="str">
        <f t="shared" si="13"/>
        <v>009</v>
      </c>
      <c r="U25" s="69">
        <f t="shared" si="6"/>
        <v>148.82</v>
      </c>
      <c r="V25" s="69">
        <f t="shared" si="7"/>
        <v>684.57200000000012</v>
      </c>
      <c r="X25" s="68">
        <f t="shared" si="14"/>
        <v>19</v>
      </c>
      <c r="Y25" s="68" t="str">
        <f t="shared" si="15"/>
        <v>SFACT</v>
      </c>
      <c r="Z25" s="68" t="str">
        <f t="shared" si="16"/>
        <v>FREDDY R. CH</v>
      </c>
      <c r="AA25" s="68" t="str">
        <f t="shared" si="17"/>
        <v>SFC-0222-009</v>
      </c>
      <c r="AB25" s="227">
        <f t="shared" si="18"/>
        <v>44602</v>
      </c>
      <c r="AC25" s="68" t="str">
        <f t="shared" si="19"/>
        <v>INVERSIONES Y SERVICIOS TOTALES, C.A.</v>
      </c>
      <c r="AD25" s="68" t="str">
        <f t="shared" si="20"/>
        <v>MACROFIBRA TEREFTALATO DE DIMETILO (100 GR)</v>
      </c>
      <c r="AE25" s="68">
        <f t="shared" si="21"/>
        <v>25</v>
      </c>
      <c r="AF25" s="68">
        <f t="shared" si="22"/>
        <v>1.1200000000000001</v>
      </c>
      <c r="AG25" s="68">
        <f t="shared" si="23"/>
        <v>4.6000000000000005</v>
      </c>
    </row>
    <row r="26" spans="1:38">
      <c r="A26" s="18" t="str">
        <f t="shared" si="0"/>
        <v>4SFC-0222-009</v>
      </c>
      <c r="B26" s="219" t="s">
        <v>945</v>
      </c>
      <c r="C26" s="58" t="s">
        <v>964</v>
      </c>
      <c r="D26" s="44">
        <f t="shared" ref="D26" si="68">IF(OR(H26="",AND(H26=H25,G26=G25)),D25,D25+1)</f>
        <v>9</v>
      </c>
      <c r="E26" s="59">
        <f t="shared" ref="E26" si="69">IF(F26="","",IF(OR(F26=0,F26=F25),E25+1,1))</f>
        <v>4</v>
      </c>
      <c r="F26" s="90" t="str">
        <f t="shared" ref="F26" si="70">IF(G26="","",CONCATENATE("SFC-",IF(LEN(MONTH($G$4))=1,CONCATENATE("0",MONTH($G$4)),MONTH($G$4)),RIGHT(YEAR($G$4),2),"-",S26))</f>
        <v>SFC-0222-009</v>
      </c>
      <c r="G26" s="205">
        <v>44602</v>
      </c>
      <c r="H26" s="191" t="s">
        <v>865</v>
      </c>
      <c r="I26" s="203" t="s">
        <v>632</v>
      </c>
      <c r="J26" s="204">
        <v>2</v>
      </c>
      <c r="K26" s="39">
        <f>IF(I26="",0,VLOOKUP(I26,'LISTA DE PRECIOS'!A:F,IF(R26="CORO",4,5),FALSE))</f>
        <v>1.5499999999999998</v>
      </c>
      <c r="L26" s="206">
        <f t="shared" si="12"/>
        <v>3.1</v>
      </c>
      <c r="M26" s="217">
        <f>IF(F26="",0,IF(SUMIF('REPORTE GASTOS'!$C$6:$C$210,F26,'REPORTE GASTOS'!$G$6:$G$210)=0,'LISTA DE PRECIOS'!$H$3,SUMIF('REPORTE GASTOS'!$C$6:$C$210,F26,'REPORTE GASTOS'!$I$6:$I$210)/SUMIF('REPORTE GASTOS'!$C$6:$C$210,F26,'REPORTE GASTOS'!$G$6:$G$210)))</f>
        <v>4.6000000000000005</v>
      </c>
      <c r="N26" s="12">
        <f t="shared" ref="N26" si="71">M26*K26</f>
        <v>7.13</v>
      </c>
      <c r="O26" s="43">
        <f t="shared" ref="O26" si="72">N26*J26</f>
        <v>14.26</v>
      </c>
      <c r="P26" s="70"/>
      <c r="R26" s="68" t="str">
        <f>IF(H26="","",VLOOKUP(H26,'DATOS CLIENTES'!B:F,5,FALSE))</f>
        <v>CORO</v>
      </c>
      <c r="S26" s="68" t="str">
        <f t="shared" si="13"/>
        <v>009</v>
      </c>
      <c r="U26" s="69">
        <f t="shared" si="6"/>
        <v>148.82</v>
      </c>
      <c r="V26" s="69">
        <f t="shared" si="7"/>
        <v>684.57200000000012</v>
      </c>
      <c r="X26" s="68">
        <f t="shared" si="14"/>
        <v>20</v>
      </c>
      <c r="Y26" s="68" t="str">
        <f t="shared" si="15"/>
        <v>SFACT</v>
      </c>
      <c r="Z26" s="68" t="str">
        <f t="shared" si="16"/>
        <v>FREDDY R. CH</v>
      </c>
      <c r="AA26" s="68" t="str">
        <f t="shared" si="17"/>
        <v>SFC-0222-009</v>
      </c>
      <c r="AB26" s="227">
        <f t="shared" si="18"/>
        <v>44602</v>
      </c>
      <c r="AC26" s="68" t="str">
        <f t="shared" si="19"/>
        <v>INVERSIONES Y SERVICIOS TOTALES, C.A.</v>
      </c>
      <c r="AD26" s="68" t="str">
        <f t="shared" si="20"/>
        <v>CHS - BASE RENDIDORA PINTURA (1,25 KG)</v>
      </c>
      <c r="AE26" s="68">
        <f t="shared" si="21"/>
        <v>2</v>
      </c>
      <c r="AF26" s="68">
        <f t="shared" si="22"/>
        <v>1.5499999999999998</v>
      </c>
      <c r="AG26" s="68">
        <f t="shared" si="23"/>
        <v>4.6000000000000005</v>
      </c>
    </row>
    <row r="27" spans="1:38">
      <c r="A27" s="18" t="str">
        <f t="shared" si="0"/>
        <v>1SFC-0222-010</v>
      </c>
      <c r="B27" s="219" t="s">
        <v>945</v>
      </c>
      <c r="C27" s="58" t="s">
        <v>964</v>
      </c>
      <c r="D27" s="44">
        <f t="shared" si="29"/>
        <v>10</v>
      </c>
      <c r="E27" s="59">
        <f t="shared" si="30"/>
        <v>1</v>
      </c>
      <c r="F27" s="90" t="str">
        <f t="shared" si="31"/>
        <v>SFC-0222-010</v>
      </c>
      <c r="G27" s="205">
        <v>44602</v>
      </c>
      <c r="H27" s="191" t="s">
        <v>1252</v>
      </c>
      <c r="I27" s="203" t="s">
        <v>76</v>
      </c>
      <c r="J27" s="204">
        <v>70</v>
      </c>
      <c r="K27" s="39">
        <f>IF(I27="",0,VLOOKUP(I27,'LISTA DE PRECIOS'!A:F,IF(R27="CORO",4,5),FALSE))</f>
        <v>1.1200000000000001</v>
      </c>
      <c r="L27" s="206">
        <f t="shared" si="12"/>
        <v>78.400000000000006</v>
      </c>
      <c r="M27" s="217">
        <f>IF(F27="",0,IF(SUMIF('REPORTE GASTOS'!$C$6:$C$210,F27,'REPORTE GASTOS'!$G$6:$G$210)=0,'LISTA DE PRECIOS'!$H$3,SUMIF('REPORTE GASTOS'!$C$6:$C$210,F27,'REPORTE GASTOS'!$I$6:$I$210)/SUMIF('REPORTE GASTOS'!$C$6:$C$210,F27,'REPORTE GASTOS'!$G$6:$G$210)))</f>
        <v>4.589999999999999</v>
      </c>
      <c r="N27" s="12">
        <f t="shared" si="4"/>
        <v>5.1407999999999996</v>
      </c>
      <c r="O27" s="43">
        <f t="shared" si="5"/>
        <v>359.85599999999999</v>
      </c>
      <c r="P27" s="70"/>
      <c r="R27" s="68" t="str">
        <f>IF(H27="","",VLOOKUP(H27,'DATOS CLIENTES'!B:F,5,FALSE))</f>
        <v>CORO</v>
      </c>
      <c r="S27" s="68" t="str">
        <f t="shared" si="13"/>
        <v>010</v>
      </c>
      <c r="U27" s="69">
        <f t="shared" si="6"/>
        <v>132.4</v>
      </c>
      <c r="V27" s="69">
        <f t="shared" si="7"/>
        <v>607.71600000000001</v>
      </c>
      <c r="X27" s="68">
        <f t="shared" si="14"/>
        <v>21</v>
      </c>
      <c r="Y27" s="68" t="str">
        <f t="shared" si="15"/>
        <v>SFACT</v>
      </c>
      <c r="Z27" s="68" t="str">
        <f t="shared" si="16"/>
        <v>FREDDY R. CH</v>
      </c>
      <c r="AA27" s="68" t="str">
        <f t="shared" si="17"/>
        <v>SFC-0222-010</v>
      </c>
      <c r="AB27" s="227">
        <f t="shared" si="18"/>
        <v>44602</v>
      </c>
      <c r="AC27" s="68" t="str">
        <f t="shared" si="19"/>
        <v>FERRETERIA ALEXANDER JESUS COLINA MATOS</v>
      </c>
      <c r="AD27" s="68" t="str">
        <f t="shared" si="20"/>
        <v>MACROFIBRA TEREFTALATO DE DIMETILO (100 GR)</v>
      </c>
      <c r="AE27" s="68">
        <f t="shared" si="21"/>
        <v>70</v>
      </c>
      <c r="AF27" s="68">
        <f t="shared" si="22"/>
        <v>1.1200000000000001</v>
      </c>
      <c r="AG27" s="68">
        <f t="shared" si="23"/>
        <v>4.589999999999999</v>
      </c>
    </row>
    <row r="28" spans="1:38">
      <c r="A28" s="18" t="str">
        <f t="shared" si="0"/>
        <v>2SFC-0222-010</v>
      </c>
      <c r="B28" s="219" t="s">
        <v>945</v>
      </c>
      <c r="C28" s="58" t="s">
        <v>964</v>
      </c>
      <c r="D28" s="44">
        <f t="shared" ref="D28" si="73">IF(OR(H28="",AND(H28=H27,G28=G27)),D27,D27+1)</f>
        <v>10</v>
      </c>
      <c r="E28" s="59">
        <f t="shared" ref="E28" si="74">IF(F28="","",IF(OR(F28=0,F28=F27),E27+1,1))</f>
        <v>2</v>
      </c>
      <c r="F28" s="90" t="str">
        <f t="shared" ref="F28" si="75">IF(G28="","",CONCATENATE("SFC-",IF(LEN(MONTH($G$4))=1,CONCATENATE("0",MONTH($G$4)),MONTH($G$4)),RIGHT(YEAR($G$4),2),"-",S28))</f>
        <v>SFC-0222-010</v>
      </c>
      <c r="G28" s="205">
        <v>44602</v>
      </c>
      <c r="H28" s="191" t="s">
        <v>1252</v>
      </c>
      <c r="I28" s="202" t="s">
        <v>1002</v>
      </c>
      <c r="J28" s="204">
        <v>10</v>
      </c>
      <c r="K28" s="39">
        <f>IF(I28="",0,VLOOKUP(I28,'LISTA DE PRECIOS'!A:F,IF(R28="CORO",4,5),FALSE))</f>
        <v>5.4</v>
      </c>
      <c r="L28" s="206">
        <f t="shared" si="12"/>
        <v>54</v>
      </c>
      <c r="M28" s="217">
        <f>IF(F28="",0,IF(SUMIF('REPORTE GASTOS'!$C$6:$C$210,F28,'REPORTE GASTOS'!$G$6:$G$210)=0,'LISTA DE PRECIOS'!$H$3,SUMIF('REPORTE GASTOS'!$C$6:$C$210,F28,'REPORTE GASTOS'!$I$6:$I$210)/SUMIF('REPORTE GASTOS'!$C$6:$C$210,F28,'REPORTE GASTOS'!$G$6:$G$210)))</f>
        <v>4.589999999999999</v>
      </c>
      <c r="N28" s="12">
        <f t="shared" si="4"/>
        <v>24.785999999999998</v>
      </c>
      <c r="O28" s="43">
        <f t="shared" si="5"/>
        <v>247.85999999999999</v>
      </c>
      <c r="P28" s="70"/>
      <c r="R28" s="68" t="str">
        <f>IF(H28="","",VLOOKUP(H28,'DATOS CLIENTES'!B:F,5,FALSE))</f>
        <v>CORO</v>
      </c>
      <c r="S28" s="68" t="str">
        <f t="shared" si="13"/>
        <v>010</v>
      </c>
      <c r="U28" s="69">
        <f t="shared" si="6"/>
        <v>132.4</v>
      </c>
      <c r="V28" s="69">
        <f t="shared" si="7"/>
        <v>607.71600000000001</v>
      </c>
      <c r="X28" s="68">
        <f t="shared" si="14"/>
        <v>22</v>
      </c>
      <c r="Y28" s="68" t="str">
        <f t="shared" si="15"/>
        <v>SFACT</v>
      </c>
      <c r="Z28" s="68" t="str">
        <f t="shared" si="16"/>
        <v>FREDDY R. CH</v>
      </c>
      <c r="AA28" s="68" t="str">
        <f t="shared" si="17"/>
        <v>SFC-0222-010</v>
      </c>
      <c r="AB28" s="227">
        <f t="shared" si="18"/>
        <v>44602</v>
      </c>
      <c r="AC28" s="68" t="str">
        <f t="shared" si="19"/>
        <v>FERRETERIA ALEXANDER JESUS COLINA MATOS</v>
      </c>
      <c r="AD28" s="68" t="str">
        <f t="shared" si="20"/>
        <v>CHS - PINTURA IMPERMEABLE - SACO 10KG</v>
      </c>
      <c r="AE28" s="68">
        <f t="shared" si="21"/>
        <v>10</v>
      </c>
      <c r="AF28" s="68">
        <f t="shared" si="22"/>
        <v>5.4</v>
      </c>
      <c r="AG28" s="68">
        <f t="shared" si="23"/>
        <v>4.589999999999999</v>
      </c>
    </row>
    <row r="29" spans="1:38">
      <c r="A29" s="18" t="str">
        <f t="shared" si="0"/>
        <v>1SFC-0222-011</v>
      </c>
      <c r="B29" s="219" t="s">
        <v>945</v>
      </c>
      <c r="C29" s="58" t="s">
        <v>964</v>
      </c>
      <c r="D29" s="44">
        <f t="shared" ref="D29" si="76">IF(OR(H29="",AND(H29=H28,G29=G28)),D28,D28+1)</f>
        <v>11</v>
      </c>
      <c r="E29" s="59">
        <f t="shared" ref="E29" si="77">IF(F29="","",IF(OR(F29=0,F29=F28),E28+1,1))</f>
        <v>1</v>
      </c>
      <c r="F29" s="90" t="str">
        <f t="shared" ref="F29" si="78">IF(G29="","",CONCATENATE("SFC-",IF(LEN(MONTH($G$4))=1,CONCATENATE("0",MONTH($G$4)),MONTH($G$4)),RIGHT(YEAR($G$4),2),"-",S29))</f>
        <v>SFC-0222-011</v>
      </c>
      <c r="G29" s="205">
        <v>44603</v>
      </c>
      <c r="H29" s="191" t="s">
        <v>865</v>
      </c>
      <c r="I29" s="203" t="s">
        <v>940</v>
      </c>
      <c r="J29" s="204">
        <v>30</v>
      </c>
      <c r="K29" s="39">
        <f>IF(I29="",0,VLOOKUP(I29,'LISTA DE PRECIOS'!A:F,IF(R29="CORO",4,5),FALSE))</f>
        <v>2.39</v>
      </c>
      <c r="L29" s="206">
        <f t="shared" si="12"/>
        <v>71.7</v>
      </c>
      <c r="M29" s="217">
        <f>IF(F29="",0,IF(SUMIF('REPORTE GASTOS'!$C$6:$C$210,F29,'REPORTE GASTOS'!$G$6:$G$210)=0,'LISTA DE PRECIOS'!$H$3,SUMIF('REPORTE GASTOS'!$C$6:$C$210,F29,'REPORTE GASTOS'!$I$6:$I$210)/SUMIF('REPORTE GASTOS'!$C$6:$C$210,F29,'REPORTE GASTOS'!$G$6:$G$210)))</f>
        <v>4.46</v>
      </c>
      <c r="N29" s="12">
        <f t="shared" ref="N29" si="79">M29*K29</f>
        <v>10.6594</v>
      </c>
      <c r="O29" s="43">
        <f t="shared" ref="O29" si="80">N29*J29</f>
        <v>319.78199999999998</v>
      </c>
      <c r="P29" s="70"/>
      <c r="Q29">
        <v>2157155.4700000002</v>
      </c>
      <c r="R29" s="68" t="str">
        <f>IF(H29="","",VLOOKUP(H29,'DATOS CLIENTES'!B:F,5,FALSE))</f>
        <v>CORO</v>
      </c>
      <c r="S29" s="68" t="str">
        <f t="shared" si="13"/>
        <v>011</v>
      </c>
      <c r="U29" s="69">
        <f t="shared" si="6"/>
        <v>78.87</v>
      </c>
      <c r="V29" s="69">
        <f t="shared" si="7"/>
        <v>351.7602</v>
      </c>
      <c r="X29" s="68">
        <f t="shared" si="14"/>
        <v>23</v>
      </c>
      <c r="Y29" s="68" t="str">
        <f t="shared" si="15"/>
        <v>SFACT</v>
      </c>
      <c r="Z29" s="68" t="str">
        <f t="shared" si="16"/>
        <v>FREDDY R. CH</v>
      </c>
      <c r="AA29" s="68" t="str">
        <f t="shared" si="17"/>
        <v>SFC-0222-011</v>
      </c>
      <c r="AB29" s="227">
        <f t="shared" si="18"/>
        <v>44603</v>
      </c>
      <c r="AC29" s="68" t="str">
        <f t="shared" si="19"/>
        <v>INVERSIONES Y SERVICIOS TOTALES, C.A.</v>
      </c>
      <c r="AD29" s="68" t="str">
        <f t="shared" si="20"/>
        <v>STYLOSA TIPO A (50GR.)</v>
      </c>
      <c r="AE29" s="68">
        <f t="shared" si="21"/>
        <v>30</v>
      </c>
      <c r="AF29" s="68">
        <f t="shared" si="22"/>
        <v>2.39</v>
      </c>
      <c r="AG29" s="68">
        <f t="shared" si="23"/>
        <v>4.46</v>
      </c>
    </row>
    <row r="30" spans="1:38">
      <c r="A30" s="18" t="str">
        <f t="shared" si="0"/>
        <v>2SFC-0222-011</v>
      </c>
      <c r="B30" s="219" t="s">
        <v>945</v>
      </c>
      <c r="C30" s="58" t="s">
        <v>964</v>
      </c>
      <c r="D30" s="44">
        <f t="shared" ref="D30:D37" si="81">IF(OR(H30="",AND(H30=H29,G30=G29)),D29,D29+1)</f>
        <v>11</v>
      </c>
      <c r="E30" s="59">
        <f t="shared" ref="E30:E37" si="82">IF(F30="","",IF(OR(F30=0,F30=F29),E29+1,1))</f>
        <v>2</v>
      </c>
      <c r="F30" s="90" t="str">
        <f t="shared" ref="F30:F37" si="83">IF(G30="","",CONCATENATE("SFC-",IF(LEN(MONTH($G$4))=1,CONCATENATE("0",MONTH($G$4)),MONTH($G$4)),RIGHT(YEAR($G$4),2),"-",S30))</f>
        <v>SFC-0222-011</v>
      </c>
      <c r="G30" s="190">
        <v>44603</v>
      </c>
      <c r="H30" s="191" t="s">
        <v>865</v>
      </c>
      <c r="I30" s="203" t="s">
        <v>940</v>
      </c>
      <c r="J30" s="204">
        <v>3</v>
      </c>
      <c r="K30" s="39">
        <f>IF(I30="",0,VLOOKUP(I30,'LISTA DE PRECIOS'!A:F,IF(R30="CORO",4,5),FALSE))</f>
        <v>2.39</v>
      </c>
      <c r="L30" s="206">
        <f t="shared" si="12"/>
        <v>7.17</v>
      </c>
      <c r="M30" s="217">
        <f>IF(F30="",0,IF(SUMIF('REPORTE GASTOS'!$C$6:$C$210,F30,'REPORTE GASTOS'!$G$6:$G$210)=0,'LISTA DE PRECIOS'!$H$3,SUMIF('REPORTE GASTOS'!$C$6:$C$210,F30,'REPORTE GASTOS'!$I$6:$I$210)/SUMIF('REPORTE GASTOS'!$C$6:$C$210,F30,'REPORTE GASTOS'!$G$6:$G$210)))</f>
        <v>4.46</v>
      </c>
      <c r="N30" s="12">
        <f t="shared" ref="N30:N37" si="84">M30*K30</f>
        <v>10.6594</v>
      </c>
      <c r="O30" s="43">
        <f t="shared" ref="O30:O37" si="85">N30*J30</f>
        <v>31.978200000000001</v>
      </c>
      <c r="P30" s="70"/>
      <c r="Q30">
        <v>3751574.73</v>
      </c>
      <c r="R30" s="68" t="str">
        <f>IF(H30="","",VLOOKUP(H30,'DATOS CLIENTES'!B:F,5,FALSE))</f>
        <v>CORO</v>
      </c>
      <c r="S30" s="68" t="str">
        <f t="shared" si="13"/>
        <v>011</v>
      </c>
      <c r="U30" s="69">
        <f t="shared" si="6"/>
        <v>78.87</v>
      </c>
      <c r="V30" s="69">
        <f t="shared" si="7"/>
        <v>351.7602</v>
      </c>
      <c r="X30" s="68">
        <f t="shared" si="14"/>
        <v>24</v>
      </c>
      <c r="Y30" s="68" t="str">
        <f t="shared" si="15"/>
        <v>SFACT</v>
      </c>
      <c r="Z30" s="68" t="str">
        <f t="shared" si="16"/>
        <v>FREDDY R. CH</v>
      </c>
      <c r="AA30" s="68" t="str">
        <f t="shared" si="17"/>
        <v>SFC-0222-011</v>
      </c>
      <c r="AB30" s="227">
        <f t="shared" si="18"/>
        <v>44603</v>
      </c>
      <c r="AC30" s="68" t="str">
        <f t="shared" si="19"/>
        <v>INVERSIONES Y SERVICIOS TOTALES, C.A.</v>
      </c>
      <c r="AD30" s="68" t="str">
        <f t="shared" si="20"/>
        <v>STYLOSA TIPO A (50GR.)</v>
      </c>
      <c r="AE30" s="68">
        <f t="shared" si="21"/>
        <v>3</v>
      </c>
      <c r="AF30" s="68">
        <f t="shared" si="22"/>
        <v>2.39</v>
      </c>
      <c r="AG30" s="68">
        <f t="shared" si="23"/>
        <v>4.46</v>
      </c>
    </row>
    <row r="31" spans="1:38">
      <c r="A31" s="18" t="str">
        <f t="shared" si="0"/>
        <v>1SFC-0222-012</v>
      </c>
      <c r="B31" s="219" t="s">
        <v>945</v>
      </c>
      <c r="C31" s="58" t="s">
        <v>964</v>
      </c>
      <c r="D31" s="44">
        <f t="shared" si="81"/>
        <v>12</v>
      </c>
      <c r="E31" s="59">
        <f t="shared" si="82"/>
        <v>1</v>
      </c>
      <c r="F31" s="90" t="str">
        <f t="shared" si="83"/>
        <v>SFC-0222-012</v>
      </c>
      <c r="G31" s="190">
        <v>44606</v>
      </c>
      <c r="H31" s="191" t="s">
        <v>1069</v>
      </c>
      <c r="I31" s="191" t="s">
        <v>524</v>
      </c>
      <c r="J31" s="204">
        <v>11</v>
      </c>
      <c r="K31" s="39">
        <f>IF(I31="",0,VLOOKUP(I31,'LISTA DE PRECIOS'!A:F,IF(R31="CORO",4,5),FALSE))</f>
        <v>1.1499999999999999</v>
      </c>
      <c r="L31" s="206">
        <f t="shared" si="12"/>
        <v>12.65</v>
      </c>
      <c r="M31" s="217">
        <v>4.46</v>
      </c>
      <c r="N31" s="12">
        <f t="shared" si="84"/>
        <v>5.1289999999999996</v>
      </c>
      <c r="O31" s="43">
        <f t="shared" si="85"/>
        <v>56.418999999999997</v>
      </c>
      <c r="P31" s="70"/>
      <c r="Q31">
        <v>5752500</v>
      </c>
      <c r="R31" s="68" t="str">
        <f>IF(H31="","",VLOOKUP(H31,'DATOS CLIENTES'!B:F,5,FALSE))</f>
        <v>CORO</v>
      </c>
      <c r="S31" s="68" t="str">
        <f t="shared" si="13"/>
        <v>012</v>
      </c>
      <c r="U31" s="69">
        <f t="shared" si="6"/>
        <v>43.07</v>
      </c>
      <c r="V31" s="69">
        <f t="shared" si="7"/>
        <v>192.09219999999999</v>
      </c>
      <c r="X31" s="68">
        <f t="shared" si="14"/>
        <v>25</v>
      </c>
      <c r="Y31" s="68" t="str">
        <f t="shared" si="15"/>
        <v>SFACT</v>
      </c>
      <c r="Z31" s="68" t="str">
        <f t="shared" si="16"/>
        <v>FREDDY R. CH</v>
      </c>
      <c r="AA31" s="68" t="str">
        <f t="shared" si="17"/>
        <v>SFC-0222-012</v>
      </c>
      <c r="AB31" s="227">
        <f t="shared" si="18"/>
        <v>44606</v>
      </c>
      <c r="AC31" s="68" t="str">
        <f t="shared" si="19"/>
        <v>FERRETERIA MONTE ALTO F.E., C.A.</v>
      </c>
      <c r="AD31" s="68" t="str">
        <f t="shared" si="20"/>
        <v>CHS - CEMENTO BLANCO - SACO 1 KG</v>
      </c>
      <c r="AE31" s="68">
        <f t="shared" si="21"/>
        <v>11</v>
      </c>
      <c r="AF31" s="68">
        <f t="shared" si="22"/>
        <v>1.1499999999999999</v>
      </c>
      <c r="AG31" s="68">
        <f t="shared" si="23"/>
        <v>4.46</v>
      </c>
    </row>
    <row r="32" spans="1:38">
      <c r="A32" s="18" t="str">
        <f t="shared" si="0"/>
        <v>2SFC-0222-012</v>
      </c>
      <c r="B32" s="219" t="s">
        <v>945</v>
      </c>
      <c r="C32" s="58" t="s">
        <v>964</v>
      </c>
      <c r="D32" s="44">
        <f t="shared" si="81"/>
        <v>12</v>
      </c>
      <c r="E32" s="59">
        <f t="shared" si="82"/>
        <v>2</v>
      </c>
      <c r="F32" s="90" t="str">
        <f t="shared" si="83"/>
        <v>SFC-0222-012</v>
      </c>
      <c r="G32" s="190">
        <v>44606</v>
      </c>
      <c r="H32" s="191" t="s">
        <v>1069</v>
      </c>
      <c r="I32" s="202" t="s">
        <v>632</v>
      </c>
      <c r="J32" s="204">
        <v>12</v>
      </c>
      <c r="K32" s="39">
        <f>IF(I32="",0,VLOOKUP(I32,'LISTA DE PRECIOS'!A:F,IF(R32="CORO",4,5),FALSE))</f>
        <v>1.5499999999999998</v>
      </c>
      <c r="L32" s="206">
        <f t="shared" si="12"/>
        <v>18.600000000000001</v>
      </c>
      <c r="M32" s="217">
        <v>4.46</v>
      </c>
      <c r="N32" s="12">
        <f t="shared" si="84"/>
        <v>6.9129999999999994</v>
      </c>
      <c r="O32" s="43">
        <f t="shared" si="85"/>
        <v>82.955999999999989</v>
      </c>
      <c r="P32" s="70"/>
      <c r="Q32">
        <v>2944500</v>
      </c>
      <c r="R32" s="68" t="str">
        <f>IF(H32="","",VLOOKUP(H32,'DATOS CLIENTES'!B:F,5,FALSE))</f>
        <v>CORO</v>
      </c>
      <c r="S32" s="68" t="str">
        <f t="shared" si="13"/>
        <v>012</v>
      </c>
      <c r="U32" s="69">
        <f t="shared" si="6"/>
        <v>43.07</v>
      </c>
      <c r="V32" s="69">
        <f t="shared" si="7"/>
        <v>192.09219999999999</v>
      </c>
      <c r="X32" s="68">
        <f t="shared" si="14"/>
        <v>26</v>
      </c>
      <c r="Y32" s="68" t="str">
        <f t="shared" si="15"/>
        <v>SFACT</v>
      </c>
      <c r="Z32" s="68" t="str">
        <f t="shared" si="16"/>
        <v>FREDDY R. CH</v>
      </c>
      <c r="AA32" s="68" t="str">
        <f t="shared" si="17"/>
        <v>SFC-0222-012</v>
      </c>
      <c r="AB32" s="227">
        <f t="shared" si="18"/>
        <v>44606</v>
      </c>
      <c r="AC32" s="68" t="str">
        <f t="shared" si="19"/>
        <v>FERRETERIA MONTE ALTO F.E., C.A.</v>
      </c>
      <c r="AD32" s="68" t="str">
        <f t="shared" si="20"/>
        <v>CHS - BASE RENDIDORA PINTURA (1,25 KG)</v>
      </c>
      <c r="AE32" s="68">
        <f t="shared" si="21"/>
        <v>12</v>
      </c>
      <c r="AF32" s="68">
        <f t="shared" si="22"/>
        <v>1.5499999999999998</v>
      </c>
      <c r="AG32" s="68">
        <f t="shared" si="23"/>
        <v>4.46</v>
      </c>
    </row>
    <row r="33" spans="1:33">
      <c r="A33" s="18" t="str">
        <f t="shared" si="0"/>
        <v>3SFC-0222-012</v>
      </c>
      <c r="B33" s="219" t="s">
        <v>945</v>
      </c>
      <c r="C33" s="58" t="s">
        <v>964</v>
      </c>
      <c r="D33" s="44">
        <f t="shared" si="81"/>
        <v>12</v>
      </c>
      <c r="E33" s="59">
        <f t="shared" si="82"/>
        <v>3</v>
      </c>
      <c r="F33" s="90" t="str">
        <f t="shared" si="83"/>
        <v>SFC-0222-012</v>
      </c>
      <c r="G33" s="205">
        <v>44606</v>
      </c>
      <c r="H33" s="191" t="s">
        <v>1069</v>
      </c>
      <c r="I33" s="203" t="s">
        <v>512</v>
      </c>
      <c r="J33" s="42">
        <v>6</v>
      </c>
      <c r="K33" s="39">
        <f>IF(I33="",0,VLOOKUP(I33,'LISTA DE PRECIOS'!A:F,IF(R33="CORO",4,5),FALSE))</f>
        <v>1.9699999999999998</v>
      </c>
      <c r="L33" s="206">
        <f t="shared" si="12"/>
        <v>11.82</v>
      </c>
      <c r="M33" s="217">
        <v>4.46</v>
      </c>
      <c r="N33" s="12">
        <f t="shared" si="84"/>
        <v>8.7861999999999991</v>
      </c>
      <c r="O33" s="43">
        <f t="shared" si="85"/>
        <v>52.717199999999991</v>
      </c>
      <c r="P33" s="70"/>
      <c r="Q33">
        <v>2944500</v>
      </c>
      <c r="R33" s="68" t="str">
        <f>IF(H33="","",VLOOKUP(H33,'DATOS CLIENTES'!B:F,5,FALSE))</f>
        <v>CORO</v>
      </c>
      <c r="S33" s="68" t="str">
        <f t="shared" si="13"/>
        <v>012</v>
      </c>
      <c r="U33" s="69">
        <f t="shared" si="6"/>
        <v>43.07</v>
      </c>
      <c r="V33" s="69">
        <f t="shared" si="7"/>
        <v>192.09219999999999</v>
      </c>
      <c r="X33" s="68">
        <f t="shared" si="14"/>
        <v>27</v>
      </c>
      <c r="Y33" s="68" t="str">
        <f t="shared" si="15"/>
        <v>SFACT</v>
      </c>
      <c r="Z33" s="68" t="str">
        <f t="shared" si="16"/>
        <v>FREDDY R. CH</v>
      </c>
      <c r="AA33" s="68" t="str">
        <f t="shared" si="17"/>
        <v>SFC-0222-012</v>
      </c>
      <c r="AB33" s="227">
        <f t="shared" si="18"/>
        <v>44606</v>
      </c>
      <c r="AC33" s="68" t="str">
        <f t="shared" si="19"/>
        <v>FERRETERIA MONTE ALTO F.E., C.A.</v>
      </c>
      <c r="AD33" s="68" t="str">
        <f t="shared" si="20"/>
        <v>CHS - GRAFIADO EN POLVO - SACO 6KG</v>
      </c>
      <c r="AE33" s="68">
        <f t="shared" si="21"/>
        <v>6</v>
      </c>
      <c r="AF33" s="68">
        <f t="shared" si="22"/>
        <v>1.9699999999999998</v>
      </c>
      <c r="AG33" s="68">
        <f t="shared" si="23"/>
        <v>4.46</v>
      </c>
    </row>
    <row r="34" spans="1:33">
      <c r="A34" s="18" t="str">
        <f t="shared" si="0"/>
        <v>1SFC-0222-013</v>
      </c>
      <c r="B34" s="219" t="s">
        <v>945</v>
      </c>
      <c r="C34" s="58" t="s">
        <v>964</v>
      </c>
      <c r="D34" s="44">
        <f t="shared" si="81"/>
        <v>13</v>
      </c>
      <c r="E34" s="59">
        <f t="shared" si="82"/>
        <v>1</v>
      </c>
      <c r="F34" s="90" t="str">
        <f t="shared" si="83"/>
        <v>SFC-0222-013</v>
      </c>
      <c r="G34" s="205">
        <v>44606</v>
      </c>
      <c r="H34" s="191" t="s">
        <v>1096</v>
      </c>
      <c r="I34" s="191" t="s">
        <v>1021</v>
      </c>
      <c r="J34" s="204">
        <v>10</v>
      </c>
      <c r="K34" s="39">
        <f>IF(I34="",0,VLOOKUP(I34,'LISTA DE PRECIOS'!A:F,IF(R34="CORO",4,5),FALSE))</f>
        <v>5.6</v>
      </c>
      <c r="L34" s="206">
        <f t="shared" si="12"/>
        <v>56</v>
      </c>
      <c r="M34" s="217">
        <v>4.46</v>
      </c>
      <c r="N34" s="12">
        <f t="shared" si="84"/>
        <v>24.975999999999999</v>
      </c>
      <c r="O34" s="43">
        <f t="shared" si="85"/>
        <v>249.76</v>
      </c>
      <c r="P34" s="70"/>
      <c r="Q34">
        <v>4485000</v>
      </c>
      <c r="R34" s="68" t="str">
        <f>IF(H34="","",VLOOKUP(H34,'DATOS CLIENTES'!B:F,5,FALSE))</f>
        <v>CORO</v>
      </c>
      <c r="S34" s="68" t="str">
        <f t="shared" si="13"/>
        <v>013</v>
      </c>
      <c r="U34" s="69">
        <f t="shared" si="6"/>
        <v>128.85</v>
      </c>
      <c r="V34" s="69">
        <f t="shared" si="7"/>
        <v>570.29999999999995</v>
      </c>
      <c r="X34" s="68">
        <f t="shared" si="14"/>
        <v>28</v>
      </c>
      <c r="Y34" s="68" t="str">
        <f t="shared" si="15"/>
        <v>SFACT</v>
      </c>
      <c r="Z34" s="68" t="str">
        <f t="shared" si="16"/>
        <v>FREDDY R. CH</v>
      </c>
      <c r="AA34" s="68" t="str">
        <f t="shared" si="17"/>
        <v>SFC-0222-013</v>
      </c>
      <c r="AB34" s="227">
        <f t="shared" si="18"/>
        <v>44606</v>
      </c>
      <c r="AC34" s="68" t="str">
        <f t="shared" si="19"/>
        <v>INVERSIONES FONSECA BLOCKS, C.A.</v>
      </c>
      <c r="AD34" s="68" t="str">
        <f t="shared" si="20"/>
        <v>CHS - ESTUCO GRIS - SACO 12KG</v>
      </c>
      <c r="AE34" s="68">
        <f t="shared" si="21"/>
        <v>10</v>
      </c>
      <c r="AF34" s="68">
        <f t="shared" si="22"/>
        <v>5.6</v>
      </c>
      <c r="AG34" s="68">
        <f t="shared" si="23"/>
        <v>4.46</v>
      </c>
    </row>
    <row r="35" spans="1:33">
      <c r="A35" s="18" t="str">
        <f t="shared" si="0"/>
        <v>2SFC-0222-013</v>
      </c>
      <c r="B35" s="219" t="s">
        <v>945</v>
      </c>
      <c r="C35" s="58" t="s">
        <v>964</v>
      </c>
      <c r="D35" s="44">
        <f t="shared" si="81"/>
        <v>13</v>
      </c>
      <c r="E35" s="59">
        <f t="shared" si="82"/>
        <v>2</v>
      </c>
      <c r="F35" s="90" t="str">
        <f t="shared" si="83"/>
        <v>SFC-0222-013</v>
      </c>
      <c r="G35" s="205">
        <v>44606</v>
      </c>
      <c r="H35" s="191" t="s">
        <v>1096</v>
      </c>
      <c r="I35" s="203" t="s">
        <v>862</v>
      </c>
      <c r="J35" s="204">
        <v>10</v>
      </c>
      <c r="K35" s="39">
        <f>IF(I35="",0,VLOOKUP(I35,'LISTA DE PRECIOS'!A:F,IF(R35="CORO",4,5),FALSE))</f>
        <v>5</v>
      </c>
      <c r="L35" s="206">
        <f t="shared" si="12"/>
        <v>50</v>
      </c>
      <c r="M35" s="217">
        <f>IF(F35="",0,IF(SUMIF('REPORTE GASTOS'!$C$6:$C$210,F35,'REPORTE GASTOS'!$G$6:$G$210)=0,'LISTA DE PRECIOS'!$H$3,SUMIF('REPORTE GASTOS'!$C$6:$C$210,F35,'REPORTE GASTOS'!$I$6:$I$210)/SUMIF('REPORTE GASTOS'!$C$6:$C$210,F35,'REPORTE GASTOS'!$G$6:$G$210)))</f>
        <v>4.4000000000000004</v>
      </c>
      <c r="N35" s="12">
        <f t="shared" si="84"/>
        <v>22</v>
      </c>
      <c r="O35" s="43">
        <f t="shared" si="85"/>
        <v>220</v>
      </c>
      <c r="P35" s="70"/>
      <c r="Q35">
        <v>8850000</v>
      </c>
      <c r="R35" s="68" t="str">
        <f>IF(H35="","",VLOOKUP(H35,'DATOS CLIENTES'!B:F,5,FALSE))</f>
        <v>CORO</v>
      </c>
      <c r="S35" s="68" t="str">
        <f t="shared" si="13"/>
        <v>013</v>
      </c>
      <c r="U35" s="69">
        <f t="shared" si="6"/>
        <v>128.85</v>
      </c>
      <c r="V35" s="69">
        <f t="shared" si="7"/>
        <v>570.29999999999995</v>
      </c>
      <c r="X35" s="68">
        <f t="shared" si="14"/>
        <v>29</v>
      </c>
      <c r="Y35" s="68" t="str">
        <f t="shared" si="15"/>
        <v>SFACT</v>
      </c>
      <c r="Z35" s="68" t="str">
        <f t="shared" si="16"/>
        <v>FREDDY R. CH</v>
      </c>
      <c r="AA35" s="68" t="str">
        <f t="shared" si="17"/>
        <v>SFC-0222-013</v>
      </c>
      <c r="AB35" s="227">
        <f t="shared" si="18"/>
        <v>44606</v>
      </c>
      <c r="AC35" s="68" t="str">
        <f t="shared" si="19"/>
        <v>INVERSIONES FONSECA BLOCKS, C.A.</v>
      </c>
      <c r="AD35" s="68" t="str">
        <f t="shared" si="20"/>
        <v>CHS - PASTA EN POLVO PLUS - SACO 8KG</v>
      </c>
      <c r="AE35" s="68">
        <f t="shared" si="21"/>
        <v>10</v>
      </c>
      <c r="AF35" s="68">
        <f t="shared" si="22"/>
        <v>5</v>
      </c>
      <c r="AG35" s="68">
        <f t="shared" si="23"/>
        <v>4.4000000000000004</v>
      </c>
    </row>
    <row r="36" spans="1:33" ht="17.25" customHeight="1">
      <c r="A36" s="18" t="str">
        <f t="shared" si="0"/>
        <v>3SFC-0222-013</v>
      </c>
      <c r="B36" s="219" t="s">
        <v>945</v>
      </c>
      <c r="C36" s="58" t="s">
        <v>964</v>
      </c>
      <c r="D36" s="44">
        <f t="shared" si="81"/>
        <v>13</v>
      </c>
      <c r="E36" s="59">
        <f t="shared" si="82"/>
        <v>3</v>
      </c>
      <c r="F36" s="90" t="str">
        <f t="shared" si="83"/>
        <v>SFC-0222-013</v>
      </c>
      <c r="G36" s="205">
        <v>44606</v>
      </c>
      <c r="H36" s="191" t="s">
        <v>1096</v>
      </c>
      <c r="I36" s="203" t="s">
        <v>524</v>
      </c>
      <c r="J36" s="42">
        <v>5</v>
      </c>
      <c r="K36" s="39">
        <f>IF(I36="",0,VLOOKUP(I36,'LISTA DE PRECIOS'!A:F,IF(R36="CORO",4,5),FALSE))</f>
        <v>1.1499999999999999</v>
      </c>
      <c r="L36" s="206">
        <f t="shared" si="12"/>
        <v>5.75</v>
      </c>
      <c r="M36" s="217">
        <f>IF(F36="",0,IF(SUMIF('REPORTE GASTOS'!$C$6:$C$210,F36,'REPORTE GASTOS'!$G$6:$G$210)=0,'LISTA DE PRECIOS'!$H$3,SUMIF('REPORTE GASTOS'!$C$6:$C$210,F36,'REPORTE GASTOS'!$I$6:$I$210)/SUMIF('REPORTE GASTOS'!$C$6:$C$210,F36,'REPORTE GASTOS'!$G$6:$G$210)))</f>
        <v>4.4000000000000004</v>
      </c>
      <c r="N36" s="12">
        <f t="shared" si="84"/>
        <v>5.0599999999999996</v>
      </c>
      <c r="O36" s="43">
        <f t="shared" si="85"/>
        <v>25.299999999999997</v>
      </c>
      <c r="P36" s="70"/>
      <c r="Q36">
        <v>15720000</v>
      </c>
      <c r="R36" s="68" t="str">
        <f>IF(H36="","",VLOOKUP(H36,'DATOS CLIENTES'!B:F,5,FALSE))</f>
        <v>CORO</v>
      </c>
      <c r="S36" s="68" t="str">
        <f t="shared" si="13"/>
        <v>013</v>
      </c>
      <c r="U36" s="69">
        <f t="shared" si="6"/>
        <v>128.85</v>
      </c>
      <c r="V36" s="69">
        <f t="shared" si="7"/>
        <v>570.29999999999995</v>
      </c>
      <c r="X36" s="68">
        <f t="shared" si="14"/>
        <v>30</v>
      </c>
      <c r="Y36" s="68" t="str">
        <f t="shared" si="15"/>
        <v>SFACT</v>
      </c>
      <c r="Z36" s="68" t="str">
        <f t="shared" si="16"/>
        <v>FREDDY R. CH</v>
      </c>
      <c r="AA36" s="68" t="str">
        <f t="shared" si="17"/>
        <v>SFC-0222-013</v>
      </c>
      <c r="AB36" s="227">
        <f t="shared" si="18"/>
        <v>44606</v>
      </c>
      <c r="AC36" s="68" t="str">
        <f t="shared" si="19"/>
        <v>INVERSIONES FONSECA BLOCKS, C.A.</v>
      </c>
      <c r="AD36" s="68" t="str">
        <f t="shared" si="20"/>
        <v>CHS - CEMENTO BLANCO - SACO 1 KG</v>
      </c>
      <c r="AE36" s="68">
        <f t="shared" si="21"/>
        <v>5</v>
      </c>
      <c r="AF36" s="68">
        <f t="shared" si="22"/>
        <v>1.1499999999999999</v>
      </c>
      <c r="AG36" s="68">
        <f t="shared" si="23"/>
        <v>4.4000000000000004</v>
      </c>
    </row>
    <row r="37" spans="1:33" ht="17.25" customHeight="1">
      <c r="A37" s="18" t="str">
        <f t="shared" si="0"/>
        <v>4SFC-0222-013</v>
      </c>
      <c r="B37" s="219" t="s">
        <v>945</v>
      </c>
      <c r="C37" s="58" t="s">
        <v>964</v>
      </c>
      <c r="D37" s="44">
        <f t="shared" si="81"/>
        <v>13</v>
      </c>
      <c r="E37" s="59">
        <f t="shared" si="82"/>
        <v>4</v>
      </c>
      <c r="F37" s="90" t="str">
        <f t="shared" si="83"/>
        <v>SFC-0222-013</v>
      </c>
      <c r="G37" s="190">
        <v>44606</v>
      </c>
      <c r="H37" s="191" t="s">
        <v>1096</v>
      </c>
      <c r="I37" s="203" t="s">
        <v>758</v>
      </c>
      <c r="J37" s="204">
        <v>5</v>
      </c>
      <c r="K37" s="39">
        <f>IF(I37="",0,VLOOKUP(I37,'LISTA DE PRECIOS'!A:F,IF(R37="CORO",4,5),FALSE))</f>
        <v>2.88</v>
      </c>
      <c r="L37" s="206">
        <f t="shared" si="12"/>
        <v>14.4</v>
      </c>
      <c r="M37" s="217">
        <f>IF(F37="",0,IF(SUMIF('REPORTE GASTOS'!$C$6:$C$210,F37,'REPORTE GASTOS'!$G$6:$G$210)=0,'LISTA DE PRECIOS'!$H$3,SUMIF('REPORTE GASTOS'!$C$6:$C$210,F37,'REPORTE GASTOS'!$I$6:$I$210)/SUMIF('REPORTE GASTOS'!$C$6:$C$210,F37,'REPORTE GASTOS'!$G$6:$G$210)))</f>
        <v>4.4000000000000004</v>
      </c>
      <c r="N37" s="12">
        <f t="shared" si="84"/>
        <v>12.672000000000001</v>
      </c>
      <c r="O37" s="43">
        <f t="shared" si="85"/>
        <v>63.36</v>
      </c>
      <c r="P37" s="70"/>
      <c r="Q37">
        <v>9750000</v>
      </c>
      <c r="R37" s="68" t="str">
        <f>IF(H37="","",VLOOKUP(H37,'DATOS CLIENTES'!B:F,5,FALSE))</f>
        <v>CORO</v>
      </c>
      <c r="S37" s="68" t="str">
        <f t="shared" si="13"/>
        <v>013</v>
      </c>
      <c r="U37" s="69">
        <f t="shared" si="6"/>
        <v>128.85</v>
      </c>
      <c r="V37" s="69">
        <f t="shared" si="7"/>
        <v>570.29999999999995</v>
      </c>
      <c r="X37" s="68">
        <f t="shared" si="14"/>
        <v>31</v>
      </c>
      <c r="Y37" s="68" t="str">
        <f t="shared" si="15"/>
        <v>SFACT</v>
      </c>
      <c r="Z37" s="68" t="str">
        <f t="shared" si="16"/>
        <v>FREDDY R. CH</v>
      </c>
      <c r="AA37" s="68" t="str">
        <f t="shared" si="17"/>
        <v>SFC-0222-013</v>
      </c>
      <c r="AB37" s="227">
        <f t="shared" si="18"/>
        <v>44606</v>
      </c>
      <c r="AC37" s="68" t="str">
        <f t="shared" si="19"/>
        <v>INVERSIONES FONSECA BLOCKS, C.A.</v>
      </c>
      <c r="AD37" s="68" t="str">
        <f t="shared" si="20"/>
        <v>CHS - PEGO GRIS - SACO 15KG</v>
      </c>
      <c r="AE37" s="68">
        <f t="shared" si="21"/>
        <v>5</v>
      </c>
      <c r="AF37" s="68">
        <f t="shared" si="22"/>
        <v>2.88</v>
      </c>
      <c r="AG37" s="68">
        <f t="shared" si="23"/>
        <v>4.4000000000000004</v>
      </c>
    </row>
    <row r="38" spans="1:33">
      <c r="A38" s="18" t="str">
        <f t="shared" si="0"/>
        <v>5SFC-0222-013</v>
      </c>
      <c r="B38" s="219" t="s">
        <v>945</v>
      </c>
      <c r="C38" s="58" t="s">
        <v>964</v>
      </c>
      <c r="D38" s="44">
        <f t="shared" ref="D38:D65" si="86">IF(OR(H38="",AND(H38=H37,G38=G37)),D37,D37+1)</f>
        <v>13</v>
      </c>
      <c r="E38" s="59">
        <f t="shared" ref="E38:E65" si="87">IF(F38="","",IF(OR(F38=0,F38=F37),E37+1,1))</f>
        <v>5</v>
      </c>
      <c r="F38" s="90" t="str">
        <f t="shared" ref="F38:F65" si="88">IF(G38="","",CONCATENATE("SFC-",IF(LEN(MONTH($G$4))=1,CONCATENATE("0",MONTH($G$4)),MONTH($G$4)),RIGHT(YEAR($G$4),2),"-",S38))</f>
        <v>SFC-0222-013</v>
      </c>
      <c r="G38" s="190">
        <v>44606</v>
      </c>
      <c r="H38" s="191" t="s">
        <v>1096</v>
      </c>
      <c r="I38" s="203" t="s">
        <v>480</v>
      </c>
      <c r="J38" s="204">
        <v>5</v>
      </c>
      <c r="K38" s="39">
        <f>IF(I38="",0,VLOOKUP(I38,'LISTA DE PRECIOS'!A:F,IF(R38="CORO",4,5),FALSE))</f>
        <v>0.54</v>
      </c>
      <c r="L38" s="206">
        <f t="shared" si="12"/>
        <v>2.7</v>
      </c>
      <c r="M38" s="217">
        <f>IF(F38="",0,IF(SUMIF('REPORTE GASTOS'!$C$6:$C$210,F38,'REPORTE GASTOS'!$G$6:$G$210)=0,'LISTA DE PRECIOS'!$H$3,SUMIF('REPORTE GASTOS'!$C$6:$C$210,F38,'REPORTE GASTOS'!$I$6:$I$210)/SUMIF('REPORTE GASTOS'!$C$6:$C$210,F38,'REPORTE GASTOS'!$G$6:$G$210)))</f>
        <v>4.4000000000000004</v>
      </c>
      <c r="N38" s="12">
        <f t="shared" ref="N38:N65" si="89">M38*K38</f>
        <v>2.3760000000000003</v>
      </c>
      <c r="O38" s="43">
        <f t="shared" ref="O38:O65" si="90">N38*J38</f>
        <v>11.880000000000003</v>
      </c>
      <c r="P38" s="70"/>
      <c r="Q38">
        <v>4530000</v>
      </c>
      <c r="R38" s="68" t="str">
        <f>IF(H38="","",VLOOKUP(H38,'DATOS CLIENTES'!B:F,5,FALSE))</f>
        <v>CORO</v>
      </c>
      <c r="S38" s="68" t="str">
        <f t="shared" si="13"/>
        <v>013</v>
      </c>
      <c r="U38" s="69">
        <f t="shared" si="6"/>
        <v>128.85</v>
      </c>
      <c r="V38" s="69">
        <f t="shared" si="7"/>
        <v>570.29999999999995</v>
      </c>
      <c r="X38" s="68">
        <f t="shared" si="14"/>
        <v>32</v>
      </c>
      <c r="Y38" s="68" t="str">
        <f t="shared" si="15"/>
        <v>SFACT</v>
      </c>
      <c r="Z38" s="68" t="str">
        <f t="shared" si="16"/>
        <v>FREDDY R. CH</v>
      </c>
      <c r="AA38" s="68" t="str">
        <f t="shared" si="17"/>
        <v>SFC-0222-013</v>
      </c>
      <c r="AB38" s="227">
        <f t="shared" si="18"/>
        <v>44606</v>
      </c>
      <c r="AC38" s="68" t="str">
        <f t="shared" si="19"/>
        <v>INVERSIONES FONSECA BLOCKS, C.A.</v>
      </c>
      <c r="AD38" s="68" t="str">
        <f t="shared" si="20"/>
        <v>CHS - PASTA EN POLVO - SACO 0,75 KG</v>
      </c>
      <c r="AE38" s="68">
        <f t="shared" si="21"/>
        <v>5</v>
      </c>
      <c r="AF38" s="68">
        <f t="shared" si="22"/>
        <v>0.54</v>
      </c>
      <c r="AG38" s="68">
        <f t="shared" si="23"/>
        <v>4.4000000000000004</v>
      </c>
    </row>
    <row r="39" spans="1:33">
      <c r="A39" s="18" t="str">
        <f t="shared" si="0"/>
        <v>1SFC-0222-014</v>
      </c>
      <c r="B39" s="219" t="s">
        <v>945</v>
      </c>
      <c r="C39" s="58" t="s">
        <v>964</v>
      </c>
      <c r="D39" s="44">
        <f t="shared" si="86"/>
        <v>14</v>
      </c>
      <c r="E39" s="59">
        <f t="shared" si="87"/>
        <v>1</v>
      </c>
      <c r="F39" s="90" t="str">
        <f t="shared" si="88"/>
        <v>SFC-0222-014</v>
      </c>
      <c r="G39" s="190">
        <v>44607</v>
      </c>
      <c r="H39" s="191" t="s">
        <v>237</v>
      </c>
      <c r="I39" s="203" t="s">
        <v>76</v>
      </c>
      <c r="J39" s="204">
        <v>50</v>
      </c>
      <c r="K39" s="39">
        <f>IF(I39="",0,VLOOKUP(I39,'LISTA DE PRECIOS'!A:F,IF(R39="CORO",4,5),FALSE))</f>
        <v>1.1200000000000001</v>
      </c>
      <c r="L39" s="206">
        <f t="shared" si="12"/>
        <v>56</v>
      </c>
      <c r="M39" s="217">
        <f>IF(F39="",0,IF(SUMIF('REPORTE GASTOS'!$C$6:$C$210,F39,'REPORTE GASTOS'!$G$6:$G$210)=0,'LISTA DE PRECIOS'!$H$3,SUMIF('REPORTE GASTOS'!$C$6:$C$210,F39,'REPORTE GASTOS'!$I$6:$I$210)/SUMIF('REPORTE GASTOS'!$C$6:$C$210,F39,'REPORTE GASTOS'!$G$6:$G$210)))</f>
        <v>5.0999999999999996</v>
      </c>
      <c r="N39" s="12">
        <f t="shared" si="89"/>
        <v>5.7119999999999997</v>
      </c>
      <c r="O39" s="43">
        <f t="shared" si="90"/>
        <v>285.59999999999997</v>
      </c>
      <c r="P39" s="70"/>
      <c r="Q39">
        <v>6900000</v>
      </c>
      <c r="R39" s="68" t="str">
        <f>IF(H39="","",VLOOKUP(H39,'DATOS CLIENTES'!B:F,5,FALSE))</f>
        <v>CORO</v>
      </c>
      <c r="S39" s="68" t="str">
        <f t="shared" si="13"/>
        <v>014</v>
      </c>
      <c r="U39" s="69">
        <f t="shared" si="6"/>
        <v>56</v>
      </c>
      <c r="V39" s="69">
        <f t="shared" si="7"/>
        <v>285.59999999999997</v>
      </c>
      <c r="X39" s="68">
        <f t="shared" si="14"/>
        <v>33</v>
      </c>
      <c r="Y39" s="68" t="str">
        <f t="shared" si="15"/>
        <v>SFACT</v>
      </c>
      <c r="Z39" s="68" t="str">
        <f t="shared" si="16"/>
        <v>FREDDY R. CH</v>
      </c>
      <c r="AA39" s="68" t="str">
        <f t="shared" si="17"/>
        <v>SFC-0222-014</v>
      </c>
      <c r="AB39" s="227">
        <f t="shared" si="18"/>
        <v>44607</v>
      </c>
      <c r="AC39" s="68" t="str">
        <f t="shared" si="19"/>
        <v>FERRE PINTURAS FORNE, C.A.</v>
      </c>
      <c r="AD39" s="68" t="str">
        <f t="shared" si="20"/>
        <v>MACROFIBRA TEREFTALATO DE DIMETILO (100 GR)</v>
      </c>
      <c r="AE39" s="68">
        <f t="shared" si="21"/>
        <v>50</v>
      </c>
      <c r="AF39" s="68">
        <f t="shared" si="22"/>
        <v>1.1200000000000001</v>
      </c>
      <c r="AG39" s="68">
        <f t="shared" si="23"/>
        <v>5.0999999999999996</v>
      </c>
    </row>
    <row r="40" spans="1:33">
      <c r="A40" s="18" t="str">
        <f t="shared" si="0"/>
        <v>1SFC-0222-015</v>
      </c>
      <c r="B40" s="219" t="s">
        <v>945</v>
      </c>
      <c r="C40" s="58" t="s">
        <v>964</v>
      </c>
      <c r="D40" s="44">
        <f t="shared" si="86"/>
        <v>15</v>
      </c>
      <c r="E40" s="59">
        <f t="shared" si="87"/>
        <v>1</v>
      </c>
      <c r="F40" s="90" t="str">
        <f t="shared" si="88"/>
        <v>SFC-0222-015</v>
      </c>
      <c r="G40" s="190">
        <v>44607</v>
      </c>
      <c r="H40" s="191" t="s">
        <v>242</v>
      </c>
      <c r="I40" s="293" t="s">
        <v>849</v>
      </c>
      <c r="J40" s="295">
        <v>30</v>
      </c>
      <c r="K40" s="294">
        <f>IF(I40="",0,VLOOKUP(I40,'LISTA DE PRECIOS'!A:F,IF(R40="CORO",4,5),FALSE))*0.975</f>
        <v>4.0852500000000003</v>
      </c>
      <c r="L40" s="206">
        <f t="shared" si="12"/>
        <v>122.56</v>
      </c>
      <c r="M40" s="217">
        <v>4.46</v>
      </c>
      <c r="N40" s="12">
        <f t="shared" si="89"/>
        <v>18.220215</v>
      </c>
      <c r="O40" s="43">
        <f t="shared" si="90"/>
        <v>546.60645</v>
      </c>
      <c r="P40" s="70"/>
      <c r="Q40">
        <v>15720000</v>
      </c>
      <c r="R40" s="68" t="str">
        <f>IF(H40="","",VLOOKUP(H40,'DATOS CLIENTES'!B:F,5,FALSE))</f>
        <v>CORO</v>
      </c>
      <c r="S40" s="68" t="str">
        <f t="shared" si="13"/>
        <v>015</v>
      </c>
      <c r="U40" s="69">
        <f t="shared" si="6"/>
        <v>122.56</v>
      </c>
      <c r="V40" s="69">
        <f t="shared" si="7"/>
        <v>546.60645</v>
      </c>
      <c r="X40" s="68">
        <f t="shared" si="14"/>
        <v>34</v>
      </c>
      <c r="Y40" s="68" t="str">
        <f t="shared" si="15"/>
        <v>SFACT</v>
      </c>
      <c r="Z40" s="68" t="str">
        <f t="shared" si="16"/>
        <v>FREDDY R. CH</v>
      </c>
      <c r="AA40" s="68" t="str">
        <f t="shared" si="17"/>
        <v>SFC-0222-015</v>
      </c>
      <c r="AB40" s="227">
        <f t="shared" si="18"/>
        <v>44607</v>
      </c>
      <c r="AC40" s="68" t="str">
        <f t="shared" si="19"/>
        <v>FERRETERIA FORNE H, C.A.</v>
      </c>
      <c r="AD40" s="68" t="str">
        <f t="shared" si="20"/>
        <v>CHS - GRAFIADO EN POLVO - SACO 15KG</v>
      </c>
      <c r="AE40" s="68">
        <f t="shared" si="21"/>
        <v>30</v>
      </c>
      <c r="AF40" s="68">
        <f t="shared" si="22"/>
        <v>4.0852500000000003</v>
      </c>
      <c r="AG40" s="68">
        <f t="shared" si="23"/>
        <v>4.46</v>
      </c>
    </row>
    <row r="41" spans="1:33">
      <c r="A41" s="18" t="str">
        <f t="shared" si="0"/>
        <v>1SFC-0222-016</v>
      </c>
      <c r="B41" s="219" t="s">
        <v>945</v>
      </c>
      <c r="C41" s="58" t="s">
        <v>964</v>
      </c>
      <c r="D41" s="44">
        <f t="shared" si="86"/>
        <v>16</v>
      </c>
      <c r="E41" s="59">
        <f t="shared" si="87"/>
        <v>1</v>
      </c>
      <c r="F41" s="90" t="str">
        <f t="shared" si="88"/>
        <v>SFC-0222-016</v>
      </c>
      <c r="G41" s="190">
        <v>44607</v>
      </c>
      <c r="H41" s="191" t="s">
        <v>1278</v>
      </c>
      <c r="I41" s="202" t="s">
        <v>1002</v>
      </c>
      <c r="J41" s="204">
        <v>4</v>
      </c>
      <c r="K41" s="39">
        <f>IF(I41="",0,VLOOKUP(I41,'LISTA DE PRECIOS'!A:F,IF(R41="CORO",4,5),FALSE))</f>
        <v>5.4</v>
      </c>
      <c r="L41" s="206">
        <f t="shared" si="12"/>
        <v>21.6</v>
      </c>
      <c r="M41" s="217">
        <v>4.46</v>
      </c>
      <c r="N41" s="12">
        <f t="shared" si="89"/>
        <v>24.084</v>
      </c>
      <c r="O41" s="43">
        <f t="shared" si="90"/>
        <v>96.335999999999999</v>
      </c>
      <c r="P41" s="70"/>
      <c r="Q41">
        <v>2070000</v>
      </c>
      <c r="R41" s="68" t="str">
        <f>IF(H41="","",VLOOKUP(H41,'DATOS CLIENTES'!B:F,5,FALSE))</f>
        <v>CORO</v>
      </c>
      <c r="S41" s="68" t="str">
        <f t="shared" si="13"/>
        <v>016</v>
      </c>
      <c r="U41" s="69">
        <f t="shared" si="6"/>
        <v>21.6</v>
      </c>
      <c r="V41" s="69">
        <f t="shared" si="7"/>
        <v>96.335999999999999</v>
      </c>
      <c r="X41" s="68">
        <f t="shared" si="14"/>
        <v>35</v>
      </c>
      <c r="Y41" s="68" t="str">
        <f t="shared" si="15"/>
        <v>SFACT</v>
      </c>
      <c r="Z41" s="68" t="str">
        <f t="shared" si="16"/>
        <v>FREDDY R. CH</v>
      </c>
      <c r="AA41" s="68" t="str">
        <f t="shared" si="17"/>
        <v>SFC-0222-016</v>
      </c>
      <c r="AB41" s="227">
        <f t="shared" si="18"/>
        <v>44607</v>
      </c>
      <c r="AC41" s="68" t="str">
        <f t="shared" si="19"/>
        <v>YALISBETH ACOSTA</v>
      </c>
      <c r="AD41" s="68" t="str">
        <f t="shared" si="20"/>
        <v>CHS - PINTURA IMPERMEABLE - SACO 10KG</v>
      </c>
      <c r="AE41" s="68">
        <f t="shared" si="21"/>
        <v>4</v>
      </c>
      <c r="AF41" s="68">
        <f t="shared" si="22"/>
        <v>5.4</v>
      </c>
      <c r="AG41" s="68">
        <f t="shared" si="23"/>
        <v>4.46</v>
      </c>
    </row>
    <row r="42" spans="1:33">
      <c r="A42" s="18" t="str">
        <f t="shared" si="0"/>
        <v>1SFC-0222-017</v>
      </c>
      <c r="B42" s="219" t="s">
        <v>945</v>
      </c>
      <c r="C42" s="58" t="s">
        <v>964</v>
      </c>
      <c r="D42" s="44">
        <f t="shared" si="86"/>
        <v>17</v>
      </c>
      <c r="E42" s="59">
        <f t="shared" si="87"/>
        <v>1</v>
      </c>
      <c r="F42" s="90" t="str">
        <f t="shared" si="88"/>
        <v>SFC-0222-017</v>
      </c>
      <c r="G42" s="190">
        <v>44610</v>
      </c>
      <c r="H42" s="191" t="s">
        <v>114</v>
      </c>
      <c r="I42" s="191" t="s">
        <v>1002</v>
      </c>
      <c r="J42" s="204">
        <v>5</v>
      </c>
      <c r="K42" s="39">
        <f>IF(I42="",0,VLOOKUP(I42,'LISTA DE PRECIOS'!A:F,IF(R42="CORO",4,5),FALSE))</f>
        <v>5.4</v>
      </c>
      <c r="L42" s="206">
        <f t="shared" si="12"/>
        <v>27</v>
      </c>
      <c r="M42" s="217">
        <v>4.46</v>
      </c>
      <c r="N42" s="12">
        <f t="shared" si="89"/>
        <v>24.084</v>
      </c>
      <c r="O42" s="43">
        <f t="shared" si="90"/>
        <v>120.42</v>
      </c>
      <c r="P42" s="70"/>
      <c r="Q42">
        <v>5220000</v>
      </c>
      <c r="R42" s="68" t="str">
        <f>IF(H42="","",VLOOKUP(H42,'DATOS CLIENTES'!B:F,5,FALSE))</f>
        <v>CORO</v>
      </c>
      <c r="S42" s="68" t="str">
        <f t="shared" si="13"/>
        <v>017</v>
      </c>
      <c r="U42" s="69">
        <f t="shared" si="6"/>
        <v>27</v>
      </c>
      <c r="V42" s="69">
        <f t="shared" si="7"/>
        <v>120.42</v>
      </c>
      <c r="X42" s="68">
        <f t="shared" si="14"/>
        <v>36</v>
      </c>
      <c r="Y42" s="68" t="str">
        <f t="shared" si="15"/>
        <v>SFACT</v>
      </c>
      <c r="Z42" s="68" t="str">
        <f t="shared" si="16"/>
        <v>FREDDY R. CH</v>
      </c>
      <c r="AA42" s="68" t="str">
        <f t="shared" si="17"/>
        <v>SFC-0222-017</v>
      </c>
      <c r="AB42" s="227">
        <f t="shared" si="18"/>
        <v>44610</v>
      </c>
      <c r="AC42" s="68" t="str">
        <f t="shared" si="19"/>
        <v>BLOQUERA CARORA, C.A</v>
      </c>
      <c r="AD42" s="68" t="str">
        <f t="shared" si="20"/>
        <v>CHS - PINTURA IMPERMEABLE - SACO 10KG</v>
      </c>
      <c r="AE42" s="68">
        <f t="shared" si="21"/>
        <v>5</v>
      </c>
      <c r="AF42" s="68">
        <f t="shared" si="22"/>
        <v>5.4</v>
      </c>
      <c r="AG42" s="68">
        <f t="shared" si="23"/>
        <v>4.46</v>
      </c>
    </row>
    <row r="43" spans="1:33">
      <c r="A43" s="18" t="str">
        <f t="shared" si="0"/>
        <v>1SFC-0222-018</v>
      </c>
      <c r="B43" s="219" t="s">
        <v>945</v>
      </c>
      <c r="C43" s="58" t="s">
        <v>964</v>
      </c>
      <c r="D43" s="44">
        <f t="shared" si="86"/>
        <v>18</v>
      </c>
      <c r="E43" s="59">
        <f t="shared" si="87"/>
        <v>1</v>
      </c>
      <c r="F43" s="90" t="str">
        <f t="shared" si="88"/>
        <v>SFC-0222-018</v>
      </c>
      <c r="G43" s="190">
        <v>44610</v>
      </c>
      <c r="H43" s="191" t="s">
        <v>1069</v>
      </c>
      <c r="I43" s="203" t="s">
        <v>1021</v>
      </c>
      <c r="J43" s="204">
        <v>10</v>
      </c>
      <c r="K43" s="39">
        <f>IF(I43="",0,VLOOKUP(I43,'LISTA DE PRECIOS'!A:F,IF(R43="CORO",4,5),FALSE))</f>
        <v>5.6</v>
      </c>
      <c r="L43" s="206">
        <f t="shared" si="12"/>
        <v>56</v>
      </c>
      <c r="M43" s="217">
        <v>4.4000000000000004</v>
      </c>
      <c r="N43" s="12">
        <f t="shared" si="89"/>
        <v>24.64</v>
      </c>
      <c r="O43" s="43">
        <f t="shared" si="90"/>
        <v>246.4</v>
      </c>
      <c r="P43" s="70"/>
      <c r="Q43">
        <v>15720000</v>
      </c>
      <c r="R43" s="68" t="str">
        <f>IF(H43="","",VLOOKUP(H43,'DATOS CLIENTES'!B:F,5,FALSE))</f>
        <v>CORO</v>
      </c>
      <c r="S43" s="68" t="str">
        <f t="shared" si="13"/>
        <v>018</v>
      </c>
      <c r="U43" s="69">
        <f t="shared" si="6"/>
        <v>98.44</v>
      </c>
      <c r="V43" s="69">
        <f t="shared" si="7"/>
        <v>433.13600000000008</v>
      </c>
      <c r="X43" s="68">
        <f t="shared" si="14"/>
        <v>37</v>
      </c>
      <c r="Y43" s="68" t="str">
        <f t="shared" si="15"/>
        <v>SFACT</v>
      </c>
      <c r="Z43" s="68" t="str">
        <f t="shared" si="16"/>
        <v>FREDDY R. CH</v>
      </c>
      <c r="AA43" s="68" t="str">
        <f t="shared" si="17"/>
        <v>SFC-0222-018</v>
      </c>
      <c r="AB43" s="227">
        <f t="shared" si="18"/>
        <v>44610</v>
      </c>
      <c r="AC43" s="68" t="str">
        <f t="shared" si="19"/>
        <v>FERRETERIA MONTE ALTO F.E., C.A.</v>
      </c>
      <c r="AD43" s="68" t="str">
        <f t="shared" si="20"/>
        <v>CHS - ESTUCO GRIS - SACO 12KG</v>
      </c>
      <c r="AE43" s="68">
        <f t="shared" si="21"/>
        <v>10</v>
      </c>
      <c r="AF43" s="68">
        <f t="shared" si="22"/>
        <v>5.6</v>
      </c>
      <c r="AG43" s="68">
        <f t="shared" si="23"/>
        <v>4.4000000000000004</v>
      </c>
    </row>
    <row r="44" spans="1:33">
      <c r="A44" s="18" t="str">
        <f t="shared" si="0"/>
        <v>2SFC-0222-018</v>
      </c>
      <c r="B44" s="219" t="s">
        <v>945</v>
      </c>
      <c r="C44" s="58" t="s">
        <v>964</v>
      </c>
      <c r="D44" s="44">
        <f t="shared" si="86"/>
        <v>18</v>
      </c>
      <c r="E44" s="59">
        <f t="shared" si="87"/>
        <v>2</v>
      </c>
      <c r="F44" s="90" t="str">
        <f t="shared" si="88"/>
        <v>SFC-0222-018</v>
      </c>
      <c r="G44" s="190">
        <v>44610</v>
      </c>
      <c r="H44" s="191" t="s">
        <v>1069</v>
      </c>
      <c r="I44" s="203" t="s">
        <v>940</v>
      </c>
      <c r="J44" s="204">
        <v>6</v>
      </c>
      <c r="K44" s="39">
        <f>IF(I44="",0,VLOOKUP(I44,'LISTA DE PRECIOS'!A:F,IF(R44="CORO",4,5),FALSE))</f>
        <v>2.39</v>
      </c>
      <c r="L44" s="206">
        <f t="shared" si="12"/>
        <v>14.34</v>
      </c>
      <c r="M44" s="217">
        <v>4.4000000000000004</v>
      </c>
      <c r="N44" s="12">
        <f t="shared" si="89"/>
        <v>10.516000000000002</v>
      </c>
      <c r="O44" s="43">
        <f t="shared" si="90"/>
        <v>63.096000000000011</v>
      </c>
      <c r="P44" s="70"/>
      <c r="R44" s="68" t="str">
        <f>IF(H44="","",VLOOKUP(H44,'DATOS CLIENTES'!B:F,5,FALSE))</f>
        <v>CORO</v>
      </c>
      <c r="S44" s="68" t="str">
        <f t="shared" si="13"/>
        <v>018</v>
      </c>
      <c r="U44" s="69">
        <f t="shared" si="6"/>
        <v>98.44</v>
      </c>
      <c r="V44" s="69">
        <f t="shared" si="7"/>
        <v>433.13600000000008</v>
      </c>
      <c r="X44" s="68">
        <f t="shared" si="14"/>
        <v>38</v>
      </c>
      <c r="Y44" s="68" t="str">
        <f t="shared" si="15"/>
        <v>SFACT</v>
      </c>
      <c r="Z44" s="68" t="str">
        <f t="shared" si="16"/>
        <v>FREDDY R. CH</v>
      </c>
      <c r="AA44" s="68" t="str">
        <f t="shared" si="17"/>
        <v>SFC-0222-018</v>
      </c>
      <c r="AB44" s="227">
        <f t="shared" si="18"/>
        <v>44610</v>
      </c>
      <c r="AC44" s="68" t="str">
        <f t="shared" si="19"/>
        <v>FERRETERIA MONTE ALTO F.E., C.A.</v>
      </c>
      <c r="AD44" s="68" t="str">
        <f t="shared" si="20"/>
        <v>STYLOSA TIPO A (50GR.)</v>
      </c>
      <c r="AE44" s="68">
        <f t="shared" si="21"/>
        <v>6</v>
      </c>
      <c r="AF44" s="68">
        <f t="shared" si="22"/>
        <v>2.39</v>
      </c>
      <c r="AG44" s="68">
        <f t="shared" si="23"/>
        <v>4.4000000000000004</v>
      </c>
    </row>
    <row r="45" spans="1:33">
      <c r="A45" s="18" t="str">
        <f t="shared" si="0"/>
        <v>3SFC-0222-018</v>
      </c>
      <c r="B45" s="219" t="s">
        <v>945</v>
      </c>
      <c r="C45" s="58" t="s">
        <v>964</v>
      </c>
      <c r="D45" s="44">
        <f t="shared" si="86"/>
        <v>18</v>
      </c>
      <c r="E45" s="59">
        <f t="shared" si="87"/>
        <v>3</v>
      </c>
      <c r="F45" s="90" t="str">
        <f t="shared" si="88"/>
        <v>SFC-0222-018</v>
      </c>
      <c r="G45" s="190">
        <v>44610</v>
      </c>
      <c r="H45" s="191" t="s">
        <v>1069</v>
      </c>
      <c r="I45" s="202" t="s">
        <v>538</v>
      </c>
      <c r="J45" s="204">
        <v>10</v>
      </c>
      <c r="K45" s="39">
        <f>IF(I45="",0,VLOOKUP(I45,'LISTA DE PRECIOS'!A:F,IF(R45="CORO",4,5),FALSE))</f>
        <v>1.6600000000000001</v>
      </c>
      <c r="L45" s="206">
        <f t="shared" si="12"/>
        <v>16.600000000000001</v>
      </c>
      <c r="M45" s="217">
        <v>4.4000000000000004</v>
      </c>
      <c r="N45" s="12">
        <f t="shared" si="89"/>
        <v>7.3040000000000012</v>
      </c>
      <c r="O45" s="43">
        <f t="shared" si="90"/>
        <v>73.040000000000006</v>
      </c>
      <c r="P45" s="70"/>
      <c r="R45" s="68" t="str">
        <f>IF(H45="","",VLOOKUP(H45,'DATOS CLIENTES'!B:F,5,FALSE))</f>
        <v>CORO</v>
      </c>
      <c r="S45" s="68" t="str">
        <f t="shared" si="13"/>
        <v>018</v>
      </c>
      <c r="U45" s="69">
        <f t="shared" si="6"/>
        <v>98.44</v>
      </c>
      <c r="V45" s="69">
        <f t="shared" si="7"/>
        <v>433.13600000000008</v>
      </c>
      <c r="X45" s="68">
        <f t="shared" si="14"/>
        <v>39</v>
      </c>
      <c r="Y45" s="68" t="str">
        <f t="shared" si="15"/>
        <v>SFACT</v>
      </c>
      <c r="Z45" s="68" t="str">
        <f t="shared" si="16"/>
        <v>FREDDY R. CH</v>
      </c>
      <c r="AA45" s="68" t="str">
        <f t="shared" si="17"/>
        <v>SFC-0222-018</v>
      </c>
      <c r="AB45" s="227">
        <f t="shared" si="18"/>
        <v>44610</v>
      </c>
      <c r="AC45" s="68" t="str">
        <f t="shared" si="19"/>
        <v>FERRETERIA MONTE ALTO F.E., C.A.</v>
      </c>
      <c r="AD45" s="68" t="str">
        <f t="shared" si="20"/>
        <v>CHS - CAL PREPARADA LIQUIDA (1 GAL)</v>
      </c>
      <c r="AE45" s="68">
        <f t="shared" si="21"/>
        <v>10</v>
      </c>
      <c r="AF45" s="68">
        <f t="shared" si="22"/>
        <v>1.6600000000000001</v>
      </c>
      <c r="AG45" s="68">
        <f t="shared" si="23"/>
        <v>4.4000000000000004</v>
      </c>
    </row>
    <row r="46" spans="1:33">
      <c r="A46" s="18" t="str">
        <f t="shared" si="0"/>
        <v>4SFC-0222-018</v>
      </c>
      <c r="B46" s="219" t="s">
        <v>945</v>
      </c>
      <c r="C46" s="58" t="s">
        <v>964</v>
      </c>
      <c r="D46" s="44">
        <f t="shared" si="86"/>
        <v>18</v>
      </c>
      <c r="E46" s="59">
        <f t="shared" si="87"/>
        <v>4</v>
      </c>
      <c r="F46" s="90" t="str">
        <f t="shared" si="88"/>
        <v>SFC-0222-018</v>
      </c>
      <c r="G46" s="190">
        <v>44610</v>
      </c>
      <c r="H46" s="191" t="s">
        <v>1069</v>
      </c>
      <c r="I46" s="203" t="s">
        <v>524</v>
      </c>
      <c r="J46" s="42">
        <v>10</v>
      </c>
      <c r="K46" s="39">
        <f>IF(I46="",0,VLOOKUP(I46,'LISTA DE PRECIOS'!A:F,IF(R46="CORO",4,5),FALSE))</f>
        <v>1.1499999999999999</v>
      </c>
      <c r="L46" s="206">
        <f t="shared" si="12"/>
        <v>11.5</v>
      </c>
      <c r="M46" s="217">
        <v>4.4000000000000004</v>
      </c>
      <c r="N46" s="12">
        <f t="shared" si="89"/>
        <v>5.0599999999999996</v>
      </c>
      <c r="O46" s="43">
        <f t="shared" si="90"/>
        <v>50.599999999999994</v>
      </c>
      <c r="P46" s="70"/>
      <c r="R46" s="68" t="str">
        <f>IF(H46="","",VLOOKUP(H46,'DATOS CLIENTES'!B:F,5,FALSE))</f>
        <v>CORO</v>
      </c>
      <c r="S46" s="68" t="str">
        <f t="shared" si="13"/>
        <v>018</v>
      </c>
      <c r="U46" s="69">
        <f t="shared" si="6"/>
        <v>98.44</v>
      </c>
      <c r="V46" s="69">
        <f t="shared" si="7"/>
        <v>433.13600000000008</v>
      </c>
      <c r="X46" s="68">
        <f t="shared" si="14"/>
        <v>40</v>
      </c>
      <c r="Y46" s="68" t="str">
        <f t="shared" si="15"/>
        <v>SFACT</v>
      </c>
      <c r="Z46" s="68" t="str">
        <f t="shared" si="16"/>
        <v>FREDDY R. CH</v>
      </c>
      <c r="AA46" s="68" t="str">
        <f t="shared" si="17"/>
        <v>SFC-0222-018</v>
      </c>
      <c r="AB46" s="227">
        <f t="shared" si="18"/>
        <v>44610</v>
      </c>
      <c r="AC46" s="68" t="str">
        <f t="shared" si="19"/>
        <v>FERRETERIA MONTE ALTO F.E., C.A.</v>
      </c>
      <c r="AD46" s="68" t="str">
        <f t="shared" si="20"/>
        <v>CHS - CEMENTO BLANCO - SACO 1 KG</v>
      </c>
      <c r="AE46" s="68">
        <f t="shared" si="21"/>
        <v>10</v>
      </c>
      <c r="AF46" s="68">
        <f t="shared" si="22"/>
        <v>1.1499999999999999</v>
      </c>
      <c r="AG46" s="68">
        <f t="shared" si="23"/>
        <v>4.4000000000000004</v>
      </c>
    </row>
    <row r="47" spans="1:33">
      <c r="A47" s="18" t="str">
        <f t="shared" si="0"/>
        <v>1SFC-0222-019</v>
      </c>
      <c r="B47" s="219" t="s">
        <v>945</v>
      </c>
      <c r="C47" s="58" t="s">
        <v>964</v>
      </c>
      <c r="D47" s="44">
        <f t="shared" si="86"/>
        <v>19</v>
      </c>
      <c r="E47" s="59">
        <f t="shared" si="87"/>
        <v>1</v>
      </c>
      <c r="F47" s="90" t="str">
        <f t="shared" si="88"/>
        <v>SFC-0222-019</v>
      </c>
      <c r="G47" s="190">
        <v>44610</v>
      </c>
      <c r="H47" s="191" t="s">
        <v>617</v>
      </c>
      <c r="I47" s="203" t="s">
        <v>76</v>
      </c>
      <c r="J47" s="204">
        <v>202</v>
      </c>
      <c r="K47" s="39">
        <f>IF(I47="",0,VLOOKUP(I47,'LISTA DE PRECIOS'!A:F,IF(R47="CORO",4,5),FALSE))</f>
        <v>1.1200000000000001</v>
      </c>
      <c r="L47" s="206">
        <f t="shared" si="12"/>
        <v>226.24</v>
      </c>
      <c r="M47" s="217">
        <v>4.4000000000000004</v>
      </c>
      <c r="N47" s="12">
        <f t="shared" si="89"/>
        <v>4.9280000000000008</v>
      </c>
      <c r="O47" s="43">
        <f t="shared" si="90"/>
        <v>995.45600000000013</v>
      </c>
      <c r="P47" s="70"/>
      <c r="Q47" s="86"/>
      <c r="R47" s="68" t="str">
        <f>IF(H47="","",VLOOKUP(H47,'DATOS CLIENTES'!B:F,5,FALSE))</f>
        <v>CORO</v>
      </c>
      <c r="S47" s="68" t="str">
        <f t="shared" si="13"/>
        <v>019</v>
      </c>
      <c r="U47" s="69">
        <f t="shared" si="6"/>
        <v>693.14</v>
      </c>
      <c r="V47" s="69">
        <f t="shared" si="7"/>
        <v>3049.8160000000007</v>
      </c>
      <c r="X47" s="68">
        <f t="shared" si="14"/>
        <v>41</v>
      </c>
      <c r="Y47" s="68" t="str">
        <f t="shared" si="15"/>
        <v>SFACT</v>
      </c>
      <c r="Z47" s="68" t="str">
        <f t="shared" si="16"/>
        <v>FREDDY R. CH</v>
      </c>
      <c r="AA47" s="68" t="str">
        <f t="shared" si="17"/>
        <v>SFC-0222-019</v>
      </c>
      <c r="AB47" s="227">
        <f t="shared" si="18"/>
        <v>44610</v>
      </c>
      <c r="AC47" s="68" t="str">
        <f t="shared" si="19"/>
        <v>COSEIMPA CORO, C. A.</v>
      </c>
      <c r="AD47" s="68" t="str">
        <f t="shared" si="20"/>
        <v>MACROFIBRA TEREFTALATO DE DIMETILO (100 GR)</v>
      </c>
      <c r="AE47" s="68">
        <f t="shared" si="21"/>
        <v>202</v>
      </c>
      <c r="AF47" s="68">
        <f t="shared" si="22"/>
        <v>1.1200000000000001</v>
      </c>
      <c r="AG47" s="68">
        <f t="shared" si="23"/>
        <v>4.4000000000000004</v>
      </c>
    </row>
    <row r="48" spans="1:33">
      <c r="A48" s="18" t="str">
        <f t="shared" si="0"/>
        <v>2SFC-0222-019</v>
      </c>
      <c r="B48" s="219" t="s">
        <v>945</v>
      </c>
      <c r="C48" s="58" t="s">
        <v>964</v>
      </c>
      <c r="D48" s="44">
        <f t="shared" si="86"/>
        <v>19</v>
      </c>
      <c r="E48" s="59">
        <f t="shared" si="87"/>
        <v>2</v>
      </c>
      <c r="F48" s="90" t="str">
        <f t="shared" si="88"/>
        <v>SFC-0222-019</v>
      </c>
      <c r="G48" s="190">
        <v>44610</v>
      </c>
      <c r="H48" s="191" t="s">
        <v>617</v>
      </c>
      <c r="I48" s="202" t="s">
        <v>940</v>
      </c>
      <c r="J48" s="204">
        <v>50</v>
      </c>
      <c r="K48" s="39">
        <f>IF(I48="",0,VLOOKUP(I48,'LISTA DE PRECIOS'!A:F,IF(R48="CORO",4,5),FALSE))</f>
        <v>2.39</v>
      </c>
      <c r="L48" s="206">
        <f t="shared" si="12"/>
        <v>119.5</v>
      </c>
      <c r="M48" s="217">
        <v>4.4000000000000004</v>
      </c>
      <c r="N48" s="12">
        <f t="shared" si="89"/>
        <v>10.516000000000002</v>
      </c>
      <c r="O48" s="43">
        <f t="shared" si="90"/>
        <v>525.80000000000007</v>
      </c>
      <c r="P48" s="70"/>
      <c r="R48" s="68" t="str">
        <f>IF(H48="","",VLOOKUP(H48,'DATOS CLIENTES'!B:F,5,FALSE))</f>
        <v>CORO</v>
      </c>
      <c r="S48" s="68" t="str">
        <f t="shared" si="13"/>
        <v>019</v>
      </c>
      <c r="U48" s="69">
        <f t="shared" si="6"/>
        <v>693.14</v>
      </c>
      <c r="V48" s="69">
        <f t="shared" si="7"/>
        <v>3049.8160000000007</v>
      </c>
      <c r="X48" s="68">
        <f t="shared" si="14"/>
        <v>42</v>
      </c>
      <c r="Y48" s="68" t="str">
        <f t="shared" si="15"/>
        <v>SFACT</v>
      </c>
      <c r="Z48" s="68" t="str">
        <f t="shared" si="16"/>
        <v>FREDDY R. CH</v>
      </c>
      <c r="AA48" s="68" t="str">
        <f t="shared" si="17"/>
        <v>SFC-0222-019</v>
      </c>
      <c r="AB48" s="227">
        <f t="shared" si="18"/>
        <v>44610</v>
      </c>
      <c r="AC48" s="68" t="str">
        <f t="shared" si="19"/>
        <v>COSEIMPA CORO, C. A.</v>
      </c>
      <c r="AD48" s="68" t="str">
        <f t="shared" si="20"/>
        <v>STYLOSA TIPO A (50GR.)</v>
      </c>
      <c r="AE48" s="68">
        <f t="shared" si="21"/>
        <v>50</v>
      </c>
      <c r="AF48" s="68">
        <f t="shared" si="22"/>
        <v>2.39</v>
      </c>
      <c r="AG48" s="68">
        <f t="shared" si="23"/>
        <v>4.4000000000000004</v>
      </c>
    </row>
    <row r="49" spans="1:33">
      <c r="A49" s="18" t="str">
        <f t="shared" si="0"/>
        <v>3SFC-0222-019</v>
      </c>
      <c r="B49" s="219" t="s">
        <v>945</v>
      </c>
      <c r="C49" s="58" t="s">
        <v>964</v>
      </c>
      <c r="D49" s="44">
        <f t="shared" si="86"/>
        <v>19</v>
      </c>
      <c r="E49" s="59">
        <f t="shared" si="87"/>
        <v>3</v>
      </c>
      <c r="F49" s="90" t="str">
        <f t="shared" si="88"/>
        <v>SFC-0222-019</v>
      </c>
      <c r="G49" s="190">
        <v>44610</v>
      </c>
      <c r="H49" s="191" t="s">
        <v>617</v>
      </c>
      <c r="I49" s="191" t="s">
        <v>1002</v>
      </c>
      <c r="J49" s="204">
        <v>30</v>
      </c>
      <c r="K49" s="39">
        <f>IF(I49="",0,VLOOKUP(I49,'LISTA DE PRECIOS'!A:F,IF(R49="CORO",4,5),FALSE))</f>
        <v>5.4</v>
      </c>
      <c r="L49" s="206">
        <f t="shared" si="12"/>
        <v>162</v>
      </c>
      <c r="M49" s="217">
        <v>4.4000000000000004</v>
      </c>
      <c r="N49" s="12">
        <f t="shared" si="89"/>
        <v>23.760000000000005</v>
      </c>
      <c r="O49" s="43">
        <f t="shared" si="90"/>
        <v>712.80000000000018</v>
      </c>
      <c r="P49" s="70"/>
      <c r="R49" s="68" t="str">
        <f>IF(H49="","",VLOOKUP(H49,'DATOS CLIENTES'!B:F,5,FALSE))</f>
        <v>CORO</v>
      </c>
      <c r="S49" s="68" t="str">
        <f t="shared" si="13"/>
        <v>019</v>
      </c>
      <c r="U49" s="69">
        <f t="shared" si="6"/>
        <v>693.14</v>
      </c>
      <c r="V49" s="69">
        <f t="shared" si="7"/>
        <v>3049.8160000000007</v>
      </c>
      <c r="X49" s="68">
        <f t="shared" si="14"/>
        <v>43</v>
      </c>
      <c r="Y49" s="68" t="str">
        <f t="shared" si="15"/>
        <v>SFACT</v>
      </c>
      <c r="Z49" s="68" t="str">
        <f t="shared" si="16"/>
        <v>FREDDY R. CH</v>
      </c>
      <c r="AA49" s="68" t="str">
        <f t="shared" si="17"/>
        <v>SFC-0222-019</v>
      </c>
      <c r="AB49" s="227">
        <f t="shared" si="18"/>
        <v>44610</v>
      </c>
      <c r="AC49" s="68" t="str">
        <f t="shared" si="19"/>
        <v>COSEIMPA CORO, C. A.</v>
      </c>
      <c r="AD49" s="68" t="str">
        <f t="shared" si="20"/>
        <v>CHS - PINTURA IMPERMEABLE - SACO 10KG</v>
      </c>
      <c r="AE49" s="68">
        <f t="shared" si="21"/>
        <v>30</v>
      </c>
      <c r="AF49" s="68">
        <f t="shared" si="22"/>
        <v>5.4</v>
      </c>
      <c r="AG49" s="68">
        <f t="shared" si="23"/>
        <v>4.4000000000000004</v>
      </c>
    </row>
    <row r="50" spans="1:33">
      <c r="A50" s="18" t="str">
        <f t="shared" si="0"/>
        <v>4SFC-0222-019</v>
      </c>
      <c r="B50" s="219" t="s">
        <v>945</v>
      </c>
      <c r="C50" s="58" t="s">
        <v>964</v>
      </c>
      <c r="D50" s="44">
        <f t="shared" si="86"/>
        <v>19</v>
      </c>
      <c r="E50" s="59">
        <f t="shared" si="87"/>
        <v>4</v>
      </c>
      <c r="F50" s="90" t="str">
        <f t="shared" si="88"/>
        <v>SFC-0222-019</v>
      </c>
      <c r="G50" s="190">
        <v>44610</v>
      </c>
      <c r="H50" s="191" t="s">
        <v>617</v>
      </c>
      <c r="I50" s="203" t="s">
        <v>75</v>
      </c>
      <c r="J50" s="204">
        <v>103</v>
      </c>
      <c r="K50" s="39">
        <f>IF(I50="",0,VLOOKUP(I50,'LISTA DE PRECIOS'!A:F,IF(R50="CORO",4,5),FALSE))</f>
        <v>1.7999999999999998</v>
      </c>
      <c r="L50" s="206">
        <f t="shared" si="12"/>
        <v>185.4</v>
      </c>
      <c r="M50" s="217">
        <v>4.4000000000000004</v>
      </c>
      <c r="N50" s="12">
        <f t="shared" si="89"/>
        <v>7.92</v>
      </c>
      <c r="O50" s="43">
        <f t="shared" si="90"/>
        <v>815.76</v>
      </c>
      <c r="P50" s="70"/>
      <c r="R50" s="68" t="str">
        <f>IF(H50="","",VLOOKUP(H50,'DATOS CLIENTES'!B:F,5,FALSE))</f>
        <v>CORO</v>
      </c>
      <c r="S50" s="68" t="str">
        <f t="shared" si="13"/>
        <v>019</v>
      </c>
      <c r="U50" s="69">
        <f t="shared" si="6"/>
        <v>693.14</v>
      </c>
      <c r="V50" s="69">
        <f t="shared" si="7"/>
        <v>3049.8160000000007</v>
      </c>
      <c r="X50" s="68">
        <f t="shared" si="14"/>
        <v>44</v>
      </c>
      <c r="Y50" s="68" t="str">
        <f t="shared" si="15"/>
        <v>SFACT</v>
      </c>
      <c r="Z50" s="68" t="str">
        <f t="shared" si="16"/>
        <v>FREDDY R. CH</v>
      </c>
      <c r="AA50" s="68" t="str">
        <f t="shared" si="17"/>
        <v>SFC-0222-019</v>
      </c>
      <c r="AB50" s="227">
        <f t="shared" si="18"/>
        <v>44610</v>
      </c>
      <c r="AC50" s="68" t="str">
        <f t="shared" si="19"/>
        <v>COSEIMPA CORO, C. A.</v>
      </c>
      <c r="AD50" s="68" t="str">
        <f t="shared" si="20"/>
        <v>MICROFIBRA POLIPROPILENO (100 GR)</v>
      </c>
      <c r="AE50" s="68">
        <f t="shared" si="21"/>
        <v>103</v>
      </c>
      <c r="AF50" s="68">
        <f t="shared" si="22"/>
        <v>1.7999999999999998</v>
      </c>
      <c r="AG50" s="68">
        <f t="shared" si="23"/>
        <v>4.4000000000000004</v>
      </c>
    </row>
    <row r="51" spans="1:33">
      <c r="A51" s="18" t="str">
        <f t="shared" si="0"/>
        <v>1SFC-0222-020</v>
      </c>
      <c r="B51" s="219" t="s">
        <v>945</v>
      </c>
      <c r="C51" s="58" t="s">
        <v>964</v>
      </c>
      <c r="D51" s="44">
        <f t="shared" si="86"/>
        <v>20</v>
      </c>
      <c r="E51" s="59">
        <f t="shared" si="87"/>
        <v>1</v>
      </c>
      <c r="F51" s="90" t="str">
        <f t="shared" si="88"/>
        <v>SFC-0222-020</v>
      </c>
      <c r="G51" s="190">
        <v>44610</v>
      </c>
      <c r="H51" s="191" t="s">
        <v>1143</v>
      </c>
      <c r="I51" s="202" t="s">
        <v>76</v>
      </c>
      <c r="J51" s="204">
        <v>100</v>
      </c>
      <c r="K51" s="39">
        <f>IF(I51="",0,VLOOKUP(I51,'LISTA DE PRECIOS'!A:F,IF(R51="CORO",4,5),FALSE))</f>
        <v>1.1200000000000001</v>
      </c>
      <c r="L51" s="206">
        <f t="shared" si="12"/>
        <v>112</v>
      </c>
      <c r="M51" s="217">
        <v>4.4000000000000004</v>
      </c>
      <c r="N51" s="12">
        <f t="shared" si="89"/>
        <v>4.9280000000000008</v>
      </c>
      <c r="O51" s="43">
        <f t="shared" si="90"/>
        <v>492.80000000000007</v>
      </c>
      <c r="P51" s="70"/>
      <c r="R51" s="68" t="str">
        <f>IF(H51="","",VLOOKUP(H51,'DATOS CLIENTES'!B:F,5,FALSE))</f>
        <v>CORO</v>
      </c>
      <c r="S51" s="68" t="str">
        <f t="shared" si="13"/>
        <v>020</v>
      </c>
      <c r="U51" s="69">
        <f t="shared" si="6"/>
        <v>485.85</v>
      </c>
      <c r="V51" s="69">
        <f t="shared" si="7"/>
        <v>2273.4349999999999</v>
      </c>
      <c r="X51" s="68">
        <f t="shared" si="14"/>
        <v>45</v>
      </c>
      <c r="Y51" s="68" t="str">
        <f t="shared" si="15"/>
        <v>SFACT</v>
      </c>
      <c r="Z51" s="68" t="str">
        <f t="shared" si="16"/>
        <v>FREDDY R. CH</v>
      </c>
      <c r="AA51" s="68" t="str">
        <f t="shared" si="17"/>
        <v>SFC-0222-020</v>
      </c>
      <c r="AB51" s="227">
        <f t="shared" si="18"/>
        <v>44610</v>
      </c>
      <c r="AC51" s="68" t="str">
        <f t="shared" si="19"/>
        <v>INVERSIONES FRANERC, C.A.</v>
      </c>
      <c r="AD51" s="68" t="str">
        <f t="shared" si="20"/>
        <v>MACROFIBRA TEREFTALATO DE DIMETILO (100 GR)</v>
      </c>
      <c r="AE51" s="68">
        <f t="shared" si="21"/>
        <v>100</v>
      </c>
      <c r="AF51" s="68">
        <f t="shared" si="22"/>
        <v>1.1200000000000001</v>
      </c>
      <c r="AG51" s="68">
        <f t="shared" si="23"/>
        <v>4.4000000000000004</v>
      </c>
    </row>
    <row r="52" spans="1:33">
      <c r="A52" s="18" t="str">
        <f t="shared" si="0"/>
        <v>2SFC-0222-020</v>
      </c>
      <c r="B52" s="219" t="s">
        <v>945</v>
      </c>
      <c r="C52" s="58" t="s">
        <v>964</v>
      </c>
      <c r="D52" s="44">
        <f t="shared" si="86"/>
        <v>20</v>
      </c>
      <c r="E52" s="59">
        <f t="shared" si="87"/>
        <v>2</v>
      </c>
      <c r="F52" s="90" t="str">
        <f t="shared" si="88"/>
        <v>SFC-0222-020</v>
      </c>
      <c r="G52" s="190">
        <v>44610</v>
      </c>
      <c r="H52" s="191" t="s">
        <v>1143</v>
      </c>
      <c r="I52" s="203" t="s">
        <v>75</v>
      </c>
      <c r="J52" s="204">
        <v>100</v>
      </c>
      <c r="K52" s="39">
        <f>IF(I52="",0,VLOOKUP(I52,'LISTA DE PRECIOS'!A:F,IF(R52="CORO",4,5),FALSE))</f>
        <v>1.7999999999999998</v>
      </c>
      <c r="L52" s="206">
        <f t="shared" si="12"/>
        <v>180</v>
      </c>
      <c r="M52" s="217">
        <v>4.4000000000000004</v>
      </c>
      <c r="N52" s="12">
        <f t="shared" si="89"/>
        <v>7.92</v>
      </c>
      <c r="O52" s="43">
        <f t="shared" si="90"/>
        <v>792</v>
      </c>
      <c r="P52" s="70"/>
      <c r="R52" s="68" t="str">
        <f>IF(H52="","",VLOOKUP(H52,'DATOS CLIENTES'!B:F,5,FALSE))</f>
        <v>CORO</v>
      </c>
      <c r="S52" s="68" t="str">
        <f t="shared" si="13"/>
        <v>020</v>
      </c>
      <c r="U52" s="69">
        <f t="shared" si="6"/>
        <v>485.85</v>
      </c>
      <c r="V52" s="69">
        <f t="shared" si="7"/>
        <v>2273.4349999999999</v>
      </c>
      <c r="X52" s="68">
        <f t="shared" si="14"/>
        <v>46</v>
      </c>
      <c r="Y52" s="68" t="str">
        <f t="shared" si="15"/>
        <v>SFACT</v>
      </c>
      <c r="Z52" s="68" t="str">
        <f t="shared" si="16"/>
        <v>FREDDY R. CH</v>
      </c>
      <c r="AA52" s="68" t="str">
        <f t="shared" si="17"/>
        <v>SFC-0222-020</v>
      </c>
      <c r="AB52" s="227">
        <f t="shared" si="18"/>
        <v>44610</v>
      </c>
      <c r="AC52" s="68" t="str">
        <f t="shared" si="19"/>
        <v>INVERSIONES FRANERC, C.A.</v>
      </c>
      <c r="AD52" s="68" t="str">
        <f t="shared" si="20"/>
        <v>MICROFIBRA POLIPROPILENO (100 GR)</v>
      </c>
      <c r="AE52" s="68">
        <f t="shared" si="21"/>
        <v>100</v>
      </c>
      <c r="AF52" s="68">
        <f t="shared" si="22"/>
        <v>1.7999999999999998</v>
      </c>
      <c r="AG52" s="68">
        <f t="shared" si="23"/>
        <v>4.4000000000000004</v>
      </c>
    </row>
    <row r="53" spans="1:33">
      <c r="A53" s="18" t="str">
        <f t="shared" si="0"/>
        <v>3SFC-0222-020</v>
      </c>
      <c r="B53" s="219" t="s">
        <v>945</v>
      </c>
      <c r="C53" s="58" t="s">
        <v>964</v>
      </c>
      <c r="D53" s="44">
        <f t="shared" si="86"/>
        <v>20</v>
      </c>
      <c r="E53" s="59">
        <f t="shared" si="87"/>
        <v>3</v>
      </c>
      <c r="F53" s="90" t="str">
        <f t="shared" si="88"/>
        <v>SFC-0222-020</v>
      </c>
      <c r="G53" s="190">
        <v>44610</v>
      </c>
      <c r="H53" s="191" t="s">
        <v>1143</v>
      </c>
      <c r="I53" s="203" t="s">
        <v>849</v>
      </c>
      <c r="J53" s="204">
        <v>15</v>
      </c>
      <c r="K53" s="39">
        <f>IF(I53="",0,VLOOKUP(I53,'LISTA DE PRECIOS'!A:F,IF(R53="CORO",4,5),FALSE))</f>
        <v>4.1900000000000004</v>
      </c>
      <c r="L53" s="206">
        <f t="shared" si="12"/>
        <v>62.85</v>
      </c>
      <c r="M53" s="217">
        <f>IF(F53="",0,IF(SUMIF('REPORTE GASTOS'!$C$6:$C$210,F53,'REPORTE GASTOS'!$G$6:$G$210)=0,'LISTA DE PRECIOS'!$H$3,SUMIF('REPORTE GASTOS'!$C$6:$C$210,F53,'REPORTE GASTOS'!$I$6:$I$210)/SUMIF('REPORTE GASTOS'!$C$6:$C$210,F53,'REPORTE GASTOS'!$G$6:$G$210)))</f>
        <v>5.0999999999999996</v>
      </c>
      <c r="N53" s="12">
        <f t="shared" si="89"/>
        <v>21.369</v>
      </c>
      <c r="O53" s="43">
        <f t="shared" si="90"/>
        <v>320.53499999999997</v>
      </c>
      <c r="P53" s="70"/>
      <c r="R53" s="68" t="str">
        <f>IF(H53="","",VLOOKUP(H53,'DATOS CLIENTES'!B:F,5,FALSE))</f>
        <v>CORO</v>
      </c>
      <c r="S53" s="68" t="str">
        <f t="shared" si="13"/>
        <v>020</v>
      </c>
      <c r="U53" s="69">
        <f t="shared" si="6"/>
        <v>485.85</v>
      </c>
      <c r="V53" s="69">
        <f t="shared" si="7"/>
        <v>2273.4349999999999</v>
      </c>
      <c r="X53" s="68">
        <f t="shared" si="14"/>
        <v>47</v>
      </c>
      <c r="Y53" s="68" t="str">
        <f t="shared" si="15"/>
        <v>SFACT</v>
      </c>
      <c r="Z53" s="68" t="str">
        <f t="shared" si="16"/>
        <v>FREDDY R. CH</v>
      </c>
      <c r="AA53" s="68" t="str">
        <f t="shared" si="17"/>
        <v>SFC-0222-020</v>
      </c>
      <c r="AB53" s="227">
        <f t="shared" si="18"/>
        <v>44610</v>
      </c>
      <c r="AC53" s="68" t="str">
        <f t="shared" si="19"/>
        <v>INVERSIONES FRANERC, C.A.</v>
      </c>
      <c r="AD53" s="68" t="str">
        <f>IF(AND($R53&lt;&gt;"PUNTO FIJO",$R53&lt;&gt;""),I63,"")</f>
        <v>CHS - CAL PREPARADA LIQUIDA (1 GAL)</v>
      </c>
      <c r="AE53" s="68">
        <f t="shared" si="21"/>
        <v>15</v>
      </c>
      <c r="AF53" s="68">
        <f t="shared" si="22"/>
        <v>4.1900000000000004</v>
      </c>
      <c r="AG53" s="68">
        <f t="shared" si="23"/>
        <v>5.0999999999999996</v>
      </c>
    </row>
    <row r="54" spans="1:33">
      <c r="A54" s="18" t="str">
        <f t="shared" si="0"/>
        <v>4SFC-0222-020</v>
      </c>
      <c r="B54" s="219" t="s">
        <v>945</v>
      </c>
      <c r="C54" s="58" t="s">
        <v>964</v>
      </c>
      <c r="D54" s="44">
        <f t="shared" si="86"/>
        <v>20</v>
      </c>
      <c r="E54" s="59">
        <f t="shared" si="87"/>
        <v>4</v>
      </c>
      <c r="F54" s="90" t="str">
        <f t="shared" si="88"/>
        <v>SFC-0222-020</v>
      </c>
      <c r="G54" s="190">
        <v>44610</v>
      </c>
      <c r="H54" s="191" t="s">
        <v>1143</v>
      </c>
      <c r="I54" s="202" t="s">
        <v>1002</v>
      </c>
      <c r="J54" s="204">
        <v>15</v>
      </c>
      <c r="K54" s="39">
        <f>IF(I54="",0,VLOOKUP(I54,'LISTA DE PRECIOS'!A:F,IF(R54="CORO",4,5),FALSE))</f>
        <v>5.4</v>
      </c>
      <c r="L54" s="206">
        <f t="shared" si="12"/>
        <v>81</v>
      </c>
      <c r="M54" s="217">
        <f>IF(F54="",0,IF(SUMIF('REPORTE GASTOS'!$C$6:$C$210,F54,'REPORTE GASTOS'!$G$6:$G$210)=0,'LISTA DE PRECIOS'!$H$3,SUMIF('REPORTE GASTOS'!$C$6:$C$210,F54,'REPORTE GASTOS'!$I$6:$I$210)/SUMIF('REPORTE GASTOS'!$C$6:$C$210,F54,'REPORTE GASTOS'!$G$6:$G$210)))</f>
        <v>5.0999999999999996</v>
      </c>
      <c r="N54" s="12">
        <f t="shared" si="89"/>
        <v>27.54</v>
      </c>
      <c r="O54" s="43">
        <f t="shared" si="90"/>
        <v>413.09999999999997</v>
      </c>
      <c r="P54" s="70"/>
      <c r="R54" s="68" t="str">
        <f>IF(H54="","",VLOOKUP(H54,'DATOS CLIENTES'!B:F,5,FALSE))</f>
        <v>CORO</v>
      </c>
      <c r="S54" s="68" t="str">
        <f t="shared" si="13"/>
        <v>020</v>
      </c>
      <c r="U54" s="69">
        <f t="shared" si="6"/>
        <v>485.85</v>
      </c>
      <c r="V54" s="69">
        <f t="shared" si="7"/>
        <v>2273.4349999999999</v>
      </c>
      <c r="X54" s="68">
        <f t="shared" si="14"/>
        <v>48</v>
      </c>
      <c r="Y54" s="68" t="str">
        <f t="shared" si="15"/>
        <v>SFACT</v>
      </c>
      <c r="Z54" s="68" t="str">
        <f t="shared" si="16"/>
        <v>FREDDY R. CH</v>
      </c>
      <c r="AA54" s="68" t="str">
        <f t="shared" si="17"/>
        <v>SFC-0222-020</v>
      </c>
      <c r="AB54" s="227">
        <f t="shared" si="18"/>
        <v>44610</v>
      </c>
      <c r="AC54" s="68" t="str">
        <f t="shared" si="19"/>
        <v>INVERSIONES FRANERC, C.A.</v>
      </c>
      <c r="AD54" s="68" t="str">
        <f t="shared" si="20"/>
        <v>CHS - PINTURA IMPERMEABLE - SACO 10KG</v>
      </c>
      <c r="AE54" s="68">
        <f t="shared" si="21"/>
        <v>15</v>
      </c>
      <c r="AF54" s="68">
        <f t="shared" si="22"/>
        <v>5.4</v>
      </c>
      <c r="AG54" s="68">
        <f t="shared" si="23"/>
        <v>5.0999999999999996</v>
      </c>
    </row>
    <row r="55" spans="1:33">
      <c r="A55" s="18" t="str">
        <f t="shared" si="0"/>
        <v>5SFC-0222-020</v>
      </c>
      <c r="B55" s="219" t="s">
        <v>945</v>
      </c>
      <c r="C55" s="58" t="s">
        <v>964</v>
      </c>
      <c r="D55" s="44">
        <f t="shared" si="86"/>
        <v>20</v>
      </c>
      <c r="E55" s="59">
        <f t="shared" si="87"/>
        <v>5</v>
      </c>
      <c r="F55" s="90" t="str">
        <f t="shared" si="88"/>
        <v>SFC-0222-020</v>
      </c>
      <c r="G55" s="190">
        <v>44610</v>
      </c>
      <c r="H55" s="191" t="s">
        <v>1143</v>
      </c>
      <c r="I55" s="203" t="s">
        <v>862</v>
      </c>
      <c r="J55" s="204">
        <v>10</v>
      </c>
      <c r="K55" s="39">
        <f>IF(I55="",0,VLOOKUP(I55,'LISTA DE PRECIOS'!A:F,IF(R55="CORO",4,5),FALSE))</f>
        <v>5</v>
      </c>
      <c r="L55" s="206">
        <f t="shared" si="12"/>
        <v>50</v>
      </c>
      <c r="M55" s="217">
        <f>IF(F55="",0,IF(SUMIF('REPORTE GASTOS'!$C$6:$C$210,F55,'REPORTE GASTOS'!$G$6:$G$210)=0,'LISTA DE PRECIOS'!$H$3,SUMIF('REPORTE GASTOS'!$C$6:$C$210,F55,'REPORTE GASTOS'!$I$6:$I$210)/SUMIF('REPORTE GASTOS'!$C$6:$C$210,F55,'REPORTE GASTOS'!$G$6:$G$210)))</f>
        <v>5.0999999999999996</v>
      </c>
      <c r="N55" s="12">
        <f t="shared" si="89"/>
        <v>25.5</v>
      </c>
      <c r="O55" s="43">
        <f t="shared" si="90"/>
        <v>255</v>
      </c>
      <c r="P55" s="70"/>
      <c r="R55" s="68" t="str">
        <f>IF(H55="","",VLOOKUP(H55,'DATOS CLIENTES'!B:F,5,FALSE))</f>
        <v>CORO</v>
      </c>
      <c r="S55" s="68" t="str">
        <f t="shared" si="13"/>
        <v>020</v>
      </c>
      <c r="U55" s="69">
        <f t="shared" si="6"/>
        <v>485.85</v>
      </c>
      <c r="V55" s="69">
        <f t="shared" si="7"/>
        <v>2273.4349999999999</v>
      </c>
      <c r="X55" s="68">
        <f t="shared" si="14"/>
        <v>49</v>
      </c>
      <c r="Y55" s="68" t="str">
        <f t="shared" si="15"/>
        <v>SFACT</v>
      </c>
      <c r="Z55" s="68" t="str">
        <f t="shared" si="16"/>
        <v>FREDDY R. CH</v>
      </c>
      <c r="AA55" s="68" t="str">
        <f t="shared" si="17"/>
        <v>SFC-0222-020</v>
      </c>
      <c r="AB55" s="227">
        <f t="shared" si="18"/>
        <v>44610</v>
      </c>
      <c r="AC55" s="68" t="str">
        <f t="shared" si="19"/>
        <v>INVERSIONES FRANERC, C.A.</v>
      </c>
      <c r="AD55" s="68" t="str">
        <f t="shared" si="20"/>
        <v>CHS - PASTA EN POLVO PLUS - SACO 8KG</v>
      </c>
      <c r="AE55" s="68">
        <f t="shared" si="21"/>
        <v>10</v>
      </c>
      <c r="AF55" s="68">
        <f t="shared" si="22"/>
        <v>5</v>
      </c>
      <c r="AG55" s="68">
        <f t="shared" si="23"/>
        <v>5.0999999999999996</v>
      </c>
    </row>
    <row r="56" spans="1:33">
      <c r="A56" s="18" t="str">
        <f t="shared" si="0"/>
        <v>1SFC-0222-021</v>
      </c>
      <c r="B56" s="219" t="s">
        <v>945</v>
      </c>
      <c r="C56" s="58" t="s">
        <v>964</v>
      </c>
      <c r="D56" s="44">
        <f t="shared" si="86"/>
        <v>21</v>
      </c>
      <c r="E56" s="59">
        <f t="shared" si="87"/>
        <v>1</v>
      </c>
      <c r="F56" s="90" t="str">
        <f t="shared" si="88"/>
        <v>SFC-0222-021</v>
      </c>
      <c r="G56" s="190">
        <v>44610</v>
      </c>
      <c r="H56" s="191" t="s">
        <v>1125</v>
      </c>
      <c r="I56" s="203" t="s">
        <v>1002</v>
      </c>
      <c r="J56" s="204">
        <v>10</v>
      </c>
      <c r="K56" s="39">
        <f>IF(I56="",0,VLOOKUP(I56,'LISTA DE PRECIOS'!A:F,IF(R56="CORO",4,5),FALSE))</f>
        <v>5.4</v>
      </c>
      <c r="L56" s="206">
        <f t="shared" si="12"/>
        <v>54</v>
      </c>
      <c r="M56" s="217">
        <f>IF(F56="",0,IF(SUMIF('REPORTE GASTOS'!$C$6:$C$210,F56,'REPORTE GASTOS'!$G$6:$G$210)=0,'LISTA DE PRECIOS'!$H$3,SUMIF('REPORTE GASTOS'!$C$6:$C$210,F56,'REPORTE GASTOS'!$I$6:$I$210)/SUMIF('REPORTE GASTOS'!$C$6:$C$210,F56,'REPORTE GASTOS'!$G$6:$G$210)))</f>
        <v>5.0999999999999996</v>
      </c>
      <c r="N56" s="12">
        <f t="shared" si="89"/>
        <v>27.54</v>
      </c>
      <c r="O56" s="43">
        <f t="shared" si="90"/>
        <v>275.39999999999998</v>
      </c>
      <c r="P56" s="70"/>
      <c r="R56" s="68" t="str">
        <f>IF(H56="","",VLOOKUP(H56,'DATOS CLIENTES'!B:F,5,FALSE))</f>
        <v>CORO</v>
      </c>
      <c r="S56" s="68" t="str">
        <f t="shared" si="13"/>
        <v>021</v>
      </c>
      <c r="U56" s="69">
        <f t="shared" si="6"/>
        <v>97.509999999999991</v>
      </c>
      <c r="V56" s="69">
        <f t="shared" si="7"/>
        <v>497.30099999999999</v>
      </c>
      <c r="X56" s="68">
        <f t="shared" si="14"/>
        <v>50</v>
      </c>
      <c r="Y56" s="68" t="str">
        <f t="shared" si="15"/>
        <v>SFACT</v>
      </c>
      <c r="Z56" s="68" t="str">
        <f t="shared" si="16"/>
        <v>FREDDY R. CH</v>
      </c>
      <c r="AA56" s="68" t="str">
        <f t="shared" si="17"/>
        <v>SFC-0222-021</v>
      </c>
      <c r="AB56" s="227">
        <f t="shared" si="18"/>
        <v>44610</v>
      </c>
      <c r="AC56" s="68" t="str">
        <f t="shared" si="19"/>
        <v>ENYERBERTH FORNELINO FERRETERIA FORNE E, F.P.</v>
      </c>
      <c r="AD56" s="68" t="str">
        <f t="shared" si="20"/>
        <v>CHS - PINTURA IMPERMEABLE - SACO 10KG</v>
      </c>
      <c r="AE56" s="68">
        <f t="shared" si="21"/>
        <v>10</v>
      </c>
      <c r="AF56" s="68">
        <f t="shared" si="22"/>
        <v>5.4</v>
      </c>
      <c r="AG56" s="68">
        <f t="shared" si="23"/>
        <v>5.0999999999999996</v>
      </c>
    </row>
    <row r="57" spans="1:33">
      <c r="A57" s="18" t="str">
        <f t="shared" si="0"/>
        <v>2SFC-0222-021</v>
      </c>
      <c r="B57" s="219" t="s">
        <v>945</v>
      </c>
      <c r="C57" s="58" t="s">
        <v>964</v>
      </c>
      <c r="D57" s="44">
        <f t="shared" si="86"/>
        <v>21</v>
      </c>
      <c r="E57" s="59">
        <f t="shared" si="87"/>
        <v>2</v>
      </c>
      <c r="F57" s="90" t="str">
        <f t="shared" si="88"/>
        <v>SFC-0222-021</v>
      </c>
      <c r="G57" s="190">
        <v>44610</v>
      </c>
      <c r="H57" s="191" t="s">
        <v>1125</v>
      </c>
      <c r="I57" s="203" t="s">
        <v>76</v>
      </c>
      <c r="J57" s="204">
        <v>30</v>
      </c>
      <c r="K57" s="39">
        <f>IF(I57="",0,VLOOKUP(I57,'LISTA DE PRECIOS'!A:F,IF(R57="CORO",4,5),FALSE))</f>
        <v>1.1200000000000001</v>
      </c>
      <c r="L57" s="206">
        <f t="shared" si="12"/>
        <v>33.6</v>
      </c>
      <c r="M57" s="217">
        <f>IF(F57="",0,IF(SUMIF('REPORTE GASTOS'!$C$6:$C$210,F57,'REPORTE GASTOS'!$G$6:$G$210)=0,'LISTA DE PRECIOS'!$H$3,SUMIF('REPORTE GASTOS'!$C$6:$C$210,F57,'REPORTE GASTOS'!$I$6:$I$210)/SUMIF('REPORTE GASTOS'!$C$6:$C$210,F57,'REPORTE GASTOS'!$G$6:$G$210)))</f>
        <v>5.0999999999999996</v>
      </c>
      <c r="N57" s="12">
        <f t="shared" si="89"/>
        <v>5.7119999999999997</v>
      </c>
      <c r="O57" s="43">
        <f t="shared" si="90"/>
        <v>171.35999999999999</v>
      </c>
      <c r="P57" s="70"/>
      <c r="R57" s="68" t="str">
        <f>IF(H57="","",VLOOKUP(H57,'DATOS CLIENTES'!B:F,5,FALSE))</f>
        <v>CORO</v>
      </c>
      <c r="S57" s="68" t="str">
        <f t="shared" si="13"/>
        <v>021</v>
      </c>
      <c r="U57" s="69">
        <f t="shared" si="6"/>
        <v>97.509999999999991</v>
      </c>
      <c r="V57" s="69">
        <f t="shared" si="7"/>
        <v>497.30099999999999</v>
      </c>
      <c r="X57" s="68">
        <f t="shared" si="14"/>
        <v>51</v>
      </c>
      <c r="Y57" s="68" t="str">
        <f t="shared" si="15"/>
        <v>SFACT</v>
      </c>
      <c r="Z57" s="68" t="str">
        <f t="shared" si="16"/>
        <v>FREDDY R. CH</v>
      </c>
      <c r="AA57" s="68" t="str">
        <f t="shared" si="17"/>
        <v>SFC-0222-021</v>
      </c>
      <c r="AB57" s="227">
        <f t="shared" si="18"/>
        <v>44610</v>
      </c>
      <c r="AC57" s="68" t="str">
        <f t="shared" si="19"/>
        <v>ENYERBERTH FORNELINO FERRETERIA FORNE E, F.P.</v>
      </c>
      <c r="AD57" s="68" t="str">
        <f t="shared" si="20"/>
        <v>MACROFIBRA TEREFTALATO DE DIMETILO (100 GR)</v>
      </c>
      <c r="AE57" s="68">
        <f t="shared" si="21"/>
        <v>30</v>
      </c>
      <c r="AF57" s="68">
        <f t="shared" si="22"/>
        <v>1.1200000000000001</v>
      </c>
      <c r="AG57" s="68">
        <f t="shared" si="23"/>
        <v>5.0999999999999996</v>
      </c>
    </row>
    <row r="58" spans="1:33">
      <c r="A58" s="18" t="str">
        <f t="shared" si="0"/>
        <v>3SFC-0222-021</v>
      </c>
      <c r="B58" s="219" t="s">
        <v>945</v>
      </c>
      <c r="C58" s="58" t="s">
        <v>964</v>
      </c>
      <c r="D58" s="44">
        <f t="shared" si="86"/>
        <v>21</v>
      </c>
      <c r="E58" s="59">
        <f t="shared" si="87"/>
        <v>3</v>
      </c>
      <c r="F58" s="90" t="str">
        <f t="shared" si="88"/>
        <v>SFC-0222-021</v>
      </c>
      <c r="G58" s="190">
        <v>44610</v>
      </c>
      <c r="H58" s="191" t="s">
        <v>1125</v>
      </c>
      <c r="I58" s="191" t="s">
        <v>538</v>
      </c>
      <c r="J58" s="204">
        <v>1</v>
      </c>
      <c r="K58" s="39">
        <f>IF(I58="",0,VLOOKUP(I58,'LISTA DE PRECIOS'!A:F,IF(R58="CORO",4,5),FALSE))</f>
        <v>1.6600000000000001</v>
      </c>
      <c r="L58" s="206">
        <f t="shared" si="12"/>
        <v>1.66</v>
      </c>
      <c r="M58" s="217">
        <f>IF(F58="",0,IF(SUMIF('REPORTE GASTOS'!$C$6:$C$210,F58,'REPORTE GASTOS'!$G$6:$G$210)=0,'LISTA DE PRECIOS'!$H$3,SUMIF('REPORTE GASTOS'!$C$6:$C$210,F58,'REPORTE GASTOS'!$I$6:$I$210)/SUMIF('REPORTE GASTOS'!$C$6:$C$210,F58,'REPORTE GASTOS'!$G$6:$G$210)))</f>
        <v>5.0999999999999996</v>
      </c>
      <c r="N58" s="12">
        <f t="shared" si="89"/>
        <v>8.4659999999999993</v>
      </c>
      <c r="O58" s="43">
        <f t="shared" si="90"/>
        <v>8.4659999999999993</v>
      </c>
      <c r="P58" s="70"/>
      <c r="R58" s="68" t="str">
        <f>IF(H58="","",VLOOKUP(H58,'DATOS CLIENTES'!B:F,5,FALSE))</f>
        <v>CORO</v>
      </c>
      <c r="S58" s="68" t="str">
        <f t="shared" si="13"/>
        <v>021</v>
      </c>
      <c r="U58" s="69">
        <f t="shared" si="6"/>
        <v>97.509999999999991</v>
      </c>
      <c r="V58" s="69">
        <f t="shared" si="7"/>
        <v>497.30099999999999</v>
      </c>
      <c r="X58" s="68">
        <f t="shared" si="14"/>
        <v>52</v>
      </c>
      <c r="Y58" s="68" t="str">
        <f t="shared" si="15"/>
        <v>SFACT</v>
      </c>
      <c r="Z58" s="68" t="str">
        <f t="shared" si="16"/>
        <v>FREDDY R. CH</v>
      </c>
      <c r="AA58" s="68" t="str">
        <f t="shared" si="17"/>
        <v>SFC-0222-021</v>
      </c>
      <c r="AB58" s="227">
        <f t="shared" si="18"/>
        <v>44610</v>
      </c>
      <c r="AC58" s="68" t="str">
        <f t="shared" si="19"/>
        <v>ENYERBERTH FORNELINO FERRETERIA FORNE E, F.P.</v>
      </c>
      <c r="AD58" s="68" t="str">
        <f t="shared" si="20"/>
        <v>CHS - CAL PREPARADA LIQUIDA (1 GAL)</v>
      </c>
      <c r="AE58" s="68">
        <f t="shared" si="21"/>
        <v>1</v>
      </c>
      <c r="AF58" s="68">
        <f t="shared" si="22"/>
        <v>1.6600000000000001</v>
      </c>
      <c r="AG58" s="68">
        <f t="shared" si="23"/>
        <v>5.0999999999999996</v>
      </c>
    </row>
    <row r="59" spans="1:33">
      <c r="A59" s="18" t="str">
        <f t="shared" si="0"/>
        <v>4SFC-0222-021</v>
      </c>
      <c r="B59" s="219" t="s">
        <v>945</v>
      </c>
      <c r="C59" s="58" t="s">
        <v>964</v>
      </c>
      <c r="D59" s="44">
        <f t="shared" si="86"/>
        <v>21</v>
      </c>
      <c r="E59" s="59">
        <f t="shared" si="87"/>
        <v>4</v>
      </c>
      <c r="F59" s="90" t="str">
        <f t="shared" si="88"/>
        <v>SFC-0222-021</v>
      </c>
      <c r="G59" s="190">
        <v>44610</v>
      </c>
      <c r="H59" s="191" t="s">
        <v>1125</v>
      </c>
      <c r="I59" s="202" t="s">
        <v>862</v>
      </c>
      <c r="J59" s="204">
        <v>1</v>
      </c>
      <c r="K59" s="39">
        <f>IF(I59="",0,VLOOKUP(I59,'LISTA DE PRECIOS'!A:F,IF(R59="CORO",4,5),FALSE))</f>
        <v>5</v>
      </c>
      <c r="L59" s="206">
        <f t="shared" si="12"/>
        <v>5</v>
      </c>
      <c r="M59" s="217">
        <f>IF(F59="",0,IF(SUMIF('REPORTE GASTOS'!$C$6:$C$210,F59,'REPORTE GASTOS'!$G$6:$G$210)=0,'LISTA DE PRECIOS'!$H$3,SUMIF('REPORTE GASTOS'!$C$6:$C$210,F59,'REPORTE GASTOS'!$I$6:$I$210)/SUMIF('REPORTE GASTOS'!$C$6:$C$210,F59,'REPORTE GASTOS'!$G$6:$G$210)))</f>
        <v>5.0999999999999996</v>
      </c>
      <c r="N59" s="12">
        <f t="shared" si="89"/>
        <v>25.5</v>
      </c>
      <c r="O59" s="43">
        <f t="shared" si="90"/>
        <v>25.5</v>
      </c>
      <c r="P59" s="70"/>
      <c r="R59" s="68" t="str">
        <f>IF(H59="","",VLOOKUP(H59,'DATOS CLIENTES'!B:F,5,FALSE))</f>
        <v>CORO</v>
      </c>
      <c r="S59" s="68" t="str">
        <f t="shared" si="13"/>
        <v>021</v>
      </c>
      <c r="U59" s="69">
        <f t="shared" si="6"/>
        <v>97.509999999999991</v>
      </c>
      <c r="V59" s="69">
        <f t="shared" si="7"/>
        <v>497.30099999999999</v>
      </c>
      <c r="X59" s="68">
        <f t="shared" si="14"/>
        <v>53</v>
      </c>
      <c r="Y59" s="68" t="str">
        <f t="shared" si="15"/>
        <v>SFACT</v>
      </c>
      <c r="Z59" s="68" t="str">
        <f t="shared" si="16"/>
        <v>FREDDY R. CH</v>
      </c>
      <c r="AA59" s="68" t="str">
        <f t="shared" si="17"/>
        <v>SFC-0222-021</v>
      </c>
      <c r="AB59" s="227">
        <f t="shared" si="18"/>
        <v>44610</v>
      </c>
      <c r="AC59" s="68" t="str">
        <f t="shared" si="19"/>
        <v>ENYERBERTH FORNELINO FERRETERIA FORNE E, F.P.</v>
      </c>
      <c r="AD59" s="68" t="str">
        <f t="shared" si="20"/>
        <v>CHS - PASTA EN POLVO PLUS - SACO 8KG</v>
      </c>
      <c r="AE59" s="68">
        <f t="shared" si="21"/>
        <v>1</v>
      </c>
      <c r="AF59" s="68">
        <f t="shared" si="22"/>
        <v>5</v>
      </c>
      <c r="AG59" s="68">
        <f t="shared" si="23"/>
        <v>5.0999999999999996</v>
      </c>
    </row>
    <row r="60" spans="1:33">
      <c r="A60" s="18" t="str">
        <f t="shared" si="0"/>
        <v>5SFC-0222-021</v>
      </c>
      <c r="B60" s="219" t="s">
        <v>945</v>
      </c>
      <c r="C60" s="58" t="s">
        <v>964</v>
      </c>
      <c r="D60" s="44">
        <f t="shared" si="86"/>
        <v>21</v>
      </c>
      <c r="E60" s="59">
        <f t="shared" si="87"/>
        <v>5</v>
      </c>
      <c r="F60" s="90" t="str">
        <f t="shared" si="88"/>
        <v>SFC-0222-021</v>
      </c>
      <c r="G60" s="190">
        <v>44610</v>
      </c>
      <c r="H60" s="191" t="s">
        <v>1125</v>
      </c>
      <c r="I60" s="203" t="s">
        <v>941</v>
      </c>
      <c r="J60" s="204">
        <v>1</v>
      </c>
      <c r="K60" s="39">
        <f>IF(I60="",0,VLOOKUP(I60,'LISTA DE PRECIOS'!A:F,IF(R60="CORO",4,5),FALSE))</f>
        <v>3.25</v>
      </c>
      <c r="L60" s="206">
        <f t="shared" si="12"/>
        <v>3.25</v>
      </c>
      <c r="M60" s="217">
        <f>IF(F60="",0,IF(SUMIF('REPORTE GASTOS'!$C$6:$C$210,F60,'REPORTE GASTOS'!$G$6:$G$210)=0,'LISTA DE PRECIOS'!$H$3,SUMIF('REPORTE GASTOS'!$C$6:$C$210,F60,'REPORTE GASTOS'!$I$6:$I$210)/SUMIF('REPORTE GASTOS'!$C$6:$C$210,F60,'REPORTE GASTOS'!$G$6:$G$210)))</f>
        <v>5.0999999999999996</v>
      </c>
      <c r="N60" s="12">
        <f t="shared" si="89"/>
        <v>16.574999999999999</v>
      </c>
      <c r="O60" s="43">
        <f t="shared" si="90"/>
        <v>16.574999999999999</v>
      </c>
      <c r="P60" s="70"/>
      <c r="R60" s="68" t="str">
        <f>IF(H60="","",VLOOKUP(H60,'DATOS CLIENTES'!B:F,5,FALSE))</f>
        <v>CORO</v>
      </c>
      <c r="S60" s="68" t="str">
        <f t="shared" si="13"/>
        <v>021</v>
      </c>
      <c r="U60" s="69">
        <f t="shared" si="6"/>
        <v>97.509999999999991</v>
      </c>
      <c r="V60" s="69">
        <f t="shared" si="7"/>
        <v>497.30099999999999</v>
      </c>
      <c r="X60" s="68">
        <f t="shared" si="14"/>
        <v>54</v>
      </c>
      <c r="Y60" s="68" t="str">
        <f t="shared" si="15"/>
        <v>SFACT</v>
      </c>
      <c r="Z60" s="68" t="str">
        <f t="shared" si="16"/>
        <v>FREDDY R. CH</v>
      </c>
      <c r="AA60" s="68" t="str">
        <f t="shared" si="17"/>
        <v>SFC-0222-021</v>
      </c>
      <c r="AB60" s="227">
        <f t="shared" si="18"/>
        <v>44610</v>
      </c>
      <c r="AC60" s="68" t="str">
        <f t="shared" si="19"/>
        <v>ENYERBERTH FORNELINO FERRETERIA FORNE E, F.P.</v>
      </c>
      <c r="AD60" s="68" t="str">
        <f t="shared" si="20"/>
        <v>CHS - PEGO BLANCO - SACO 15KG</v>
      </c>
      <c r="AE60" s="68">
        <f t="shared" si="21"/>
        <v>1</v>
      </c>
      <c r="AF60" s="68">
        <f t="shared" si="22"/>
        <v>3.25</v>
      </c>
      <c r="AG60" s="68">
        <f t="shared" si="23"/>
        <v>5.0999999999999996</v>
      </c>
    </row>
    <row r="61" spans="1:33">
      <c r="A61" s="18" t="str">
        <f t="shared" si="0"/>
        <v>1SFC-0222-022</v>
      </c>
      <c r="B61" s="219" t="s">
        <v>945</v>
      </c>
      <c r="C61" s="58" t="s">
        <v>964</v>
      </c>
      <c r="D61" s="44">
        <f t="shared" si="86"/>
        <v>22</v>
      </c>
      <c r="E61" s="59">
        <f t="shared" si="87"/>
        <v>1</v>
      </c>
      <c r="F61" s="90" t="str">
        <f t="shared" si="88"/>
        <v>SFC-0222-022</v>
      </c>
      <c r="G61" s="190">
        <v>44610</v>
      </c>
      <c r="H61" s="191" t="s">
        <v>1208</v>
      </c>
      <c r="I61" s="203" t="s">
        <v>515</v>
      </c>
      <c r="J61" s="204">
        <v>15</v>
      </c>
      <c r="K61" s="39">
        <f>IF(I61="",0,VLOOKUP(I61,'LISTA DE PRECIOS'!A:F,IF(R61="CORO",4,5),FALSE))</f>
        <v>2.16</v>
      </c>
      <c r="L61" s="206">
        <f t="shared" si="12"/>
        <v>32.4</v>
      </c>
      <c r="M61" s="217">
        <f>IF(F61="",0,IF(SUMIF('REPORTE GASTOS'!$C$6:$C$210,F61,'REPORTE GASTOS'!$G$6:$G$210)=0,'LISTA DE PRECIOS'!$H$3,SUMIF('REPORTE GASTOS'!$C$6:$C$210,F61,'REPORTE GASTOS'!$I$6:$I$210)/SUMIF('REPORTE GASTOS'!$C$6:$C$210,F61,'REPORTE GASTOS'!$G$6:$G$210)))</f>
        <v>4.5533175355450242</v>
      </c>
      <c r="N61" s="12">
        <f t="shared" si="89"/>
        <v>9.8351658767772534</v>
      </c>
      <c r="O61" s="43">
        <f t="shared" si="90"/>
        <v>147.52748815165882</v>
      </c>
      <c r="P61" s="70"/>
      <c r="R61" s="68" t="str">
        <f>IF(H61="","",VLOOKUP(H61,'DATOS CLIENTES'!B:F,5,FALSE))</f>
        <v>CORO</v>
      </c>
      <c r="S61" s="68" t="str">
        <f t="shared" si="13"/>
        <v>022</v>
      </c>
      <c r="U61" s="69">
        <f t="shared" si="6"/>
        <v>78.759999999999991</v>
      </c>
      <c r="V61" s="69">
        <f t="shared" si="7"/>
        <v>358.61928909952616</v>
      </c>
      <c r="X61" s="68">
        <f t="shared" si="14"/>
        <v>55</v>
      </c>
      <c r="Y61" s="68" t="str">
        <f t="shared" si="15"/>
        <v>SFACT</v>
      </c>
      <c r="Z61" s="68" t="str">
        <f t="shared" si="16"/>
        <v>FREDDY R. CH</v>
      </c>
      <c r="AA61" s="68" t="str">
        <f t="shared" si="17"/>
        <v>SFC-0222-022</v>
      </c>
      <c r="AB61" s="227">
        <f t="shared" si="18"/>
        <v>44610</v>
      </c>
      <c r="AC61" s="68" t="str">
        <f t="shared" si="19"/>
        <v>JAVI EFREN CHIRINOS</v>
      </c>
      <c r="AD61" s="68" t="str">
        <f t="shared" si="20"/>
        <v>CHS - PASTA EN POLVO PLUS - SACO 3KG</v>
      </c>
      <c r="AE61" s="68">
        <f t="shared" si="21"/>
        <v>15</v>
      </c>
      <c r="AF61" s="68">
        <f t="shared" si="22"/>
        <v>2.16</v>
      </c>
      <c r="AG61" s="68">
        <f t="shared" si="23"/>
        <v>4.5533175355450242</v>
      </c>
    </row>
    <row r="62" spans="1:33">
      <c r="A62" s="18" t="str">
        <f t="shared" si="0"/>
        <v>2SFC-0222-022</v>
      </c>
      <c r="B62" s="219" t="s">
        <v>945</v>
      </c>
      <c r="C62" s="58" t="s">
        <v>964</v>
      </c>
      <c r="D62" s="44">
        <f t="shared" si="86"/>
        <v>22</v>
      </c>
      <c r="E62" s="59">
        <f t="shared" si="87"/>
        <v>2</v>
      </c>
      <c r="F62" s="90" t="str">
        <f t="shared" si="88"/>
        <v>SFC-0222-022</v>
      </c>
      <c r="G62" s="190">
        <v>44610</v>
      </c>
      <c r="H62" s="191" t="s">
        <v>1208</v>
      </c>
      <c r="I62" s="6" t="s">
        <v>524</v>
      </c>
      <c r="J62" s="204">
        <v>5</v>
      </c>
      <c r="K62" s="39">
        <f>IF(I62="",0,VLOOKUP(I62,'LISTA DE PRECIOS'!A:F,IF(R62="CORO",4,5),FALSE))</f>
        <v>1.1499999999999999</v>
      </c>
      <c r="L62" s="206">
        <f t="shared" si="12"/>
        <v>5.75</v>
      </c>
      <c r="M62" s="217">
        <f>IF(F62="",0,IF(SUMIF('REPORTE GASTOS'!$C$6:$C$210,F62,'REPORTE GASTOS'!$G$6:$G$210)=0,'LISTA DE PRECIOS'!$H$3,SUMIF('REPORTE GASTOS'!$C$6:$C$210,F62,'REPORTE GASTOS'!$I$6:$I$210)/SUMIF('REPORTE GASTOS'!$C$6:$C$210,F62,'REPORTE GASTOS'!$G$6:$G$210)))</f>
        <v>4.5533175355450242</v>
      </c>
      <c r="N62" s="12">
        <f t="shared" si="89"/>
        <v>5.2363151658767775</v>
      </c>
      <c r="O62" s="43">
        <f t="shared" si="90"/>
        <v>26.181575829383888</v>
      </c>
      <c r="P62" s="70"/>
      <c r="R62" s="68" t="str">
        <f>IF(H62="","",VLOOKUP(H62,'DATOS CLIENTES'!B:F,5,FALSE))</f>
        <v>CORO</v>
      </c>
      <c r="S62" s="68" t="str">
        <f t="shared" si="13"/>
        <v>022</v>
      </c>
      <c r="U62" s="69">
        <f t="shared" si="6"/>
        <v>78.759999999999991</v>
      </c>
      <c r="V62" s="69">
        <f t="shared" si="7"/>
        <v>358.61928909952616</v>
      </c>
      <c r="X62" s="68">
        <f t="shared" si="14"/>
        <v>56</v>
      </c>
      <c r="Y62" s="68" t="str">
        <f t="shared" si="15"/>
        <v>SFACT</v>
      </c>
      <c r="Z62" s="68" t="str">
        <f t="shared" si="16"/>
        <v>FREDDY R. CH</v>
      </c>
      <c r="AA62" s="68" t="str">
        <f t="shared" si="17"/>
        <v>SFC-0222-022</v>
      </c>
      <c r="AB62" s="227">
        <f t="shared" si="18"/>
        <v>44610</v>
      </c>
      <c r="AC62" s="68" t="str">
        <f t="shared" si="19"/>
        <v>JAVI EFREN CHIRINOS</v>
      </c>
      <c r="AD62" s="68" t="str">
        <f t="shared" si="20"/>
        <v>CHS - CEMENTO BLANCO - SACO 1 KG</v>
      </c>
      <c r="AE62" s="68">
        <f t="shared" si="21"/>
        <v>5</v>
      </c>
      <c r="AF62" s="68">
        <f t="shared" si="22"/>
        <v>1.1499999999999999</v>
      </c>
      <c r="AG62" s="68">
        <f t="shared" si="23"/>
        <v>4.5533175355450242</v>
      </c>
    </row>
    <row r="63" spans="1:33">
      <c r="A63" s="18" t="str">
        <f t="shared" si="0"/>
        <v>3SFC-0222-022</v>
      </c>
      <c r="B63" s="219" t="s">
        <v>945</v>
      </c>
      <c r="C63" s="58" t="s">
        <v>964</v>
      </c>
      <c r="D63" s="44">
        <f t="shared" si="86"/>
        <v>22</v>
      </c>
      <c r="E63" s="59">
        <f t="shared" si="87"/>
        <v>3</v>
      </c>
      <c r="F63" s="90" t="str">
        <f t="shared" si="88"/>
        <v>SFC-0222-022</v>
      </c>
      <c r="G63" s="190">
        <v>44610</v>
      </c>
      <c r="H63" s="191" t="s">
        <v>1208</v>
      </c>
      <c r="I63" s="202" t="s">
        <v>538</v>
      </c>
      <c r="J63" s="204">
        <v>6</v>
      </c>
      <c r="K63" s="39">
        <f>IF(I63="",0,VLOOKUP(I63,'LISTA DE PRECIOS'!A:F,IF(R63="CORO",4,5),FALSE))</f>
        <v>1.6600000000000001</v>
      </c>
      <c r="L63" s="206">
        <f t="shared" si="12"/>
        <v>9.9600000000000009</v>
      </c>
      <c r="M63" s="217">
        <f>IF(F63="",0,IF(SUMIF('REPORTE GASTOS'!$C$6:$C$210,F63,'REPORTE GASTOS'!$G$6:$G$210)=0,'LISTA DE PRECIOS'!$H$3,SUMIF('REPORTE GASTOS'!$C$6:$C$210,F63,'REPORTE GASTOS'!$I$6:$I$210)/SUMIF('REPORTE GASTOS'!$C$6:$C$210,F63,'REPORTE GASTOS'!$G$6:$G$210)))</f>
        <v>4.5533175355450242</v>
      </c>
      <c r="N63" s="12">
        <f t="shared" si="89"/>
        <v>7.5585071090047409</v>
      </c>
      <c r="O63" s="43">
        <f t="shared" si="90"/>
        <v>45.351042654028447</v>
      </c>
      <c r="P63" s="70"/>
      <c r="R63" s="68" t="str">
        <f>IF(H63="","",VLOOKUP(H63,'DATOS CLIENTES'!B:F,5,FALSE))</f>
        <v>CORO</v>
      </c>
      <c r="S63" s="68" t="str">
        <f t="shared" si="13"/>
        <v>022</v>
      </c>
      <c r="U63" s="69">
        <f t="shared" si="6"/>
        <v>78.759999999999991</v>
      </c>
      <c r="V63" s="69">
        <f t="shared" si="7"/>
        <v>358.61928909952616</v>
      </c>
      <c r="X63" s="68">
        <f t="shared" si="14"/>
        <v>57</v>
      </c>
      <c r="Y63" s="68" t="str">
        <f t="shared" si="15"/>
        <v>SFACT</v>
      </c>
      <c r="Z63" s="68" t="str">
        <f t="shared" si="16"/>
        <v>FREDDY R. CH</v>
      </c>
      <c r="AA63" s="68" t="str">
        <f t="shared" si="17"/>
        <v>SFC-0222-022</v>
      </c>
      <c r="AB63" s="227">
        <f t="shared" si="18"/>
        <v>44610</v>
      </c>
      <c r="AC63" s="68" t="str">
        <f t="shared" si="19"/>
        <v>JAVI EFREN CHIRINOS</v>
      </c>
      <c r="AD63" s="68" t="str">
        <f t="shared" si="20"/>
        <v>CHS - CAL PREPARADA LIQUIDA (1 GAL)</v>
      </c>
      <c r="AE63" s="68">
        <f t="shared" si="21"/>
        <v>6</v>
      </c>
      <c r="AF63" s="68">
        <f t="shared" si="22"/>
        <v>1.6600000000000001</v>
      </c>
      <c r="AG63" s="68">
        <f t="shared" si="23"/>
        <v>4.5533175355450242</v>
      </c>
    </row>
    <row r="64" spans="1:33">
      <c r="A64" s="18" t="str">
        <f t="shared" si="0"/>
        <v>4SFC-0222-022</v>
      </c>
      <c r="B64" s="219" t="s">
        <v>945</v>
      </c>
      <c r="C64" s="58" t="s">
        <v>964</v>
      </c>
      <c r="D64" s="44">
        <f t="shared" si="86"/>
        <v>22</v>
      </c>
      <c r="E64" s="59">
        <f t="shared" si="87"/>
        <v>4</v>
      </c>
      <c r="F64" s="90" t="str">
        <f t="shared" si="88"/>
        <v>SFC-0222-022</v>
      </c>
      <c r="G64" s="190">
        <v>44610</v>
      </c>
      <c r="H64" s="191" t="s">
        <v>1208</v>
      </c>
      <c r="I64" s="203" t="s">
        <v>758</v>
      </c>
      <c r="J64" s="204">
        <v>5</v>
      </c>
      <c r="K64" s="39">
        <f>IF(I64="",0,VLOOKUP(I64,'LISTA DE PRECIOS'!A:F,IF(R64="CORO",4,5),FALSE))</f>
        <v>2.88</v>
      </c>
      <c r="L64" s="206">
        <f t="shared" si="12"/>
        <v>14.4</v>
      </c>
      <c r="M64" s="217">
        <f>IF(F64="",0,IF(SUMIF('REPORTE GASTOS'!$C$6:$C$210,F64,'REPORTE GASTOS'!$G$6:$G$210)=0,'LISTA DE PRECIOS'!$H$3,SUMIF('REPORTE GASTOS'!$C$6:$C$210,F64,'REPORTE GASTOS'!$I$6:$I$210)/SUMIF('REPORTE GASTOS'!$C$6:$C$210,F64,'REPORTE GASTOS'!$G$6:$G$210)))</f>
        <v>4.5533175355450242</v>
      </c>
      <c r="N64" s="12">
        <f t="shared" si="89"/>
        <v>13.113554502369668</v>
      </c>
      <c r="O64" s="43">
        <f t="shared" si="90"/>
        <v>65.567772511848347</v>
      </c>
      <c r="P64" s="70"/>
      <c r="R64" s="68" t="str">
        <f>IF(H64="","",VLOOKUP(H64,'DATOS CLIENTES'!B:F,5,FALSE))</f>
        <v>CORO</v>
      </c>
      <c r="S64" s="68" t="str">
        <f t="shared" si="13"/>
        <v>022</v>
      </c>
      <c r="U64" s="69">
        <f t="shared" si="6"/>
        <v>78.759999999999991</v>
      </c>
      <c r="V64" s="69">
        <f t="shared" si="7"/>
        <v>358.61928909952616</v>
      </c>
      <c r="X64" s="68">
        <f t="shared" si="14"/>
        <v>58</v>
      </c>
      <c r="Y64" s="68" t="str">
        <f t="shared" si="15"/>
        <v>SFACT</v>
      </c>
      <c r="Z64" s="68" t="str">
        <f t="shared" si="16"/>
        <v>FREDDY R. CH</v>
      </c>
      <c r="AA64" s="68" t="str">
        <f t="shared" si="17"/>
        <v>SFC-0222-022</v>
      </c>
      <c r="AB64" s="227">
        <f t="shared" si="18"/>
        <v>44610</v>
      </c>
      <c r="AC64" s="68" t="str">
        <f t="shared" si="19"/>
        <v>JAVI EFREN CHIRINOS</v>
      </c>
      <c r="AD64" s="68" t="str">
        <f t="shared" si="20"/>
        <v>CHS - PEGO GRIS - SACO 15KG</v>
      </c>
      <c r="AE64" s="68">
        <f t="shared" si="21"/>
        <v>5</v>
      </c>
      <c r="AF64" s="68">
        <f t="shared" si="22"/>
        <v>2.88</v>
      </c>
      <c r="AG64" s="68">
        <f t="shared" si="23"/>
        <v>4.5533175355450242</v>
      </c>
    </row>
    <row r="65" spans="1:33">
      <c r="A65" s="18" t="str">
        <f t="shared" si="0"/>
        <v>5SFC-0222-022</v>
      </c>
      <c r="B65" s="219" t="s">
        <v>945</v>
      </c>
      <c r="C65" s="58" t="s">
        <v>964</v>
      </c>
      <c r="D65" s="44">
        <f t="shared" si="86"/>
        <v>22</v>
      </c>
      <c r="E65" s="59">
        <f t="shared" si="87"/>
        <v>5</v>
      </c>
      <c r="F65" s="90" t="str">
        <f t="shared" si="88"/>
        <v>SFC-0222-022</v>
      </c>
      <c r="G65" s="190">
        <v>44610</v>
      </c>
      <c r="H65" s="191" t="s">
        <v>1208</v>
      </c>
      <c r="I65" s="203" t="s">
        <v>941</v>
      </c>
      <c r="J65" s="204">
        <v>5</v>
      </c>
      <c r="K65" s="39">
        <f>IF(I65="",0,VLOOKUP(I65,'LISTA DE PRECIOS'!A:F,IF(R65="CORO",4,5),FALSE))</f>
        <v>3.25</v>
      </c>
      <c r="L65" s="206">
        <f t="shared" si="12"/>
        <v>16.25</v>
      </c>
      <c r="M65" s="217">
        <f>IF(F65="",0,IF(SUMIF('REPORTE GASTOS'!$C$6:$C$210,F65,'REPORTE GASTOS'!$G$6:$G$210)=0,'LISTA DE PRECIOS'!$H$3,SUMIF('REPORTE GASTOS'!$C$6:$C$210,F65,'REPORTE GASTOS'!$I$6:$I$210)/SUMIF('REPORTE GASTOS'!$C$6:$C$210,F65,'REPORTE GASTOS'!$G$6:$G$210)))</f>
        <v>4.5533175355450242</v>
      </c>
      <c r="N65" s="12">
        <f t="shared" si="89"/>
        <v>14.798281990521328</v>
      </c>
      <c r="O65" s="43">
        <f t="shared" si="90"/>
        <v>73.991409952606645</v>
      </c>
      <c r="P65" s="70"/>
      <c r="R65" s="68" t="str">
        <f>IF(H65="","",VLOOKUP(H65,'DATOS CLIENTES'!B:F,5,FALSE))</f>
        <v>CORO</v>
      </c>
      <c r="S65" s="68" t="str">
        <f t="shared" si="13"/>
        <v>022</v>
      </c>
      <c r="U65" s="69">
        <f t="shared" si="6"/>
        <v>78.759999999999991</v>
      </c>
      <c r="V65" s="69">
        <f t="shared" si="7"/>
        <v>358.61928909952616</v>
      </c>
      <c r="X65" s="68">
        <f t="shared" si="14"/>
        <v>59</v>
      </c>
      <c r="Y65" s="68" t="str">
        <f t="shared" si="15"/>
        <v>SFACT</v>
      </c>
      <c r="Z65" s="68" t="str">
        <f t="shared" si="16"/>
        <v>FREDDY R. CH</v>
      </c>
      <c r="AA65" s="68" t="str">
        <f t="shared" si="17"/>
        <v>SFC-0222-022</v>
      </c>
      <c r="AB65" s="227">
        <f t="shared" si="18"/>
        <v>44610</v>
      </c>
      <c r="AC65" s="68" t="str">
        <f t="shared" si="19"/>
        <v>JAVI EFREN CHIRINOS</v>
      </c>
      <c r="AD65" s="68" t="str">
        <f t="shared" si="20"/>
        <v>CHS - PEGO BLANCO - SACO 15KG</v>
      </c>
      <c r="AE65" s="68">
        <f t="shared" si="21"/>
        <v>5</v>
      </c>
      <c r="AF65" s="68">
        <f t="shared" si="22"/>
        <v>3.25</v>
      </c>
      <c r="AG65" s="68">
        <f t="shared" si="23"/>
        <v>4.5533175355450242</v>
      </c>
    </row>
    <row r="66" spans="1:33">
      <c r="A66" s="18" t="str">
        <f t="shared" si="0"/>
        <v>1SFC-0222-023</v>
      </c>
      <c r="B66" s="219" t="s">
        <v>945</v>
      </c>
      <c r="C66" s="58" t="s">
        <v>964</v>
      </c>
      <c r="D66" s="44">
        <f t="shared" ref="D66" si="91">IF(OR(H66="",AND(H66=H65,G66=G65)),D65,D65+1)</f>
        <v>23</v>
      </c>
      <c r="E66" s="59">
        <f t="shared" ref="E66" si="92">IF(F66="","",IF(OR(F66=0,F66=F65),E65+1,1))</f>
        <v>1</v>
      </c>
      <c r="F66" s="90" t="str">
        <f t="shared" ref="F66" si="93">IF(G66="","",CONCATENATE("SFC-",IF(LEN(MONTH($G$4))=1,CONCATENATE("0",MONTH($G$4)),MONTH($G$4)),RIGHT(YEAR($G$4),2),"-",S66))</f>
        <v>SFC-0222-023</v>
      </c>
      <c r="G66" s="205">
        <v>44613</v>
      </c>
      <c r="H66" s="191" t="s">
        <v>865</v>
      </c>
      <c r="I66" s="203" t="s">
        <v>76</v>
      </c>
      <c r="J66" s="42">
        <v>50</v>
      </c>
      <c r="K66" s="39">
        <f>IF(I66="",0,VLOOKUP(I66,'LISTA DE PRECIOS'!A:F,IF(R66="CORO",4,5),FALSE))</f>
        <v>1.1200000000000001</v>
      </c>
      <c r="L66" s="206">
        <f t="shared" si="12"/>
        <v>56</v>
      </c>
      <c r="M66" s="217">
        <f>IF(F66="",0,IF(SUMIF('REPORTE GASTOS'!$C$6:$C$210,F66,'REPORTE GASTOS'!$G$6:$G$210)=0,'LISTA DE PRECIOS'!$H$3,SUMIF('REPORTE GASTOS'!$C$6:$C$210,F66,'REPORTE GASTOS'!$I$6:$I$210)/SUMIF('REPORTE GASTOS'!$C$6:$C$210,F66,'REPORTE GASTOS'!$G$6:$G$210)))</f>
        <v>4.59</v>
      </c>
      <c r="N66" s="12">
        <f t="shared" ref="N66" si="94">M66*K66</f>
        <v>5.1408000000000005</v>
      </c>
      <c r="O66" s="43">
        <f t="shared" ref="O66" si="95">N66*J66</f>
        <v>257.04000000000002</v>
      </c>
      <c r="P66" s="70"/>
      <c r="R66" s="68" t="str">
        <f>IF(H66="","",VLOOKUP(H66,'DATOS CLIENTES'!B:F,5,FALSE))</f>
        <v>CORO</v>
      </c>
      <c r="S66" s="68" t="str">
        <f t="shared" si="13"/>
        <v>023</v>
      </c>
      <c r="U66" s="69">
        <f t="shared" si="6"/>
        <v>56</v>
      </c>
      <c r="V66" s="69">
        <f t="shared" si="7"/>
        <v>257.04000000000002</v>
      </c>
      <c r="X66" s="68">
        <f t="shared" si="14"/>
        <v>60</v>
      </c>
      <c r="Y66" s="68" t="str">
        <f t="shared" si="15"/>
        <v>SFACT</v>
      </c>
      <c r="Z66" s="68" t="str">
        <f t="shared" si="16"/>
        <v>FREDDY R. CH</v>
      </c>
      <c r="AA66" s="68" t="str">
        <f t="shared" si="17"/>
        <v>SFC-0222-023</v>
      </c>
      <c r="AB66" s="227">
        <f t="shared" si="18"/>
        <v>44613</v>
      </c>
      <c r="AC66" s="68" t="str">
        <f t="shared" si="19"/>
        <v>INVERSIONES Y SERVICIOS TOTALES, C.A.</v>
      </c>
      <c r="AD66" s="68" t="str">
        <f t="shared" si="20"/>
        <v>MACROFIBRA TEREFTALATO DE DIMETILO (100 GR)</v>
      </c>
      <c r="AE66" s="68">
        <f t="shared" si="21"/>
        <v>50</v>
      </c>
      <c r="AF66" s="68">
        <f t="shared" si="22"/>
        <v>1.1200000000000001</v>
      </c>
      <c r="AG66" s="68">
        <f t="shared" si="23"/>
        <v>4.59</v>
      </c>
    </row>
    <row r="67" spans="1:33">
      <c r="A67" s="18" t="str">
        <f t="shared" si="0"/>
        <v>1SFC-0222-024</v>
      </c>
      <c r="B67" s="219" t="s">
        <v>945</v>
      </c>
      <c r="C67" s="58" t="s">
        <v>964</v>
      </c>
      <c r="D67" s="44">
        <f t="shared" ref="D67" si="96">IF(OR(H67="",AND(H67=H66,G67=G66)),D66,D66+1)</f>
        <v>24</v>
      </c>
      <c r="E67" s="59">
        <f t="shared" ref="E67" si="97">IF(F67="","",IF(OR(F67=0,F67=F66),E66+1,1))</f>
        <v>1</v>
      </c>
      <c r="F67" s="90" t="str">
        <f t="shared" ref="F67" si="98">IF(G67="","",CONCATENATE("SFC-",IF(LEN(MONTH($G$4))=1,CONCATENATE("0",MONTH($G$4)),MONTH($G$4)),RIGHT(YEAR($G$4),2),"-",S67))</f>
        <v>SFC-0222-024</v>
      </c>
      <c r="G67" s="205">
        <v>44613</v>
      </c>
      <c r="H67" s="191" t="s">
        <v>1</v>
      </c>
      <c r="I67" s="202" t="s">
        <v>940</v>
      </c>
      <c r="J67" s="42">
        <v>10</v>
      </c>
      <c r="K67" s="39">
        <f>IF(I67="",0,VLOOKUP(I67,'LISTA DE PRECIOS'!A:F,IF(R67="CORO",4,5),FALSE))</f>
        <v>2.39</v>
      </c>
      <c r="L67" s="206">
        <f t="shared" si="12"/>
        <v>23.9</v>
      </c>
      <c r="M67" s="217">
        <f>IF(F67="",0,IF(SUMIF('REPORTE GASTOS'!$C$6:$C$210,F67,'REPORTE GASTOS'!$G$6:$G$210)=0,'LISTA DE PRECIOS'!$H$3,SUMIF('REPORTE GASTOS'!$C$6:$C$210,F67,'REPORTE GASTOS'!$I$6:$I$210)/SUMIF('REPORTE GASTOS'!$C$6:$C$210,F67,'REPORTE GASTOS'!$G$6:$G$210)))</f>
        <v>4.4000000000000004</v>
      </c>
      <c r="N67" s="12">
        <f t="shared" ref="N67" si="99">M67*K67</f>
        <v>10.516000000000002</v>
      </c>
      <c r="O67" s="43">
        <f t="shared" ref="O67" si="100">N67*J67</f>
        <v>105.16000000000003</v>
      </c>
      <c r="P67" s="70"/>
      <c r="R67" s="68" t="str">
        <f>IF(H67="","",VLOOKUP(H67,'DATOS CLIENTES'!B:F,5,FALSE))</f>
        <v>CORO</v>
      </c>
      <c r="S67" s="68" t="str">
        <f t="shared" si="13"/>
        <v>024</v>
      </c>
      <c r="U67" s="69">
        <f t="shared" si="6"/>
        <v>23.9</v>
      </c>
      <c r="V67" s="69">
        <f t="shared" si="7"/>
        <v>105.16000000000003</v>
      </c>
      <c r="X67" s="68">
        <f t="shared" si="14"/>
        <v>61</v>
      </c>
      <c r="Y67" s="68" t="str">
        <f t="shared" si="15"/>
        <v>SFACT</v>
      </c>
      <c r="Z67" s="68" t="str">
        <f t="shared" si="16"/>
        <v>FREDDY R. CH</v>
      </c>
      <c r="AA67" s="68" t="str">
        <f t="shared" si="17"/>
        <v>SFC-0222-024</v>
      </c>
      <c r="AB67" s="227">
        <f t="shared" si="18"/>
        <v>44613</v>
      </c>
      <c r="AC67" s="68" t="str">
        <f t="shared" si="19"/>
        <v>FERRETERIA PEPINO, S.A.</v>
      </c>
      <c r="AD67" s="68" t="str">
        <f t="shared" si="20"/>
        <v>STYLOSA TIPO A (50GR.)</v>
      </c>
      <c r="AE67" s="68">
        <f t="shared" si="21"/>
        <v>10</v>
      </c>
      <c r="AF67" s="68">
        <f t="shared" si="22"/>
        <v>2.39</v>
      </c>
      <c r="AG67" s="68">
        <f t="shared" si="23"/>
        <v>4.4000000000000004</v>
      </c>
    </row>
    <row r="68" spans="1:33">
      <c r="A68" s="18" t="str">
        <f t="shared" si="0"/>
        <v>1SFC-0222-025</v>
      </c>
      <c r="B68" s="219" t="s">
        <v>945</v>
      </c>
      <c r="C68" s="58" t="s">
        <v>964</v>
      </c>
      <c r="D68" s="44">
        <f t="shared" ref="D68" si="101">IF(OR(H68="",AND(H68=H67,G68=G67)),D67,D67+1)</f>
        <v>25</v>
      </c>
      <c r="E68" s="59">
        <f t="shared" ref="E68" si="102">IF(F68="","",IF(OR(F68=0,F68=F67),E67+1,1))</f>
        <v>1</v>
      </c>
      <c r="F68" s="90" t="str">
        <f t="shared" ref="F68" si="103">IF(G68="","",CONCATENATE("SFC-",IF(LEN(MONTH($G$4))=1,CONCATENATE("0",MONTH($G$4)),MONTH($G$4)),RIGHT(YEAR($G$4),2),"-",S68))</f>
        <v>SFC-0222-025</v>
      </c>
      <c r="G68" s="205">
        <v>44615</v>
      </c>
      <c r="H68" s="191" t="s">
        <v>929</v>
      </c>
      <c r="I68" s="203" t="s">
        <v>940</v>
      </c>
      <c r="J68" s="204">
        <v>1</v>
      </c>
      <c r="K68" s="39">
        <f>IF(I68="",0,VLOOKUP(I68,'LISTA DE PRECIOS'!A:F,IF(R68="CORO",4,5),FALSE))</f>
        <v>2.39</v>
      </c>
      <c r="L68" s="206">
        <f t="shared" si="12"/>
        <v>2.39</v>
      </c>
      <c r="M68" s="217">
        <f>IF(F68="",0,IF(SUMIF('REPORTE GASTOS'!$C$6:$C$210,F68,'REPORTE GASTOS'!$G$6:$G$210)=0,'LISTA DE PRECIOS'!$H$3,SUMIF('REPORTE GASTOS'!$C$6:$C$210,F68,'REPORTE GASTOS'!$I$6:$I$210)/SUMIF('REPORTE GASTOS'!$C$6:$C$210,F68,'REPORTE GASTOS'!$G$6:$G$210)))</f>
        <v>4.4000000000000004</v>
      </c>
      <c r="N68" s="12">
        <f t="shared" ref="N68:N70" si="104">M68*K68</f>
        <v>10.516000000000002</v>
      </c>
      <c r="O68" s="43">
        <f t="shared" ref="O68:O70" si="105">N68*J68</f>
        <v>10.516000000000002</v>
      </c>
      <c r="P68" s="70"/>
      <c r="R68" s="68" t="str">
        <f>IF(H68="","",VLOOKUP(H68,'DATOS CLIENTES'!B:F,5,FALSE))</f>
        <v>CORO</v>
      </c>
      <c r="S68" s="68" t="str">
        <f t="shared" si="13"/>
        <v>025</v>
      </c>
      <c r="U68" s="69">
        <f t="shared" si="6"/>
        <v>41.95</v>
      </c>
      <c r="V68" s="69">
        <f t="shared" si="7"/>
        <v>184.58000000000004</v>
      </c>
      <c r="X68" s="68">
        <f t="shared" si="14"/>
        <v>62</v>
      </c>
      <c r="Y68" s="68" t="str">
        <f t="shared" si="15"/>
        <v>SFACT</v>
      </c>
      <c r="Z68" s="68" t="str">
        <f t="shared" si="16"/>
        <v>FREDDY R. CH</v>
      </c>
      <c r="AA68" s="68" t="str">
        <f t="shared" si="17"/>
        <v>SFC-0222-025</v>
      </c>
      <c r="AB68" s="227">
        <f t="shared" si="18"/>
        <v>44615</v>
      </c>
      <c r="AC68" s="68" t="str">
        <f t="shared" si="19"/>
        <v>OSWALDO MARTINEZ</v>
      </c>
      <c r="AD68" s="68" t="str">
        <f t="shared" si="20"/>
        <v>STYLOSA TIPO A (50GR.)</v>
      </c>
      <c r="AE68" s="68">
        <f t="shared" si="21"/>
        <v>1</v>
      </c>
      <c r="AF68" s="68">
        <f t="shared" si="22"/>
        <v>2.39</v>
      </c>
      <c r="AG68" s="68">
        <f t="shared" si="23"/>
        <v>4.4000000000000004</v>
      </c>
    </row>
    <row r="69" spans="1:33">
      <c r="A69" s="18" t="str">
        <f t="shared" si="0"/>
        <v>2SFC-0222-025</v>
      </c>
      <c r="B69" s="219" t="s">
        <v>945</v>
      </c>
      <c r="C69" s="58" t="s">
        <v>964</v>
      </c>
      <c r="D69" s="44">
        <f t="shared" ref="D69:D70" si="106">IF(OR(H69="",AND(H69=H68,G69=G68)),D68,D68+1)</f>
        <v>25</v>
      </c>
      <c r="E69" s="59">
        <f t="shared" ref="E69:E70" si="107">IF(F69="","",IF(OR(F69=0,F69=F68),E68+1,1))</f>
        <v>2</v>
      </c>
      <c r="F69" s="90" t="str">
        <f t="shared" ref="F69:F70" si="108">IF(G69="","",CONCATENATE("SFC-",IF(LEN(MONTH($G$4))=1,CONCATENATE("0",MONTH($G$4)),MONTH($G$4)),RIGHT(YEAR($G$4),2),"-",S69))</f>
        <v>SFC-0222-025</v>
      </c>
      <c r="G69" s="205">
        <v>44615</v>
      </c>
      <c r="H69" s="191" t="s">
        <v>929</v>
      </c>
      <c r="I69" s="203" t="s">
        <v>862</v>
      </c>
      <c r="J69" s="204">
        <v>1</v>
      </c>
      <c r="K69" s="39">
        <f>IF(I69="",0,VLOOKUP(I69,'LISTA DE PRECIOS'!A:F,IF(R69="CORO",4,5),FALSE))</f>
        <v>5</v>
      </c>
      <c r="L69" s="206">
        <f t="shared" si="12"/>
        <v>5</v>
      </c>
      <c r="M69" s="217">
        <f>IF(F69="",0,IF(SUMIF('REPORTE GASTOS'!$C$6:$C$210,F69,'REPORTE GASTOS'!$G$6:$G$210)=0,'LISTA DE PRECIOS'!$H$3,SUMIF('REPORTE GASTOS'!$C$6:$C$210,F69,'REPORTE GASTOS'!$I$6:$I$210)/SUMIF('REPORTE GASTOS'!$C$6:$C$210,F69,'REPORTE GASTOS'!$G$6:$G$210)))</f>
        <v>4.4000000000000004</v>
      </c>
      <c r="N69" s="12">
        <f t="shared" si="104"/>
        <v>22</v>
      </c>
      <c r="O69" s="43">
        <f t="shared" si="105"/>
        <v>22</v>
      </c>
      <c r="P69" s="70"/>
      <c r="R69" s="68" t="str">
        <f>IF(H69="","",VLOOKUP(H69,'DATOS CLIENTES'!B:F,5,FALSE))</f>
        <v>CORO</v>
      </c>
      <c r="S69" s="68" t="str">
        <f t="shared" si="13"/>
        <v>025</v>
      </c>
      <c r="U69" s="69">
        <f t="shared" si="6"/>
        <v>41.95</v>
      </c>
      <c r="V69" s="69">
        <f t="shared" si="7"/>
        <v>184.58000000000004</v>
      </c>
      <c r="X69" s="68">
        <f t="shared" si="14"/>
        <v>63</v>
      </c>
      <c r="Y69" s="68" t="str">
        <f t="shared" si="15"/>
        <v>SFACT</v>
      </c>
      <c r="Z69" s="68" t="str">
        <f t="shared" si="16"/>
        <v>FREDDY R. CH</v>
      </c>
      <c r="AA69" s="68" t="str">
        <f t="shared" si="17"/>
        <v>SFC-0222-025</v>
      </c>
      <c r="AB69" s="227">
        <f t="shared" si="18"/>
        <v>44615</v>
      </c>
      <c r="AC69" s="68" t="str">
        <f t="shared" si="19"/>
        <v>OSWALDO MARTINEZ</v>
      </c>
      <c r="AD69" s="68" t="str">
        <f t="shared" si="20"/>
        <v>CHS - PASTA EN POLVO PLUS - SACO 8KG</v>
      </c>
      <c r="AE69" s="68">
        <f t="shared" si="21"/>
        <v>1</v>
      </c>
      <c r="AF69" s="68">
        <f t="shared" si="22"/>
        <v>5</v>
      </c>
      <c r="AG69" s="68">
        <f t="shared" si="23"/>
        <v>4.4000000000000004</v>
      </c>
    </row>
    <row r="70" spans="1:33">
      <c r="A70" s="18" t="str">
        <f t="shared" si="0"/>
        <v>3SFC-0222-025</v>
      </c>
      <c r="B70" s="219" t="s">
        <v>945</v>
      </c>
      <c r="C70" s="58" t="s">
        <v>964</v>
      </c>
      <c r="D70" s="44">
        <f t="shared" si="106"/>
        <v>25</v>
      </c>
      <c r="E70" s="59">
        <f t="shared" si="107"/>
        <v>3</v>
      </c>
      <c r="F70" s="90" t="str">
        <f t="shared" si="108"/>
        <v>SFC-0222-025</v>
      </c>
      <c r="G70" s="205">
        <v>44615</v>
      </c>
      <c r="H70" s="191" t="s">
        <v>929</v>
      </c>
      <c r="I70" s="203" t="s">
        <v>758</v>
      </c>
      <c r="J70" s="42">
        <v>12</v>
      </c>
      <c r="K70" s="39">
        <f>IF(I70="",0,VLOOKUP(I70,'LISTA DE PRECIOS'!A:F,IF(R70="CORO",4,5),FALSE))</f>
        <v>2.88</v>
      </c>
      <c r="L70" s="206">
        <f t="shared" si="12"/>
        <v>34.56</v>
      </c>
      <c r="M70" s="217">
        <f>IF(F70="",0,IF(SUMIF('REPORTE GASTOS'!$C$6:$C$210,F70,'REPORTE GASTOS'!$G$6:$G$210)=0,'LISTA DE PRECIOS'!$H$3,SUMIF('REPORTE GASTOS'!$C$6:$C$210,F70,'REPORTE GASTOS'!$I$6:$I$210)/SUMIF('REPORTE GASTOS'!$C$6:$C$210,F70,'REPORTE GASTOS'!$G$6:$G$210)))</f>
        <v>4.4000000000000004</v>
      </c>
      <c r="N70" s="12">
        <f t="shared" si="104"/>
        <v>12.672000000000001</v>
      </c>
      <c r="O70" s="43">
        <f t="shared" si="105"/>
        <v>152.06400000000002</v>
      </c>
      <c r="P70" s="70"/>
      <c r="R70" s="68" t="str">
        <f>IF(H70="","",VLOOKUP(H70,'DATOS CLIENTES'!B:F,5,FALSE))</f>
        <v>CORO</v>
      </c>
      <c r="S70" s="68" t="str">
        <f t="shared" si="13"/>
        <v>025</v>
      </c>
      <c r="U70" s="69">
        <f t="shared" si="6"/>
        <v>41.95</v>
      </c>
      <c r="V70" s="69">
        <f t="shared" si="7"/>
        <v>184.58000000000004</v>
      </c>
      <c r="X70" s="68">
        <f t="shared" si="14"/>
        <v>64</v>
      </c>
      <c r="Y70" s="68" t="str">
        <f t="shared" si="15"/>
        <v>SFACT</v>
      </c>
      <c r="Z70" s="68" t="str">
        <f t="shared" si="16"/>
        <v>FREDDY R. CH</v>
      </c>
      <c r="AA70" s="68" t="str">
        <f t="shared" si="17"/>
        <v>SFC-0222-025</v>
      </c>
      <c r="AB70" s="227">
        <f t="shared" si="18"/>
        <v>44615</v>
      </c>
      <c r="AC70" s="68" t="str">
        <f t="shared" si="19"/>
        <v>OSWALDO MARTINEZ</v>
      </c>
      <c r="AD70" s="68" t="str">
        <f t="shared" si="20"/>
        <v>CHS - PEGO GRIS - SACO 15KG</v>
      </c>
      <c r="AE70" s="68">
        <f t="shared" si="21"/>
        <v>12</v>
      </c>
      <c r="AF70" s="68">
        <f t="shared" si="22"/>
        <v>2.88</v>
      </c>
      <c r="AG70" s="68">
        <f t="shared" si="23"/>
        <v>4.4000000000000004</v>
      </c>
    </row>
    <row r="71" spans="1:33">
      <c r="A71" s="18" t="str">
        <f t="shared" si="0"/>
        <v>1SFC-0222-026</v>
      </c>
      <c r="B71" s="219" t="s">
        <v>945</v>
      </c>
      <c r="C71" s="58" t="s">
        <v>964</v>
      </c>
      <c r="D71" s="44">
        <f t="shared" ref="D71" si="109">IF(OR(H71="",AND(H71=H70,G71=G70)),D70,D70+1)</f>
        <v>26</v>
      </c>
      <c r="E71" s="59">
        <f t="shared" ref="E71" si="110">IF(F71="","",IF(OR(F71=0,F71=F70),E70+1,1))</f>
        <v>1</v>
      </c>
      <c r="F71" s="90" t="str">
        <f t="shared" ref="F71" si="111">IF(G71="","",CONCATENATE("SFC-",IF(LEN(MONTH($G$4))=1,CONCATENATE("0",MONTH($G$4)),MONTH($G$4)),RIGHT(YEAR($G$4),2),"-",S71))</f>
        <v>SFC-0222-026</v>
      </c>
      <c r="G71" s="205">
        <v>44615</v>
      </c>
      <c r="H71" s="191" t="s">
        <v>914</v>
      </c>
      <c r="I71" s="203" t="s">
        <v>1002</v>
      </c>
      <c r="J71" s="42">
        <v>14</v>
      </c>
      <c r="K71" s="39">
        <f>IF(I71="",0,VLOOKUP(I71,'LISTA DE PRECIOS'!A:F,IF(R71="CORO",4,5),FALSE))</f>
        <v>5.4</v>
      </c>
      <c r="L71" s="206">
        <f t="shared" si="12"/>
        <v>75.599999999999994</v>
      </c>
      <c r="M71" s="217">
        <f>IF(F71="",0,IF(SUMIF('REPORTE GASTOS'!$C$6:$C$210,F71,'REPORTE GASTOS'!$G$6:$G$210)=0,'LISTA DE PRECIOS'!$H$3,SUMIF('REPORTE GASTOS'!$C$6:$C$210,F71,'REPORTE GASTOS'!$I$6:$I$210)/SUMIF('REPORTE GASTOS'!$C$6:$C$210,F71,'REPORTE GASTOS'!$G$6:$G$210)))</f>
        <v>4.4000000000000004</v>
      </c>
      <c r="N71" s="12">
        <f t="shared" ref="N71" si="112">M71*K71</f>
        <v>23.760000000000005</v>
      </c>
      <c r="O71" s="43">
        <f t="shared" ref="O71" si="113">N71*J71</f>
        <v>332.6400000000001</v>
      </c>
      <c r="P71" s="70"/>
      <c r="R71" s="68" t="str">
        <f>IF(H71="","",VLOOKUP(H71,'DATOS CLIENTES'!B:F,5,FALSE))</f>
        <v>CORO</v>
      </c>
      <c r="S71" s="68" t="str">
        <f t="shared" si="13"/>
        <v>026</v>
      </c>
      <c r="U71" s="69">
        <f t="shared" ref="U71:U134" si="114">IF(R71="PUNTO FIJO",0,SUMIF($F$7:$F$250,F71,$L$7:$L$250))</f>
        <v>75.599999999999994</v>
      </c>
      <c r="V71" s="69">
        <f t="shared" ref="V71:V134" si="115">IF(R71="PUNTO FIJO",0,SUMIF($F$7:$F$250,F71,$O$7:$O$250))</f>
        <v>332.6400000000001</v>
      </c>
      <c r="X71" s="68">
        <f t="shared" si="14"/>
        <v>65</v>
      </c>
      <c r="Y71" s="68" t="str">
        <f t="shared" si="15"/>
        <v>SFACT</v>
      </c>
      <c r="Z71" s="68" t="str">
        <f t="shared" si="16"/>
        <v>FREDDY R. CH</v>
      </c>
      <c r="AA71" s="68" t="str">
        <f t="shared" si="17"/>
        <v>SFC-0222-026</v>
      </c>
      <c r="AB71" s="227">
        <f t="shared" si="18"/>
        <v>44615</v>
      </c>
      <c r="AC71" s="68" t="str">
        <f t="shared" si="19"/>
        <v>CARMEN MOLINA</v>
      </c>
      <c r="AD71" s="68" t="str">
        <f t="shared" si="20"/>
        <v>CHS - PINTURA IMPERMEABLE - SACO 10KG</v>
      </c>
      <c r="AE71" s="68">
        <f t="shared" si="21"/>
        <v>14</v>
      </c>
      <c r="AF71" s="68">
        <f t="shared" si="22"/>
        <v>5.4</v>
      </c>
      <c r="AG71" s="68">
        <f t="shared" si="23"/>
        <v>4.4000000000000004</v>
      </c>
    </row>
    <row r="72" spans="1:33">
      <c r="A72" s="18" t="str">
        <f t="shared" si="0"/>
        <v>1SFC-0222-027</v>
      </c>
      <c r="B72" s="219" t="s">
        <v>945</v>
      </c>
      <c r="C72" s="58" t="s">
        <v>964</v>
      </c>
      <c r="D72" s="44">
        <f t="shared" ref="D72:D134" si="116">IF(OR(H72="",AND(H72=H71,G72=G71)),D71,D71+1)</f>
        <v>27</v>
      </c>
      <c r="E72" s="59">
        <f t="shared" ref="E72:E134" si="117">IF(F72="","",IF(OR(F72=0,F72=F71),E71+1,1))</f>
        <v>1</v>
      </c>
      <c r="F72" s="90" t="str">
        <f t="shared" ref="F72:F134" si="118">IF(G72="","",CONCATENATE("SFC-",IF(LEN(MONTH($G$4))=1,CONCATENATE("0",MONTH($G$4)),MONTH($G$4)),RIGHT(YEAR($G$4),2),"-",S72))</f>
        <v>SFC-0222-027</v>
      </c>
      <c r="G72" s="205">
        <v>44615</v>
      </c>
      <c r="H72" s="191" t="s">
        <v>1175</v>
      </c>
      <c r="I72" s="203" t="s">
        <v>849</v>
      </c>
      <c r="J72" s="42">
        <v>2</v>
      </c>
      <c r="K72" s="39">
        <f>IF(I72="",0,VLOOKUP(I72,'LISTA DE PRECIOS'!A:F,IF(R72="CORO",4,5),FALSE))</f>
        <v>4.1900000000000004</v>
      </c>
      <c r="L72" s="206">
        <f t="shared" ref="L72:L135" si="119">ROUND(K72*J72,2)</f>
        <v>8.3800000000000008</v>
      </c>
      <c r="M72" s="217">
        <f>IF(F72="",0,IF(SUMIF('REPORTE GASTOS'!$C$6:$C$210,F72,'REPORTE GASTOS'!$G$6:$G$210)=0,'LISTA DE PRECIOS'!$H$3,SUMIF('REPORTE GASTOS'!$C$6:$C$210,F72,'REPORTE GASTOS'!$I$6:$I$210)/SUMIF('REPORTE GASTOS'!$C$6:$C$210,F72,'REPORTE GASTOS'!$G$6:$G$210)))</f>
        <v>4.4000000000000004</v>
      </c>
      <c r="N72" s="12">
        <f t="shared" ref="N72:N134" si="120">M72*K72</f>
        <v>18.436000000000003</v>
      </c>
      <c r="O72" s="43">
        <f t="shared" ref="O72:O134" si="121">N72*J72</f>
        <v>36.872000000000007</v>
      </c>
      <c r="P72" s="70"/>
      <c r="R72" s="68" t="str">
        <f>IF(H72="","",VLOOKUP(H72,'DATOS CLIENTES'!B:F,5,FALSE))</f>
        <v>CORO</v>
      </c>
      <c r="S72" s="68" t="str">
        <f t="shared" si="13"/>
        <v>027</v>
      </c>
      <c r="U72" s="69">
        <f t="shared" si="114"/>
        <v>8.3800000000000008</v>
      </c>
      <c r="V72" s="69">
        <f t="shared" si="115"/>
        <v>36.872000000000007</v>
      </c>
      <c r="X72" s="68">
        <f t="shared" ref="X72:X135" si="122">IF(Y72="",X71,X71+1)</f>
        <v>66</v>
      </c>
      <c r="Y72" s="68" t="str">
        <f t="shared" si="15"/>
        <v>SFACT</v>
      </c>
      <c r="Z72" s="68" t="str">
        <f t="shared" si="16"/>
        <v>FREDDY R. CH</v>
      </c>
      <c r="AA72" s="68" t="str">
        <f t="shared" si="17"/>
        <v>SFC-0222-027</v>
      </c>
      <c r="AB72" s="227">
        <f t="shared" si="18"/>
        <v>44615</v>
      </c>
      <c r="AC72" s="68" t="str">
        <f t="shared" si="19"/>
        <v>RAY  PEREZ</v>
      </c>
      <c r="AD72" s="68" t="str">
        <f t="shared" si="20"/>
        <v>CHS - GRAFIADO EN POLVO - SACO 15KG</v>
      </c>
      <c r="AE72" s="68">
        <f t="shared" si="21"/>
        <v>2</v>
      </c>
      <c r="AF72" s="68">
        <f t="shared" si="22"/>
        <v>4.1900000000000004</v>
      </c>
      <c r="AG72" s="68">
        <f t="shared" si="23"/>
        <v>4.4000000000000004</v>
      </c>
    </row>
    <row r="73" spans="1:33">
      <c r="A73" s="18" t="str">
        <f t="shared" si="0"/>
        <v>1SFC-0222-028</v>
      </c>
      <c r="B73" s="219" t="s">
        <v>945</v>
      </c>
      <c r="C73" s="58" t="s">
        <v>964</v>
      </c>
      <c r="D73" s="44">
        <f t="shared" ref="D73" si="123">IF(OR(H73="",AND(H73=H72,G73=G72)),D72,D72+1)</f>
        <v>28</v>
      </c>
      <c r="E73" s="59">
        <f t="shared" ref="E73" si="124">IF(F73="","",IF(OR(F73=0,F73=F72),E72+1,1))</f>
        <v>1</v>
      </c>
      <c r="F73" s="90" t="str">
        <f t="shared" ref="F73" si="125">IF(G73="","",CONCATENATE("SFC-",IF(LEN(MONTH($G$4))=1,CONCATENATE("0",MONTH($G$4)),MONTH($G$4)),RIGHT(YEAR($G$4),2),"-",S73))</f>
        <v>SFC-0222-028</v>
      </c>
      <c r="G73" s="205">
        <v>44617</v>
      </c>
      <c r="H73" s="191" t="s">
        <v>1069</v>
      </c>
      <c r="I73" s="203" t="s">
        <v>548</v>
      </c>
      <c r="J73" s="42">
        <v>10</v>
      </c>
      <c r="K73" s="39">
        <f>IF(I73="",0,VLOOKUP(I73,'LISTA DE PRECIOS'!A:F,IF(R73="CORO",4,5),FALSE))</f>
        <v>1.2400000000000002</v>
      </c>
      <c r="L73" s="206">
        <f t="shared" si="119"/>
        <v>12.4</v>
      </c>
      <c r="M73" s="217">
        <f>IF(F73="",0,IF(SUMIF('REPORTE GASTOS'!$C$6:$C$210,F73,'REPORTE GASTOS'!$G$6:$G$210)=0,'LISTA DE PRECIOS'!$H$3,SUMIF('REPORTE GASTOS'!$C$6:$C$210,F73,'REPORTE GASTOS'!$I$6:$I$210)/SUMIF('REPORTE GASTOS'!$C$6:$C$210,F73,'REPORTE GASTOS'!$G$6:$G$210)))</f>
        <v>5.0999999999999996</v>
      </c>
      <c r="N73" s="12">
        <f t="shared" ref="N73" si="126">M73*K73</f>
        <v>6.3240000000000007</v>
      </c>
      <c r="O73" s="43">
        <f t="shared" ref="O73" si="127">N73*J73</f>
        <v>63.240000000000009</v>
      </c>
      <c r="P73" s="70"/>
      <c r="R73" s="68" t="str">
        <f>IF(H73="","",VLOOKUP(H73,'DATOS CLIENTES'!B:F,5,FALSE))</f>
        <v>CORO</v>
      </c>
      <c r="S73" s="68" t="str">
        <f t="shared" ref="S73:S136" si="128">IF(B73="CHS",S72,IF(D73=D72,S72,IF(S72+1-1&lt;9,CONCATENATE("00",S72+1),IF(S72+1-1&lt;99,CONCATENATE("0",S72+1),S72+1))))</f>
        <v>028</v>
      </c>
      <c r="U73" s="69">
        <f t="shared" si="114"/>
        <v>12.4</v>
      </c>
      <c r="V73" s="69">
        <f t="shared" si="115"/>
        <v>63.240000000000009</v>
      </c>
      <c r="X73" s="68">
        <f t="shared" si="122"/>
        <v>67</v>
      </c>
      <c r="Y73" s="68" t="str">
        <f t="shared" ref="Y73:Y136" si="129">IF(AND($R73&lt;&gt;"PUNTO FIJO",$R73&lt;&gt;""),B73,"")</f>
        <v>SFACT</v>
      </c>
      <c r="Z73" s="68" t="str">
        <f t="shared" ref="Z73:Z136" si="130">IF(AND($R73&lt;&gt;"PUNTO FIJO",$R73&lt;&gt;""),C73,"")</f>
        <v>FREDDY R. CH</v>
      </c>
      <c r="AA73" s="68" t="str">
        <f t="shared" ref="AA73:AA136" si="131">IF(AND($R73&lt;&gt;"PUNTO FIJO",$R73&lt;&gt;""),F73,"")</f>
        <v>SFC-0222-028</v>
      </c>
      <c r="AB73" s="227">
        <f t="shared" ref="AB73:AB136" si="132">IF(AND($R73&lt;&gt;"PUNTO FIJO",$R73&lt;&gt;""),G73,"")</f>
        <v>44617</v>
      </c>
      <c r="AC73" s="68" t="str">
        <f t="shared" ref="AC73:AC136" si="133">IF(AND($R73&lt;&gt;"PUNTO FIJO",$R73&lt;&gt;""),H73,"")</f>
        <v>FERRETERIA MONTE ALTO F.E., C.A.</v>
      </c>
      <c r="AD73" s="68" t="str">
        <f t="shared" ref="AD73:AD136" si="134">IF(AND($R73&lt;&gt;"PUNTO FIJO",$R73&lt;&gt;""),I73,"")</f>
        <v>CHS - YESO - SACO 1 KG</v>
      </c>
      <c r="AE73" s="68">
        <f t="shared" ref="AE73:AE136" si="135">IF(AND($R73&lt;&gt;"PUNTO FIJO",$R73&lt;&gt;""),J73,"")</f>
        <v>10</v>
      </c>
      <c r="AF73" s="68">
        <f t="shared" ref="AF73:AF136" si="136">IF(AND($R73&lt;&gt;"PUNTO FIJO",$R73&lt;&gt;""),K73,"")</f>
        <v>1.2400000000000002</v>
      </c>
      <c r="AG73" s="68">
        <f t="shared" ref="AG73:AG136" si="137">IF(AND($R73&lt;&gt;"PUNTO FIJO",$R73&lt;&gt;""),M73,"")</f>
        <v>5.0999999999999996</v>
      </c>
    </row>
    <row r="74" spans="1:33">
      <c r="A74" s="18" t="str">
        <f t="shared" ref="A74:A134" si="138">CONCATENATE(E74,F74)</f>
        <v>1SFC-0222-029</v>
      </c>
      <c r="B74" s="219" t="s">
        <v>945</v>
      </c>
      <c r="C74" s="58" t="s">
        <v>964</v>
      </c>
      <c r="D74" s="44">
        <f t="shared" si="116"/>
        <v>29</v>
      </c>
      <c r="E74" s="59">
        <f t="shared" si="117"/>
        <v>1</v>
      </c>
      <c r="F74" s="90" t="str">
        <f t="shared" si="118"/>
        <v>SFC-0222-029</v>
      </c>
      <c r="G74" s="205">
        <v>44617</v>
      </c>
      <c r="H74" s="191" t="s">
        <v>865</v>
      </c>
      <c r="I74" s="203" t="s">
        <v>538</v>
      </c>
      <c r="J74" s="42">
        <v>23</v>
      </c>
      <c r="K74" s="39">
        <f>IF(I74="",0,VLOOKUP(I74,'LISTA DE PRECIOS'!A:F,IF(R74="CORO",4,5),FALSE))</f>
        <v>1.6600000000000001</v>
      </c>
      <c r="L74" s="206">
        <f t="shared" si="119"/>
        <v>38.18</v>
      </c>
      <c r="M74" s="217">
        <f>IF(F74="",0,IF(SUMIF('REPORTE GASTOS'!$C$6:$C$210,F74,'REPORTE GASTOS'!$G$6:$G$210)=0,'LISTA DE PRECIOS'!$H$3,SUMIF('REPORTE GASTOS'!$C$6:$C$210,F74,'REPORTE GASTOS'!$I$6:$I$210)/SUMIF('REPORTE GASTOS'!$C$6:$C$210,F74,'REPORTE GASTOS'!$G$6:$G$210)))</f>
        <v>4.59</v>
      </c>
      <c r="N74" s="12">
        <f t="shared" si="120"/>
        <v>7.6194000000000006</v>
      </c>
      <c r="O74" s="43">
        <f t="shared" si="121"/>
        <v>175.24620000000002</v>
      </c>
      <c r="P74" s="70"/>
      <c r="R74" s="68" t="str">
        <f>IF(H74="","",VLOOKUP(H74,'DATOS CLIENTES'!B:F,5,FALSE))</f>
        <v>CORO</v>
      </c>
      <c r="S74" s="68" t="str">
        <f t="shared" si="128"/>
        <v>029</v>
      </c>
      <c r="U74" s="69">
        <f t="shared" si="114"/>
        <v>194.18</v>
      </c>
      <c r="V74" s="69">
        <f t="shared" si="115"/>
        <v>891.28620000000001</v>
      </c>
      <c r="X74" s="68">
        <f t="shared" si="122"/>
        <v>68</v>
      </c>
      <c r="Y74" s="68" t="str">
        <f t="shared" si="129"/>
        <v>SFACT</v>
      </c>
      <c r="Z74" s="68" t="str">
        <f t="shared" si="130"/>
        <v>FREDDY R. CH</v>
      </c>
      <c r="AA74" s="68" t="str">
        <f t="shared" si="131"/>
        <v>SFC-0222-029</v>
      </c>
      <c r="AB74" s="227">
        <f t="shared" si="132"/>
        <v>44617</v>
      </c>
      <c r="AC74" s="68" t="str">
        <f t="shared" si="133"/>
        <v>INVERSIONES Y SERVICIOS TOTALES, C.A.</v>
      </c>
      <c r="AD74" s="68" t="str">
        <f t="shared" si="134"/>
        <v>CHS - CAL PREPARADA LIQUIDA (1 GAL)</v>
      </c>
      <c r="AE74" s="68">
        <f t="shared" si="135"/>
        <v>23</v>
      </c>
      <c r="AF74" s="68">
        <f t="shared" si="136"/>
        <v>1.6600000000000001</v>
      </c>
      <c r="AG74" s="68">
        <f t="shared" si="137"/>
        <v>4.59</v>
      </c>
    </row>
    <row r="75" spans="1:33">
      <c r="A75" s="18" t="str">
        <f t="shared" si="138"/>
        <v>2SFC-0222-029</v>
      </c>
      <c r="B75" s="219" t="s">
        <v>945</v>
      </c>
      <c r="C75" s="58" t="s">
        <v>964</v>
      </c>
      <c r="D75" s="44">
        <f t="shared" ref="D75:D76" si="139">IF(OR(H75="",AND(H75=H74,G75=G74)),D74,D74+1)</f>
        <v>29</v>
      </c>
      <c r="E75" s="59">
        <f t="shared" ref="E75:E76" si="140">IF(F75="","",IF(OR(F75=0,F75=F74),E74+1,1))</f>
        <v>2</v>
      </c>
      <c r="F75" s="90" t="str">
        <f t="shared" ref="F75:F76" si="141">IF(G75="","",CONCATENATE("SFC-",IF(LEN(MONTH($G$4))=1,CONCATENATE("0",MONTH($G$4)),MONTH($G$4)),RIGHT(YEAR($G$4),2),"-",S75))</f>
        <v>SFC-0222-029</v>
      </c>
      <c r="G75" s="205">
        <v>44617</v>
      </c>
      <c r="H75" s="191" t="s">
        <v>865</v>
      </c>
      <c r="I75" s="203" t="s">
        <v>862</v>
      </c>
      <c r="J75" s="42">
        <v>20</v>
      </c>
      <c r="K75" s="39">
        <f>IF(I75="",0,VLOOKUP(I75,'LISTA DE PRECIOS'!A:F,IF(R75="CORO",4,5),FALSE))</f>
        <v>5</v>
      </c>
      <c r="L75" s="206">
        <f t="shared" si="119"/>
        <v>100</v>
      </c>
      <c r="M75" s="217">
        <f>IF(F75="",0,IF(SUMIF('REPORTE GASTOS'!$C$6:$C$210,F75,'REPORTE GASTOS'!$G$6:$G$210)=0,'LISTA DE PRECIOS'!$H$3,SUMIF('REPORTE GASTOS'!$C$6:$C$210,F75,'REPORTE GASTOS'!$I$6:$I$210)/SUMIF('REPORTE GASTOS'!$C$6:$C$210,F75,'REPORTE GASTOS'!$G$6:$G$210)))</f>
        <v>4.59</v>
      </c>
      <c r="N75" s="12">
        <f t="shared" si="120"/>
        <v>22.95</v>
      </c>
      <c r="O75" s="43">
        <f t="shared" si="121"/>
        <v>459</v>
      </c>
      <c r="P75" s="70"/>
      <c r="R75" s="68" t="str">
        <f>IF(H75="","",VLOOKUP(H75,'DATOS CLIENTES'!B:F,5,FALSE))</f>
        <v>CORO</v>
      </c>
      <c r="S75" s="68" t="str">
        <f t="shared" si="128"/>
        <v>029</v>
      </c>
      <c r="U75" s="69">
        <f t="shared" si="114"/>
        <v>194.18</v>
      </c>
      <c r="V75" s="69">
        <f t="shared" si="115"/>
        <v>891.28620000000001</v>
      </c>
      <c r="X75" s="68">
        <f t="shared" si="122"/>
        <v>69</v>
      </c>
      <c r="Y75" s="68" t="str">
        <f t="shared" si="129"/>
        <v>SFACT</v>
      </c>
      <c r="Z75" s="68" t="str">
        <f t="shared" si="130"/>
        <v>FREDDY R. CH</v>
      </c>
      <c r="AA75" s="68" t="str">
        <f t="shared" si="131"/>
        <v>SFC-0222-029</v>
      </c>
      <c r="AB75" s="227">
        <f t="shared" si="132"/>
        <v>44617</v>
      </c>
      <c r="AC75" s="68" t="str">
        <f t="shared" si="133"/>
        <v>INVERSIONES Y SERVICIOS TOTALES, C.A.</v>
      </c>
      <c r="AD75" s="68" t="str">
        <f t="shared" si="134"/>
        <v>CHS - PASTA EN POLVO PLUS - SACO 8KG</v>
      </c>
      <c r="AE75" s="68">
        <f t="shared" si="135"/>
        <v>20</v>
      </c>
      <c r="AF75" s="68">
        <f t="shared" si="136"/>
        <v>5</v>
      </c>
      <c r="AG75" s="68">
        <f t="shared" si="137"/>
        <v>4.59</v>
      </c>
    </row>
    <row r="76" spans="1:33">
      <c r="A76" s="18" t="str">
        <f t="shared" si="138"/>
        <v>3SFC-0222-029</v>
      </c>
      <c r="B76" s="219" t="s">
        <v>945</v>
      </c>
      <c r="C76" s="58" t="s">
        <v>964</v>
      </c>
      <c r="D76" s="44">
        <f t="shared" si="139"/>
        <v>29</v>
      </c>
      <c r="E76" s="59">
        <f t="shared" si="140"/>
        <v>3</v>
      </c>
      <c r="F76" s="90" t="str">
        <f t="shared" si="141"/>
        <v>SFC-0222-029</v>
      </c>
      <c r="G76" s="205">
        <v>44617</v>
      </c>
      <c r="H76" s="191" t="s">
        <v>865</v>
      </c>
      <c r="I76" s="6" t="s">
        <v>1021</v>
      </c>
      <c r="J76" s="42">
        <v>10</v>
      </c>
      <c r="K76" s="39">
        <f>IF(I76="",0,VLOOKUP(I76,'LISTA DE PRECIOS'!A:F,IF(R76="CORO",4,5),FALSE))</f>
        <v>5.6</v>
      </c>
      <c r="L76" s="206">
        <f t="shared" si="119"/>
        <v>56</v>
      </c>
      <c r="M76" s="217">
        <f>IF(F76="",0,IF(SUMIF('REPORTE GASTOS'!$C$6:$C$210,F76,'REPORTE GASTOS'!$G$6:$G$210)=0,'LISTA DE PRECIOS'!$H$3,SUMIF('REPORTE GASTOS'!$C$6:$C$210,F76,'REPORTE GASTOS'!$I$6:$I$210)/SUMIF('REPORTE GASTOS'!$C$6:$C$210,F76,'REPORTE GASTOS'!$G$6:$G$210)))</f>
        <v>4.59</v>
      </c>
      <c r="N76" s="12">
        <f t="shared" si="120"/>
        <v>25.703999999999997</v>
      </c>
      <c r="O76" s="43">
        <f t="shared" si="121"/>
        <v>257.03999999999996</v>
      </c>
      <c r="P76" s="70"/>
      <c r="R76" s="68" t="str">
        <f>IF(H76="","",VLOOKUP(H76,'DATOS CLIENTES'!B:F,5,FALSE))</f>
        <v>CORO</v>
      </c>
      <c r="S76" s="68" t="str">
        <f t="shared" si="128"/>
        <v>029</v>
      </c>
      <c r="U76" s="69">
        <f t="shared" si="114"/>
        <v>194.18</v>
      </c>
      <c r="V76" s="69">
        <f t="shared" si="115"/>
        <v>891.28620000000001</v>
      </c>
      <c r="X76" s="68">
        <f t="shared" si="122"/>
        <v>70</v>
      </c>
      <c r="Y76" s="68" t="str">
        <f t="shared" si="129"/>
        <v>SFACT</v>
      </c>
      <c r="Z76" s="68" t="str">
        <f t="shared" si="130"/>
        <v>FREDDY R. CH</v>
      </c>
      <c r="AA76" s="68" t="str">
        <f t="shared" si="131"/>
        <v>SFC-0222-029</v>
      </c>
      <c r="AB76" s="227">
        <f t="shared" si="132"/>
        <v>44617</v>
      </c>
      <c r="AC76" s="68" t="str">
        <f t="shared" si="133"/>
        <v>INVERSIONES Y SERVICIOS TOTALES, C.A.</v>
      </c>
      <c r="AD76" s="68" t="str">
        <f t="shared" si="134"/>
        <v>CHS - ESTUCO GRIS - SACO 12KG</v>
      </c>
      <c r="AE76" s="68">
        <f t="shared" si="135"/>
        <v>10</v>
      </c>
      <c r="AF76" s="68">
        <f t="shared" si="136"/>
        <v>5.6</v>
      </c>
      <c r="AG76" s="68">
        <f t="shared" si="137"/>
        <v>4.59</v>
      </c>
    </row>
    <row r="77" spans="1:33">
      <c r="A77" s="18" t="str">
        <f t="shared" si="138"/>
        <v>1SFC-0222-030</v>
      </c>
      <c r="B77" s="219" t="s">
        <v>945</v>
      </c>
      <c r="C77" s="58" t="s">
        <v>964</v>
      </c>
      <c r="D77" s="44">
        <f t="shared" ref="D77" si="142">IF(OR(H77="",AND(H77=H76,G77=G76)),D76,D76+1)</f>
        <v>30</v>
      </c>
      <c r="E77" s="59">
        <f t="shared" ref="E77" si="143">IF(F77="","",IF(OR(F77=0,F77=F76),E76+1,1))</f>
        <v>1</v>
      </c>
      <c r="F77" s="90" t="str">
        <f t="shared" ref="F77" si="144">IF(G77="","",CONCATENATE("SFC-",IF(LEN(MONTH($G$4))=1,CONCATENATE("0",MONTH($G$4)),MONTH($G$4)),RIGHT(YEAR($G$4),2),"-",S77))</f>
        <v>SFC-0222-030</v>
      </c>
      <c r="G77" s="205">
        <v>44617</v>
      </c>
      <c r="H77" s="191" t="s">
        <v>1208</v>
      </c>
      <c r="I77" s="203" t="s">
        <v>515</v>
      </c>
      <c r="J77" s="42">
        <v>19</v>
      </c>
      <c r="K77" s="39">
        <f>IF(I77="",0,VLOOKUP(I77,'LISTA DE PRECIOS'!A:F,IF(R77="CORO",4,5),FALSE))</f>
        <v>2.16</v>
      </c>
      <c r="L77" s="206">
        <f t="shared" si="119"/>
        <v>41.04</v>
      </c>
      <c r="M77" s="217">
        <f>IF(F77="",0,IF(SUMIF('REPORTE GASTOS'!$C$6:$C$210,F77,'REPORTE GASTOS'!$G$6:$G$210)=0,'LISTA DE PRECIOS'!$H$3,SUMIF('REPORTE GASTOS'!$C$6:$C$210,F77,'REPORTE GASTOS'!$I$6:$I$210)/SUMIF('REPORTE GASTOS'!$C$6:$C$210,F77,'REPORTE GASTOS'!$G$6:$G$210)))</f>
        <v>5.0999999999999996</v>
      </c>
      <c r="N77" s="12">
        <f t="shared" ref="N77:N79" si="145">M77*K77</f>
        <v>11.016</v>
      </c>
      <c r="O77" s="43">
        <f t="shared" ref="O77:O79" si="146">N77*J77</f>
        <v>209.304</v>
      </c>
      <c r="P77" s="70"/>
      <c r="R77" s="68" t="str">
        <f>IF(H77="","",VLOOKUP(H77,'DATOS CLIENTES'!B:F,5,FALSE))</f>
        <v>CORO</v>
      </c>
      <c r="S77" s="68" t="str">
        <f t="shared" si="128"/>
        <v>030</v>
      </c>
      <c r="U77" s="69">
        <f t="shared" si="114"/>
        <v>65.820000000000007</v>
      </c>
      <c r="V77" s="69">
        <f t="shared" si="115"/>
        <v>335.68200000000002</v>
      </c>
      <c r="X77" s="68">
        <f t="shared" si="122"/>
        <v>71</v>
      </c>
      <c r="Y77" s="68" t="str">
        <f t="shared" si="129"/>
        <v>SFACT</v>
      </c>
      <c r="Z77" s="68" t="str">
        <f t="shared" si="130"/>
        <v>FREDDY R. CH</v>
      </c>
      <c r="AA77" s="68" t="str">
        <f t="shared" si="131"/>
        <v>SFC-0222-030</v>
      </c>
      <c r="AB77" s="227">
        <f t="shared" si="132"/>
        <v>44617</v>
      </c>
      <c r="AC77" s="68" t="str">
        <f t="shared" si="133"/>
        <v>JAVI EFREN CHIRINOS</v>
      </c>
      <c r="AD77" s="68" t="str">
        <f t="shared" si="134"/>
        <v>CHS - PASTA EN POLVO PLUS - SACO 3KG</v>
      </c>
      <c r="AE77" s="68">
        <f t="shared" si="135"/>
        <v>19</v>
      </c>
      <c r="AF77" s="68">
        <f t="shared" si="136"/>
        <v>2.16</v>
      </c>
      <c r="AG77" s="68">
        <f t="shared" si="137"/>
        <v>5.0999999999999996</v>
      </c>
    </row>
    <row r="78" spans="1:33">
      <c r="A78" s="18" t="str">
        <f t="shared" si="138"/>
        <v>2SFC-0222-030</v>
      </c>
      <c r="B78" s="219" t="s">
        <v>945</v>
      </c>
      <c r="C78" s="58" t="s">
        <v>964</v>
      </c>
      <c r="D78" s="44">
        <f t="shared" ref="D78:D79" si="147">IF(OR(H78="",AND(H78=H77,G78=G77)),D77,D77+1)</f>
        <v>30</v>
      </c>
      <c r="E78" s="59">
        <f t="shared" ref="E78:E79" si="148">IF(F78="","",IF(OR(F78=0,F78=F77),E77+1,1))</f>
        <v>2</v>
      </c>
      <c r="F78" s="90" t="str">
        <f t="shared" ref="F78:F79" si="149">IF(G78="","",CONCATENATE("SFC-",IF(LEN(MONTH($G$4))=1,CONCATENATE("0",MONTH($G$4)),MONTH($G$4)),RIGHT(YEAR($G$4),2),"-",S78))</f>
        <v>SFC-0222-030</v>
      </c>
      <c r="G78" s="205">
        <v>44617</v>
      </c>
      <c r="H78" s="191" t="s">
        <v>1208</v>
      </c>
      <c r="I78" s="203" t="s">
        <v>524</v>
      </c>
      <c r="J78" s="42">
        <v>7</v>
      </c>
      <c r="K78" s="39">
        <f>IF(I78="",0,VLOOKUP(I78,'LISTA DE PRECIOS'!A:F,IF(R78="CORO",4,5),FALSE))</f>
        <v>1.1499999999999999</v>
      </c>
      <c r="L78" s="206">
        <f t="shared" si="119"/>
        <v>8.0500000000000007</v>
      </c>
      <c r="M78" s="217">
        <f>IF(F78="",0,IF(SUMIF('REPORTE GASTOS'!$C$6:$C$210,F78,'REPORTE GASTOS'!$G$6:$G$210)=0,'LISTA DE PRECIOS'!$H$3,SUMIF('REPORTE GASTOS'!$C$6:$C$210,F78,'REPORTE GASTOS'!$I$6:$I$210)/SUMIF('REPORTE GASTOS'!$C$6:$C$210,F78,'REPORTE GASTOS'!$G$6:$G$210)))</f>
        <v>5.0999999999999996</v>
      </c>
      <c r="N78" s="12">
        <f t="shared" si="145"/>
        <v>5.8649999999999993</v>
      </c>
      <c r="O78" s="43">
        <f t="shared" si="146"/>
        <v>41.054999999999993</v>
      </c>
      <c r="P78" s="70"/>
      <c r="R78" s="68" t="str">
        <f>IF(H78="","",VLOOKUP(H78,'DATOS CLIENTES'!B:F,5,FALSE))</f>
        <v>CORO</v>
      </c>
      <c r="S78" s="68" t="str">
        <f t="shared" si="128"/>
        <v>030</v>
      </c>
      <c r="U78" s="69">
        <f t="shared" si="114"/>
        <v>65.820000000000007</v>
      </c>
      <c r="V78" s="69">
        <f t="shared" si="115"/>
        <v>335.68200000000002</v>
      </c>
      <c r="X78" s="68">
        <f t="shared" si="122"/>
        <v>72</v>
      </c>
      <c r="Y78" s="68" t="str">
        <f t="shared" si="129"/>
        <v>SFACT</v>
      </c>
      <c r="Z78" s="68" t="str">
        <f t="shared" si="130"/>
        <v>FREDDY R. CH</v>
      </c>
      <c r="AA78" s="68" t="str">
        <f t="shared" si="131"/>
        <v>SFC-0222-030</v>
      </c>
      <c r="AB78" s="227">
        <f t="shared" si="132"/>
        <v>44617</v>
      </c>
      <c r="AC78" s="68" t="str">
        <f t="shared" si="133"/>
        <v>JAVI EFREN CHIRINOS</v>
      </c>
      <c r="AD78" s="68" t="str">
        <f t="shared" si="134"/>
        <v>CHS - CEMENTO BLANCO - SACO 1 KG</v>
      </c>
      <c r="AE78" s="68">
        <f t="shared" si="135"/>
        <v>7</v>
      </c>
      <c r="AF78" s="68">
        <f t="shared" si="136"/>
        <v>1.1499999999999999</v>
      </c>
      <c r="AG78" s="68">
        <f t="shared" si="137"/>
        <v>5.0999999999999996</v>
      </c>
    </row>
    <row r="79" spans="1:33">
      <c r="A79" s="18" t="str">
        <f t="shared" si="138"/>
        <v>3SFC-0222-030</v>
      </c>
      <c r="B79" s="219" t="s">
        <v>945</v>
      </c>
      <c r="C79" s="58" t="s">
        <v>964</v>
      </c>
      <c r="D79" s="44">
        <f t="shared" si="147"/>
        <v>30</v>
      </c>
      <c r="E79" s="59">
        <f t="shared" si="148"/>
        <v>3</v>
      </c>
      <c r="F79" s="90" t="str">
        <f t="shared" si="149"/>
        <v>SFC-0222-030</v>
      </c>
      <c r="G79" s="205">
        <v>44617</v>
      </c>
      <c r="H79" s="191" t="s">
        <v>1208</v>
      </c>
      <c r="I79" s="203" t="s">
        <v>940</v>
      </c>
      <c r="J79" s="42">
        <v>7</v>
      </c>
      <c r="K79" s="39">
        <f>IF(I79="",0,VLOOKUP(I79,'LISTA DE PRECIOS'!A:F,IF(R79="CORO",4,5),FALSE))</f>
        <v>2.39</v>
      </c>
      <c r="L79" s="206">
        <f t="shared" si="119"/>
        <v>16.73</v>
      </c>
      <c r="M79" s="217">
        <f>IF(F79="",0,IF(SUMIF('REPORTE GASTOS'!$C$6:$C$210,F79,'REPORTE GASTOS'!$G$6:$G$210)=0,'LISTA DE PRECIOS'!$H$3,SUMIF('REPORTE GASTOS'!$C$6:$C$210,F79,'REPORTE GASTOS'!$I$6:$I$210)/SUMIF('REPORTE GASTOS'!$C$6:$C$210,F79,'REPORTE GASTOS'!$G$6:$G$210)))</f>
        <v>5.0999999999999996</v>
      </c>
      <c r="N79" s="12">
        <f t="shared" si="145"/>
        <v>12.189</v>
      </c>
      <c r="O79" s="43">
        <f t="shared" si="146"/>
        <v>85.323000000000008</v>
      </c>
      <c r="P79" s="70"/>
      <c r="R79" s="68" t="str">
        <f>IF(H79="","",VLOOKUP(H79,'DATOS CLIENTES'!B:F,5,FALSE))</f>
        <v>CORO</v>
      </c>
      <c r="S79" s="68" t="str">
        <f t="shared" si="128"/>
        <v>030</v>
      </c>
      <c r="U79" s="69">
        <f t="shared" si="114"/>
        <v>65.820000000000007</v>
      </c>
      <c r="V79" s="69">
        <f t="shared" si="115"/>
        <v>335.68200000000002</v>
      </c>
      <c r="X79" s="68">
        <f t="shared" si="122"/>
        <v>73</v>
      </c>
      <c r="Y79" s="68" t="str">
        <f t="shared" si="129"/>
        <v>SFACT</v>
      </c>
      <c r="Z79" s="68" t="str">
        <f t="shared" si="130"/>
        <v>FREDDY R. CH</v>
      </c>
      <c r="AA79" s="68" t="str">
        <f t="shared" si="131"/>
        <v>SFC-0222-030</v>
      </c>
      <c r="AB79" s="227">
        <f t="shared" si="132"/>
        <v>44617</v>
      </c>
      <c r="AC79" s="68" t="str">
        <f t="shared" si="133"/>
        <v>JAVI EFREN CHIRINOS</v>
      </c>
      <c r="AD79" s="68" t="str">
        <f t="shared" si="134"/>
        <v>STYLOSA TIPO A (50GR.)</v>
      </c>
      <c r="AE79" s="68">
        <f t="shared" si="135"/>
        <v>7</v>
      </c>
      <c r="AF79" s="68">
        <f t="shared" si="136"/>
        <v>2.39</v>
      </c>
      <c r="AG79" s="68">
        <f t="shared" si="137"/>
        <v>5.0999999999999996</v>
      </c>
    </row>
    <row r="80" spans="1:33">
      <c r="A80" s="18" t="str">
        <f t="shared" si="138"/>
        <v>1SFC-0222-031</v>
      </c>
      <c r="B80" s="219" t="s">
        <v>945</v>
      </c>
      <c r="C80" s="58" t="s">
        <v>964</v>
      </c>
      <c r="D80" s="44">
        <f t="shared" ref="D80:D86" si="150">IF(OR(H80="",AND(H80=H79,G80=G79)),D79,D79+1)</f>
        <v>31</v>
      </c>
      <c r="E80" s="59">
        <f t="shared" ref="E80:E86" si="151">IF(F80="","",IF(OR(F80=0,F80=F79),E79+1,1))</f>
        <v>1</v>
      </c>
      <c r="F80" s="90" t="str">
        <f t="shared" ref="F80:F86" si="152">IF(G80="","",CONCATENATE("SFC-",IF(LEN(MONTH($G$4))=1,CONCATENATE("0",MONTH($G$4)),MONTH($G$4)),RIGHT(YEAR($G$4),2),"-",S80))</f>
        <v>SFC-0222-031</v>
      </c>
      <c r="G80" s="205">
        <v>44617</v>
      </c>
      <c r="H80" s="191" t="s">
        <v>532</v>
      </c>
      <c r="I80" s="203" t="s">
        <v>453</v>
      </c>
      <c r="J80" s="42">
        <v>54</v>
      </c>
      <c r="K80" s="39">
        <f>IF(I80="",0,VLOOKUP(I80,'LISTA DE PRECIOS'!A:F,IF(R80="CORO",4,5),FALSE))</f>
        <v>1.3899999999999997</v>
      </c>
      <c r="L80" s="206">
        <f t="shared" si="119"/>
        <v>75.06</v>
      </c>
      <c r="M80" s="217">
        <f>IF(F80="",0,IF(SUMIF('REPORTE GASTOS'!$C$6:$C$210,F80,'REPORTE GASTOS'!$G$6:$G$210)=0,'LISTA DE PRECIOS'!$H$3,SUMIF('REPORTE GASTOS'!$C$6:$C$210,F80,'REPORTE GASTOS'!$I$6:$I$210)/SUMIF('REPORTE GASTOS'!$C$6:$C$210,F80,'REPORTE GASTOS'!$G$6:$G$210)))</f>
        <v>5.0999999999999996</v>
      </c>
      <c r="N80" s="12">
        <f t="shared" ref="N80:N86" si="153">M80*K80</f>
        <v>7.0889999999999977</v>
      </c>
      <c r="O80" s="43">
        <f t="shared" ref="O80:O86" si="154">N80*J80</f>
        <v>382.80599999999987</v>
      </c>
      <c r="P80" s="70"/>
      <c r="R80" s="68" t="str">
        <f>IF(H80="","",VLOOKUP(H80,'DATOS CLIENTES'!B:F,5,FALSE))</f>
        <v>CORO</v>
      </c>
      <c r="S80" s="68" t="str">
        <f t="shared" si="128"/>
        <v>031</v>
      </c>
      <c r="U80" s="69">
        <f t="shared" si="114"/>
        <v>75.06</v>
      </c>
      <c r="V80" s="69">
        <f t="shared" si="115"/>
        <v>382.80599999999987</v>
      </c>
      <c r="X80" s="68">
        <f t="shared" si="122"/>
        <v>74</v>
      </c>
      <c r="Y80" s="68" t="str">
        <f t="shared" si="129"/>
        <v>SFACT</v>
      </c>
      <c r="Z80" s="68" t="str">
        <f t="shared" si="130"/>
        <v>FREDDY R. CH</v>
      </c>
      <c r="AA80" s="68" t="str">
        <f t="shared" si="131"/>
        <v>SFC-0222-031</v>
      </c>
      <c r="AB80" s="227">
        <f t="shared" si="132"/>
        <v>44617</v>
      </c>
      <c r="AC80" s="68" t="str">
        <f t="shared" si="133"/>
        <v>INVERSIONES FERRECASA ATA, C.A.</v>
      </c>
      <c r="AD80" s="68" t="str">
        <f t="shared" si="134"/>
        <v>STYLOSA HIDROXIETIL (85 GRAMOS)</v>
      </c>
      <c r="AE80" s="68">
        <f t="shared" si="135"/>
        <v>54</v>
      </c>
      <c r="AF80" s="68">
        <f t="shared" si="136"/>
        <v>1.3899999999999997</v>
      </c>
      <c r="AG80" s="68">
        <f t="shared" si="137"/>
        <v>5.0999999999999996</v>
      </c>
    </row>
    <row r="81" spans="1:33">
      <c r="A81" s="18" t="str">
        <f t="shared" si="138"/>
        <v/>
      </c>
      <c r="B81" s="219"/>
      <c r="C81" s="58"/>
      <c r="D81" s="44">
        <f t="shared" si="150"/>
        <v>31</v>
      </c>
      <c r="E81" s="59" t="str">
        <f t="shared" si="151"/>
        <v/>
      </c>
      <c r="F81" s="90" t="str">
        <f t="shared" si="152"/>
        <v/>
      </c>
      <c r="G81" s="205"/>
      <c r="H81" s="191"/>
      <c r="I81" s="203"/>
      <c r="J81" s="42"/>
      <c r="K81" s="39">
        <f>IF(I81="",0,VLOOKUP(I81,'LISTA DE PRECIOS'!A:F,IF(R81="CORO",4,5),FALSE))</f>
        <v>0</v>
      </c>
      <c r="L81" s="206">
        <f t="shared" si="119"/>
        <v>0</v>
      </c>
      <c r="M81" s="217">
        <f>IF(F81="",0,IF(SUMIF('REPORTE GASTOS'!$C$6:$C$210,F81,'REPORTE GASTOS'!$G$6:$G$210)=0,'LISTA DE PRECIOS'!$H$3,SUMIF('REPORTE GASTOS'!$C$6:$C$210,F81,'REPORTE GASTOS'!$I$6:$I$210)/SUMIF('REPORTE GASTOS'!$C$6:$C$210,F81,'REPORTE GASTOS'!$G$6:$G$210)))</f>
        <v>0</v>
      </c>
      <c r="N81" s="12">
        <f t="shared" si="153"/>
        <v>0</v>
      </c>
      <c r="O81" s="43">
        <f t="shared" si="154"/>
        <v>0</v>
      </c>
      <c r="P81" s="70"/>
      <c r="R81" s="68" t="str">
        <f>IF(H81="","",VLOOKUP(H81,'DATOS CLIENTES'!B:F,5,FALSE))</f>
        <v/>
      </c>
      <c r="S81" s="68" t="str">
        <f t="shared" si="128"/>
        <v>031</v>
      </c>
      <c r="U81" s="69">
        <f t="shared" si="114"/>
        <v>0</v>
      </c>
      <c r="V81" s="69">
        <f t="shared" si="115"/>
        <v>0</v>
      </c>
      <c r="X81" s="68">
        <f t="shared" si="122"/>
        <v>74</v>
      </c>
      <c r="Y81" s="68" t="str">
        <f t="shared" si="129"/>
        <v/>
      </c>
      <c r="Z81" s="68" t="str">
        <f t="shared" si="130"/>
        <v/>
      </c>
      <c r="AA81" s="68" t="str">
        <f t="shared" si="131"/>
        <v/>
      </c>
      <c r="AB81" s="227" t="str">
        <f t="shared" si="132"/>
        <v/>
      </c>
      <c r="AC81" s="68" t="str">
        <f t="shared" si="133"/>
        <v/>
      </c>
      <c r="AD81" s="68" t="str">
        <f t="shared" si="134"/>
        <v/>
      </c>
      <c r="AE81" s="68" t="str">
        <f t="shared" si="135"/>
        <v/>
      </c>
      <c r="AF81" s="68" t="str">
        <f t="shared" si="136"/>
        <v/>
      </c>
      <c r="AG81" s="68" t="str">
        <f t="shared" si="137"/>
        <v/>
      </c>
    </row>
    <row r="82" spans="1:33">
      <c r="A82" s="18" t="str">
        <f t="shared" si="138"/>
        <v/>
      </c>
      <c r="B82" s="219"/>
      <c r="C82" s="58"/>
      <c r="D82" s="44">
        <f t="shared" si="150"/>
        <v>31</v>
      </c>
      <c r="E82" s="59" t="str">
        <f t="shared" si="151"/>
        <v/>
      </c>
      <c r="F82" s="90" t="str">
        <f t="shared" si="152"/>
        <v/>
      </c>
      <c r="G82" s="205"/>
      <c r="H82" s="191"/>
      <c r="I82" s="203"/>
      <c r="J82" s="42"/>
      <c r="K82" s="39">
        <f>IF(I82="",0,VLOOKUP(I82,'LISTA DE PRECIOS'!A:F,IF(R82="CORO",4,5),FALSE))</f>
        <v>0</v>
      </c>
      <c r="L82" s="206">
        <f t="shared" si="119"/>
        <v>0</v>
      </c>
      <c r="M82" s="217">
        <f>IF(F82="",0,IF(SUMIF('REPORTE GASTOS'!$C$6:$C$210,F82,'REPORTE GASTOS'!$G$6:$G$210)=0,'LISTA DE PRECIOS'!$H$3,SUMIF('REPORTE GASTOS'!$C$6:$C$210,F82,'REPORTE GASTOS'!$I$6:$I$210)/SUMIF('REPORTE GASTOS'!$C$6:$C$210,F82,'REPORTE GASTOS'!$G$6:$G$210)))</f>
        <v>0</v>
      </c>
      <c r="N82" s="12">
        <f t="shared" si="153"/>
        <v>0</v>
      </c>
      <c r="O82" s="43">
        <f t="shared" si="154"/>
        <v>0</v>
      </c>
      <c r="P82" s="70"/>
      <c r="R82" s="68" t="str">
        <f>IF(H82="","",VLOOKUP(H82,'DATOS CLIENTES'!B:F,5,FALSE))</f>
        <v/>
      </c>
      <c r="S82" s="68" t="str">
        <f t="shared" si="128"/>
        <v>031</v>
      </c>
      <c r="U82" s="69">
        <f t="shared" si="114"/>
        <v>0</v>
      </c>
      <c r="V82" s="69">
        <f t="shared" si="115"/>
        <v>0</v>
      </c>
      <c r="X82" s="68">
        <f t="shared" si="122"/>
        <v>74</v>
      </c>
      <c r="Y82" s="68" t="str">
        <f t="shared" si="129"/>
        <v/>
      </c>
      <c r="Z82" s="68" t="str">
        <f t="shared" si="130"/>
        <v/>
      </c>
      <c r="AA82" s="68" t="str">
        <f t="shared" si="131"/>
        <v/>
      </c>
      <c r="AB82" s="227" t="str">
        <f t="shared" si="132"/>
        <v/>
      </c>
      <c r="AC82" s="68" t="str">
        <f t="shared" si="133"/>
        <v/>
      </c>
      <c r="AD82" s="68" t="str">
        <f t="shared" si="134"/>
        <v/>
      </c>
      <c r="AE82" s="68" t="str">
        <f t="shared" si="135"/>
        <v/>
      </c>
      <c r="AF82" s="68" t="str">
        <f t="shared" si="136"/>
        <v/>
      </c>
      <c r="AG82" s="68" t="str">
        <f t="shared" si="137"/>
        <v/>
      </c>
    </row>
    <row r="83" spans="1:33">
      <c r="A83" s="18" t="str">
        <f t="shared" si="138"/>
        <v/>
      </c>
      <c r="B83" s="219"/>
      <c r="C83" s="58"/>
      <c r="D83" s="44">
        <f t="shared" si="150"/>
        <v>31</v>
      </c>
      <c r="E83" s="59" t="str">
        <f t="shared" si="151"/>
        <v/>
      </c>
      <c r="F83" s="90" t="str">
        <f t="shared" si="152"/>
        <v/>
      </c>
      <c r="G83" s="205"/>
      <c r="H83" s="191"/>
      <c r="I83" s="203"/>
      <c r="J83" s="42"/>
      <c r="K83" s="39">
        <f>IF(I83="",0,VLOOKUP(I83,'LISTA DE PRECIOS'!A:F,IF(R83="CORO",4,5),FALSE))</f>
        <v>0</v>
      </c>
      <c r="L83" s="206">
        <f t="shared" si="119"/>
        <v>0</v>
      </c>
      <c r="M83" s="217">
        <f>IF(F83="",0,IF(SUMIF('REPORTE GASTOS'!$C$6:$C$210,F83,'REPORTE GASTOS'!$G$6:$G$210)=0,'LISTA DE PRECIOS'!$H$3,SUMIF('REPORTE GASTOS'!$C$6:$C$210,F83,'REPORTE GASTOS'!$I$6:$I$210)/SUMIF('REPORTE GASTOS'!$C$6:$C$210,F83,'REPORTE GASTOS'!$G$6:$G$210)))</f>
        <v>0</v>
      </c>
      <c r="N83" s="12">
        <f t="shared" si="153"/>
        <v>0</v>
      </c>
      <c r="O83" s="43">
        <f t="shared" si="154"/>
        <v>0</v>
      </c>
      <c r="P83" s="70"/>
      <c r="R83" s="68" t="str">
        <f>IF(H83="","",VLOOKUP(H83,'DATOS CLIENTES'!B:F,5,FALSE))</f>
        <v/>
      </c>
      <c r="S83" s="68" t="str">
        <f t="shared" si="128"/>
        <v>031</v>
      </c>
      <c r="U83" s="69">
        <f t="shared" si="114"/>
        <v>0</v>
      </c>
      <c r="V83" s="69">
        <f t="shared" si="115"/>
        <v>0</v>
      </c>
      <c r="X83" s="68">
        <f t="shared" si="122"/>
        <v>74</v>
      </c>
      <c r="Y83" s="68" t="str">
        <f t="shared" si="129"/>
        <v/>
      </c>
      <c r="Z83" s="68" t="str">
        <f t="shared" si="130"/>
        <v/>
      </c>
      <c r="AA83" s="68" t="str">
        <f t="shared" si="131"/>
        <v/>
      </c>
      <c r="AB83" s="227" t="str">
        <f t="shared" si="132"/>
        <v/>
      </c>
      <c r="AC83" s="68" t="str">
        <f t="shared" si="133"/>
        <v/>
      </c>
      <c r="AD83" s="68" t="str">
        <f t="shared" si="134"/>
        <v/>
      </c>
      <c r="AE83" s="68" t="str">
        <f t="shared" si="135"/>
        <v/>
      </c>
      <c r="AF83" s="68" t="str">
        <f t="shared" si="136"/>
        <v/>
      </c>
      <c r="AG83" s="68" t="str">
        <f t="shared" si="137"/>
        <v/>
      </c>
    </row>
    <row r="84" spans="1:33">
      <c r="A84" s="18" t="str">
        <f t="shared" si="138"/>
        <v/>
      </c>
      <c r="B84" s="219"/>
      <c r="C84" s="58"/>
      <c r="D84" s="44">
        <f t="shared" si="150"/>
        <v>31</v>
      </c>
      <c r="E84" s="59" t="str">
        <f t="shared" si="151"/>
        <v/>
      </c>
      <c r="F84" s="90" t="str">
        <f t="shared" si="152"/>
        <v/>
      </c>
      <c r="G84" s="205"/>
      <c r="H84" s="191"/>
      <c r="I84" s="203"/>
      <c r="J84" s="42"/>
      <c r="K84" s="39">
        <f>IF(I84="",0,VLOOKUP(I84,'LISTA DE PRECIOS'!A:F,IF(R84="CORO",4,5),FALSE))</f>
        <v>0</v>
      </c>
      <c r="L84" s="206">
        <f t="shared" si="119"/>
        <v>0</v>
      </c>
      <c r="M84" s="217">
        <f>IF(F84="",0,IF(SUMIF('REPORTE GASTOS'!$C$6:$C$210,F84,'REPORTE GASTOS'!$G$6:$G$210)=0,'LISTA DE PRECIOS'!$H$3,SUMIF('REPORTE GASTOS'!$C$6:$C$210,F84,'REPORTE GASTOS'!$I$6:$I$210)/SUMIF('REPORTE GASTOS'!$C$6:$C$210,F84,'REPORTE GASTOS'!$G$6:$G$210)))</f>
        <v>0</v>
      </c>
      <c r="N84" s="12">
        <f t="shared" si="153"/>
        <v>0</v>
      </c>
      <c r="O84" s="43">
        <f t="shared" si="154"/>
        <v>0</v>
      </c>
      <c r="P84" s="70"/>
      <c r="R84" s="68" t="str">
        <f>IF(H84="","",VLOOKUP(H84,'DATOS CLIENTES'!B:F,5,FALSE))</f>
        <v/>
      </c>
      <c r="S84" s="68" t="str">
        <f t="shared" si="128"/>
        <v>031</v>
      </c>
      <c r="U84" s="69">
        <f t="shared" si="114"/>
        <v>0</v>
      </c>
      <c r="V84" s="69">
        <f t="shared" si="115"/>
        <v>0</v>
      </c>
      <c r="X84" s="68">
        <f t="shared" si="122"/>
        <v>74</v>
      </c>
      <c r="Y84" s="68" t="str">
        <f t="shared" si="129"/>
        <v/>
      </c>
      <c r="Z84" s="68" t="str">
        <f t="shared" si="130"/>
        <v/>
      </c>
      <c r="AA84" s="68" t="str">
        <f t="shared" si="131"/>
        <v/>
      </c>
      <c r="AB84" s="227" t="str">
        <f t="shared" si="132"/>
        <v/>
      </c>
      <c r="AC84" s="68" t="str">
        <f t="shared" si="133"/>
        <v/>
      </c>
      <c r="AD84" s="68" t="str">
        <f t="shared" si="134"/>
        <v/>
      </c>
      <c r="AE84" s="68" t="str">
        <f t="shared" si="135"/>
        <v/>
      </c>
      <c r="AF84" s="68" t="str">
        <f t="shared" si="136"/>
        <v/>
      </c>
      <c r="AG84" s="68" t="str">
        <f t="shared" si="137"/>
        <v/>
      </c>
    </row>
    <row r="85" spans="1:33">
      <c r="A85" s="18" t="str">
        <f t="shared" si="138"/>
        <v/>
      </c>
      <c r="B85" s="219"/>
      <c r="C85" s="58"/>
      <c r="D85" s="44">
        <f t="shared" si="150"/>
        <v>31</v>
      </c>
      <c r="E85" s="59" t="str">
        <f t="shared" si="151"/>
        <v/>
      </c>
      <c r="F85" s="90" t="str">
        <f t="shared" si="152"/>
        <v/>
      </c>
      <c r="G85" s="205"/>
      <c r="H85" s="191"/>
      <c r="I85" s="203"/>
      <c r="J85" s="42"/>
      <c r="K85" s="39">
        <f>IF(I85="",0,VLOOKUP(I85,'LISTA DE PRECIOS'!A:F,IF(R85="CORO",4,5),FALSE))</f>
        <v>0</v>
      </c>
      <c r="L85" s="206">
        <f t="shared" si="119"/>
        <v>0</v>
      </c>
      <c r="M85" s="217">
        <f>IF(F85="",0,IF(SUMIF('REPORTE GASTOS'!$C$6:$C$210,F85,'REPORTE GASTOS'!$G$6:$G$210)=0,'LISTA DE PRECIOS'!$H$3,SUMIF('REPORTE GASTOS'!$C$6:$C$210,F85,'REPORTE GASTOS'!$I$6:$I$210)/SUMIF('REPORTE GASTOS'!$C$6:$C$210,F85,'REPORTE GASTOS'!$G$6:$G$210)))</f>
        <v>0</v>
      </c>
      <c r="N85" s="12">
        <f t="shared" si="153"/>
        <v>0</v>
      </c>
      <c r="O85" s="43">
        <f t="shared" si="154"/>
        <v>0</v>
      </c>
      <c r="P85" s="70"/>
      <c r="R85" s="68" t="str">
        <f>IF(H85="","",VLOOKUP(H85,'DATOS CLIENTES'!B:F,5,FALSE))</f>
        <v/>
      </c>
      <c r="S85" s="68" t="str">
        <f t="shared" si="128"/>
        <v>031</v>
      </c>
      <c r="U85" s="69">
        <f t="shared" si="114"/>
        <v>0</v>
      </c>
      <c r="V85" s="69">
        <f t="shared" si="115"/>
        <v>0</v>
      </c>
      <c r="X85" s="68">
        <f t="shared" si="122"/>
        <v>74</v>
      </c>
      <c r="Y85" s="68" t="str">
        <f t="shared" si="129"/>
        <v/>
      </c>
      <c r="Z85" s="68" t="str">
        <f t="shared" si="130"/>
        <v/>
      </c>
      <c r="AA85" s="68" t="str">
        <f t="shared" si="131"/>
        <v/>
      </c>
      <c r="AB85" s="227" t="str">
        <f t="shared" si="132"/>
        <v/>
      </c>
      <c r="AC85" s="68" t="str">
        <f t="shared" si="133"/>
        <v/>
      </c>
      <c r="AD85" s="68" t="str">
        <f t="shared" si="134"/>
        <v/>
      </c>
      <c r="AE85" s="68" t="str">
        <f t="shared" si="135"/>
        <v/>
      </c>
      <c r="AF85" s="68" t="str">
        <f t="shared" si="136"/>
        <v/>
      </c>
      <c r="AG85" s="68" t="str">
        <f t="shared" si="137"/>
        <v/>
      </c>
    </row>
    <row r="86" spans="1:33">
      <c r="A86" s="18" t="str">
        <f t="shared" si="138"/>
        <v/>
      </c>
      <c r="B86" s="219"/>
      <c r="C86" s="58"/>
      <c r="D86" s="44">
        <f t="shared" si="150"/>
        <v>31</v>
      </c>
      <c r="E86" s="59" t="str">
        <f t="shared" si="151"/>
        <v/>
      </c>
      <c r="F86" s="90" t="str">
        <f t="shared" si="152"/>
        <v/>
      </c>
      <c r="G86" s="205"/>
      <c r="H86" s="191"/>
      <c r="I86" s="203"/>
      <c r="J86" s="42"/>
      <c r="K86" s="39">
        <f>IF(I86="",0,VLOOKUP(I86,'LISTA DE PRECIOS'!A:F,IF(R86="CORO",4,5),FALSE))</f>
        <v>0</v>
      </c>
      <c r="L86" s="206">
        <f t="shared" si="119"/>
        <v>0</v>
      </c>
      <c r="M86" s="217">
        <f>IF(F86="",0,IF(SUMIF('REPORTE GASTOS'!$C$6:$C$210,F86,'REPORTE GASTOS'!$G$6:$G$210)=0,'LISTA DE PRECIOS'!$H$3,SUMIF('REPORTE GASTOS'!$C$6:$C$210,F86,'REPORTE GASTOS'!$I$6:$I$210)/SUMIF('REPORTE GASTOS'!$C$6:$C$210,F86,'REPORTE GASTOS'!$G$6:$G$210)))</f>
        <v>0</v>
      </c>
      <c r="N86" s="12">
        <f t="shared" si="153"/>
        <v>0</v>
      </c>
      <c r="O86" s="43">
        <f t="shared" si="154"/>
        <v>0</v>
      </c>
      <c r="P86" s="70"/>
      <c r="R86" s="68" t="str">
        <f>IF(H86="","",VLOOKUP(H86,'DATOS CLIENTES'!B:F,5,FALSE))</f>
        <v/>
      </c>
      <c r="S86" s="68" t="str">
        <f t="shared" si="128"/>
        <v>031</v>
      </c>
      <c r="U86" s="69">
        <f t="shared" si="114"/>
        <v>0</v>
      </c>
      <c r="V86" s="69">
        <f t="shared" si="115"/>
        <v>0</v>
      </c>
      <c r="X86" s="68">
        <f t="shared" si="122"/>
        <v>74</v>
      </c>
      <c r="Y86" s="68" t="str">
        <f t="shared" si="129"/>
        <v/>
      </c>
      <c r="Z86" s="68" t="str">
        <f t="shared" si="130"/>
        <v/>
      </c>
      <c r="AA86" s="68" t="str">
        <f t="shared" si="131"/>
        <v/>
      </c>
      <c r="AB86" s="227" t="str">
        <f t="shared" si="132"/>
        <v/>
      </c>
      <c r="AC86" s="68" t="str">
        <f t="shared" si="133"/>
        <v/>
      </c>
      <c r="AD86" s="68" t="str">
        <f t="shared" si="134"/>
        <v/>
      </c>
      <c r="AE86" s="68" t="str">
        <f t="shared" si="135"/>
        <v/>
      </c>
      <c r="AF86" s="68" t="str">
        <f t="shared" si="136"/>
        <v/>
      </c>
      <c r="AG86" s="68" t="str">
        <f t="shared" si="137"/>
        <v/>
      </c>
    </row>
    <row r="87" spans="1:33">
      <c r="A87" s="18" t="str">
        <f t="shared" si="138"/>
        <v/>
      </c>
      <c r="B87" s="219"/>
      <c r="C87" s="58"/>
      <c r="D87" s="44">
        <f t="shared" si="116"/>
        <v>31</v>
      </c>
      <c r="E87" s="59" t="str">
        <f t="shared" si="117"/>
        <v/>
      </c>
      <c r="F87" s="90" t="str">
        <f t="shared" si="118"/>
        <v/>
      </c>
      <c r="G87" s="205"/>
      <c r="H87" s="191"/>
      <c r="I87" s="203"/>
      <c r="J87" s="42"/>
      <c r="K87" s="39">
        <f>IF(I87="",0,VLOOKUP(I87,'LISTA DE PRECIOS'!A:F,IF(R87="CORO",4,5),FALSE))</f>
        <v>0</v>
      </c>
      <c r="L87" s="206">
        <f t="shared" si="119"/>
        <v>0</v>
      </c>
      <c r="M87" s="217">
        <f>IF(F87="",0,IF(SUMIF('REPORTE GASTOS'!$C$6:$C$210,F87,'REPORTE GASTOS'!$G$6:$G$210)=0,'LISTA DE PRECIOS'!$H$3,SUMIF('REPORTE GASTOS'!$C$6:$C$210,F87,'REPORTE GASTOS'!$I$6:$I$210)/SUMIF('REPORTE GASTOS'!$C$6:$C$210,F87,'REPORTE GASTOS'!$G$6:$G$210)))</f>
        <v>0</v>
      </c>
      <c r="N87" s="12">
        <f t="shared" si="120"/>
        <v>0</v>
      </c>
      <c r="O87" s="43">
        <f t="shared" si="121"/>
        <v>0</v>
      </c>
      <c r="P87" s="70"/>
      <c r="R87" s="68" t="str">
        <f>IF(H87="","",VLOOKUP(H87,'DATOS CLIENTES'!B:F,5,FALSE))</f>
        <v/>
      </c>
      <c r="S87" s="68" t="str">
        <f t="shared" si="128"/>
        <v>031</v>
      </c>
      <c r="U87" s="69">
        <f t="shared" si="114"/>
        <v>0</v>
      </c>
      <c r="V87" s="69">
        <f t="shared" si="115"/>
        <v>0</v>
      </c>
      <c r="X87" s="68">
        <f t="shared" si="122"/>
        <v>74</v>
      </c>
      <c r="Y87" s="68" t="str">
        <f t="shared" si="129"/>
        <v/>
      </c>
      <c r="Z87" s="68" t="str">
        <f t="shared" si="130"/>
        <v/>
      </c>
      <c r="AA87" s="68" t="str">
        <f t="shared" si="131"/>
        <v/>
      </c>
      <c r="AB87" s="227" t="str">
        <f t="shared" si="132"/>
        <v/>
      </c>
      <c r="AC87" s="68" t="str">
        <f t="shared" si="133"/>
        <v/>
      </c>
      <c r="AD87" s="68" t="str">
        <f t="shared" si="134"/>
        <v/>
      </c>
      <c r="AE87" s="68" t="str">
        <f t="shared" si="135"/>
        <v/>
      </c>
      <c r="AF87" s="68" t="str">
        <f t="shared" si="136"/>
        <v/>
      </c>
      <c r="AG87" s="68" t="str">
        <f t="shared" si="137"/>
        <v/>
      </c>
    </row>
    <row r="88" spans="1:33">
      <c r="A88" s="18" t="str">
        <f t="shared" si="138"/>
        <v/>
      </c>
      <c r="B88" s="219"/>
      <c r="C88" s="58"/>
      <c r="D88" s="44">
        <f t="shared" si="116"/>
        <v>31</v>
      </c>
      <c r="E88" s="59" t="str">
        <f t="shared" si="117"/>
        <v/>
      </c>
      <c r="F88" s="90" t="str">
        <f t="shared" si="118"/>
        <v/>
      </c>
      <c r="G88" s="205"/>
      <c r="H88" s="203"/>
      <c r="I88" s="203"/>
      <c r="J88" s="42"/>
      <c r="K88" s="39">
        <f>IF(I88="",0,VLOOKUP(I88,'LISTA DE PRECIOS'!A:F,IF(R88="CORO",4,5),FALSE))</f>
        <v>0</v>
      </c>
      <c r="L88" s="206">
        <f t="shared" si="119"/>
        <v>0</v>
      </c>
      <c r="M88" s="217">
        <f>IF(F88="",0,IF(SUMIF('REPORTE GASTOS'!$C$6:$C$210,F88,'REPORTE GASTOS'!$G$6:$G$210)=0,'LISTA DE PRECIOS'!$H$3,SUMIF('REPORTE GASTOS'!$C$6:$C$210,F88,'REPORTE GASTOS'!$I$6:$I$210)/SUMIF('REPORTE GASTOS'!$C$6:$C$210,F88,'REPORTE GASTOS'!$G$6:$G$210)))</f>
        <v>0</v>
      </c>
      <c r="N88" s="12">
        <f t="shared" si="120"/>
        <v>0</v>
      </c>
      <c r="O88" s="43">
        <f t="shared" si="121"/>
        <v>0</v>
      </c>
      <c r="P88" s="70"/>
      <c r="R88" s="68" t="str">
        <f>IF(H88="","",VLOOKUP(H88,'DATOS CLIENTES'!B:F,5,FALSE))</f>
        <v/>
      </c>
      <c r="S88" s="68" t="str">
        <f t="shared" si="128"/>
        <v>031</v>
      </c>
      <c r="U88" s="69">
        <f t="shared" si="114"/>
        <v>0</v>
      </c>
      <c r="V88" s="69">
        <f t="shared" si="115"/>
        <v>0</v>
      </c>
      <c r="X88" s="68">
        <f t="shared" si="122"/>
        <v>74</v>
      </c>
      <c r="Y88" s="68" t="str">
        <f t="shared" si="129"/>
        <v/>
      </c>
      <c r="Z88" s="68" t="str">
        <f t="shared" si="130"/>
        <v/>
      </c>
      <c r="AA88" s="68" t="str">
        <f t="shared" si="131"/>
        <v/>
      </c>
      <c r="AB88" s="227" t="str">
        <f t="shared" si="132"/>
        <v/>
      </c>
      <c r="AC88" s="68" t="str">
        <f t="shared" si="133"/>
        <v/>
      </c>
      <c r="AD88" s="68" t="str">
        <f t="shared" si="134"/>
        <v/>
      </c>
      <c r="AE88" s="68" t="str">
        <f t="shared" si="135"/>
        <v/>
      </c>
      <c r="AF88" s="68" t="str">
        <f t="shared" si="136"/>
        <v/>
      </c>
      <c r="AG88" s="68" t="str">
        <f t="shared" si="137"/>
        <v/>
      </c>
    </row>
    <row r="89" spans="1:33">
      <c r="A89" s="18" t="str">
        <f t="shared" si="138"/>
        <v/>
      </c>
      <c r="B89" s="219"/>
      <c r="C89" s="58"/>
      <c r="D89" s="44">
        <f t="shared" si="116"/>
        <v>31</v>
      </c>
      <c r="E89" s="59" t="str">
        <f t="shared" si="117"/>
        <v/>
      </c>
      <c r="F89" s="90" t="str">
        <f t="shared" si="118"/>
        <v/>
      </c>
      <c r="G89" s="190"/>
      <c r="H89" s="203"/>
      <c r="I89" s="203"/>
      <c r="J89" s="42"/>
      <c r="K89" s="39">
        <f>IF(I89="",0,VLOOKUP(I89,'LISTA DE PRECIOS'!A:F,IF(R89="CORO",4,5),FALSE))</f>
        <v>0</v>
      </c>
      <c r="L89" s="206">
        <f t="shared" si="119"/>
        <v>0</v>
      </c>
      <c r="M89" s="217">
        <f>IF(F89="",0,IF(SUMIF('REPORTE GASTOS'!$C$6:$C$210,F89,'REPORTE GASTOS'!$G$6:$G$210)=0,'LISTA DE PRECIOS'!$H$3,SUMIF('REPORTE GASTOS'!$C$6:$C$210,F89,'REPORTE GASTOS'!$I$6:$I$210)/SUMIF('REPORTE GASTOS'!$C$6:$C$210,F89,'REPORTE GASTOS'!$G$6:$G$210)))</f>
        <v>0</v>
      </c>
      <c r="N89" s="12">
        <f t="shared" si="120"/>
        <v>0</v>
      </c>
      <c r="O89" s="43">
        <f t="shared" si="121"/>
        <v>0</v>
      </c>
      <c r="P89" s="70"/>
      <c r="R89" s="68" t="str">
        <f>IF(H89="","",VLOOKUP(H89,'DATOS CLIENTES'!B:F,5,FALSE))</f>
        <v/>
      </c>
      <c r="S89" s="68" t="str">
        <f t="shared" si="128"/>
        <v>031</v>
      </c>
      <c r="U89" s="69">
        <f t="shared" si="114"/>
        <v>0</v>
      </c>
      <c r="V89" s="69">
        <f t="shared" si="115"/>
        <v>0</v>
      </c>
      <c r="X89" s="68">
        <f t="shared" si="122"/>
        <v>74</v>
      </c>
      <c r="Y89" s="68" t="str">
        <f t="shared" si="129"/>
        <v/>
      </c>
      <c r="Z89" s="68" t="str">
        <f t="shared" si="130"/>
        <v/>
      </c>
      <c r="AA89" s="68" t="str">
        <f t="shared" si="131"/>
        <v/>
      </c>
      <c r="AB89" s="227" t="str">
        <f t="shared" si="132"/>
        <v/>
      </c>
      <c r="AC89" s="68" t="str">
        <f t="shared" si="133"/>
        <v/>
      </c>
      <c r="AD89" s="68" t="str">
        <f t="shared" si="134"/>
        <v/>
      </c>
      <c r="AE89" s="68" t="str">
        <f t="shared" si="135"/>
        <v/>
      </c>
      <c r="AF89" s="68" t="str">
        <f t="shared" si="136"/>
        <v/>
      </c>
      <c r="AG89" s="68" t="str">
        <f t="shared" si="137"/>
        <v/>
      </c>
    </row>
    <row r="90" spans="1:33">
      <c r="A90" s="18" t="str">
        <f t="shared" si="138"/>
        <v/>
      </c>
      <c r="B90" s="219"/>
      <c r="C90" s="58"/>
      <c r="D90" s="44">
        <f t="shared" si="116"/>
        <v>31</v>
      </c>
      <c r="E90" s="59" t="str">
        <f t="shared" si="117"/>
        <v/>
      </c>
      <c r="F90" s="90" t="str">
        <f t="shared" si="118"/>
        <v/>
      </c>
      <c r="G90" s="190"/>
      <c r="H90" s="203"/>
      <c r="I90" s="203"/>
      <c r="J90" s="42"/>
      <c r="K90" s="39">
        <f>IF(I90="",0,VLOOKUP(I90,'LISTA DE PRECIOS'!A:F,IF(R90="CORO",4,5),FALSE))</f>
        <v>0</v>
      </c>
      <c r="L90" s="206">
        <f t="shared" si="119"/>
        <v>0</v>
      </c>
      <c r="M90" s="217">
        <f>IF(F90="",0,IF(SUMIF('REPORTE GASTOS'!$C$6:$C$210,F90,'REPORTE GASTOS'!$G$6:$G$210)=0,'LISTA DE PRECIOS'!$H$3,SUMIF('REPORTE GASTOS'!$C$6:$C$210,F90,'REPORTE GASTOS'!$I$6:$I$210)/SUMIF('REPORTE GASTOS'!$C$6:$C$210,F90,'REPORTE GASTOS'!$G$6:$G$210)))</f>
        <v>0</v>
      </c>
      <c r="N90" s="12">
        <f t="shared" si="120"/>
        <v>0</v>
      </c>
      <c r="O90" s="43">
        <f t="shared" si="121"/>
        <v>0</v>
      </c>
      <c r="P90" s="70"/>
      <c r="R90" s="68" t="str">
        <f>IF(H90="","",VLOOKUP(H90,'DATOS CLIENTES'!B:F,5,FALSE))</f>
        <v/>
      </c>
      <c r="S90" s="68" t="str">
        <f t="shared" si="128"/>
        <v>031</v>
      </c>
      <c r="U90" s="69">
        <f t="shared" si="114"/>
        <v>0</v>
      </c>
      <c r="V90" s="69">
        <f t="shared" si="115"/>
        <v>0</v>
      </c>
      <c r="X90" s="68">
        <f t="shared" si="122"/>
        <v>74</v>
      </c>
      <c r="Y90" s="68" t="str">
        <f t="shared" si="129"/>
        <v/>
      </c>
      <c r="Z90" s="68" t="str">
        <f t="shared" si="130"/>
        <v/>
      </c>
      <c r="AA90" s="68" t="str">
        <f t="shared" si="131"/>
        <v/>
      </c>
      <c r="AB90" s="227" t="str">
        <f t="shared" si="132"/>
        <v/>
      </c>
      <c r="AC90" s="68" t="str">
        <f t="shared" si="133"/>
        <v/>
      </c>
      <c r="AD90" s="68" t="str">
        <f t="shared" si="134"/>
        <v/>
      </c>
      <c r="AE90" s="68" t="str">
        <f t="shared" si="135"/>
        <v/>
      </c>
      <c r="AF90" s="68" t="str">
        <f t="shared" si="136"/>
        <v/>
      </c>
      <c r="AG90" s="68" t="str">
        <f t="shared" si="137"/>
        <v/>
      </c>
    </row>
    <row r="91" spans="1:33">
      <c r="A91" s="18" t="str">
        <f t="shared" si="138"/>
        <v/>
      </c>
      <c r="B91" s="219"/>
      <c r="C91" s="58"/>
      <c r="D91" s="44">
        <f t="shared" si="116"/>
        <v>31</v>
      </c>
      <c r="E91" s="59" t="str">
        <f t="shared" si="117"/>
        <v/>
      </c>
      <c r="F91" s="90" t="str">
        <f t="shared" si="118"/>
        <v/>
      </c>
      <c r="G91" s="190"/>
      <c r="H91" s="203"/>
      <c r="I91" s="203"/>
      <c r="J91" s="42"/>
      <c r="K91" s="39">
        <f>IF(I91="",0,VLOOKUP(I91,'LISTA DE PRECIOS'!A:F,IF(R91="CORO",4,5),FALSE))</f>
        <v>0</v>
      </c>
      <c r="L91" s="206">
        <f t="shared" si="119"/>
        <v>0</v>
      </c>
      <c r="M91" s="217">
        <f>IF(F91="",0,IF(SUMIF('REPORTE GASTOS'!$C$6:$C$210,F91,'REPORTE GASTOS'!$G$6:$G$210)=0,'LISTA DE PRECIOS'!$H$3,SUMIF('REPORTE GASTOS'!$C$6:$C$210,F91,'REPORTE GASTOS'!$I$6:$I$210)/SUMIF('REPORTE GASTOS'!$C$6:$C$210,F91,'REPORTE GASTOS'!$G$6:$G$210)))</f>
        <v>0</v>
      </c>
      <c r="N91" s="12">
        <f t="shared" si="120"/>
        <v>0</v>
      </c>
      <c r="O91" s="43">
        <f t="shared" si="121"/>
        <v>0</v>
      </c>
      <c r="P91" s="70"/>
      <c r="R91" s="68" t="str">
        <f>IF(H91="","",VLOOKUP(H91,'DATOS CLIENTES'!B:F,5,FALSE))</f>
        <v/>
      </c>
      <c r="S91" s="68" t="str">
        <f t="shared" si="128"/>
        <v>031</v>
      </c>
      <c r="U91" s="69">
        <f t="shared" si="114"/>
        <v>0</v>
      </c>
      <c r="V91" s="69">
        <f t="shared" si="115"/>
        <v>0</v>
      </c>
      <c r="X91" s="68">
        <f t="shared" si="122"/>
        <v>74</v>
      </c>
      <c r="Y91" s="68" t="str">
        <f t="shared" si="129"/>
        <v/>
      </c>
      <c r="Z91" s="68" t="str">
        <f t="shared" si="130"/>
        <v/>
      </c>
      <c r="AA91" s="68" t="str">
        <f t="shared" si="131"/>
        <v/>
      </c>
      <c r="AB91" s="227" t="str">
        <f t="shared" si="132"/>
        <v/>
      </c>
      <c r="AC91" s="68" t="str">
        <f t="shared" si="133"/>
        <v/>
      </c>
      <c r="AD91" s="68" t="str">
        <f t="shared" si="134"/>
        <v/>
      </c>
      <c r="AE91" s="68" t="str">
        <f t="shared" si="135"/>
        <v/>
      </c>
      <c r="AF91" s="68" t="str">
        <f t="shared" si="136"/>
        <v/>
      </c>
      <c r="AG91" s="68" t="str">
        <f t="shared" si="137"/>
        <v/>
      </c>
    </row>
    <row r="92" spans="1:33">
      <c r="A92" s="18" t="str">
        <f t="shared" si="138"/>
        <v/>
      </c>
      <c r="B92" s="219"/>
      <c r="C92" s="58"/>
      <c r="D92" s="44">
        <f t="shared" si="116"/>
        <v>31</v>
      </c>
      <c r="E92" s="59" t="str">
        <f t="shared" si="117"/>
        <v/>
      </c>
      <c r="F92" s="90" t="str">
        <f t="shared" si="118"/>
        <v/>
      </c>
      <c r="G92" s="190"/>
      <c r="H92" s="203"/>
      <c r="I92" s="203"/>
      <c r="J92" s="42"/>
      <c r="K92" s="39">
        <f>IF(I92="",0,VLOOKUP(I92,'LISTA DE PRECIOS'!A:F,IF(R92="CORO",4,5),FALSE))</f>
        <v>0</v>
      </c>
      <c r="L92" s="206">
        <f t="shared" si="119"/>
        <v>0</v>
      </c>
      <c r="M92" s="217">
        <f>IF(F92="",0,IF(SUMIF('REPORTE GASTOS'!$C$6:$C$210,F92,'REPORTE GASTOS'!$G$6:$G$210)=0,'LISTA DE PRECIOS'!$H$3,SUMIF('REPORTE GASTOS'!$C$6:$C$210,F92,'REPORTE GASTOS'!$I$6:$I$210)/SUMIF('REPORTE GASTOS'!$C$6:$C$210,F92,'REPORTE GASTOS'!$G$6:$G$210)))</f>
        <v>0</v>
      </c>
      <c r="N92" s="12">
        <f t="shared" si="120"/>
        <v>0</v>
      </c>
      <c r="O92" s="43">
        <f t="shared" si="121"/>
        <v>0</v>
      </c>
      <c r="P92" s="70"/>
      <c r="R92" s="68" t="str">
        <f>IF(H92="","",VLOOKUP(H92,'DATOS CLIENTES'!B:F,5,FALSE))</f>
        <v/>
      </c>
      <c r="S92" s="68" t="str">
        <f t="shared" si="128"/>
        <v>031</v>
      </c>
      <c r="U92" s="69">
        <f t="shared" si="114"/>
        <v>0</v>
      </c>
      <c r="V92" s="69">
        <f t="shared" si="115"/>
        <v>0</v>
      </c>
      <c r="X92" s="68">
        <f t="shared" si="122"/>
        <v>74</v>
      </c>
      <c r="Y92" s="68" t="str">
        <f t="shared" si="129"/>
        <v/>
      </c>
      <c r="Z92" s="68" t="str">
        <f t="shared" si="130"/>
        <v/>
      </c>
      <c r="AA92" s="68" t="str">
        <f t="shared" si="131"/>
        <v/>
      </c>
      <c r="AB92" s="227" t="str">
        <f t="shared" si="132"/>
        <v/>
      </c>
      <c r="AC92" s="68" t="str">
        <f t="shared" si="133"/>
        <v/>
      </c>
      <c r="AD92" s="68" t="str">
        <f t="shared" si="134"/>
        <v/>
      </c>
      <c r="AE92" s="68" t="str">
        <f t="shared" si="135"/>
        <v/>
      </c>
      <c r="AF92" s="68" t="str">
        <f t="shared" si="136"/>
        <v/>
      </c>
      <c r="AG92" s="68" t="str">
        <f t="shared" si="137"/>
        <v/>
      </c>
    </row>
    <row r="93" spans="1:33">
      <c r="A93" s="18" t="str">
        <f t="shared" si="138"/>
        <v/>
      </c>
      <c r="B93" s="219"/>
      <c r="C93" s="58"/>
      <c r="D93" s="44">
        <f t="shared" si="116"/>
        <v>31</v>
      </c>
      <c r="E93" s="59" t="str">
        <f t="shared" si="117"/>
        <v/>
      </c>
      <c r="F93" s="90" t="str">
        <f t="shared" si="118"/>
        <v/>
      </c>
      <c r="G93" s="190"/>
      <c r="H93" s="191"/>
      <c r="I93" s="203"/>
      <c r="J93" s="204"/>
      <c r="K93" s="39">
        <f>IF(I93="",0,VLOOKUP(I93,'LISTA DE PRECIOS'!A:F,IF(R93="CORO",4,5),FALSE))</f>
        <v>0</v>
      </c>
      <c r="L93" s="206">
        <f t="shared" si="119"/>
        <v>0</v>
      </c>
      <c r="M93" s="217">
        <f>IF(F93="",0,IF(SUMIF('REPORTE GASTOS'!$C$6:$C$210,F93,'REPORTE GASTOS'!$G$6:$G$210)=0,'LISTA DE PRECIOS'!$H$3,SUMIF('REPORTE GASTOS'!$C$6:$C$210,F93,'REPORTE GASTOS'!$I$6:$I$210)/SUMIF('REPORTE GASTOS'!$C$6:$C$210,F93,'REPORTE GASTOS'!$G$6:$G$210)))</f>
        <v>0</v>
      </c>
      <c r="N93" s="12">
        <f t="shared" si="120"/>
        <v>0</v>
      </c>
      <c r="O93" s="43">
        <f t="shared" si="121"/>
        <v>0</v>
      </c>
      <c r="P93" s="70"/>
      <c r="R93" s="68" t="str">
        <f>IF(H93="","",VLOOKUP(H93,'DATOS CLIENTES'!B:F,5,FALSE))</f>
        <v/>
      </c>
      <c r="S93" s="68" t="str">
        <f t="shared" si="128"/>
        <v>031</v>
      </c>
      <c r="U93" s="69">
        <f t="shared" si="114"/>
        <v>0</v>
      </c>
      <c r="V93" s="69">
        <f t="shared" si="115"/>
        <v>0</v>
      </c>
      <c r="X93" s="68">
        <f t="shared" si="122"/>
        <v>74</v>
      </c>
      <c r="Y93" s="68" t="str">
        <f t="shared" si="129"/>
        <v/>
      </c>
      <c r="Z93" s="68" t="str">
        <f t="shared" si="130"/>
        <v/>
      </c>
      <c r="AA93" s="68" t="str">
        <f t="shared" si="131"/>
        <v/>
      </c>
      <c r="AB93" s="227" t="str">
        <f t="shared" si="132"/>
        <v/>
      </c>
      <c r="AC93" s="68" t="str">
        <f t="shared" si="133"/>
        <v/>
      </c>
      <c r="AD93" s="68" t="str">
        <f t="shared" si="134"/>
        <v/>
      </c>
      <c r="AE93" s="68" t="str">
        <f t="shared" si="135"/>
        <v/>
      </c>
      <c r="AF93" s="68" t="str">
        <f t="shared" si="136"/>
        <v/>
      </c>
      <c r="AG93" s="68" t="str">
        <f t="shared" si="137"/>
        <v/>
      </c>
    </row>
    <row r="94" spans="1:33">
      <c r="A94" s="18" t="str">
        <f t="shared" si="138"/>
        <v/>
      </c>
      <c r="B94" s="219"/>
      <c r="C94" s="58"/>
      <c r="D94" s="44">
        <f t="shared" si="116"/>
        <v>31</v>
      </c>
      <c r="E94" s="59" t="str">
        <f t="shared" si="117"/>
        <v/>
      </c>
      <c r="F94" s="90" t="str">
        <f t="shared" si="118"/>
        <v/>
      </c>
      <c r="G94" s="190"/>
      <c r="H94" s="203"/>
      <c r="I94" s="203"/>
      <c r="J94" s="42"/>
      <c r="K94" s="39">
        <f>IF(I94="",0,VLOOKUP(I94,'LISTA DE PRECIOS'!A:F,IF(R94="CORO",4,5),FALSE))</f>
        <v>0</v>
      </c>
      <c r="L94" s="206">
        <f t="shared" si="119"/>
        <v>0</v>
      </c>
      <c r="M94" s="217">
        <f>IF(F94="",0,IF(SUMIF('REPORTE GASTOS'!$C$6:$C$210,F94,'REPORTE GASTOS'!$G$6:$G$210)=0,'LISTA DE PRECIOS'!$H$3,SUMIF('REPORTE GASTOS'!$C$6:$C$210,F94,'REPORTE GASTOS'!$I$6:$I$210)/SUMIF('REPORTE GASTOS'!$C$6:$C$210,F94,'REPORTE GASTOS'!$G$6:$G$210)))</f>
        <v>0</v>
      </c>
      <c r="N94" s="12">
        <f t="shared" si="120"/>
        <v>0</v>
      </c>
      <c r="O94" s="43">
        <f t="shared" si="121"/>
        <v>0</v>
      </c>
      <c r="P94" s="70"/>
      <c r="R94" s="68" t="str">
        <f>IF(H94="","",VLOOKUP(H94,'DATOS CLIENTES'!B:F,5,FALSE))</f>
        <v/>
      </c>
      <c r="S94" s="68" t="str">
        <f t="shared" si="128"/>
        <v>031</v>
      </c>
      <c r="U94" s="69">
        <f t="shared" si="114"/>
        <v>0</v>
      </c>
      <c r="V94" s="69">
        <f t="shared" si="115"/>
        <v>0</v>
      </c>
      <c r="X94" s="68">
        <f t="shared" si="122"/>
        <v>74</v>
      </c>
      <c r="Y94" s="68" t="str">
        <f t="shared" si="129"/>
        <v/>
      </c>
      <c r="Z94" s="68" t="str">
        <f t="shared" si="130"/>
        <v/>
      </c>
      <c r="AA94" s="68" t="str">
        <f t="shared" si="131"/>
        <v/>
      </c>
      <c r="AB94" s="227" t="str">
        <f t="shared" si="132"/>
        <v/>
      </c>
      <c r="AC94" s="68" t="str">
        <f t="shared" si="133"/>
        <v/>
      </c>
      <c r="AD94" s="68" t="str">
        <f t="shared" si="134"/>
        <v/>
      </c>
      <c r="AE94" s="68" t="str">
        <f t="shared" si="135"/>
        <v/>
      </c>
      <c r="AF94" s="68" t="str">
        <f t="shared" si="136"/>
        <v/>
      </c>
      <c r="AG94" s="68" t="str">
        <f t="shared" si="137"/>
        <v/>
      </c>
    </row>
    <row r="95" spans="1:33">
      <c r="A95" s="18" t="str">
        <f t="shared" si="138"/>
        <v/>
      </c>
      <c r="B95" s="219"/>
      <c r="C95" s="58"/>
      <c r="D95" s="44">
        <f t="shared" si="116"/>
        <v>31</v>
      </c>
      <c r="E95" s="59" t="str">
        <f t="shared" si="117"/>
        <v/>
      </c>
      <c r="F95" s="90" t="str">
        <f t="shared" si="118"/>
        <v/>
      </c>
      <c r="G95" s="190"/>
      <c r="H95" s="203"/>
      <c r="I95" s="191"/>
      <c r="J95" s="42"/>
      <c r="K95" s="39">
        <f>IF(I95="",0,VLOOKUP(I95,'LISTA DE PRECIOS'!A:F,IF(R95="CORO",4,5),FALSE))</f>
        <v>0</v>
      </c>
      <c r="L95" s="206">
        <f t="shared" si="119"/>
        <v>0</v>
      </c>
      <c r="M95" s="217">
        <f>IF(F95="",0,IF(SUMIF('REPORTE GASTOS'!$C$6:$C$210,F95,'REPORTE GASTOS'!$G$6:$G$210)=0,'LISTA DE PRECIOS'!$H$3,SUMIF('REPORTE GASTOS'!$C$6:$C$210,F95,'REPORTE GASTOS'!$I$6:$I$210)/SUMIF('REPORTE GASTOS'!$C$6:$C$210,F95,'REPORTE GASTOS'!$G$6:$G$210)))</f>
        <v>0</v>
      </c>
      <c r="N95" s="12">
        <f t="shared" si="120"/>
        <v>0</v>
      </c>
      <c r="O95" s="43">
        <f t="shared" si="121"/>
        <v>0</v>
      </c>
      <c r="P95" s="70"/>
      <c r="R95" s="68" t="str">
        <f>IF(H95="","",VLOOKUP(H95,'DATOS CLIENTES'!B:F,5,FALSE))</f>
        <v/>
      </c>
      <c r="S95" s="68" t="str">
        <f t="shared" si="128"/>
        <v>031</v>
      </c>
      <c r="U95" s="69">
        <f t="shared" si="114"/>
        <v>0</v>
      </c>
      <c r="V95" s="69">
        <f t="shared" si="115"/>
        <v>0</v>
      </c>
      <c r="X95" s="68">
        <f t="shared" si="122"/>
        <v>74</v>
      </c>
      <c r="Y95" s="68" t="str">
        <f t="shared" si="129"/>
        <v/>
      </c>
      <c r="Z95" s="68" t="str">
        <f t="shared" si="130"/>
        <v/>
      </c>
      <c r="AA95" s="68" t="str">
        <f t="shared" si="131"/>
        <v/>
      </c>
      <c r="AB95" s="227" t="str">
        <f t="shared" si="132"/>
        <v/>
      </c>
      <c r="AC95" s="68" t="str">
        <f t="shared" si="133"/>
        <v/>
      </c>
      <c r="AD95" s="68" t="str">
        <f t="shared" si="134"/>
        <v/>
      </c>
      <c r="AE95" s="68" t="str">
        <f t="shared" si="135"/>
        <v/>
      </c>
      <c r="AF95" s="68" t="str">
        <f t="shared" si="136"/>
        <v/>
      </c>
      <c r="AG95" s="68" t="str">
        <f t="shared" si="137"/>
        <v/>
      </c>
    </row>
    <row r="96" spans="1:33">
      <c r="A96" s="18" t="str">
        <f t="shared" si="138"/>
        <v/>
      </c>
      <c r="B96" s="219"/>
      <c r="C96" s="58"/>
      <c r="D96" s="44">
        <f t="shared" si="116"/>
        <v>31</v>
      </c>
      <c r="E96" s="59" t="str">
        <f t="shared" si="117"/>
        <v/>
      </c>
      <c r="F96" s="90" t="str">
        <f t="shared" si="118"/>
        <v/>
      </c>
      <c r="G96" s="190"/>
      <c r="H96" s="191"/>
      <c r="I96" s="203"/>
      <c r="J96" s="42"/>
      <c r="K96" s="39">
        <f>IF(I96="",0,VLOOKUP(I96,'LISTA DE PRECIOS'!A:F,IF(R96="CORO",4,5),FALSE))</f>
        <v>0</v>
      </c>
      <c r="L96" s="206">
        <f t="shared" si="119"/>
        <v>0</v>
      </c>
      <c r="M96" s="217">
        <f>IF(F96="",0,IF(SUMIF('REPORTE GASTOS'!$C$6:$C$210,F96,'REPORTE GASTOS'!$G$6:$G$210)=0,'LISTA DE PRECIOS'!$H$3,SUMIF('REPORTE GASTOS'!$C$6:$C$210,F96,'REPORTE GASTOS'!$I$6:$I$210)/SUMIF('REPORTE GASTOS'!$C$6:$C$210,F96,'REPORTE GASTOS'!$G$6:$G$210)))</f>
        <v>0</v>
      </c>
      <c r="N96" s="12">
        <f t="shared" si="120"/>
        <v>0</v>
      </c>
      <c r="O96" s="43">
        <f t="shared" si="121"/>
        <v>0</v>
      </c>
      <c r="P96" s="70"/>
      <c r="R96" s="68" t="str">
        <f>IF(H96="","",VLOOKUP(H96,'DATOS CLIENTES'!B:F,5,FALSE))</f>
        <v/>
      </c>
      <c r="S96" s="68" t="str">
        <f t="shared" si="128"/>
        <v>031</v>
      </c>
      <c r="U96" s="69">
        <f t="shared" si="114"/>
        <v>0</v>
      </c>
      <c r="V96" s="69">
        <f t="shared" si="115"/>
        <v>0</v>
      </c>
      <c r="X96" s="68">
        <f t="shared" si="122"/>
        <v>74</v>
      </c>
      <c r="Y96" s="68" t="str">
        <f t="shared" si="129"/>
        <v/>
      </c>
      <c r="Z96" s="68" t="str">
        <f t="shared" si="130"/>
        <v/>
      </c>
      <c r="AA96" s="68" t="str">
        <f t="shared" si="131"/>
        <v/>
      </c>
      <c r="AB96" s="227" t="str">
        <f t="shared" si="132"/>
        <v/>
      </c>
      <c r="AC96" s="68" t="str">
        <f t="shared" si="133"/>
        <v/>
      </c>
      <c r="AD96" s="68" t="str">
        <f t="shared" si="134"/>
        <v/>
      </c>
      <c r="AE96" s="68" t="str">
        <f t="shared" si="135"/>
        <v/>
      </c>
      <c r="AF96" s="68" t="str">
        <f t="shared" si="136"/>
        <v/>
      </c>
      <c r="AG96" s="68" t="str">
        <f t="shared" si="137"/>
        <v/>
      </c>
    </row>
    <row r="97" spans="1:33">
      <c r="A97" s="18" t="str">
        <f t="shared" si="138"/>
        <v/>
      </c>
      <c r="B97" s="219"/>
      <c r="C97" s="58"/>
      <c r="D97" s="44">
        <f t="shared" si="116"/>
        <v>31</v>
      </c>
      <c r="E97" s="59" t="str">
        <f t="shared" si="117"/>
        <v/>
      </c>
      <c r="F97" s="90" t="str">
        <f t="shared" si="118"/>
        <v/>
      </c>
      <c r="G97" s="190"/>
      <c r="H97" s="191"/>
      <c r="I97" s="203"/>
      <c r="J97" s="42"/>
      <c r="K97" s="39">
        <f>IF(I97="",0,VLOOKUP(I97,'LISTA DE PRECIOS'!A:F,IF(R97="CORO",4,5),FALSE))</f>
        <v>0</v>
      </c>
      <c r="L97" s="206">
        <f t="shared" si="119"/>
        <v>0</v>
      </c>
      <c r="M97" s="217">
        <f>IF(F97="",0,IF(SUMIF('REPORTE GASTOS'!$C$6:$C$210,F97,'REPORTE GASTOS'!$G$6:$G$210)=0,'LISTA DE PRECIOS'!$H$3,SUMIF('REPORTE GASTOS'!$C$6:$C$210,F97,'REPORTE GASTOS'!$I$6:$I$210)/SUMIF('REPORTE GASTOS'!$C$6:$C$210,F97,'REPORTE GASTOS'!$G$6:$G$210)))</f>
        <v>0</v>
      </c>
      <c r="N97" s="12">
        <f t="shared" si="120"/>
        <v>0</v>
      </c>
      <c r="O97" s="43">
        <f t="shared" si="121"/>
        <v>0</v>
      </c>
      <c r="P97" s="70"/>
      <c r="R97" s="68" t="str">
        <f>IF(H97="","",VLOOKUP(H97,'DATOS CLIENTES'!B:F,5,FALSE))</f>
        <v/>
      </c>
      <c r="S97" s="68" t="str">
        <f t="shared" si="128"/>
        <v>031</v>
      </c>
      <c r="U97" s="69">
        <f t="shared" si="114"/>
        <v>0</v>
      </c>
      <c r="V97" s="69">
        <f t="shared" si="115"/>
        <v>0</v>
      </c>
      <c r="X97" s="68">
        <f t="shared" si="122"/>
        <v>74</v>
      </c>
      <c r="Y97" s="68" t="str">
        <f t="shared" si="129"/>
        <v/>
      </c>
      <c r="Z97" s="68" t="str">
        <f t="shared" si="130"/>
        <v/>
      </c>
      <c r="AA97" s="68" t="str">
        <f t="shared" si="131"/>
        <v/>
      </c>
      <c r="AB97" s="227" t="str">
        <f t="shared" si="132"/>
        <v/>
      </c>
      <c r="AC97" s="68" t="str">
        <f t="shared" si="133"/>
        <v/>
      </c>
      <c r="AD97" s="68" t="str">
        <f t="shared" si="134"/>
        <v/>
      </c>
      <c r="AE97" s="68" t="str">
        <f t="shared" si="135"/>
        <v/>
      </c>
      <c r="AF97" s="68" t="str">
        <f t="shared" si="136"/>
        <v/>
      </c>
      <c r="AG97" s="68" t="str">
        <f t="shared" si="137"/>
        <v/>
      </c>
    </row>
    <row r="98" spans="1:33">
      <c r="A98" s="18" t="str">
        <f t="shared" si="138"/>
        <v/>
      </c>
      <c r="B98" s="219"/>
      <c r="C98" s="58"/>
      <c r="D98" s="44">
        <f t="shared" si="116"/>
        <v>31</v>
      </c>
      <c r="E98" s="59" t="str">
        <f t="shared" si="117"/>
        <v/>
      </c>
      <c r="F98" s="90" t="str">
        <f t="shared" si="118"/>
        <v/>
      </c>
      <c r="G98" s="190"/>
      <c r="H98" s="191"/>
      <c r="I98" s="203"/>
      <c r="J98" s="204"/>
      <c r="K98" s="39">
        <f>IF(I98="",0,VLOOKUP(I98,'LISTA DE PRECIOS'!A:F,IF(R98="CORO",4,5),FALSE))</f>
        <v>0</v>
      </c>
      <c r="L98" s="206">
        <f t="shared" si="119"/>
        <v>0</v>
      </c>
      <c r="M98" s="217">
        <f>IF(F98="",0,IF(SUMIF('REPORTE GASTOS'!$C$6:$C$210,F98,'REPORTE GASTOS'!$G$6:$G$210)=0,'LISTA DE PRECIOS'!$H$3,SUMIF('REPORTE GASTOS'!$C$6:$C$210,F98,'REPORTE GASTOS'!$I$6:$I$210)/SUMIF('REPORTE GASTOS'!$C$6:$C$210,F98,'REPORTE GASTOS'!$G$6:$G$210)))</f>
        <v>0</v>
      </c>
      <c r="N98" s="12">
        <f t="shared" si="120"/>
        <v>0</v>
      </c>
      <c r="O98" s="43">
        <f t="shared" si="121"/>
        <v>0</v>
      </c>
      <c r="P98" s="70"/>
      <c r="R98" s="68" t="str">
        <f>IF(H98="","",VLOOKUP(H98,'DATOS CLIENTES'!B:F,5,FALSE))</f>
        <v/>
      </c>
      <c r="S98" s="68" t="str">
        <f t="shared" si="128"/>
        <v>031</v>
      </c>
      <c r="U98" s="69">
        <f t="shared" si="114"/>
        <v>0</v>
      </c>
      <c r="V98" s="69">
        <f t="shared" si="115"/>
        <v>0</v>
      </c>
      <c r="X98" s="68">
        <f t="shared" si="122"/>
        <v>74</v>
      </c>
      <c r="Y98" s="68" t="str">
        <f t="shared" si="129"/>
        <v/>
      </c>
      <c r="Z98" s="68" t="str">
        <f t="shared" si="130"/>
        <v/>
      </c>
      <c r="AA98" s="68" t="str">
        <f t="shared" si="131"/>
        <v/>
      </c>
      <c r="AB98" s="227" t="str">
        <f t="shared" si="132"/>
        <v/>
      </c>
      <c r="AC98" s="68" t="str">
        <f t="shared" si="133"/>
        <v/>
      </c>
      <c r="AD98" s="68" t="str">
        <f t="shared" si="134"/>
        <v/>
      </c>
      <c r="AE98" s="68" t="str">
        <f t="shared" si="135"/>
        <v/>
      </c>
      <c r="AF98" s="68" t="str">
        <f t="shared" si="136"/>
        <v/>
      </c>
      <c r="AG98" s="68" t="str">
        <f t="shared" si="137"/>
        <v/>
      </c>
    </row>
    <row r="99" spans="1:33">
      <c r="A99" s="18" t="str">
        <f t="shared" si="138"/>
        <v/>
      </c>
      <c r="B99" s="219"/>
      <c r="C99" s="58"/>
      <c r="D99" s="44">
        <f t="shared" si="116"/>
        <v>31</v>
      </c>
      <c r="E99" s="59" t="str">
        <f t="shared" si="117"/>
        <v/>
      </c>
      <c r="F99" s="90" t="str">
        <f t="shared" si="118"/>
        <v/>
      </c>
      <c r="G99" s="190"/>
      <c r="H99" s="191"/>
      <c r="I99" s="191"/>
      <c r="J99" s="42"/>
      <c r="K99" s="39">
        <f>IF(I99="",0,VLOOKUP(I99,'LISTA DE PRECIOS'!A:F,IF(R99="CORO",4,5),FALSE))</f>
        <v>0</v>
      </c>
      <c r="L99" s="206">
        <f t="shared" si="119"/>
        <v>0</v>
      </c>
      <c r="M99" s="217">
        <f>IF(F99="",0,IF(SUMIF('REPORTE GASTOS'!$C$6:$C$210,F99,'REPORTE GASTOS'!$G$6:$G$210)=0,'LISTA DE PRECIOS'!$H$3,SUMIF('REPORTE GASTOS'!$C$6:$C$210,F99,'REPORTE GASTOS'!$I$6:$I$210)/SUMIF('REPORTE GASTOS'!$C$6:$C$210,F99,'REPORTE GASTOS'!$G$6:$G$210)))</f>
        <v>0</v>
      </c>
      <c r="N99" s="12">
        <f t="shared" si="120"/>
        <v>0</v>
      </c>
      <c r="O99" s="43">
        <f t="shared" si="121"/>
        <v>0</v>
      </c>
      <c r="P99" s="70"/>
      <c r="R99" s="68" t="str">
        <f>IF(H99="","",VLOOKUP(H99,'DATOS CLIENTES'!B:F,5,FALSE))</f>
        <v/>
      </c>
      <c r="S99" s="68" t="str">
        <f t="shared" si="128"/>
        <v>031</v>
      </c>
      <c r="U99" s="69">
        <f t="shared" si="114"/>
        <v>0</v>
      </c>
      <c r="V99" s="69">
        <f t="shared" si="115"/>
        <v>0</v>
      </c>
      <c r="X99" s="68">
        <f t="shared" si="122"/>
        <v>74</v>
      </c>
      <c r="Y99" s="68" t="str">
        <f t="shared" si="129"/>
        <v/>
      </c>
      <c r="Z99" s="68" t="str">
        <f t="shared" si="130"/>
        <v/>
      </c>
      <c r="AA99" s="68" t="str">
        <f t="shared" si="131"/>
        <v/>
      </c>
      <c r="AB99" s="227" t="str">
        <f t="shared" si="132"/>
        <v/>
      </c>
      <c r="AC99" s="68" t="str">
        <f t="shared" si="133"/>
        <v/>
      </c>
      <c r="AD99" s="68" t="str">
        <f t="shared" si="134"/>
        <v/>
      </c>
      <c r="AE99" s="68" t="str">
        <f t="shared" si="135"/>
        <v/>
      </c>
      <c r="AF99" s="68" t="str">
        <f t="shared" si="136"/>
        <v/>
      </c>
      <c r="AG99" s="68" t="str">
        <f t="shared" si="137"/>
        <v/>
      </c>
    </row>
    <row r="100" spans="1:33">
      <c r="A100" s="18" t="str">
        <f t="shared" si="138"/>
        <v/>
      </c>
      <c r="B100" s="219"/>
      <c r="C100" s="58"/>
      <c r="D100" s="44">
        <f t="shared" si="116"/>
        <v>31</v>
      </c>
      <c r="E100" s="59" t="str">
        <f t="shared" si="117"/>
        <v/>
      </c>
      <c r="F100" s="90" t="str">
        <f t="shared" si="118"/>
        <v/>
      </c>
      <c r="G100" s="190"/>
      <c r="H100" s="191"/>
      <c r="I100" s="203"/>
      <c r="J100" s="42"/>
      <c r="K100" s="39">
        <f>IF(I100="",0,VLOOKUP(I100,'LISTA DE PRECIOS'!A:F,IF(R100="CORO",4,5),FALSE))</f>
        <v>0</v>
      </c>
      <c r="L100" s="206">
        <f t="shared" si="119"/>
        <v>0</v>
      </c>
      <c r="M100" s="217">
        <f>IF(F100="",0,IF(SUMIF('REPORTE GASTOS'!$C$6:$C$210,F100,'REPORTE GASTOS'!$G$6:$G$210)=0,'LISTA DE PRECIOS'!$H$3,SUMIF('REPORTE GASTOS'!$C$6:$C$210,F100,'REPORTE GASTOS'!$I$6:$I$210)/SUMIF('REPORTE GASTOS'!$C$6:$C$210,F100,'REPORTE GASTOS'!$G$6:$G$210)))</f>
        <v>0</v>
      </c>
      <c r="N100" s="12">
        <f t="shared" si="120"/>
        <v>0</v>
      </c>
      <c r="O100" s="43">
        <f t="shared" si="121"/>
        <v>0</v>
      </c>
      <c r="P100" s="70"/>
      <c r="R100" s="68" t="str">
        <f>IF(H100="","",VLOOKUP(H100,'DATOS CLIENTES'!B:F,5,FALSE))</f>
        <v/>
      </c>
      <c r="S100" s="68" t="str">
        <f t="shared" si="128"/>
        <v>031</v>
      </c>
      <c r="U100" s="69">
        <f t="shared" si="114"/>
        <v>0</v>
      </c>
      <c r="V100" s="69">
        <f t="shared" si="115"/>
        <v>0</v>
      </c>
      <c r="X100" s="68">
        <f t="shared" si="122"/>
        <v>74</v>
      </c>
      <c r="Y100" s="68" t="str">
        <f t="shared" si="129"/>
        <v/>
      </c>
      <c r="Z100" s="68" t="str">
        <f t="shared" si="130"/>
        <v/>
      </c>
      <c r="AA100" s="68" t="str">
        <f t="shared" si="131"/>
        <v/>
      </c>
      <c r="AB100" s="227" t="str">
        <f t="shared" si="132"/>
        <v/>
      </c>
      <c r="AC100" s="68" t="str">
        <f t="shared" si="133"/>
        <v/>
      </c>
      <c r="AD100" s="68" t="str">
        <f t="shared" si="134"/>
        <v/>
      </c>
      <c r="AE100" s="68" t="str">
        <f t="shared" si="135"/>
        <v/>
      </c>
      <c r="AF100" s="68" t="str">
        <f t="shared" si="136"/>
        <v/>
      </c>
      <c r="AG100" s="68" t="str">
        <f t="shared" si="137"/>
        <v/>
      </c>
    </row>
    <row r="101" spans="1:33">
      <c r="A101" s="18" t="str">
        <f t="shared" si="138"/>
        <v/>
      </c>
      <c r="B101" s="219"/>
      <c r="C101" s="58"/>
      <c r="D101" s="44">
        <f t="shared" si="116"/>
        <v>31</v>
      </c>
      <c r="E101" s="59" t="str">
        <f t="shared" si="117"/>
        <v/>
      </c>
      <c r="F101" s="90" t="str">
        <f t="shared" si="118"/>
        <v/>
      </c>
      <c r="G101" s="190"/>
      <c r="H101" s="191"/>
      <c r="I101" s="203"/>
      <c r="J101" s="42"/>
      <c r="K101" s="39">
        <f>IF(I101="",0,VLOOKUP(I101,'LISTA DE PRECIOS'!A:F,IF(R101="CORO",4,5),FALSE))</f>
        <v>0</v>
      </c>
      <c r="L101" s="206">
        <f t="shared" si="119"/>
        <v>0</v>
      </c>
      <c r="M101" s="217">
        <f>IF(F101="",0,IF(SUMIF('REPORTE GASTOS'!$C$6:$C$210,F101,'REPORTE GASTOS'!$G$6:$G$210)=0,'LISTA DE PRECIOS'!$H$3,SUMIF('REPORTE GASTOS'!$C$6:$C$210,F101,'REPORTE GASTOS'!$I$6:$I$210)/SUMIF('REPORTE GASTOS'!$C$6:$C$210,F101,'REPORTE GASTOS'!$G$6:$G$210)))</f>
        <v>0</v>
      </c>
      <c r="N101" s="12">
        <f t="shared" si="120"/>
        <v>0</v>
      </c>
      <c r="O101" s="43">
        <f t="shared" si="121"/>
        <v>0</v>
      </c>
      <c r="P101" s="70"/>
      <c r="R101" s="68" t="str">
        <f>IF(H101="","",VLOOKUP(H101,'DATOS CLIENTES'!B:F,5,FALSE))</f>
        <v/>
      </c>
      <c r="S101" s="68" t="str">
        <f t="shared" si="128"/>
        <v>031</v>
      </c>
      <c r="U101" s="69">
        <f t="shared" si="114"/>
        <v>0</v>
      </c>
      <c r="V101" s="69">
        <f t="shared" si="115"/>
        <v>0</v>
      </c>
      <c r="X101" s="68">
        <f t="shared" si="122"/>
        <v>74</v>
      </c>
      <c r="Y101" s="68" t="str">
        <f t="shared" si="129"/>
        <v/>
      </c>
      <c r="Z101" s="68" t="str">
        <f t="shared" si="130"/>
        <v/>
      </c>
      <c r="AA101" s="68" t="str">
        <f t="shared" si="131"/>
        <v/>
      </c>
      <c r="AB101" s="227" t="str">
        <f t="shared" si="132"/>
        <v/>
      </c>
      <c r="AC101" s="68" t="str">
        <f t="shared" si="133"/>
        <v/>
      </c>
      <c r="AD101" s="68" t="str">
        <f t="shared" si="134"/>
        <v/>
      </c>
      <c r="AE101" s="68" t="str">
        <f t="shared" si="135"/>
        <v/>
      </c>
      <c r="AF101" s="68" t="str">
        <f t="shared" si="136"/>
        <v/>
      </c>
      <c r="AG101" s="68" t="str">
        <f t="shared" si="137"/>
        <v/>
      </c>
    </row>
    <row r="102" spans="1:33">
      <c r="A102" s="18" t="str">
        <f t="shared" si="138"/>
        <v/>
      </c>
      <c r="B102" s="219"/>
      <c r="C102" s="58"/>
      <c r="D102" s="44">
        <f t="shared" si="116"/>
        <v>31</v>
      </c>
      <c r="E102" s="59" t="str">
        <f t="shared" si="117"/>
        <v/>
      </c>
      <c r="F102" s="90" t="str">
        <f t="shared" si="118"/>
        <v/>
      </c>
      <c r="G102" s="190"/>
      <c r="H102" s="191"/>
      <c r="I102" s="203"/>
      <c r="J102" s="42"/>
      <c r="K102" s="39">
        <f>IF(I102="",0,VLOOKUP(I102,'LISTA DE PRECIOS'!A:F,IF(R102="CORO",4,5),FALSE))</f>
        <v>0</v>
      </c>
      <c r="L102" s="206">
        <f t="shared" si="119"/>
        <v>0</v>
      </c>
      <c r="M102" s="217">
        <f>IF(F102="",0,IF(SUMIF('REPORTE GASTOS'!$C$6:$C$210,F102,'REPORTE GASTOS'!$G$6:$G$210)=0,'LISTA DE PRECIOS'!$H$3,SUMIF('REPORTE GASTOS'!$C$6:$C$210,F102,'REPORTE GASTOS'!$I$6:$I$210)/SUMIF('REPORTE GASTOS'!$C$6:$C$210,F102,'REPORTE GASTOS'!$G$6:$G$210)))</f>
        <v>0</v>
      </c>
      <c r="N102" s="12">
        <f t="shared" si="120"/>
        <v>0</v>
      </c>
      <c r="O102" s="43">
        <f t="shared" si="121"/>
        <v>0</v>
      </c>
      <c r="P102" s="70"/>
      <c r="R102" s="68" t="str">
        <f>IF(H102="","",VLOOKUP(H102,'DATOS CLIENTES'!B:F,5,FALSE))</f>
        <v/>
      </c>
      <c r="S102" s="68" t="str">
        <f t="shared" si="128"/>
        <v>031</v>
      </c>
      <c r="U102" s="69">
        <f t="shared" si="114"/>
        <v>0</v>
      </c>
      <c r="V102" s="69">
        <f t="shared" si="115"/>
        <v>0</v>
      </c>
      <c r="X102" s="68">
        <f t="shared" si="122"/>
        <v>74</v>
      </c>
      <c r="Y102" s="68" t="str">
        <f t="shared" si="129"/>
        <v/>
      </c>
      <c r="Z102" s="68" t="str">
        <f t="shared" si="130"/>
        <v/>
      </c>
      <c r="AA102" s="68" t="str">
        <f t="shared" si="131"/>
        <v/>
      </c>
      <c r="AB102" s="227" t="str">
        <f t="shared" si="132"/>
        <v/>
      </c>
      <c r="AC102" s="68" t="str">
        <f t="shared" si="133"/>
        <v/>
      </c>
      <c r="AD102" s="68" t="str">
        <f t="shared" si="134"/>
        <v/>
      </c>
      <c r="AE102" s="68" t="str">
        <f t="shared" si="135"/>
        <v/>
      </c>
      <c r="AF102" s="68" t="str">
        <f t="shared" si="136"/>
        <v/>
      </c>
      <c r="AG102" s="68" t="str">
        <f t="shared" si="137"/>
        <v/>
      </c>
    </row>
    <row r="103" spans="1:33">
      <c r="A103" s="18" t="str">
        <f t="shared" si="138"/>
        <v/>
      </c>
      <c r="B103" s="219"/>
      <c r="C103" s="58"/>
      <c r="D103" s="44">
        <f t="shared" si="116"/>
        <v>31</v>
      </c>
      <c r="E103" s="59" t="str">
        <f t="shared" si="117"/>
        <v/>
      </c>
      <c r="F103" s="90" t="str">
        <f t="shared" si="118"/>
        <v/>
      </c>
      <c r="G103" s="190"/>
      <c r="H103" s="191"/>
      <c r="I103" s="203"/>
      <c r="J103" s="42"/>
      <c r="K103" s="39">
        <f>IF(I103="",0,VLOOKUP(I103,'LISTA DE PRECIOS'!A:F,IF(R103="CORO",4,5),FALSE))</f>
        <v>0</v>
      </c>
      <c r="L103" s="206">
        <f t="shared" si="119"/>
        <v>0</v>
      </c>
      <c r="M103" s="217">
        <f>IF(F103="",0,IF(SUMIF('REPORTE GASTOS'!$C$6:$C$210,F103,'REPORTE GASTOS'!$G$6:$G$210)=0,'LISTA DE PRECIOS'!$H$3,SUMIF('REPORTE GASTOS'!$C$6:$C$210,F103,'REPORTE GASTOS'!$I$6:$I$210)/SUMIF('REPORTE GASTOS'!$C$6:$C$210,F103,'REPORTE GASTOS'!$G$6:$G$210)))</f>
        <v>0</v>
      </c>
      <c r="N103" s="12">
        <f t="shared" si="120"/>
        <v>0</v>
      </c>
      <c r="O103" s="43">
        <f t="shared" si="121"/>
        <v>0</v>
      </c>
      <c r="P103" s="70"/>
      <c r="R103" s="68" t="str">
        <f>IF(H103="","",VLOOKUP(H103,'DATOS CLIENTES'!B:F,5,FALSE))</f>
        <v/>
      </c>
      <c r="S103" s="68" t="str">
        <f t="shared" si="128"/>
        <v>031</v>
      </c>
      <c r="U103" s="69">
        <f t="shared" si="114"/>
        <v>0</v>
      </c>
      <c r="V103" s="69">
        <f t="shared" si="115"/>
        <v>0</v>
      </c>
      <c r="X103" s="68">
        <f t="shared" si="122"/>
        <v>74</v>
      </c>
      <c r="Y103" s="68" t="str">
        <f t="shared" si="129"/>
        <v/>
      </c>
      <c r="Z103" s="68" t="str">
        <f t="shared" si="130"/>
        <v/>
      </c>
      <c r="AA103" s="68" t="str">
        <f t="shared" si="131"/>
        <v/>
      </c>
      <c r="AB103" s="227" t="str">
        <f t="shared" si="132"/>
        <v/>
      </c>
      <c r="AC103" s="68" t="str">
        <f t="shared" si="133"/>
        <v/>
      </c>
      <c r="AD103" s="68" t="str">
        <f t="shared" si="134"/>
        <v/>
      </c>
      <c r="AE103" s="68" t="str">
        <f t="shared" si="135"/>
        <v/>
      </c>
      <c r="AF103" s="68" t="str">
        <f t="shared" si="136"/>
        <v/>
      </c>
      <c r="AG103" s="68" t="str">
        <f t="shared" si="137"/>
        <v/>
      </c>
    </row>
    <row r="104" spans="1:33">
      <c r="A104" s="18" t="str">
        <f t="shared" si="138"/>
        <v/>
      </c>
      <c r="B104" s="219"/>
      <c r="C104" s="58"/>
      <c r="D104" s="44">
        <f t="shared" si="116"/>
        <v>31</v>
      </c>
      <c r="E104" s="59" t="str">
        <f t="shared" si="117"/>
        <v/>
      </c>
      <c r="F104" s="90" t="str">
        <f t="shared" si="118"/>
        <v/>
      </c>
      <c r="G104" s="190"/>
      <c r="H104" s="191"/>
      <c r="I104" s="203"/>
      <c r="J104" s="42"/>
      <c r="K104" s="39">
        <f>IF(I104="",0,VLOOKUP(I104,'LISTA DE PRECIOS'!A:F,IF(R104="CORO",4,5),FALSE))</f>
        <v>0</v>
      </c>
      <c r="L104" s="206">
        <f t="shared" si="119"/>
        <v>0</v>
      </c>
      <c r="M104" s="217">
        <f>IF(F104="",0,IF(SUMIF('REPORTE GASTOS'!$C$6:$C$210,F104,'REPORTE GASTOS'!$G$6:$G$210)=0,'LISTA DE PRECIOS'!$H$3,SUMIF('REPORTE GASTOS'!$C$6:$C$210,F104,'REPORTE GASTOS'!$I$6:$I$210)/SUMIF('REPORTE GASTOS'!$C$6:$C$210,F104,'REPORTE GASTOS'!$G$6:$G$210)))</f>
        <v>0</v>
      </c>
      <c r="N104" s="12">
        <f t="shared" si="120"/>
        <v>0</v>
      </c>
      <c r="O104" s="43">
        <f t="shared" si="121"/>
        <v>0</v>
      </c>
      <c r="P104" s="70"/>
      <c r="R104" s="68" t="str">
        <f>IF(H104="","",VLOOKUP(H104,'DATOS CLIENTES'!B:F,5,FALSE))</f>
        <v/>
      </c>
      <c r="S104" s="68" t="str">
        <f t="shared" si="128"/>
        <v>031</v>
      </c>
      <c r="U104" s="69">
        <f t="shared" si="114"/>
        <v>0</v>
      </c>
      <c r="V104" s="69">
        <f t="shared" si="115"/>
        <v>0</v>
      </c>
      <c r="X104" s="68">
        <f t="shared" si="122"/>
        <v>74</v>
      </c>
      <c r="Y104" s="68" t="str">
        <f t="shared" si="129"/>
        <v/>
      </c>
      <c r="Z104" s="68" t="str">
        <f t="shared" si="130"/>
        <v/>
      </c>
      <c r="AA104" s="68" t="str">
        <f t="shared" si="131"/>
        <v/>
      </c>
      <c r="AB104" s="227" t="str">
        <f t="shared" si="132"/>
        <v/>
      </c>
      <c r="AC104" s="68" t="str">
        <f t="shared" si="133"/>
        <v/>
      </c>
      <c r="AD104" s="68" t="str">
        <f t="shared" si="134"/>
        <v/>
      </c>
      <c r="AE104" s="68" t="str">
        <f t="shared" si="135"/>
        <v/>
      </c>
      <c r="AF104" s="68" t="str">
        <f t="shared" si="136"/>
        <v/>
      </c>
      <c r="AG104" s="68" t="str">
        <f t="shared" si="137"/>
        <v/>
      </c>
    </row>
    <row r="105" spans="1:33" s="67" customFormat="1">
      <c r="A105" s="18" t="str">
        <f t="shared" si="138"/>
        <v/>
      </c>
      <c r="B105" s="219"/>
      <c r="C105" s="58"/>
      <c r="D105" s="44">
        <f t="shared" si="116"/>
        <v>31</v>
      </c>
      <c r="E105" s="59" t="str">
        <f t="shared" si="117"/>
        <v/>
      </c>
      <c r="F105" s="90" t="str">
        <f t="shared" si="118"/>
        <v/>
      </c>
      <c r="G105" s="190"/>
      <c r="H105" s="191"/>
      <c r="I105" s="191"/>
      <c r="J105" s="42"/>
      <c r="K105" s="39">
        <f>IF(I105="",0,VLOOKUP(I105,'LISTA DE PRECIOS'!A:F,IF(R105="CORO",4,5),FALSE))</f>
        <v>0</v>
      </c>
      <c r="L105" s="206">
        <f t="shared" si="119"/>
        <v>0</v>
      </c>
      <c r="M105" s="217">
        <f>IF(F105="",0,IF(SUMIF('REPORTE GASTOS'!$C$6:$C$210,F105,'REPORTE GASTOS'!$G$6:$G$210)=0,'LISTA DE PRECIOS'!$H$3,SUMIF('REPORTE GASTOS'!$C$6:$C$210,F105,'REPORTE GASTOS'!$I$6:$I$210)/SUMIF('REPORTE GASTOS'!$C$6:$C$210,F105,'REPORTE GASTOS'!$G$6:$G$210)))</f>
        <v>0</v>
      </c>
      <c r="N105" s="12">
        <f t="shared" si="120"/>
        <v>0</v>
      </c>
      <c r="O105" s="43">
        <f t="shared" si="121"/>
        <v>0</v>
      </c>
      <c r="P105" s="70"/>
      <c r="R105" s="68" t="str">
        <f>IF(H105="","",VLOOKUP(H105,'DATOS CLIENTES'!B:F,5,FALSE))</f>
        <v/>
      </c>
      <c r="S105" s="68" t="str">
        <f t="shared" si="128"/>
        <v>031</v>
      </c>
      <c r="U105" s="69">
        <f t="shared" si="114"/>
        <v>0</v>
      </c>
      <c r="V105" s="69">
        <f t="shared" si="115"/>
        <v>0</v>
      </c>
      <c r="X105" s="68">
        <f t="shared" si="122"/>
        <v>74</v>
      </c>
      <c r="Y105" s="68" t="str">
        <f t="shared" si="129"/>
        <v/>
      </c>
      <c r="Z105" s="68" t="str">
        <f t="shared" si="130"/>
        <v/>
      </c>
      <c r="AA105" s="68" t="str">
        <f t="shared" si="131"/>
        <v/>
      </c>
      <c r="AB105" s="227" t="str">
        <f t="shared" si="132"/>
        <v/>
      </c>
      <c r="AC105" s="68" t="str">
        <f t="shared" si="133"/>
        <v/>
      </c>
      <c r="AD105" s="68" t="str">
        <f t="shared" si="134"/>
        <v/>
      </c>
      <c r="AE105" s="68" t="str">
        <f t="shared" si="135"/>
        <v/>
      </c>
      <c r="AF105" s="68" t="str">
        <f t="shared" si="136"/>
        <v/>
      </c>
      <c r="AG105" s="68" t="str">
        <f t="shared" si="137"/>
        <v/>
      </c>
    </row>
    <row r="106" spans="1:33" s="67" customFormat="1">
      <c r="A106" s="18" t="str">
        <f t="shared" si="138"/>
        <v/>
      </c>
      <c r="B106" s="219"/>
      <c r="C106" s="58"/>
      <c r="D106" s="44">
        <f t="shared" si="116"/>
        <v>31</v>
      </c>
      <c r="E106" s="59" t="str">
        <f t="shared" si="117"/>
        <v/>
      </c>
      <c r="F106" s="90" t="str">
        <f t="shared" si="118"/>
        <v/>
      </c>
      <c r="G106" s="190"/>
      <c r="H106" s="191"/>
      <c r="I106" s="203"/>
      <c r="J106" s="42"/>
      <c r="K106" s="39">
        <f>IF(I106="",0,VLOOKUP(I106,'LISTA DE PRECIOS'!A:F,IF(R106="CORO",4,5),FALSE))</f>
        <v>0</v>
      </c>
      <c r="L106" s="206">
        <f t="shared" si="119"/>
        <v>0</v>
      </c>
      <c r="M106" s="217">
        <f>IF(F106="",0,IF(SUMIF('REPORTE GASTOS'!$C$6:$C$210,F106,'REPORTE GASTOS'!$G$6:$G$210)=0,'LISTA DE PRECIOS'!$H$3,SUMIF('REPORTE GASTOS'!$C$6:$C$210,F106,'REPORTE GASTOS'!$I$6:$I$210)/SUMIF('REPORTE GASTOS'!$C$6:$C$210,F106,'REPORTE GASTOS'!$G$6:$G$210)))</f>
        <v>0</v>
      </c>
      <c r="N106" s="12">
        <f t="shared" si="120"/>
        <v>0</v>
      </c>
      <c r="O106" s="43">
        <f t="shared" si="121"/>
        <v>0</v>
      </c>
      <c r="P106" s="70"/>
      <c r="R106" s="68" t="str">
        <f>IF(H106="","",VLOOKUP(H106,'DATOS CLIENTES'!B:F,5,FALSE))</f>
        <v/>
      </c>
      <c r="S106" s="68" t="str">
        <f t="shared" si="128"/>
        <v>031</v>
      </c>
      <c r="U106" s="69">
        <f t="shared" si="114"/>
        <v>0</v>
      </c>
      <c r="V106" s="69">
        <f t="shared" si="115"/>
        <v>0</v>
      </c>
      <c r="X106" s="68">
        <f t="shared" si="122"/>
        <v>74</v>
      </c>
      <c r="Y106" s="68" t="str">
        <f t="shared" si="129"/>
        <v/>
      </c>
      <c r="Z106" s="68" t="str">
        <f t="shared" si="130"/>
        <v/>
      </c>
      <c r="AA106" s="68" t="str">
        <f t="shared" si="131"/>
        <v/>
      </c>
      <c r="AB106" s="227" t="str">
        <f t="shared" si="132"/>
        <v/>
      </c>
      <c r="AC106" s="68" t="str">
        <f t="shared" si="133"/>
        <v/>
      </c>
      <c r="AD106" s="68" t="str">
        <f t="shared" si="134"/>
        <v/>
      </c>
      <c r="AE106" s="68" t="str">
        <f t="shared" si="135"/>
        <v/>
      </c>
      <c r="AF106" s="68" t="str">
        <f t="shared" si="136"/>
        <v/>
      </c>
      <c r="AG106" s="68" t="str">
        <f t="shared" si="137"/>
        <v/>
      </c>
    </row>
    <row r="107" spans="1:33" s="67" customFormat="1">
      <c r="A107" s="18" t="str">
        <f t="shared" si="138"/>
        <v/>
      </c>
      <c r="B107" s="219"/>
      <c r="C107" s="58"/>
      <c r="D107" s="44">
        <f t="shared" si="116"/>
        <v>31</v>
      </c>
      <c r="E107" s="59" t="str">
        <f t="shared" si="117"/>
        <v/>
      </c>
      <c r="F107" s="90" t="str">
        <f t="shared" si="118"/>
        <v/>
      </c>
      <c r="G107" s="190"/>
      <c r="H107" s="203"/>
      <c r="I107" s="191"/>
      <c r="J107" s="42"/>
      <c r="K107" s="39">
        <f>IF(I107="",0,VLOOKUP(I107,'LISTA DE PRECIOS'!A:F,IF(R107="CORO",4,5),FALSE))</f>
        <v>0</v>
      </c>
      <c r="L107" s="206">
        <f t="shared" si="119"/>
        <v>0</v>
      </c>
      <c r="M107" s="217">
        <f>IF(F107="",0,IF(SUMIF('REPORTE GASTOS'!$C$6:$C$210,F107,'REPORTE GASTOS'!$G$6:$G$210)=0,'LISTA DE PRECIOS'!$H$3,SUMIF('REPORTE GASTOS'!$C$6:$C$210,F107,'REPORTE GASTOS'!$I$6:$I$210)/SUMIF('REPORTE GASTOS'!$C$6:$C$210,F107,'REPORTE GASTOS'!$G$6:$G$210)))</f>
        <v>0</v>
      </c>
      <c r="N107" s="12">
        <f t="shared" si="120"/>
        <v>0</v>
      </c>
      <c r="O107" s="43">
        <f t="shared" si="121"/>
        <v>0</v>
      </c>
      <c r="P107" s="70"/>
      <c r="R107" s="68" t="str">
        <f>IF(H107="","",VLOOKUP(H107,'DATOS CLIENTES'!B:F,5,FALSE))</f>
        <v/>
      </c>
      <c r="S107" s="68" t="str">
        <f t="shared" si="128"/>
        <v>031</v>
      </c>
      <c r="U107" s="69">
        <f t="shared" si="114"/>
        <v>0</v>
      </c>
      <c r="V107" s="69">
        <f t="shared" si="115"/>
        <v>0</v>
      </c>
      <c r="X107" s="68">
        <f t="shared" si="122"/>
        <v>74</v>
      </c>
      <c r="Y107" s="68" t="str">
        <f t="shared" si="129"/>
        <v/>
      </c>
      <c r="Z107" s="68" t="str">
        <f t="shared" si="130"/>
        <v/>
      </c>
      <c r="AA107" s="68" t="str">
        <f t="shared" si="131"/>
        <v/>
      </c>
      <c r="AB107" s="227" t="str">
        <f t="shared" si="132"/>
        <v/>
      </c>
      <c r="AC107" s="68" t="str">
        <f t="shared" si="133"/>
        <v/>
      </c>
      <c r="AD107" s="68" t="str">
        <f t="shared" si="134"/>
        <v/>
      </c>
      <c r="AE107" s="68" t="str">
        <f t="shared" si="135"/>
        <v/>
      </c>
      <c r="AF107" s="68" t="str">
        <f t="shared" si="136"/>
        <v/>
      </c>
      <c r="AG107" s="68" t="str">
        <f t="shared" si="137"/>
        <v/>
      </c>
    </row>
    <row r="108" spans="1:33" s="67" customFormat="1">
      <c r="A108" s="18" t="str">
        <f t="shared" si="138"/>
        <v/>
      </c>
      <c r="B108" s="219"/>
      <c r="C108" s="58"/>
      <c r="D108" s="44">
        <f t="shared" si="116"/>
        <v>31</v>
      </c>
      <c r="E108" s="59" t="str">
        <f t="shared" si="117"/>
        <v/>
      </c>
      <c r="F108" s="90" t="str">
        <f t="shared" si="118"/>
        <v/>
      </c>
      <c r="G108" s="190"/>
      <c r="H108" s="203"/>
      <c r="I108" s="191"/>
      <c r="J108" s="42"/>
      <c r="K108" s="39">
        <f>IF(I108="",0,VLOOKUP(I108,'LISTA DE PRECIOS'!A:F,IF(R108="CORO",4,5),FALSE))</f>
        <v>0</v>
      </c>
      <c r="L108" s="206">
        <f t="shared" si="119"/>
        <v>0</v>
      </c>
      <c r="M108" s="217">
        <f>IF(F108="",0,IF(SUMIF('REPORTE GASTOS'!$C$6:$C$210,F108,'REPORTE GASTOS'!$G$6:$G$210)=0,'LISTA DE PRECIOS'!$H$3,SUMIF('REPORTE GASTOS'!$C$6:$C$210,F108,'REPORTE GASTOS'!$I$6:$I$210)/SUMIF('REPORTE GASTOS'!$C$6:$C$210,F108,'REPORTE GASTOS'!$G$6:$G$210)))</f>
        <v>0</v>
      </c>
      <c r="N108" s="12">
        <f t="shared" si="120"/>
        <v>0</v>
      </c>
      <c r="O108" s="43">
        <f t="shared" si="121"/>
        <v>0</v>
      </c>
      <c r="P108" s="70"/>
      <c r="R108" s="68" t="str">
        <f>IF(H108="","",VLOOKUP(H108,'DATOS CLIENTES'!B:F,5,FALSE))</f>
        <v/>
      </c>
      <c r="S108" s="68" t="str">
        <f t="shared" si="128"/>
        <v>031</v>
      </c>
      <c r="U108" s="69">
        <f t="shared" si="114"/>
        <v>0</v>
      </c>
      <c r="V108" s="69">
        <f t="shared" si="115"/>
        <v>0</v>
      </c>
      <c r="X108" s="68">
        <f t="shared" si="122"/>
        <v>74</v>
      </c>
      <c r="Y108" s="68" t="str">
        <f t="shared" si="129"/>
        <v/>
      </c>
      <c r="Z108" s="68" t="str">
        <f t="shared" si="130"/>
        <v/>
      </c>
      <c r="AA108" s="68" t="str">
        <f t="shared" si="131"/>
        <v/>
      </c>
      <c r="AB108" s="227" t="str">
        <f t="shared" si="132"/>
        <v/>
      </c>
      <c r="AC108" s="68" t="str">
        <f t="shared" si="133"/>
        <v/>
      </c>
      <c r="AD108" s="68" t="str">
        <f t="shared" si="134"/>
        <v/>
      </c>
      <c r="AE108" s="68" t="str">
        <f t="shared" si="135"/>
        <v/>
      </c>
      <c r="AF108" s="68" t="str">
        <f t="shared" si="136"/>
        <v/>
      </c>
      <c r="AG108" s="68" t="str">
        <f t="shared" si="137"/>
        <v/>
      </c>
    </row>
    <row r="109" spans="1:33" s="67" customFormat="1">
      <c r="A109" s="18" t="str">
        <f t="shared" si="138"/>
        <v/>
      </c>
      <c r="B109" s="219"/>
      <c r="C109" s="58"/>
      <c r="D109" s="44">
        <f t="shared" si="116"/>
        <v>31</v>
      </c>
      <c r="E109" s="59" t="str">
        <f t="shared" si="117"/>
        <v/>
      </c>
      <c r="F109" s="90" t="str">
        <f t="shared" si="118"/>
        <v/>
      </c>
      <c r="G109" s="190"/>
      <c r="H109" s="203"/>
      <c r="I109" s="191"/>
      <c r="J109" s="42"/>
      <c r="K109" s="39">
        <f>IF(I109="",0,VLOOKUP(I109,'LISTA DE PRECIOS'!A:F,IF(R109="CORO",4,5),FALSE))</f>
        <v>0</v>
      </c>
      <c r="L109" s="206">
        <f t="shared" si="119"/>
        <v>0</v>
      </c>
      <c r="M109" s="217">
        <f>IF(F109="",0,IF(SUMIF('REPORTE GASTOS'!$C$6:$C$210,F109,'REPORTE GASTOS'!$G$6:$G$210)=0,'LISTA DE PRECIOS'!$H$3,SUMIF('REPORTE GASTOS'!$C$6:$C$210,F109,'REPORTE GASTOS'!$I$6:$I$210)/SUMIF('REPORTE GASTOS'!$C$6:$C$210,F109,'REPORTE GASTOS'!$G$6:$G$210)))</f>
        <v>0</v>
      </c>
      <c r="N109" s="12">
        <f t="shared" si="120"/>
        <v>0</v>
      </c>
      <c r="O109" s="43">
        <f t="shared" si="121"/>
        <v>0</v>
      </c>
      <c r="P109" s="70"/>
      <c r="R109" s="68" t="str">
        <f>IF(H109="","",VLOOKUP(H109,'DATOS CLIENTES'!B:F,5,FALSE))</f>
        <v/>
      </c>
      <c r="S109" s="68" t="str">
        <f t="shared" si="128"/>
        <v>031</v>
      </c>
      <c r="U109" s="69">
        <f t="shared" si="114"/>
        <v>0</v>
      </c>
      <c r="V109" s="69">
        <f t="shared" si="115"/>
        <v>0</v>
      </c>
      <c r="X109" s="68">
        <f t="shared" si="122"/>
        <v>74</v>
      </c>
      <c r="Y109" s="68" t="str">
        <f t="shared" si="129"/>
        <v/>
      </c>
      <c r="Z109" s="68" t="str">
        <f t="shared" si="130"/>
        <v/>
      </c>
      <c r="AA109" s="68" t="str">
        <f t="shared" si="131"/>
        <v/>
      </c>
      <c r="AB109" s="227" t="str">
        <f t="shared" si="132"/>
        <v/>
      </c>
      <c r="AC109" s="68" t="str">
        <f t="shared" si="133"/>
        <v/>
      </c>
      <c r="AD109" s="68" t="str">
        <f t="shared" si="134"/>
        <v/>
      </c>
      <c r="AE109" s="68" t="str">
        <f t="shared" si="135"/>
        <v/>
      </c>
      <c r="AF109" s="68" t="str">
        <f t="shared" si="136"/>
        <v/>
      </c>
      <c r="AG109" s="68" t="str">
        <f t="shared" si="137"/>
        <v/>
      </c>
    </row>
    <row r="110" spans="1:33" s="67" customFormat="1">
      <c r="A110" s="18" t="str">
        <f t="shared" si="138"/>
        <v/>
      </c>
      <c r="B110" s="219"/>
      <c r="C110" s="58"/>
      <c r="D110" s="44">
        <f t="shared" si="116"/>
        <v>31</v>
      </c>
      <c r="E110" s="59" t="str">
        <f t="shared" si="117"/>
        <v/>
      </c>
      <c r="F110" s="90" t="str">
        <f t="shared" si="118"/>
        <v/>
      </c>
      <c r="G110" s="190"/>
      <c r="H110" s="203"/>
      <c r="I110" s="191"/>
      <c r="J110" s="42"/>
      <c r="K110" s="39">
        <f>IF(I110="",0,VLOOKUP(I110,'LISTA DE PRECIOS'!A:F,IF(R110="CORO",4,5),FALSE))</f>
        <v>0</v>
      </c>
      <c r="L110" s="206">
        <f t="shared" si="119"/>
        <v>0</v>
      </c>
      <c r="M110" s="217">
        <f>IF(F110="",0,IF(SUMIF('REPORTE GASTOS'!$C$6:$C$210,F110,'REPORTE GASTOS'!$G$6:$G$210)=0,'LISTA DE PRECIOS'!$H$3,SUMIF('REPORTE GASTOS'!$C$6:$C$210,F110,'REPORTE GASTOS'!$I$6:$I$210)/SUMIF('REPORTE GASTOS'!$C$6:$C$210,F110,'REPORTE GASTOS'!$G$6:$G$210)))</f>
        <v>0</v>
      </c>
      <c r="N110" s="12">
        <f t="shared" si="120"/>
        <v>0</v>
      </c>
      <c r="O110" s="43">
        <f t="shared" si="121"/>
        <v>0</v>
      </c>
      <c r="P110" s="70"/>
      <c r="R110" s="68" t="str">
        <f>IF(H110="","",VLOOKUP(H110,'DATOS CLIENTES'!B:F,5,FALSE))</f>
        <v/>
      </c>
      <c r="S110" s="68" t="str">
        <f t="shared" si="128"/>
        <v>031</v>
      </c>
      <c r="U110" s="69">
        <f t="shared" si="114"/>
        <v>0</v>
      </c>
      <c r="V110" s="69">
        <f t="shared" si="115"/>
        <v>0</v>
      </c>
      <c r="X110" s="68">
        <f t="shared" si="122"/>
        <v>74</v>
      </c>
      <c r="Y110" s="68" t="str">
        <f t="shared" si="129"/>
        <v/>
      </c>
      <c r="Z110" s="68" t="str">
        <f t="shared" si="130"/>
        <v/>
      </c>
      <c r="AA110" s="68" t="str">
        <f t="shared" si="131"/>
        <v/>
      </c>
      <c r="AB110" s="227" t="str">
        <f t="shared" si="132"/>
        <v/>
      </c>
      <c r="AC110" s="68" t="str">
        <f t="shared" si="133"/>
        <v/>
      </c>
      <c r="AD110" s="68" t="str">
        <f t="shared" si="134"/>
        <v/>
      </c>
      <c r="AE110" s="68" t="str">
        <f t="shared" si="135"/>
        <v/>
      </c>
      <c r="AF110" s="68" t="str">
        <f t="shared" si="136"/>
        <v/>
      </c>
      <c r="AG110" s="68" t="str">
        <f t="shared" si="137"/>
        <v/>
      </c>
    </row>
    <row r="111" spans="1:33" s="67" customFormat="1">
      <c r="A111" s="18" t="str">
        <f t="shared" si="138"/>
        <v/>
      </c>
      <c r="B111" s="219"/>
      <c r="C111" s="58"/>
      <c r="D111" s="44">
        <f t="shared" si="116"/>
        <v>31</v>
      </c>
      <c r="E111" s="59" t="str">
        <f t="shared" si="117"/>
        <v/>
      </c>
      <c r="F111" s="90" t="str">
        <f t="shared" si="118"/>
        <v/>
      </c>
      <c r="G111" s="190"/>
      <c r="H111" s="203"/>
      <c r="I111" s="203"/>
      <c r="J111" s="42"/>
      <c r="K111" s="39">
        <f>IF(I111="",0,VLOOKUP(I111,'LISTA DE PRECIOS'!A:F,IF(R111="CORO",4,5),FALSE))</f>
        <v>0</v>
      </c>
      <c r="L111" s="206">
        <f t="shared" si="119"/>
        <v>0</v>
      </c>
      <c r="M111" s="217">
        <f>IF(F111="",0,IF(SUMIF('REPORTE GASTOS'!$C$6:$C$210,F111,'REPORTE GASTOS'!$G$6:$G$210)=0,'LISTA DE PRECIOS'!$H$3,SUMIF('REPORTE GASTOS'!$C$6:$C$210,F111,'REPORTE GASTOS'!$I$6:$I$210)/SUMIF('REPORTE GASTOS'!$C$6:$C$210,F111,'REPORTE GASTOS'!$G$6:$G$210)))</f>
        <v>0</v>
      </c>
      <c r="N111" s="12">
        <f t="shared" si="120"/>
        <v>0</v>
      </c>
      <c r="O111" s="43">
        <f t="shared" si="121"/>
        <v>0</v>
      </c>
      <c r="P111" s="70"/>
      <c r="R111" s="68" t="str">
        <f>IF(H111="","",VLOOKUP(H111,'DATOS CLIENTES'!B:F,5,FALSE))</f>
        <v/>
      </c>
      <c r="S111" s="68" t="str">
        <f t="shared" si="128"/>
        <v>031</v>
      </c>
      <c r="U111" s="69">
        <f t="shared" si="114"/>
        <v>0</v>
      </c>
      <c r="V111" s="69">
        <f t="shared" si="115"/>
        <v>0</v>
      </c>
      <c r="X111" s="68">
        <f t="shared" si="122"/>
        <v>74</v>
      </c>
      <c r="Y111" s="68" t="str">
        <f t="shared" si="129"/>
        <v/>
      </c>
      <c r="Z111" s="68" t="str">
        <f t="shared" si="130"/>
        <v/>
      </c>
      <c r="AA111" s="68" t="str">
        <f t="shared" si="131"/>
        <v/>
      </c>
      <c r="AB111" s="227" t="str">
        <f t="shared" si="132"/>
        <v/>
      </c>
      <c r="AC111" s="68" t="str">
        <f t="shared" si="133"/>
        <v/>
      </c>
      <c r="AD111" s="68" t="str">
        <f t="shared" si="134"/>
        <v/>
      </c>
      <c r="AE111" s="68" t="str">
        <f t="shared" si="135"/>
        <v/>
      </c>
      <c r="AF111" s="68" t="str">
        <f t="shared" si="136"/>
        <v/>
      </c>
      <c r="AG111" s="68" t="str">
        <f t="shared" si="137"/>
        <v/>
      </c>
    </row>
    <row r="112" spans="1:33" s="67" customFormat="1">
      <c r="A112" s="18" t="str">
        <f t="shared" si="138"/>
        <v/>
      </c>
      <c r="B112" s="219"/>
      <c r="C112" s="58"/>
      <c r="D112" s="44">
        <f t="shared" si="116"/>
        <v>31</v>
      </c>
      <c r="E112" s="59" t="str">
        <f t="shared" si="117"/>
        <v/>
      </c>
      <c r="F112" s="90" t="str">
        <f t="shared" si="118"/>
        <v/>
      </c>
      <c r="G112" s="190"/>
      <c r="H112" s="203"/>
      <c r="I112" s="191"/>
      <c r="J112" s="42"/>
      <c r="K112" s="39">
        <f>IF(I112="",0,VLOOKUP(I112,'LISTA DE PRECIOS'!A:F,IF(R112="CORO",4,5),FALSE))</f>
        <v>0</v>
      </c>
      <c r="L112" s="206">
        <f t="shared" si="119"/>
        <v>0</v>
      </c>
      <c r="M112" s="217">
        <f>IF(F112="",0,IF(SUMIF('REPORTE GASTOS'!$C$6:$C$210,F112,'REPORTE GASTOS'!$G$6:$G$210)=0,'LISTA DE PRECIOS'!$H$3,SUMIF('REPORTE GASTOS'!$C$6:$C$210,F112,'REPORTE GASTOS'!$I$6:$I$210)/SUMIF('REPORTE GASTOS'!$C$6:$C$210,F112,'REPORTE GASTOS'!$G$6:$G$210)))</f>
        <v>0</v>
      </c>
      <c r="N112" s="12">
        <f t="shared" si="120"/>
        <v>0</v>
      </c>
      <c r="O112" s="43">
        <f t="shared" si="121"/>
        <v>0</v>
      </c>
      <c r="P112" s="70"/>
      <c r="R112" s="68" t="str">
        <f>IF(H112="","",VLOOKUP(H112,'DATOS CLIENTES'!B:F,5,FALSE))</f>
        <v/>
      </c>
      <c r="S112" s="68" t="str">
        <f t="shared" si="128"/>
        <v>031</v>
      </c>
      <c r="U112" s="69">
        <f t="shared" si="114"/>
        <v>0</v>
      </c>
      <c r="V112" s="69">
        <f t="shared" si="115"/>
        <v>0</v>
      </c>
      <c r="X112" s="68">
        <f t="shared" si="122"/>
        <v>74</v>
      </c>
      <c r="Y112" s="68" t="str">
        <f t="shared" si="129"/>
        <v/>
      </c>
      <c r="Z112" s="68" t="str">
        <f t="shared" si="130"/>
        <v/>
      </c>
      <c r="AA112" s="68" t="str">
        <f t="shared" si="131"/>
        <v/>
      </c>
      <c r="AB112" s="227" t="str">
        <f t="shared" si="132"/>
        <v/>
      </c>
      <c r="AC112" s="68" t="str">
        <f t="shared" si="133"/>
        <v/>
      </c>
      <c r="AD112" s="68" t="str">
        <f t="shared" si="134"/>
        <v/>
      </c>
      <c r="AE112" s="68" t="str">
        <f t="shared" si="135"/>
        <v/>
      </c>
      <c r="AF112" s="68" t="str">
        <f t="shared" si="136"/>
        <v/>
      </c>
      <c r="AG112" s="68" t="str">
        <f t="shared" si="137"/>
        <v/>
      </c>
    </row>
    <row r="113" spans="1:33" s="67" customFormat="1">
      <c r="A113" s="18" t="str">
        <f t="shared" si="138"/>
        <v/>
      </c>
      <c r="B113" s="219"/>
      <c r="C113" s="58"/>
      <c r="D113" s="44">
        <f t="shared" si="116"/>
        <v>31</v>
      </c>
      <c r="E113" s="59" t="str">
        <f t="shared" si="117"/>
        <v/>
      </c>
      <c r="F113" s="90" t="str">
        <f t="shared" si="118"/>
        <v/>
      </c>
      <c r="G113" s="190"/>
      <c r="H113" s="203"/>
      <c r="I113" s="191"/>
      <c r="J113" s="42"/>
      <c r="K113" s="39">
        <f>IF(I113="",0,VLOOKUP(I113,'LISTA DE PRECIOS'!A:F,IF(R113="CORO",4,5),FALSE))</f>
        <v>0</v>
      </c>
      <c r="L113" s="206">
        <f t="shared" si="119"/>
        <v>0</v>
      </c>
      <c r="M113" s="217">
        <f>IF(F113="",0,IF(SUMIF('REPORTE GASTOS'!$C$6:$C$210,F113,'REPORTE GASTOS'!$G$6:$G$210)=0,'LISTA DE PRECIOS'!$H$3,SUMIF('REPORTE GASTOS'!$C$6:$C$210,F113,'REPORTE GASTOS'!$I$6:$I$210)/SUMIF('REPORTE GASTOS'!$C$6:$C$210,F113,'REPORTE GASTOS'!$G$6:$G$210)))</f>
        <v>0</v>
      </c>
      <c r="N113" s="12">
        <f t="shared" si="120"/>
        <v>0</v>
      </c>
      <c r="O113" s="43">
        <f t="shared" si="121"/>
        <v>0</v>
      </c>
      <c r="P113" s="70"/>
      <c r="R113" s="68" t="str">
        <f>IF(H113="","",VLOOKUP(H113,'DATOS CLIENTES'!B:F,5,FALSE))</f>
        <v/>
      </c>
      <c r="S113" s="68" t="str">
        <f t="shared" si="128"/>
        <v>031</v>
      </c>
      <c r="U113" s="69">
        <f t="shared" si="114"/>
        <v>0</v>
      </c>
      <c r="V113" s="69">
        <f t="shared" si="115"/>
        <v>0</v>
      </c>
      <c r="X113" s="68">
        <f t="shared" si="122"/>
        <v>74</v>
      </c>
      <c r="Y113" s="68" t="str">
        <f t="shared" si="129"/>
        <v/>
      </c>
      <c r="Z113" s="68" t="str">
        <f t="shared" si="130"/>
        <v/>
      </c>
      <c r="AA113" s="68" t="str">
        <f t="shared" si="131"/>
        <v/>
      </c>
      <c r="AB113" s="227" t="str">
        <f t="shared" si="132"/>
        <v/>
      </c>
      <c r="AC113" s="68" t="str">
        <f t="shared" si="133"/>
        <v/>
      </c>
      <c r="AD113" s="68" t="str">
        <f t="shared" si="134"/>
        <v/>
      </c>
      <c r="AE113" s="68" t="str">
        <f t="shared" si="135"/>
        <v/>
      </c>
      <c r="AF113" s="68" t="str">
        <f t="shared" si="136"/>
        <v/>
      </c>
      <c r="AG113" s="68" t="str">
        <f t="shared" si="137"/>
        <v/>
      </c>
    </row>
    <row r="114" spans="1:33" s="67" customFormat="1">
      <c r="A114" s="18" t="str">
        <f t="shared" si="138"/>
        <v/>
      </c>
      <c r="B114" s="219"/>
      <c r="C114" s="58"/>
      <c r="D114" s="44">
        <f t="shared" si="116"/>
        <v>31</v>
      </c>
      <c r="E114" s="59" t="str">
        <f t="shared" si="117"/>
        <v/>
      </c>
      <c r="F114" s="90" t="str">
        <f t="shared" si="118"/>
        <v/>
      </c>
      <c r="G114" s="190"/>
      <c r="H114" s="203"/>
      <c r="I114" s="191"/>
      <c r="J114" s="42"/>
      <c r="K114" s="39">
        <f>IF(I114="",0,VLOOKUP(I114,'LISTA DE PRECIOS'!A:F,IF(R114="CORO",4,5),FALSE))</f>
        <v>0</v>
      </c>
      <c r="L114" s="206">
        <f t="shared" si="119"/>
        <v>0</v>
      </c>
      <c r="M114" s="217">
        <f>IF(F114="",0,IF(SUMIF('REPORTE GASTOS'!$C$6:$C$210,F114,'REPORTE GASTOS'!$G$6:$G$210)=0,'LISTA DE PRECIOS'!$H$3,SUMIF('REPORTE GASTOS'!$C$6:$C$210,F114,'REPORTE GASTOS'!$I$6:$I$210)/SUMIF('REPORTE GASTOS'!$C$6:$C$210,F114,'REPORTE GASTOS'!$G$6:$G$210)))</f>
        <v>0</v>
      </c>
      <c r="N114" s="12">
        <f t="shared" si="120"/>
        <v>0</v>
      </c>
      <c r="O114" s="43">
        <f t="shared" si="121"/>
        <v>0</v>
      </c>
      <c r="P114" s="70"/>
      <c r="R114" s="68" t="str">
        <f>IF(H114="","",VLOOKUP(H114,'DATOS CLIENTES'!B:F,5,FALSE))</f>
        <v/>
      </c>
      <c r="S114" s="68" t="str">
        <f t="shared" si="128"/>
        <v>031</v>
      </c>
      <c r="U114" s="69">
        <f t="shared" si="114"/>
        <v>0</v>
      </c>
      <c r="V114" s="69">
        <f t="shared" si="115"/>
        <v>0</v>
      </c>
      <c r="X114" s="68">
        <f t="shared" si="122"/>
        <v>74</v>
      </c>
      <c r="Y114" s="68" t="str">
        <f t="shared" si="129"/>
        <v/>
      </c>
      <c r="Z114" s="68" t="str">
        <f t="shared" si="130"/>
        <v/>
      </c>
      <c r="AA114" s="68" t="str">
        <f t="shared" si="131"/>
        <v/>
      </c>
      <c r="AB114" s="227" t="str">
        <f t="shared" si="132"/>
        <v/>
      </c>
      <c r="AC114" s="68" t="str">
        <f t="shared" si="133"/>
        <v/>
      </c>
      <c r="AD114" s="68" t="str">
        <f t="shared" si="134"/>
        <v/>
      </c>
      <c r="AE114" s="68" t="str">
        <f t="shared" si="135"/>
        <v/>
      </c>
      <c r="AF114" s="68" t="str">
        <f t="shared" si="136"/>
        <v/>
      </c>
      <c r="AG114" s="68" t="str">
        <f t="shared" si="137"/>
        <v/>
      </c>
    </row>
    <row r="115" spans="1:33" s="67" customFormat="1">
      <c r="A115" s="18" t="str">
        <f t="shared" si="138"/>
        <v/>
      </c>
      <c r="B115" s="219"/>
      <c r="C115" s="58"/>
      <c r="D115" s="44">
        <f t="shared" si="116"/>
        <v>31</v>
      </c>
      <c r="E115" s="59" t="str">
        <f t="shared" si="117"/>
        <v/>
      </c>
      <c r="F115" s="90" t="str">
        <f t="shared" si="118"/>
        <v/>
      </c>
      <c r="G115" s="190"/>
      <c r="H115" s="203"/>
      <c r="I115" s="191"/>
      <c r="J115" s="42"/>
      <c r="K115" s="39">
        <f>IF(I115="",0,VLOOKUP(I115,'LISTA DE PRECIOS'!A:F,IF(R115="CORO",4,5),FALSE))</f>
        <v>0</v>
      </c>
      <c r="L115" s="206">
        <f t="shared" si="119"/>
        <v>0</v>
      </c>
      <c r="M115" s="217">
        <f>IF(F115="",0,IF(SUMIF('REPORTE GASTOS'!$C$6:$C$210,F115,'REPORTE GASTOS'!$G$6:$G$210)=0,'LISTA DE PRECIOS'!$H$3,SUMIF('REPORTE GASTOS'!$C$6:$C$210,F115,'REPORTE GASTOS'!$I$6:$I$210)/SUMIF('REPORTE GASTOS'!$C$6:$C$210,F115,'REPORTE GASTOS'!$G$6:$G$210)))</f>
        <v>0</v>
      </c>
      <c r="N115" s="12">
        <f t="shared" si="120"/>
        <v>0</v>
      </c>
      <c r="O115" s="43">
        <f t="shared" si="121"/>
        <v>0</v>
      </c>
      <c r="P115" s="70"/>
      <c r="R115" s="68" t="str">
        <f>IF(H115="","",VLOOKUP(H115,'DATOS CLIENTES'!B:F,5,FALSE))</f>
        <v/>
      </c>
      <c r="S115" s="68" t="str">
        <f t="shared" si="128"/>
        <v>031</v>
      </c>
      <c r="U115" s="69">
        <f t="shared" si="114"/>
        <v>0</v>
      </c>
      <c r="V115" s="69">
        <f t="shared" si="115"/>
        <v>0</v>
      </c>
      <c r="X115" s="68">
        <f t="shared" si="122"/>
        <v>74</v>
      </c>
      <c r="Y115" s="68" t="str">
        <f t="shared" si="129"/>
        <v/>
      </c>
      <c r="Z115" s="68" t="str">
        <f t="shared" si="130"/>
        <v/>
      </c>
      <c r="AA115" s="68" t="str">
        <f t="shared" si="131"/>
        <v/>
      </c>
      <c r="AB115" s="227" t="str">
        <f t="shared" si="132"/>
        <v/>
      </c>
      <c r="AC115" s="68" t="str">
        <f t="shared" si="133"/>
        <v/>
      </c>
      <c r="AD115" s="68" t="str">
        <f t="shared" si="134"/>
        <v/>
      </c>
      <c r="AE115" s="68" t="str">
        <f t="shared" si="135"/>
        <v/>
      </c>
      <c r="AF115" s="68" t="str">
        <f t="shared" si="136"/>
        <v/>
      </c>
      <c r="AG115" s="68" t="str">
        <f t="shared" si="137"/>
        <v/>
      </c>
    </row>
    <row r="116" spans="1:33" s="67" customFormat="1">
      <c r="A116" s="18" t="str">
        <f t="shared" si="138"/>
        <v/>
      </c>
      <c r="B116" s="219"/>
      <c r="C116" s="58"/>
      <c r="D116" s="44">
        <f t="shared" si="116"/>
        <v>31</v>
      </c>
      <c r="E116" s="59" t="str">
        <f t="shared" si="117"/>
        <v/>
      </c>
      <c r="F116" s="90" t="str">
        <f t="shared" si="118"/>
        <v/>
      </c>
      <c r="G116" s="190"/>
      <c r="H116" s="203"/>
      <c r="I116" s="6"/>
      <c r="J116" s="42"/>
      <c r="K116" s="39">
        <f>IF(I116="",0,VLOOKUP(I116,'LISTA DE PRECIOS'!A:F,IF(R116="CORO",4,5),FALSE))</f>
        <v>0</v>
      </c>
      <c r="L116" s="206">
        <f t="shared" si="119"/>
        <v>0</v>
      </c>
      <c r="M116" s="217">
        <f>IF(F116="",0,IF(SUMIF('REPORTE GASTOS'!$C$6:$C$210,F116,'REPORTE GASTOS'!$G$6:$G$210)=0,'LISTA DE PRECIOS'!$H$3,SUMIF('REPORTE GASTOS'!$C$6:$C$210,F116,'REPORTE GASTOS'!$I$6:$I$210)/SUMIF('REPORTE GASTOS'!$C$6:$C$210,F116,'REPORTE GASTOS'!$G$6:$G$210)))</f>
        <v>0</v>
      </c>
      <c r="N116" s="12">
        <f t="shared" si="120"/>
        <v>0</v>
      </c>
      <c r="O116" s="43">
        <f t="shared" si="121"/>
        <v>0</v>
      </c>
      <c r="P116" s="70"/>
      <c r="R116" s="68" t="str">
        <f>IF(H116="","",VLOOKUP(H116,'DATOS CLIENTES'!B:F,5,FALSE))</f>
        <v/>
      </c>
      <c r="S116" s="68" t="str">
        <f t="shared" si="128"/>
        <v>031</v>
      </c>
      <c r="U116" s="69">
        <f t="shared" si="114"/>
        <v>0</v>
      </c>
      <c r="V116" s="69">
        <f t="shared" si="115"/>
        <v>0</v>
      </c>
      <c r="X116" s="68">
        <f t="shared" si="122"/>
        <v>74</v>
      </c>
      <c r="Y116" s="68" t="str">
        <f t="shared" si="129"/>
        <v/>
      </c>
      <c r="Z116" s="68" t="str">
        <f t="shared" si="130"/>
        <v/>
      </c>
      <c r="AA116" s="68" t="str">
        <f t="shared" si="131"/>
        <v/>
      </c>
      <c r="AB116" s="227" t="str">
        <f t="shared" si="132"/>
        <v/>
      </c>
      <c r="AC116" s="68" t="str">
        <f t="shared" si="133"/>
        <v/>
      </c>
      <c r="AD116" s="68" t="str">
        <f t="shared" si="134"/>
        <v/>
      </c>
      <c r="AE116" s="68" t="str">
        <f t="shared" si="135"/>
        <v/>
      </c>
      <c r="AF116" s="68" t="str">
        <f t="shared" si="136"/>
        <v/>
      </c>
      <c r="AG116" s="68" t="str">
        <f t="shared" si="137"/>
        <v/>
      </c>
    </row>
    <row r="117" spans="1:33" s="67" customFormat="1">
      <c r="A117" s="18" t="str">
        <f t="shared" si="138"/>
        <v/>
      </c>
      <c r="B117" s="219"/>
      <c r="C117" s="58"/>
      <c r="D117" s="44">
        <f t="shared" si="116"/>
        <v>31</v>
      </c>
      <c r="E117" s="59" t="str">
        <f t="shared" si="117"/>
        <v/>
      </c>
      <c r="F117" s="90" t="str">
        <f t="shared" si="118"/>
        <v/>
      </c>
      <c r="G117" s="190"/>
      <c r="H117" s="203"/>
      <c r="I117" s="191"/>
      <c r="J117" s="42"/>
      <c r="K117" s="39">
        <f>IF(I117="",0,VLOOKUP(I117,'LISTA DE PRECIOS'!A:F,IF(R117="CORO",4,5),FALSE))</f>
        <v>0</v>
      </c>
      <c r="L117" s="206">
        <f t="shared" si="119"/>
        <v>0</v>
      </c>
      <c r="M117" s="217">
        <f>IF(F117="",0,IF(SUMIF('REPORTE GASTOS'!$C$6:$C$210,F117,'REPORTE GASTOS'!$G$6:$G$210)=0,'LISTA DE PRECIOS'!$H$3,SUMIF('REPORTE GASTOS'!$C$6:$C$210,F117,'REPORTE GASTOS'!$I$6:$I$210)/SUMIF('REPORTE GASTOS'!$C$6:$C$210,F117,'REPORTE GASTOS'!$G$6:$G$210)))</f>
        <v>0</v>
      </c>
      <c r="N117" s="12">
        <f t="shared" si="120"/>
        <v>0</v>
      </c>
      <c r="O117" s="43">
        <f t="shared" si="121"/>
        <v>0</v>
      </c>
      <c r="P117" s="70"/>
      <c r="R117" s="68" t="str">
        <f>IF(H117="","",VLOOKUP(H117,'DATOS CLIENTES'!B:F,5,FALSE))</f>
        <v/>
      </c>
      <c r="S117" s="68" t="str">
        <f t="shared" si="128"/>
        <v>031</v>
      </c>
      <c r="U117" s="69">
        <f t="shared" si="114"/>
        <v>0</v>
      </c>
      <c r="V117" s="69">
        <f t="shared" si="115"/>
        <v>0</v>
      </c>
      <c r="X117" s="68">
        <f t="shared" si="122"/>
        <v>74</v>
      </c>
      <c r="Y117" s="68" t="str">
        <f t="shared" si="129"/>
        <v/>
      </c>
      <c r="Z117" s="68" t="str">
        <f t="shared" si="130"/>
        <v/>
      </c>
      <c r="AA117" s="68" t="str">
        <f t="shared" si="131"/>
        <v/>
      </c>
      <c r="AB117" s="227" t="str">
        <f t="shared" si="132"/>
        <v/>
      </c>
      <c r="AC117" s="68" t="str">
        <f t="shared" si="133"/>
        <v/>
      </c>
      <c r="AD117" s="68" t="str">
        <f t="shared" si="134"/>
        <v/>
      </c>
      <c r="AE117" s="68" t="str">
        <f t="shared" si="135"/>
        <v/>
      </c>
      <c r="AF117" s="68" t="str">
        <f t="shared" si="136"/>
        <v/>
      </c>
      <c r="AG117" s="68" t="str">
        <f t="shared" si="137"/>
        <v/>
      </c>
    </row>
    <row r="118" spans="1:33" s="67" customFormat="1">
      <c r="A118" s="18" t="str">
        <f t="shared" si="138"/>
        <v/>
      </c>
      <c r="B118" s="219"/>
      <c r="C118" s="58"/>
      <c r="D118" s="44">
        <f t="shared" si="116"/>
        <v>31</v>
      </c>
      <c r="E118" s="59" t="str">
        <f t="shared" si="117"/>
        <v/>
      </c>
      <c r="F118" s="90" t="str">
        <f t="shared" si="118"/>
        <v/>
      </c>
      <c r="G118" s="190"/>
      <c r="H118" s="203"/>
      <c r="I118" s="191"/>
      <c r="J118" s="42"/>
      <c r="K118" s="39">
        <f>IF(I118="",0,VLOOKUP(I118,'LISTA DE PRECIOS'!A:F,IF(R118="CORO",4,5),FALSE))</f>
        <v>0</v>
      </c>
      <c r="L118" s="206">
        <f t="shared" si="119"/>
        <v>0</v>
      </c>
      <c r="M118" s="217">
        <f>IF(F118="",0,IF(SUMIF('REPORTE GASTOS'!$C$6:$C$210,F118,'REPORTE GASTOS'!$G$6:$G$210)=0,'LISTA DE PRECIOS'!$H$3,SUMIF('REPORTE GASTOS'!$C$6:$C$210,F118,'REPORTE GASTOS'!$I$6:$I$210)/SUMIF('REPORTE GASTOS'!$C$6:$C$210,F118,'REPORTE GASTOS'!$G$6:$G$210)))</f>
        <v>0</v>
      </c>
      <c r="N118" s="12">
        <f t="shared" si="120"/>
        <v>0</v>
      </c>
      <c r="O118" s="43">
        <f t="shared" si="121"/>
        <v>0</v>
      </c>
      <c r="P118" s="70"/>
      <c r="R118" s="68" t="str">
        <f>IF(H118="","",VLOOKUP(H118,'DATOS CLIENTES'!B:F,5,FALSE))</f>
        <v/>
      </c>
      <c r="S118" s="68" t="str">
        <f t="shared" si="128"/>
        <v>031</v>
      </c>
      <c r="U118" s="69">
        <f t="shared" si="114"/>
        <v>0</v>
      </c>
      <c r="V118" s="69">
        <f t="shared" si="115"/>
        <v>0</v>
      </c>
      <c r="X118" s="68">
        <f t="shared" si="122"/>
        <v>74</v>
      </c>
      <c r="Y118" s="68" t="str">
        <f t="shared" si="129"/>
        <v/>
      </c>
      <c r="Z118" s="68" t="str">
        <f t="shared" si="130"/>
        <v/>
      </c>
      <c r="AA118" s="68" t="str">
        <f t="shared" si="131"/>
        <v/>
      </c>
      <c r="AB118" s="227" t="str">
        <f t="shared" si="132"/>
        <v/>
      </c>
      <c r="AC118" s="68" t="str">
        <f t="shared" si="133"/>
        <v/>
      </c>
      <c r="AD118" s="68" t="str">
        <f t="shared" si="134"/>
        <v/>
      </c>
      <c r="AE118" s="68" t="str">
        <f t="shared" si="135"/>
        <v/>
      </c>
      <c r="AF118" s="68" t="str">
        <f t="shared" si="136"/>
        <v/>
      </c>
      <c r="AG118" s="68" t="str">
        <f t="shared" si="137"/>
        <v/>
      </c>
    </row>
    <row r="119" spans="1:33" s="67" customFormat="1">
      <c r="A119" s="18" t="str">
        <f t="shared" si="138"/>
        <v/>
      </c>
      <c r="B119" s="219"/>
      <c r="C119" s="58"/>
      <c r="D119" s="44">
        <f t="shared" si="116"/>
        <v>31</v>
      </c>
      <c r="E119" s="59" t="str">
        <f t="shared" si="117"/>
        <v/>
      </c>
      <c r="F119" s="90" t="str">
        <f t="shared" si="118"/>
        <v/>
      </c>
      <c r="G119" s="190"/>
      <c r="H119" s="191"/>
      <c r="I119" s="191"/>
      <c r="J119" s="42"/>
      <c r="K119" s="39">
        <f>IF(I119="",0,VLOOKUP(I119,'LISTA DE PRECIOS'!A:F,IF(R119="CORO",4,5),FALSE))</f>
        <v>0</v>
      </c>
      <c r="L119" s="206">
        <f t="shared" si="119"/>
        <v>0</v>
      </c>
      <c r="M119" s="217">
        <f>IF(F119="",0,IF(SUMIF('REPORTE GASTOS'!$C$6:$C$210,F119,'REPORTE GASTOS'!$G$6:$G$210)=0,'LISTA DE PRECIOS'!$H$3,SUMIF('REPORTE GASTOS'!$C$6:$C$210,F119,'REPORTE GASTOS'!$I$6:$I$210)/SUMIF('REPORTE GASTOS'!$C$6:$C$210,F119,'REPORTE GASTOS'!$G$6:$G$210)))</f>
        <v>0</v>
      </c>
      <c r="N119" s="12">
        <f t="shared" si="120"/>
        <v>0</v>
      </c>
      <c r="O119" s="43">
        <f t="shared" si="121"/>
        <v>0</v>
      </c>
      <c r="P119" s="70"/>
      <c r="R119" s="68" t="str">
        <f>IF(H119="","",VLOOKUP(H119,'DATOS CLIENTES'!B:F,5,FALSE))</f>
        <v/>
      </c>
      <c r="S119" s="68" t="str">
        <f t="shared" si="128"/>
        <v>031</v>
      </c>
      <c r="U119" s="69">
        <f t="shared" si="114"/>
        <v>0</v>
      </c>
      <c r="V119" s="69">
        <f t="shared" si="115"/>
        <v>0</v>
      </c>
      <c r="X119" s="68">
        <f t="shared" si="122"/>
        <v>74</v>
      </c>
      <c r="Y119" s="68" t="str">
        <f t="shared" si="129"/>
        <v/>
      </c>
      <c r="Z119" s="68" t="str">
        <f t="shared" si="130"/>
        <v/>
      </c>
      <c r="AA119" s="68" t="str">
        <f t="shared" si="131"/>
        <v/>
      </c>
      <c r="AB119" s="227" t="str">
        <f t="shared" si="132"/>
        <v/>
      </c>
      <c r="AC119" s="68" t="str">
        <f t="shared" si="133"/>
        <v/>
      </c>
      <c r="AD119" s="68" t="str">
        <f t="shared" si="134"/>
        <v/>
      </c>
      <c r="AE119" s="68" t="str">
        <f t="shared" si="135"/>
        <v/>
      </c>
      <c r="AF119" s="68" t="str">
        <f t="shared" si="136"/>
        <v/>
      </c>
      <c r="AG119" s="68" t="str">
        <f t="shared" si="137"/>
        <v/>
      </c>
    </row>
    <row r="120" spans="1:33" s="67" customFormat="1">
      <c r="A120" s="18" t="str">
        <f t="shared" si="138"/>
        <v/>
      </c>
      <c r="B120" s="219"/>
      <c r="C120" s="58"/>
      <c r="D120" s="44">
        <f t="shared" si="116"/>
        <v>31</v>
      </c>
      <c r="E120" s="59" t="str">
        <f t="shared" si="117"/>
        <v/>
      </c>
      <c r="F120" s="90" t="str">
        <f t="shared" si="118"/>
        <v/>
      </c>
      <c r="G120" s="190"/>
      <c r="H120" s="191"/>
      <c r="I120" s="191"/>
      <c r="J120" s="42"/>
      <c r="K120" s="39">
        <f>IF(I120="",0,VLOOKUP(I120,'LISTA DE PRECIOS'!A:F,IF(R120="CORO",4,5),FALSE))</f>
        <v>0</v>
      </c>
      <c r="L120" s="206">
        <f t="shared" si="119"/>
        <v>0</v>
      </c>
      <c r="M120" s="217">
        <f>IF(F120="",0,IF(SUMIF('REPORTE GASTOS'!$C$6:$C$210,F120,'REPORTE GASTOS'!$G$6:$G$210)=0,'LISTA DE PRECIOS'!$H$3,SUMIF('REPORTE GASTOS'!$C$6:$C$210,F120,'REPORTE GASTOS'!$I$6:$I$210)/SUMIF('REPORTE GASTOS'!$C$6:$C$210,F120,'REPORTE GASTOS'!$G$6:$G$210)))</f>
        <v>0</v>
      </c>
      <c r="N120" s="12">
        <f t="shared" si="120"/>
        <v>0</v>
      </c>
      <c r="O120" s="43">
        <f t="shared" si="121"/>
        <v>0</v>
      </c>
      <c r="P120" s="70"/>
      <c r="R120" s="68" t="str">
        <f>IF(H120="","",VLOOKUP(H120,'DATOS CLIENTES'!B:F,5,FALSE))</f>
        <v/>
      </c>
      <c r="S120" s="68" t="str">
        <f t="shared" si="128"/>
        <v>031</v>
      </c>
      <c r="U120" s="69">
        <f t="shared" si="114"/>
        <v>0</v>
      </c>
      <c r="V120" s="69">
        <f t="shared" si="115"/>
        <v>0</v>
      </c>
      <c r="X120" s="68">
        <f t="shared" si="122"/>
        <v>74</v>
      </c>
      <c r="Y120" s="68" t="str">
        <f t="shared" si="129"/>
        <v/>
      </c>
      <c r="Z120" s="68" t="str">
        <f t="shared" si="130"/>
        <v/>
      </c>
      <c r="AA120" s="68" t="str">
        <f t="shared" si="131"/>
        <v/>
      </c>
      <c r="AB120" s="227" t="str">
        <f t="shared" si="132"/>
        <v/>
      </c>
      <c r="AC120" s="68" t="str">
        <f t="shared" si="133"/>
        <v/>
      </c>
      <c r="AD120" s="68" t="str">
        <f t="shared" si="134"/>
        <v/>
      </c>
      <c r="AE120" s="68" t="str">
        <f t="shared" si="135"/>
        <v/>
      </c>
      <c r="AF120" s="68" t="str">
        <f t="shared" si="136"/>
        <v/>
      </c>
      <c r="AG120" s="68" t="str">
        <f t="shared" si="137"/>
        <v/>
      </c>
    </row>
    <row r="121" spans="1:33" s="67" customFormat="1">
      <c r="A121" s="18" t="str">
        <f t="shared" si="138"/>
        <v/>
      </c>
      <c r="B121" s="219"/>
      <c r="C121" s="58"/>
      <c r="D121" s="44">
        <f t="shared" si="116"/>
        <v>31</v>
      </c>
      <c r="E121" s="59" t="str">
        <f t="shared" si="117"/>
        <v/>
      </c>
      <c r="F121" s="90" t="str">
        <f t="shared" si="118"/>
        <v/>
      </c>
      <c r="G121" s="190"/>
      <c r="H121" s="203"/>
      <c r="I121" s="191"/>
      <c r="J121" s="42"/>
      <c r="K121" s="39">
        <f>IF(I121="",0,VLOOKUP(I121,'LISTA DE PRECIOS'!A:F,IF(R121="CORO",4,5),FALSE))</f>
        <v>0</v>
      </c>
      <c r="L121" s="206">
        <f t="shared" si="119"/>
        <v>0</v>
      </c>
      <c r="M121" s="217">
        <f>IF(F121="",0,IF(SUMIF('REPORTE GASTOS'!$C$6:$C$210,F121,'REPORTE GASTOS'!$G$6:$G$210)=0,'LISTA DE PRECIOS'!$H$3,SUMIF('REPORTE GASTOS'!$C$6:$C$210,F121,'REPORTE GASTOS'!$I$6:$I$210)/SUMIF('REPORTE GASTOS'!$C$6:$C$210,F121,'REPORTE GASTOS'!$G$6:$G$210)))</f>
        <v>0</v>
      </c>
      <c r="N121" s="12">
        <f t="shared" si="120"/>
        <v>0</v>
      </c>
      <c r="O121" s="43">
        <f t="shared" si="121"/>
        <v>0</v>
      </c>
      <c r="P121" s="70"/>
      <c r="R121" s="68" t="str">
        <f>IF(H121="","",VLOOKUP(H121,'DATOS CLIENTES'!B:F,5,FALSE))</f>
        <v/>
      </c>
      <c r="S121" s="68" t="str">
        <f t="shared" si="128"/>
        <v>031</v>
      </c>
      <c r="U121" s="69">
        <f t="shared" si="114"/>
        <v>0</v>
      </c>
      <c r="V121" s="69">
        <f t="shared" si="115"/>
        <v>0</v>
      </c>
      <c r="X121" s="68">
        <f t="shared" si="122"/>
        <v>74</v>
      </c>
      <c r="Y121" s="68" t="str">
        <f t="shared" si="129"/>
        <v/>
      </c>
      <c r="Z121" s="68" t="str">
        <f t="shared" si="130"/>
        <v/>
      </c>
      <c r="AA121" s="68" t="str">
        <f t="shared" si="131"/>
        <v/>
      </c>
      <c r="AB121" s="227" t="str">
        <f t="shared" si="132"/>
        <v/>
      </c>
      <c r="AC121" s="68" t="str">
        <f t="shared" si="133"/>
        <v/>
      </c>
      <c r="AD121" s="68" t="str">
        <f t="shared" si="134"/>
        <v/>
      </c>
      <c r="AE121" s="68" t="str">
        <f t="shared" si="135"/>
        <v/>
      </c>
      <c r="AF121" s="68" t="str">
        <f t="shared" si="136"/>
        <v/>
      </c>
      <c r="AG121" s="68" t="str">
        <f t="shared" si="137"/>
        <v/>
      </c>
    </row>
    <row r="122" spans="1:33" s="67" customFormat="1">
      <c r="A122" s="18" t="str">
        <f t="shared" si="138"/>
        <v/>
      </c>
      <c r="B122" s="219"/>
      <c r="C122" s="58"/>
      <c r="D122" s="44">
        <f t="shared" si="116"/>
        <v>31</v>
      </c>
      <c r="E122" s="59" t="str">
        <f t="shared" si="117"/>
        <v/>
      </c>
      <c r="F122" s="90" t="str">
        <f t="shared" si="118"/>
        <v/>
      </c>
      <c r="G122" s="190"/>
      <c r="H122" s="203"/>
      <c r="I122" s="191"/>
      <c r="J122" s="42"/>
      <c r="K122" s="39">
        <f>IF(I122="",0,VLOOKUP(I122,'LISTA DE PRECIOS'!A:F,IF(R122="CORO",4,5),FALSE))</f>
        <v>0</v>
      </c>
      <c r="L122" s="206">
        <f t="shared" si="119"/>
        <v>0</v>
      </c>
      <c r="M122" s="217">
        <f>IF(F122="",0,IF(SUMIF('REPORTE GASTOS'!$C$6:$C$210,F122,'REPORTE GASTOS'!$G$6:$G$210)=0,'LISTA DE PRECIOS'!$H$3,SUMIF('REPORTE GASTOS'!$C$6:$C$210,F122,'REPORTE GASTOS'!$I$6:$I$210)/SUMIF('REPORTE GASTOS'!$C$6:$C$210,F122,'REPORTE GASTOS'!$G$6:$G$210)))</f>
        <v>0</v>
      </c>
      <c r="N122" s="12">
        <f t="shared" si="120"/>
        <v>0</v>
      </c>
      <c r="O122" s="43">
        <f t="shared" si="121"/>
        <v>0</v>
      </c>
      <c r="P122" s="70"/>
      <c r="R122" s="68" t="str">
        <f>IF(H122="","",VLOOKUP(H122,'DATOS CLIENTES'!B:F,5,FALSE))</f>
        <v/>
      </c>
      <c r="S122" s="68" t="str">
        <f t="shared" si="128"/>
        <v>031</v>
      </c>
      <c r="U122" s="69">
        <f t="shared" si="114"/>
        <v>0</v>
      </c>
      <c r="V122" s="69">
        <f t="shared" si="115"/>
        <v>0</v>
      </c>
      <c r="X122" s="68">
        <f t="shared" si="122"/>
        <v>74</v>
      </c>
      <c r="Y122" s="68" t="str">
        <f t="shared" si="129"/>
        <v/>
      </c>
      <c r="Z122" s="68" t="str">
        <f t="shared" si="130"/>
        <v/>
      </c>
      <c r="AA122" s="68" t="str">
        <f t="shared" si="131"/>
        <v/>
      </c>
      <c r="AB122" s="227" t="str">
        <f t="shared" si="132"/>
        <v/>
      </c>
      <c r="AC122" s="68" t="str">
        <f t="shared" si="133"/>
        <v/>
      </c>
      <c r="AD122" s="68" t="str">
        <f t="shared" si="134"/>
        <v/>
      </c>
      <c r="AE122" s="68" t="str">
        <f t="shared" si="135"/>
        <v/>
      </c>
      <c r="AF122" s="68" t="str">
        <f t="shared" si="136"/>
        <v/>
      </c>
      <c r="AG122" s="68" t="str">
        <f t="shared" si="137"/>
        <v/>
      </c>
    </row>
    <row r="123" spans="1:33" s="67" customFormat="1">
      <c r="A123" s="18" t="str">
        <f t="shared" si="138"/>
        <v/>
      </c>
      <c r="B123" s="219"/>
      <c r="C123" s="58"/>
      <c r="D123" s="44">
        <f t="shared" si="116"/>
        <v>31</v>
      </c>
      <c r="E123" s="59" t="str">
        <f t="shared" si="117"/>
        <v/>
      </c>
      <c r="F123" s="90" t="str">
        <f t="shared" si="118"/>
        <v/>
      </c>
      <c r="G123" s="190"/>
      <c r="H123" s="203"/>
      <c r="I123" s="191"/>
      <c r="J123" s="42"/>
      <c r="K123" s="39">
        <f>IF(I123="",0,VLOOKUP(I123,'LISTA DE PRECIOS'!A:F,IF(R123="CORO",4,5),FALSE))</f>
        <v>0</v>
      </c>
      <c r="L123" s="206">
        <f t="shared" si="119"/>
        <v>0</v>
      </c>
      <c r="M123" s="217">
        <f>IF(F123="",0,IF(SUMIF('REPORTE GASTOS'!$C$6:$C$210,F123,'REPORTE GASTOS'!$G$6:$G$210)=0,'LISTA DE PRECIOS'!$H$3,SUMIF('REPORTE GASTOS'!$C$6:$C$210,F123,'REPORTE GASTOS'!$I$6:$I$210)/SUMIF('REPORTE GASTOS'!$C$6:$C$210,F123,'REPORTE GASTOS'!$G$6:$G$210)))</f>
        <v>0</v>
      </c>
      <c r="N123" s="12">
        <f t="shared" si="120"/>
        <v>0</v>
      </c>
      <c r="O123" s="43">
        <f t="shared" si="121"/>
        <v>0</v>
      </c>
      <c r="P123" s="70"/>
      <c r="R123" s="68" t="str">
        <f>IF(H123="","",VLOOKUP(H123,'DATOS CLIENTES'!B:F,5,FALSE))</f>
        <v/>
      </c>
      <c r="S123" s="68" t="str">
        <f t="shared" si="128"/>
        <v>031</v>
      </c>
      <c r="U123" s="69">
        <f t="shared" si="114"/>
        <v>0</v>
      </c>
      <c r="V123" s="69">
        <f t="shared" si="115"/>
        <v>0</v>
      </c>
      <c r="X123" s="68">
        <f t="shared" si="122"/>
        <v>74</v>
      </c>
      <c r="Y123" s="68" t="str">
        <f t="shared" si="129"/>
        <v/>
      </c>
      <c r="Z123" s="68" t="str">
        <f t="shared" si="130"/>
        <v/>
      </c>
      <c r="AA123" s="68" t="str">
        <f t="shared" si="131"/>
        <v/>
      </c>
      <c r="AB123" s="227" t="str">
        <f t="shared" si="132"/>
        <v/>
      </c>
      <c r="AC123" s="68" t="str">
        <f t="shared" si="133"/>
        <v/>
      </c>
      <c r="AD123" s="68" t="str">
        <f t="shared" si="134"/>
        <v/>
      </c>
      <c r="AE123" s="68" t="str">
        <f t="shared" si="135"/>
        <v/>
      </c>
      <c r="AF123" s="68" t="str">
        <f t="shared" si="136"/>
        <v/>
      </c>
      <c r="AG123" s="68" t="str">
        <f t="shared" si="137"/>
        <v/>
      </c>
    </row>
    <row r="124" spans="1:33" s="67" customFormat="1">
      <c r="A124" s="18" t="str">
        <f t="shared" si="138"/>
        <v/>
      </c>
      <c r="B124" s="219"/>
      <c r="C124" s="58"/>
      <c r="D124" s="44">
        <f t="shared" si="116"/>
        <v>31</v>
      </c>
      <c r="E124" s="59" t="str">
        <f t="shared" si="117"/>
        <v/>
      </c>
      <c r="F124" s="90" t="str">
        <f t="shared" si="118"/>
        <v/>
      </c>
      <c r="G124" s="190"/>
      <c r="H124" s="203"/>
      <c r="I124" s="191"/>
      <c r="J124" s="42"/>
      <c r="K124" s="39">
        <f>IF(I124="",0,VLOOKUP(I124,'LISTA DE PRECIOS'!A:F,IF(R124="CORO",4,5),FALSE))</f>
        <v>0</v>
      </c>
      <c r="L124" s="206">
        <f t="shared" si="119"/>
        <v>0</v>
      </c>
      <c r="M124" s="217">
        <f>IF(F124="",0,IF(SUMIF('REPORTE GASTOS'!$C$6:$C$210,F124,'REPORTE GASTOS'!$G$6:$G$210)=0,'LISTA DE PRECIOS'!$H$3,SUMIF('REPORTE GASTOS'!$C$6:$C$210,F124,'REPORTE GASTOS'!$I$6:$I$210)/SUMIF('REPORTE GASTOS'!$C$6:$C$210,F124,'REPORTE GASTOS'!$G$6:$G$210)))</f>
        <v>0</v>
      </c>
      <c r="N124" s="12">
        <f t="shared" si="120"/>
        <v>0</v>
      </c>
      <c r="O124" s="43">
        <f t="shared" si="121"/>
        <v>0</v>
      </c>
      <c r="P124" s="70"/>
      <c r="R124" s="68" t="str">
        <f>IF(H124="","",VLOOKUP(H124,'DATOS CLIENTES'!B:F,5,FALSE))</f>
        <v/>
      </c>
      <c r="S124" s="68" t="str">
        <f t="shared" si="128"/>
        <v>031</v>
      </c>
      <c r="U124" s="69">
        <f t="shared" si="114"/>
        <v>0</v>
      </c>
      <c r="V124" s="69">
        <f t="shared" si="115"/>
        <v>0</v>
      </c>
      <c r="X124" s="68">
        <f t="shared" si="122"/>
        <v>74</v>
      </c>
      <c r="Y124" s="68" t="str">
        <f t="shared" si="129"/>
        <v/>
      </c>
      <c r="Z124" s="68" t="str">
        <f t="shared" si="130"/>
        <v/>
      </c>
      <c r="AA124" s="68" t="str">
        <f t="shared" si="131"/>
        <v/>
      </c>
      <c r="AB124" s="227" t="str">
        <f t="shared" si="132"/>
        <v/>
      </c>
      <c r="AC124" s="68" t="str">
        <f t="shared" si="133"/>
        <v/>
      </c>
      <c r="AD124" s="68" t="str">
        <f t="shared" si="134"/>
        <v/>
      </c>
      <c r="AE124" s="68" t="str">
        <f t="shared" si="135"/>
        <v/>
      </c>
      <c r="AF124" s="68" t="str">
        <f t="shared" si="136"/>
        <v/>
      </c>
      <c r="AG124" s="68" t="str">
        <f t="shared" si="137"/>
        <v/>
      </c>
    </row>
    <row r="125" spans="1:33" s="67" customFormat="1">
      <c r="A125" s="18" t="str">
        <f t="shared" si="138"/>
        <v/>
      </c>
      <c r="B125" s="219"/>
      <c r="C125" s="58"/>
      <c r="D125" s="44">
        <f t="shared" si="116"/>
        <v>31</v>
      </c>
      <c r="E125" s="59" t="str">
        <f t="shared" si="117"/>
        <v/>
      </c>
      <c r="F125" s="90" t="str">
        <f t="shared" si="118"/>
        <v/>
      </c>
      <c r="G125" s="190"/>
      <c r="H125" s="203"/>
      <c r="I125" s="191"/>
      <c r="J125" s="42"/>
      <c r="K125" s="39">
        <f>IF(I125="",0,VLOOKUP(I125,'LISTA DE PRECIOS'!A:F,IF(R125="CORO",4,5),FALSE))</f>
        <v>0</v>
      </c>
      <c r="L125" s="206">
        <f t="shared" si="119"/>
        <v>0</v>
      </c>
      <c r="M125" s="217">
        <f>IF(F125="",0,IF(SUMIF('REPORTE GASTOS'!$C$6:$C$210,F125,'REPORTE GASTOS'!$G$6:$G$210)=0,'LISTA DE PRECIOS'!$H$3,SUMIF('REPORTE GASTOS'!$C$6:$C$210,F125,'REPORTE GASTOS'!$I$6:$I$210)/SUMIF('REPORTE GASTOS'!$C$6:$C$210,F125,'REPORTE GASTOS'!$G$6:$G$210)))</f>
        <v>0</v>
      </c>
      <c r="N125" s="12">
        <f t="shared" si="120"/>
        <v>0</v>
      </c>
      <c r="O125" s="43">
        <f t="shared" si="121"/>
        <v>0</v>
      </c>
      <c r="P125" s="70"/>
      <c r="R125" s="68" t="str">
        <f>IF(H125="","",VLOOKUP(H125,'DATOS CLIENTES'!B:F,5,FALSE))</f>
        <v/>
      </c>
      <c r="S125" s="68" t="str">
        <f t="shared" si="128"/>
        <v>031</v>
      </c>
      <c r="U125" s="69">
        <f t="shared" si="114"/>
        <v>0</v>
      </c>
      <c r="V125" s="69">
        <f t="shared" si="115"/>
        <v>0</v>
      </c>
      <c r="X125" s="68">
        <f t="shared" si="122"/>
        <v>74</v>
      </c>
      <c r="Y125" s="68" t="str">
        <f t="shared" si="129"/>
        <v/>
      </c>
      <c r="Z125" s="68" t="str">
        <f t="shared" si="130"/>
        <v/>
      </c>
      <c r="AA125" s="68" t="str">
        <f t="shared" si="131"/>
        <v/>
      </c>
      <c r="AB125" s="227" t="str">
        <f t="shared" si="132"/>
        <v/>
      </c>
      <c r="AC125" s="68" t="str">
        <f t="shared" si="133"/>
        <v/>
      </c>
      <c r="AD125" s="68" t="str">
        <f t="shared" si="134"/>
        <v/>
      </c>
      <c r="AE125" s="68" t="str">
        <f t="shared" si="135"/>
        <v/>
      </c>
      <c r="AF125" s="68" t="str">
        <f t="shared" si="136"/>
        <v/>
      </c>
      <c r="AG125" s="68" t="str">
        <f t="shared" si="137"/>
        <v/>
      </c>
    </row>
    <row r="126" spans="1:33" s="67" customFormat="1">
      <c r="A126" s="18" t="str">
        <f t="shared" si="138"/>
        <v/>
      </c>
      <c r="B126" s="219"/>
      <c r="C126" s="58"/>
      <c r="D126" s="44">
        <f t="shared" si="116"/>
        <v>31</v>
      </c>
      <c r="E126" s="59" t="str">
        <f t="shared" si="117"/>
        <v/>
      </c>
      <c r="F126" s="90" t="str">
        <f t="shared" si="118"/>
        <v/>
      </c>
      <c r="G126" s="190"/>
      <c r="H126" s="203"/>
      <c r="I126" s="191"/>
      <c r="J126" s="42"/>
      <c r="K126" s="39">
        <f>IF(I126="",0,VLOOKUP(I126,'LISTA DE PRECIOS'!A:F,IF(R126="CORO",4,5),FALSE))</f>
        <v>0</v>
      </c>
      <c r="L126" s="206">
        <f t="shared" si="119"/>
        <v>0</v>
      </c>
      <c r="M126" s="217">
        <f>IF(F126="",0,IF(SUMIF('REPORTE GASTOS'!$C$6:$C$210,F126,'REPORTE GASTOS'!$G$6:$G$210)=0,'LISTA DE PRECIOS'!$H$3,SUMIF('REPORTE GASTOS'!$C$6:$C$210,F126,'REPORTE GASTOS'!$I$6:$I$210)/SUMIF('REPORTE GASTOS'!$C$6:$C$210,F126,'REPORTE GASTOS'!$G$6:$G$210)))</f>
        <v>0</v>
      </c>
      <c r="N126" s="12">
        <f t="shared" si="120"/>
        <v>0</v>
      </c>
      <c r="O126" s="43">
        <f t="shared" si="121"/>
        <v>0</v>
      </c>
      <c r="P126" s="70"/>
      <c r="R126" s="68" t="str">
        <f>IF(H126="","",VLOOKUP(H126,'DATOS CLIENTES'!B:F,5,FALSE))</f>
        <v/>
      </c>
      <c r="S126" s="68" t="str">
        <f t="shared" si="128"/>
        <v>031</v>
      </c>
      <c r="U126" s="69">
        <f t="shared" si="114"/>
        <v>0</v>
      </c>
      <c r="V126" s="69">
        <f t="shared" si="115"/>
        <v>0</v>
      </c>
      <c r="X126" s="68">
        <f t="shared" si="122"/>
        <v>74</v>
      </c>
      <c r="Y126" s="68" t="str">
        <f t="shared" si="129"/>
        <v/>
      </c>
      <c r="Z126" s="68" t="str">
        <f t="shared" si="130"/>
        <v/>
      </c>
      <c r="AA126" s="68" t="str">
        <f t="shared" si="131"/>
        <v/>
      </c>
      <c r="AB126" s="227" t="str">
        <f t="shared" si="132"/>
        <v/>
      </c>
      <c r="AC126" s="68" t="str">
        <f t="shared" si="133"/>
        <v/>
      </c>
      <c r="AD126" s="68" t="str">
        <f t="shared" si="134"/>
        <v/>
      </c>
      <c r="AE126" s="68" t="str">
        <f t="shared" si="135"/>
        <v/>
      </c>
      <c r="AF126" s="68" t="str">
        <f t="shared" si="136"/>
        <v/>
      </c>
      <c r="AG126" s="68" t="str">
        <f t="shared" si="137"/>
        <v/>
      </c>
    </row>
    <row r="127" spans="1:33" s="67" customFormat="1">
      <c r="A127" s="18" t="str">
        <f t="shared" si="138"/>
        <v/>
      </c>
      <c r="B127" s="219"/>
      <c r="C127" s="58"/>
      <c r="D127" s="44">
        <f t="shared" si="116"/>
        <v>31</v>
      </c>
      <c r="E127" s="59" t="str">
        <f t="shared" si="117"/>
        <v/>
      </c>
      <c r="F127" s="90" t="str">
        <f t="shared" si="118"/>
        <v/>
      </c>
      <c r="G127" s="190"/>
      <c r="H127" s="203"/>
      <c r="I127" s="191"/>
      <c r="J127" s="42"/>
      <c r="K127" s="39">
        <f>IF(I127="",0,VLOOKUP(I127,'LISTA DE PRECIOS'!A:F,IF(R127="CORO",4,5),FALSE))</f>
        <v>0</v>
      </c>
      <c r="L127" s="206">
        <f t="shared" si="119"/>
        <v>0</v>
      </c>
      <c r="M127" s="217">
        <f>IF(F127="",0,IF(SUMIF('REPORTE GASTOS'!$C$6:$C$210,F127,'REPORTE GASTOS'!$G$6:$G$210)=0,'LISTA DE PRECIOS'!$H$3,SUMIF('REPORTE GASTOS'!$C$6:$C$210,F127,'REPORTE GASTOS'!$I$6:$I$210)/SUMIF('REPORTE GASTOS'!$C$6:$C$210,F127,'REPORTE GASTOS'!$G$6:$G$210)))</f>
        <v>0</v>
      </c>
      <c r="N127" s="12">
        <f t="shared" si="120"/>
        <v>0</v>
      </c>
      <c r="O127" s="43">
        <f t="shared" si="121"/>
        <v>0</v>
      </c>
      <c r="P127" s="70"/>
      <c r="R127" s="68" t="str">
        <f>IF(H127="","",VLOOKUP(H127,'DATOS CLIENTES'!B:F,5,FALSE))</f>
        <v/>
      </c>
      <c r="S127" s="68" t="str">
        <f t="shared" si="128"/>
        <v>031</v>
      </c>
      <c r="U127" s="69">
        <f t="shared" si="114"/>
        <v>0</v>
      </c>
      <c r="V127" s="69">
        <f t="shared" si="115"/>
        <v>0</v>
      </c>
      <c r="X127" s="68">
        <f t="shared" si="122"/>
        <v>74</v>
      </c>
      <c r="Y127" s="68" t="str">
        <f t="shared" si="129"/>
        <v/>
      </c>
      <c r="Z127" s="68" t="str">
        <f t="shared" si="130"/>
        <v/>
      </c>
      <c r="AA127" s="68" t="str">
        <f t="shared" si="131"/>
        <v/>
      </c>
      <c r="AB127" s="227" t="str">
        <f t="shared" si="132"/>
        <v/>
      </c>
      <c r="AC127" s="68" t="str">
        <f t="shared" si="133"/>
        <v/>
      </c>
      <c r="AD127" s="68" t="str">
        <f t="shared" si="134"/>
        <v/>
      </c>
      <c r="AE127" s="68" t="str">
        <f t="shared" si="135"/>
        <v/>
      </c>
      <c r="AF127" s="68" t="str">
        <f t="shared" si="136"/>
        <v/>
      </c>
      <c r="AG127" s="68" t="str">
        <f t="shared" si="137"/>
        <v/>
      </c>
    </row>
    <row r="128" spans="1:33" s="67" customFormat="1">
      <c r="A128" s="18" t="str">
        <f t="shared" si="138"/>
        <v/>
      </c>
      <c r="B128" s="219"/>
      <c r="C128" s="58"/>
      <c r="D128" s="44">
        <f t="shared" si="116"/>
        <v>31</v>
      </c>
      <c r="E128" s="59" t="str">
        <f t="shared" si="117"/>
        <v/>
      </c>
      <c r="F128" s="90" t="str">
        <f t="shared" si="118"/>
        <v/>
      </c>
      <c r="G128" s="190"/>
      <c r="H128" s="203"/>
      <c r="I128" s="191"/>
      <c r="J128" s="204"/>
      <c r="K128" s="39">
        <f>IF(I128="",0,VLOOKUP(I128,'LISTA DE PRECIOS'!A:F,IF(R128="CORO",4,5),FALSE))</f>
        <v>0</v>
      </c>
      <c r="L128" s="206">
        <f t="shared" si="119"/>
        <v>0</v>
      </c>
      <c r="M128" s="217">
        <f>IF(F128="",0,IF(SUMIF('REPORTE GASTOS'!$C$6:$C$210,F128,'REPORTE GASTOS'!$G$6:$G$210)=0,'LISTA DE PRECIOS'!$H$3,SUMIF('REPORTE GASTOS'!$C$6:$C$210,F128,'REPORTE GASTOS'!$I$6:$I$210)/SUMIF('REPORTE GASTOS'!$C$6:$C$210,F128,'REPORTE GASTOS'!$G$6:$G$210)))</f>
        <v>0</v>
      </c>
      <c r="N128" s="12">
        <f t="shared" si="120"/>
        <v>0</v>
      </c>
      <c r="O128" s="43">
        <f t="shared" si="121"/>
        <v>0</v>
      </c>
      <c r="P128" s="70"/>
      <c r="R128" s="68" t="str">
        <f>IF(H128="","",VLOOKUP(H128,'DATOS CLIENTES'!B:F,5,FALSE))</f>
        <v/>
      </c>
      <c r="S128" s="68" t="str">
        <f t="shared" si="128"/>
        <v>031</v>
      </c>
      <c r="U128" s="69">
        <f t="shared" si="114"/>
        <v>0</v>
      </c>
      <c r="V128" s="69">
        <f t="shared" si="115"/>
        <v>0</v>
      </c>
      <c r="X128" s="68">
        <f t="shared" si="122"/>
        <v>74</v>
      </c>
      <c r="Y128" s="68" t="str">
        <f t="shared" si="129"/>
        <v/>
      </c>
      <c r="Z128" s="68" t="str">
        <f t="shared" si="130"/>
        <v/>
      </c>
      <c r="AA128" s="68" t="str">
        <f t="shared" si="131"/>
        <v/>
      </c>
      <c r="AB128" s="227" t="str">
        <f t="shared" si="132"/>
        <v/>
      </c>
      <c r="AC128" s="68" t="str">
        <f t="shared" si="133"/>
        <v/>
      </c>
      <c r="AD128" s="68" t="str">
        <f t="shared" si="134"/>
        <v/>
      </c>
      <c r="AE128" s="68" t="str">
        <f t="shared" si="135"/>
        <v/>
      </c>
      <c r="AF128" s="68" t="str">
        <f t="shared" si="136"/>
        <v/>
      </c>
      <c r="AG128" s="68" t="str">
        <f t="shared" si="137"/>
        <v/>
      </c>
    </row>
    <row r="129" spans="1:33" s="67" customFormat="1">
      <c r="A129" s="18" t="str">
        <f t="shared" si="138"/>
        <v/>
      </c>
      <c r="B129" s="219"/>
      <c r="C129" s="58"/>
      <c r="D129" s="44">
        <f t="shared" si="116"/>
        <v>31</v>
      </c>
      <c r="E129" s="59" t="str">
        <f t="shared" si="117"/>
        <v/>
      </c>
      <c r="F129" s="90" t="str">
        <f t="shared" si="118"/>
        <v/>
      </c>
      <c r="G129" s="190"/>
      <c r="H129" s="203"/>
      <c r="I129" s="191"/>
      <c r="J129" s="42"/>
      <c r="K129" s="39">
        <f>IF(I129="",0,VLOOKUP(I129,'LISTA DE PRECIOS'!A:F,IF(R129="CORO",4,5),FALSE))</f>
        <v>0</v>
      </c>
      <c r="L129" s="206">
        <f t="shared" si="119"/>
        <v>0</v>
      </c>
      <c r="M129" s="217">
        <f>IF(F129="",0,IF(SUMIF('REPORTE GASTOS'!$C$6:$C$210,F129,'REPORTE GASTOS'!$G$6:$G$210)=0,'LISTA DE PRECIOS'!$H$3,SUMIF('REPORTE GASTOS'!$C$6:$C$210,F129,'REPORTE GASTOS'!$I$6:$I$210)/SUMIF('REPORTE GASTOS'!$C$6:$C$210,F129,'REPORTE GASTOS'!$G$6:$G$210)))</f>
        <v>0</v>
      </c>
      <c r="N129" s="12">
        <f t="shared" si="120"/>
        <v>0</v>
      </c>
      <c r="O129" s="43">
        <f t="shared" si="121"/>
        <v>0</v>
      </c>
      <c r="P129" s="70"/>
      <c r="R129" s="68" t="str">
        <f>IF(H129="","",VLOOKUP(H129,'DATOS CLIENTES'!B:F,5,FALSE))</f>
        <v/>
      </c>
      <c r="S129" s="68" t="str">
        <f t="shared" si="128"/>
        <v>031</v>
      </c>
      <c r="U129" s="69">
        <f t="shared" si="114"/>
        <v>0</v>
      </c>
      <c r="V129" s="69">
        <f t="shared" si="115"/>
        <v>0</v>
      </c>
      <c r="X129" s="68">
        <f t="shared" si="122"/>
        <v>74</v>
      </c>
      <c r="Y129" s="68" t="str">
        <f t="shared" si="129"/>
        <v/>
      </c>
      <c r="Z129" s="68" t="str">
        <f t="shared" si="130"/>
        <v/>
      </c>
      <c r="AA129" s="68" t="str">
        <f t="shared" si="131"/>
        <v/>
      </c>
      <c r="AB129" s="227" t="str">
        <f t="shared" si="132"/>
        <v/>
      </c>
      <c r="AC129" s="68" t="str">
        <f t="shared" si="133"/>
        <v/>
      </c>
      <c r="AD129" s="68" t="str">
        <f t="shared" si="134"/>
        <v/>
      </c>
      <c r="AE129" s="68" t="str">
        <f t="shared" si="135"/>
        <v/>
      </c>
      <c r="AF129" s="68" t="str">
        <f t="shared" si="136"/>
        <v/>
      </c>
      <c r="AG129" s="68" t="str">
        <f t="shared" si="137"/>
        <v/>
      </c>
    </row>
    <row r="130" spans="1:33" s="67" customFormat="1">
      <c r="A130" s="18" t="str">
        <f t="shared" si="138"/>
        <v/>
      </c>
      <c r="B130" s="219"/>
      <c r="C130" s="58"/>
      <c r="D130" s="44">
        <f t="shared" si="116"/>
        <v>31</v>
      </c>
      <c r="E130" s="59" t="str">
        <f t="shared" si="117"/>
        <v/>
      </c>
      <c r="F130" s="90" t="str">
        <f t="shared" si="118"/>
        <v/>
      </c>
      <c r="G130" s="190"/>
      <c r="H130" s="203"/>
      <c r="I130" s="191"/>
      <c r="J130" s="42"/>
      <c r="K130" s="39">
        <f>IF(I130="",0,VLOOKUP(I130,'LISTA DE PRECIOS'!A:F,IF(R130="CORO",4,5),FALSE))</f>
        <v>0</v>
      </c>
      <c r="L130" s="206">
        <f t="shared" si="119"/>
        <v>0</v>
      </c>
      <c r="M130" s="217">
        <f>IF(F130="",0,IF(SUMIF('REPORTE GASTOS'!$C$6:$C$210,F130,'REPORTE GASTOS'!$G$6:$G$210)=0,'LISTA DE PRECIOS'!$H$3,SUMIF('REPORTE GASTOS'!$C$6:$C$210,F130,'REPORTE GASTOS'!$I$6:$I$210)/SUMIF('REPORTE GASTOS'!$C$6:$C$210,F130,'REPORTE GASTOS'!$G$6:$G$210)))</f>
        <v>0</v>
      </c>
      <c r="N130" s="12">
        <f t="shared" si="120"/>
        <v>0</v>
      </c>
      <c r="O130" s="43">
        <f t="shared" si="121"/>
        <v>0</v>
      </c>
      <c r="P130" s="70"/>
      <c r="R130" s="68" t="str">
        <f>IF(H130="","",VLOOKUP(H130,'DATOS CLIENTES'!B:F,5,FALSE))</f>
        <v/>
      </c>
      <c r="S130" s="68" t="str">
        <f t="shared" si="128"/>
        <v>031</v>
      </c>
      <c r="U130" s="69">
        <f t="shared" si="114"/>
        <v>0</v>
      </c>
      <c r="V130" s="69">
        <f t="shared" si="115"/>
        <v>0</v>
      </c>
      <c r="X130" s="68">
        <f t="shared" si="122"/>
        <v>74</v>
      </c>
      <c r="Y130" s="68" t="str">
        <f t="shared" si="129"/>
        <v/>
      </c>
      <c r="Z130" s="68" t="str">
        <f t="shared" si="130"/>
        <v/>
      </c>
      <c r="AA130" s="68" t="str">
        <f t="shared" si="131"/>
        <v/>
      </c>
      <c r="AB130" s="227" t="str">
        <f t="shared" si="132"/>
        <v/>
      </c>
      <c r="AC130" s="68" t="str">
        <f t="shared" si="133"/>
        <v/>
      </c>
      <c r="AD130" s="68" t="str">
        <f t="shared" si="134"/>
        <v/>
      </c>
      <c r="AE130" s="68" t="str">
        <f t="shared" si="135"/>
        <v/>
      </c>
      <c r="AF130" s="68" t="str">
        <f t="shared" si="136"/>
        <v/>
      </c>
      <c r="AG130" s="68" t="str">
        <f t="shared" si="137"/>
        <v/>
      </c>
    </row>
    <row r="131" spans="1:33" s="67" customFormat="1">
      <c r="A131" s="18" t="str">
        <f t="shared" si="138"/>
        <v/>
      </c>
      <c r="B131" s="219"/>
      <c r="C131" s="58"/>
      <c r="D131" s="44">
        <f t="shared" si="116"/>
        <v>31</v>
      </c>
      <c r="E131" s="59" t="str">
        <f t="shared" si="117"/>
        <v/>
      </c>
      <c r="F131" s="90" t="str">
        <f t="shared" si="118"/>
        <v/>
      </c>
      <c r="G131" s="190"/>
      <c r="H131" s="203"/>
      <c r="I131" s="191"/>
      <c r="J131" s="42"/>
      <c r="K131" s="39">
        <f>IF(I131="",0,VLOOKUP(I131,'LISTA DE PRECIOS'!A:F,IF(R131="CORO",4,5),FALSE))</f>
        <v>0</v>
      </c>
      <c r="L131" s="206">
        <f t="shared" si="119"/>
        <v>0</v>
      </c>
      <c r="M131" s="217">
        <f>IF(F131="",0,IF(SUMIF('REPORTE GASTOS'!$C$6:$C$210,F131,'REPORTE GASTOS'!$G$6:$G$210)=0,'LISTA DE PRECIOS'!$H$3,SUMIF('REPORTE GASTOS'!$C$6:$C$210,F131,'REPORTE GASTOS'!$I$6:$I$210)/SUMIF('REPORTE GASTOS'!$C$6:$C$210,F131,'REPORTE GASTOS'!$G$6:$G$210)))</f>
        <v>0</v>
      </c>
      <c r="N131" s="12">
        <f t="shared" si="120"/>
        <v>0</v>
      </c>
      <c r="O131" s="43">
        <f t="shared" si="121"/>
        <v>0</v>
      </c>
      <c r="P131" s="70"/>
      <c r="R131" s="68" t="str">
        <f>IF(H131="","",VLOOKUP(H131,'DATOS CLIENTES'!B:F,5,FALSE))</f>
        <v/>
      </c>
      <c r="S131" s="68" t="str">
        <f t="shared" si="128"/>
        <v>031</v>
      </c>
      <c r="U131" s="69">
        <f t="shared" si="114"/>
        <v>0</v>
      </c>
      <c r="V131" s="69">
        <f t="shared" si="115"/>
        <v>0</v>
      </c>
      <c r="X131" s="68">
        <f t="shared" si="122"/>
        <v>74</v>
      </c>
      <c r="Y131" s="68" t="str">
        <f t="shared" si="129"/>
        <v/>
      </c>
      <c r="Z131" s="68" t="str">
        <f t="shared" si="130"/>
        <v/>
      </c>
      <c r="AA131" s="68" t="str">
        <f t="shared" si="131"/>
        <v/>
      </c>
      <c r="AB131" s="227" t="str">
        <f t="shared" si="132"/>
        <v/>
      </c>
      <c r="AC131" s="68" t="str">
        <f t="shared" si="133"/>
        <v/>
      </c>
      <c r="AD131" s="68" t="str">
        <f t="shared" si="134"/>
        <v/>
      </c>
      <c r="AE131" s="68" t="str">
        <f t="shared" si="135"/>
        <v/>
      </c>
      <c r="AF131" s="68" t="str">
        <f t="shared" si="136"/>
        <v/>
      </c>
      <c r="AG131" s="68" t="str">
        <f t="shared" si="137"/>
        <v/>
      </c>
    </row>
    <row r="132" spans="1:33" s="67" customFormat="1">
      <c r="A132" s="18" t="str">
        <f t="shared" si="138"/>
        <v/>
      </c>
      <c r="B132" s="219"/>
      <c r="C132" s="58"/>
      <c r="D132" s="44">
        <f t="shared" si="116"/>
        <v>31</v>
      </c>
      <c r="E132" s="59" t="str">
        <f t="shared" si="117"/>
        <v/>
      </c>
      <c r="F132" s="90" t="str">
        <f t="shared" si="118"/>
        <v/>
      </c>
      <c r="G132" s="190"/>
      <c r="H132" s="203"/>
      <c r="I132" s="202"/>
      <c r="J132" s="42"/>
      <c r="K132" s="39">
        <f>IF(I132="",0,VLOOKUP(I132,'LISTA DE PRECIOS'!A:F,IF(R132="CORO",4,5),FALSE))</f>
        <v>0</v>
      </c>
      <c r="L132" s="206">
        <f t="shared" si="119"/>
        <v>0</v>
      </c>
      <c r="M132" s="217">
        <f>IF(F132="",0,IF(SUMIF('REPORTE GASTOS'!$C$6:$C$210,F132,'REPORTE GASTOS'!$G$6:$G$210)=0,'LISTA DE PRECIOS'!$H$3,SUMIF('REPORTE GASTOS'!$C$6:$C$210,F132,'REPORTE GASTOS'!$I$6:$I$210)/SUMIF('REPORTE GASTOS'!$C$6:$C$210,F132,'REPORTE GASTOS'!$G$6:$G$210)))</f>
        <v>0</v>
      </c>
      <c r="N132" s="12">
        <f t="shared" si="120"/>
        <v>0</v>
      </c>
      <c r="O132" s="43">
        <f t="shared" si="121"/>
        <v>0</v>
      </c>
      <c r="P132" s="70"/>
      <c r="R132" s="68" t="str">
        <f>IF(H132="","",VLOOKUP(H132,'DATOS CLIENTES'!B:F,5,FALSE))</f>
        <v/>
      </c>
      <c r="S132" s="68" t="str">
        <f t="shared" si="128"/>
        <v>031</v>
      </c>
      <c r="U132" s="69">
        <f t="shared" si="114"/>
        <v>0</v>
      </c>
      <c r="V132" s="69">
        <f t="shared" si="115"/>
        <v>0</v>
      </c>
      <c r="X132" s="68">
        <f t="shared" si="122"/>
        <v>74</v>
      </c>
      <c r="Y132" s="68" t="str">
        <f t="shared" si="129"/>
        <v/>
      </c>
      <c r="Z132" s="68" t="str">
        <f t="shared" si="130"/>
        <v/>
      </c>
      <c r="AA132" s="68" t="str">
        <f t="shared" si="131"/>
        <v/>
      </c>
      <c r="AB132" s="227" t="str">
        <f t="shared" si="132"/>
        <v/>
      </c>
      <c r="AC132" s="68" t="str">
        <f t="shared" si="133"/>
        <v/>
      </c>
      <c r="AD132" s="68" t="str">
        <f t="shared" si="134"/>
        <v/>
      </c>
      <c r="AE132" s="68" t="str">
        <f t="shared" si="135"/>
        <v/>
      </c>
      <c r="AF132" s="68" t="str">
        <f t="shared" si="136"/>
        <v/>
      </c>
      <c r="AG132" s="68" t="str">
        <f t="shared" si="137"/>
        <v/>
      </c>
    </row>
    <row r="133" spans="1:33" s="67" customFormat="1">
      <c r="A133" s="18" t="str">
        <f t="shared" si="138"/>
        <v/>
      </c>
      <c r="B133" s="219"/>
      <c r="C133" s="58"/>
      <c r="D133" s="44">
        <f t="shared" si="116"/>
        <v>31</v>
      </c>
      <c r="E133" s="59" t="str">
        <f t="shared" si="117"/>
        <v/>
      </c>
      <c r="F133" s="90" t="str">
        <f t="shared" si="118"/>
        <v/>
      </c>
      <c r="G133" s="190"/>
      <c r="H133" s="203"/>
      <c r="I133" s="191"/>
      <c r="J133" s="42"/>
      <c r="K133" s="39">
        <f>IF(I133="",0,VLOOKUP(I133,'LISTA DE PRECIOS'!A:F,IF(R133="CORO",4,5),FALSE))</f>
        <v>0</v>
      </c>
      <c r="L133" s="206">
        <f t="shared" si="119"/>
        <v>0</v>
      </c>
      <c r="M133" s="217">
        <f>IF(F133="",0,IF(SUMIF('REPORTE GASTOS'!$C$6:$C$210,F133,'REPORTE GASTOS'!$G$6:$G$210)=0,'LISTA DE PRECIOS'!$H$3,SUMIF('REPORTE GASTOS'!$C$6:$C$210,F133,'REPORTE GASTOS'!$I$6:$I$210)/SUMIF('REPORTE GASTOS'!$C$6:$C$210,F133,'REPORTE GASTOS'!$G$6:$G$210)))</f>
        <v>0</v>
      </c>
      <c r="N133" s="12">
        <f t="shared" si="120"/>
        <v>0</v>
      </c>
      <c r="O133" s="43">
        <f t="shared" si="121"/>
        <v>0</v>
      </c>
      <c r="P133" s="70"/>
      <c r="R133" s="68" t="str">
        <f>IF(H133="","",VLOOKUP(H133,'DATOS CLIENTES'!B:F,5,FALSE))</f>
        <v/>
      </c>
      <c r="S133" s="68" t="str">
        <f t="shared" si="128"/>
        <v>031</v>
      </c>
      <c r="U133" s="69">
        <f t="shared" si="114"/>
        <v>0</v>
      </c>
      <c r="V133" s="69">
        <f t="shared" si="115"/>
        <v>0</v>
      </c>
      <c r="X133" s="68">
        <f t="shared" si="122"/>
        <v>74</v>
      </c>
      <c r="Y133" s="68" t="str">
        <f t="shared" si="129"/>
        <v/>
      </c>
      <c r="Z133" s="68" t="str">
        <f t="shared" si="130"/>
        <v/>
      </c>
      <c r="AA133" s="68" t="str">
        <f t="shared" si="131"/>
        <v/>
      </c>
      <c r="AB133" s="227" t="str">
        <f t="shared" si="132"/>
        <v/>
      </c>
      <c r="AC133" s="68" t="str">
        <f t="shared" si="133"/>
        <v/>
      </c>
      <c r="AD133" s="68" t="str">
        <f t="shared" si="134"/>
        <v/>
      </c>
      <c r="AE133" s="68" t="str">
        <f t="shared" si="135"/>
        <v/>
      </c>
      <c r="AF133" s="68" t="str">
        <f t="shared" si="136"/>
        <v/>
      </c>
      <c r="AG133" s="68" t="str">
        <f t="shared" si="137"/>
        <v/>
      </c>
    </row>
    <row r="134" spans="1:33" s="67" customFormat="1">
      <c r="A134" s="18" t="str">
        <f t="shared" si="138"/>
        <v/>
      </c>
      <c r="B134" s="219"/>
      <c r="C134" s="58"/>
      <c r="D134" s="44">
        <f t="shared" si="116"/>
        <v>31</v>
      </c>
      <c r="E134" s="59" t="str">
        <f t="shared" si="117"/>
        <v/>
      </c>
      <c r="F134" s="90" t="str">
        <f t="shared" si="118"/>
        <v/>
      </c>
      <c r="G134" s="190"/>
      <c r="H134" s="203"/>
      <c r="I134" s="191"/>
      <c r="J134" s="42"/>
      <c r="K134" s="39">
        <f>IF(I134="",0,VLOOKUP(I134,'LISTA DE PRECIOS'!A:F,IF(R134="CORO",4,5),FALSE))</f>
        <v>0</v>
      </c>
      <c r="L134" s="206">
        <f t="shared" si="119"/>
        <v>0</v>
      </c>
      <c r="M134" s="217">
        <f>IF(F134="",0,IF(SUMIF('REPORTE GASTOS'!$C$6:$C$210,F134,'REPORTE GASTOS'!$G$6:$G$210)=0,'LISTA DE PRECIOS'!$H$3,SUMIF('REPORTE GASTOS'!$C$6:$C$210,F134,'REPORTE GASTOS'!$I$6:$I$210)/SUMIF('REPORTE GASTOS'!$C$6:$C$210,F134,'REPORTE GASTOS'!$G$6:$G$210)))</f>
        <v>0</v>
      </c>
      <c r="N134" s="12">
        <f t="shared" si="120"/>
        <v>0</v>
      </c>
      <c r="O134" s="43">
        <f t="shared" si="121"/>
        <v>0</v>
      </c>
      <c r="P134" s="70"/>
      <c r="R134" s="68" t="str">
        <f>IF(H134="","",VLOOKUP(H134,'DATOS CLIENTES'!B:F,5,FALSE))</f>
        <v/>
      </c>
      <c r="S134" s="68" t="str">
        <f t="shared" si="128"/>
        <v>031</v>
      </c>
      <c r="U134" s="69">
        <f t="shared" si="114"/>
        <v>0</v>
      </c>
      <c r="V134" s="69">
        <f t="shared" si="115"/>
        <v>0</v>
      </c>
      <c r="X134" s="68">
        <f t="shared" si="122"/>
        <v>74</v>
      </c>
      <c r="Y134" s="68" t="str">
        <f t="shared" si="129"/>
        <v/>
      </c>
      <c r="Z134" s="68" t="str">
        <f t="shared" si="130"/>
        <v/>
      </c>
      <c r="AA134" s="68" t="str">
        <f t="shared" si="131"/>
        <v/>
      </c>
      <c r="AB134" s="227" t="str">
        <f t="shared" si="132"/>
        <v/>
      </c>
      <c r="AC134" s="68" t="str">
        <f t="shared" si="133"/>
        <v/>
      </c>
      <c r="AD134" s="68" t="str">
        <f t="shared" si="134"/>
        <v/>
      </c>
      <c r="AE134" s="68" t="str">
        <f t="shared" si="135"/>
        <v/>
      </c>
      <c r="AF134" s="68" t="str">
        <f t="shared" si="136"/>
        <v/>
      </c>
      <c r="AG134" s="68" t="str">
        <f t="shared" si="137"/>
        <v/>
      </c>
    </row>
    <row r="135" spans="1:33" s="67" customFormat="1">
      <c r="A135" s="18" t="str">
        <f t="shared" ref="A135:A197" si="155">CONCATENATE(E135,F135)</f>
        <v/>
      </c>
      <c r="B135" s="219"/>
      <c r="C135" s="58"/>
      <c r="D135" s="44">
        <f t="shared" ref="D135:D198" si="156">IF(OR(H135="",AND(H135=H134,G135=G134)),D134,D134+1)</f>
        <v>31</v>
      </c>
      <c r="E135" s="59" t="str">
        <f t="shared" ref="E135:E198" si="157">IF(F135="","",IF(OR(F135=0,F135=F134),E134+1,1))</f>
        <v/>
      </c>
      <c r="F135" s="90" t="str">
        <f t="shared" ref="F135:F198" si="158">IF(G135="","",CONCATENATE("SFC-",IF(LEN(MONTH($G$4))=1,CONCATENATE("0",MONTH($G$4)),MONTH($G$4)),RIGHT(YEAR($G$4),2),"-",S135))</f>
        <v/>
      </c>
      <c r="G135" s="190"/>
      <c r="H135" s="203"/>
      <c r="I135" s="191"/>
      <c r="J135" s="42"/>
      <c r="K135" s="39">
        <f>IF(I135="",0,VLOOKUP(I135,'LISTA DE PRECIOS'!A:F,IF(R135="CORO",4,5),FALSE))</f>
        <v>0</v>
      </c>
      <c r="L135" s="206">
        <f t="shared" si="119"/>
        <v>0</v>
      </c>
      <c r="M135" s="217">
        <f>IF(F135="",0,IF(SUMIF('REPORTE GASTOS'!$C$6:$C$210,F135,'REPORTE GASTOS'!$G$6:$G$210)=0,'LISTA DE PRECIOS'!$H$3,SUMIF('REPORTE GASTOS'!$C$6:$C$210,F135,'REPORTE GASTOS'!$I$6:$I$210)/SUMIF('REPORTE GASTOS'!$C$6:$C$210,F135,'REPORTE GASTOS'!$G$6:$G$210)))</f>
        <v>0</v>
      </c>
      <c r="N135" s="12">
        <f t="shared" ref="N135:N198" si="159">M135*K135</f>
        <v>0</v>
      </c>
      <c r="O135" s="43">
        <f t="shared" ref="O135:O198" si="160">N135*J135</f>
        <v>0</v>
      </c>
      <c r="P135" s="70"/>
      <c r="R135" s="68" t="str">
        <f>IF(H135="","",VLOOKUP(H135,'DATOS CLIENTES'!B:F,5,FALSE))</f>
        <v/>
      </c>
      <c r="S135" s="68" t="str">
        <f t="shared" si="128"/>
        <v>031</v>
      </c>
      <c r="U135" s="69">
        <f t="shared" ref="U135:U198" si="161">IF(R135="PUNTO FIJO",0,SUMIF($F$7:$F$250,F135,$L$7:$L$250))</f>
        <v>0</v>
      </c>
      <c r="V135" s="69">
        <f t="shared" ref="V135:V198" si="162">IF(R135="PUNTO FIJO",0,SUMIF($F$7:$F$250,F135,$O$7:$O$250))</f>
        <v>0</v>
      </c>
      <c r="X135" s="68">
        <f t="shared" si="122"/>
        <v>74</v>
      </c>
      <c r="Y135" s="68" t="str">
        <f t="shared" si="129"/>
        <v/>
      </c>
      <c r="Z135" s="68" t="str">
        <f t="shared" si="130"/>
        <v/>
      </c>
      <c r="AA135" s="68" t="str">
        <f t="shared" si="131"/>
        <v/>
      </c>
      <c r="AB135" s="227" t="str">
        <f t="shared" si="132"/>
        <v/>
      </c>
      <c r="AC135" s="68" t="str">
        <f t="shared" si="133"/>
        <v/>
      </c>
      <c r="AD135" s="68" t="str">
        <f t="shared" si="134"/>
        <v/>
      </c>
      <c r="AE135" s="68" t="str">
        <f t="shared" si="135"/>
        <v/>
      </c>
      <c r="AF135" s="68" t="str">
        <f t="shared" si="136"/>
        <v/>
      </c>
      <c r="AG135" s="68" t="str">
        <f t="shared" si="137"/>
        <v/>
      </c>
    </row>
    <row r="136" spans="1:33" s="67" customFormat="1">
      <c r="A136" s="18" t="str">
        <f t="shared" si="155"/>
        <v/>
      </c>
      <c r="B136" s="219"/>
      <c r="C136" s="58"/>
      <c r="D136" s="44">
        <f t="shared" si="156"/>
        <v>31</v>
      </c>
      <c r="E136" s="59" t="str">
        <f t="shared" si="157"/>
        <v/>
      </c>
      <c r="F136" s="90" t="str">
        <f t="shared" si="158"/>
        <v/>
      </c>
      <c r="G136" s="190"/>
      <c r="H136" s="203"/>
      <c r="I136" s="191"/>
      <c r="J136" s="42"/>
      <c r="K136" s="39">
        <f>IF(I136="",0,VLOOKUP(I136,'LISTA DE PRECIOS'!A:F,IF(R136="CORO",4,5),FALSE))</f>
        <v>0</v>
      </c>
      <c r="L136" s="206">
        <f t="shared" ref="L136:L199" si="163">ROUND(K136*J136,2)</f>
        <v>0</v>
      </c>
      <c r="M136" s="217">
        <f>IF(F136="",0,IF(SUMIF('REPORTE GASTOS'!$C$6:$C$210,F136,'REPORTE GASTOS'!$G$6:$G$210)=0,'LISTA DE PRECIOS'!$H$3,SUMIF('REPORTE GASTOS'!$C$6:$C$210,F136,'REPORTE GASTOS'!$I$6:$I$210)/SUMIF('REPORTE GASTOS'!$C$6:$C$210,F136,'REPORTE GASTOS'!$G$6:$G$210)))</f>
        <v>0</v>
      </c>
      <c r="N136" s="12">
        <f t="shared" si="159"/>
        <v>0</v>
      </c>
      <c r="O136" s="43">
        <f t="shared" si="160"/>
        <v>0</v>
      </c>
      <c r="P136" s="70"/>
      <c r="R136" s="68" t="str">
        <f>IF(H136="","",VLOOKUP(H136,'DATOS CLIENTES'!B:F,5,FALSE))</f>
        <v/>
      </c>
      <c r="S136" s="68" t="str">
        <f t="shared" si="128"/>
        <v>031</v>
      </c>
      <c r="U136" s="69">
        <f t="shared" si="161"/>
        <v>0</v>
      </c>
      <c r="V136" s="69">
        <f t="shared" si="162"/>
        <v>0</v>
      </c>
      <c r="X136" s="68">
        <f t="shared" ref="X136:X199" si="164">IF(Y136="",X135,X135+1)</f>
        <v>74</v>
      </c>
      <c r="Y136" s="68" t="str">
        <f t="shared" si="129"/>
        <v/>
      </c>
      <c r="Z136" s="68" t="str">
        <f t="shared" si="130"/>
        <v/>
      </c>
      <c r="AA136" s="68" t="str">
        <f t="shared" si="131"/>
        <v/>
      </c>
      <c r="AB136" s="227" t="str">
        <f t="shared" si="132"/>
        <v/>
      </c>
      <c r="AC136" s="68" t="str">
        <f t="shared" si="133"/>
        <v/>
      </c>
      <c r="AD136" s="68" t="str">
        <f t="shared" si="134"/>
        <v/>
      </c>
      <c r="AE136" s="68" t="str">
        <f t="shared" si="135"/>
        <v/>
      </c>
      <c r="AF136" s="68" t="str">
        <f t="shared" si="136"/>
        <v/>
      </c>
      <c r="AG136" s="68" t="str">
        <f t="shared" si="137"/>
        <v/>
      </c>
    </row>
    <row r="137" spans="1:33" s="67" customFormat="1">
      <c r="A137" s="18" t="str">
        <f t="shared" si="155"/>
        <v/>
      </c>
      <c r="B137" s="219"/>
      <c r="C137" s="58"/>
      <c r="D137" s="44">
        <f t="shared" si="156"/>
        <v>31</v>
      </c>
      <c r="E137" s="59" t="str">
        <f t="shared" si="157"/>
        <v/>
      </c>
      <c r="F137" s="90" t="str">
        <f t="shared" si="158"/>
        <v/>
      </c>
      <c r="G137" s="190"/>
      <c r="H137" s="203"/>
      <c r="I137" s="191"/>
      <c r="J137" s="42"/>
      <c r="K137" s="39">
        <f>IF(I137="",0,VLOOKUP(I137,'LISTA DE PRECIOS'!A:F,IF(R137="CORO",4,5),FALSE))</f>
        <v>0</v>
      </c>
      <c r="L137" s="206">
        <f t="shared" si="163"/>
        <v>0</v>
      </c>
      <c r="M137" s="217">
        <f>IF(F137="",0,IF(SUMIF('REPORTE GASTOS'!$C$6:$C$210,F137,'REPORTE GASTOS'!$G$6:$G$210)=0,'LISTA DE PRECIOS'!$H$3,SUMIF('REPORTE GASTOS'!$C$6:$C$210,F137,'REPORTE GASTOS'!$I$6:$I$210)/SUMIF('REPORTE GASTOS'!$C$6:$C$210,F137,'REPORTE GASTOS'!$G$6:$G$210)))</f>
        <v>0</v>
      </c>
      <c r="N137" s="12">
        <f t="shared" si="159"/>
        <v>0</v>
      </c>
      <c r="O137" s="43">
        <f t="shared" si="160"/>
        <v>0</v>
      </c>
      <c r="P137" s="70"/>
      <c r="R137" s="68" t="str">
        <f>IF(H137="","",VLOOKUP(H137,'DATOS CLIENTES'!B:F,5,FALSE))</f>
        <v/>
      </c>
      <c r="S137" s="68" t="str">
        <f t="shared" ref="S137:S200" si="165">IF(B137="CHS",S136,IF(D137=D136,S136,IF(S136+1-1&lt;9,CONCATENATE("00",S136+1),IF(S136+1-1&lt;99,CONCATENATE("0",S136+1),S136+1))))</f>
        <v>031</v>
      </c>
      <c r="U137" s="69">
        <f t="shared" si="161"/>
        <v>0</v>
      </c>
      <c r="V137" s="69">
        <f t="shared" si="162"/>
        <v>0</v>
      </c>
      <c r="X137" s="68">
        <f t="shared" si="164"/>
        <v>74</v>
      </c>
      <c r="Y137" s="68" t="str">
        <f t="shared" ref="Y137:Y200" si="166">IF(AND($R137&lt;&gt;"PUNTO FIJO",$R137&lt;&gt;""),B137,"")</f>
        <v/>
      </c>
      <c r="Z137" s="68" t="str">
        <f t="shared" ref="Z137:Z200" si="167">IF(AND($R137&lt;&gt;"PUNTO FIJO",$R137&lt;&gt;""),C137,"")</f>
        <v/>
      </c>
      <c r="AA137" s="68" t="str">
        <f t="shared" ref="AA137:AA200" si="168">IF(AND($R137&lt;&gt;"PUNTO FIJO",$R137&lt;&gt;""),F137,"")</f>
        <v/>
      </c>
      <c r="AB137" s="227" t="str">
        <f t="shared" ref="AB137:AB200" si="169">IF(AND($R137&lt;&gt;"PUNTO FIJO",$R137&lt;&gt;""),G137,"")</f>
        <v/>
      </c>
      <c r="AC137" s="68" t="str">
        <f t="shared" ref="AC137:AC200" si="170">IF(AND($R137&lt;&gt;"PUNTO FIJO",$R137&lt;&gt;""),H137,"")</f>
        <v/>
      </c>
      <c r="AD137" s="68" t="str">
        <f t="shared" ref="AD137:AD200" si="171">IF(AND($R137&lt;&gt;"PUNTO FIJO",$R137&lt;&gt;""),I137,"")</f>
        <v/>
      </c>
      <c r="AE137" s="68" t="str">
        <f t="shared" ref="AE137:AE200" si="172">IF(AND($R137&lt;&gt;"PUNTO FIJO",$R137&lt;&gt;""),J137,"")</f>
        <v/>
      </c>
      <c r="AF137" s="68" t="str">
        <f t="shared" ref="AF137:AF200" si="173">IF(AND($R137&lt;&gt;"PUNTO FIJO",$R137&lt;&gt;""),K137,"")</f>
        <v/>
      </c>
      <c r="AG137" s="68" t="str">
        <f t="shared" ref="AG137:AG200" si="174">IF(AND($R137&lt;&gt;"PUNTO FIJO",$R137&lt;&gt;""),M137,"")</f>
        <v/>
      </c>
    </row>
    <row r="138" spans="1:33" s="67" customFormat="1">
      <c r="A138" s="18" t="str">
        <f t="shared" si="155"/>
        <v/>
      </c>
      <c r="B138" s="219"/>
      <c r="C138" s="58"/>
      <c r="D138" s="44">
        <f t="shared" si="156"/>
        <v>31</v>
      </c>
      <c r="E138" s="59" t="str">
        <f t="shared" si="157"/>
        <v/>
      </c>
      <c r="F138" s="90" t="str">
        <f t="shared" si="158"/>
        <v/>
      </c>
      <c r="G138" s="190"/>
      <c r="H138" s="203"/>
      <c r="I138" s="191"/>
      <c r="J138" s="42"/>
      <c r="K138" s="39">
        <f>IF(I138="",0,VLOOKUP(I138,'LISTA DE PRECIOS'!A:F,IF(R138="CORO",4,5),FALSE))</f>
        <v>0</v>
      </c>
      <c r="L138" s="206">
        <f t="shared" si="163"/>
        <v>0</v>
      </c>
      <c r="M138" s="217">
        <f>IF(F138="",0,IF(SUMIF('REPORTE GASTOS'!$C$6:$C$210,F138,'REPORTE GASTOS'!$G$6:$G$210)=0,'LISTA DE PRECIOS'!$H$3,SUMIF('REPORTE GASTOS'!$C$6:$C$210,F138,'REPORTE GASTOS'!$I$6:$I$210)/SUMIF('REPORTE GASTOS'!$C$6:$C$210,F138,'REPORTE GASTOS'!$G$6:$G$210)))</f>
        <v>0</v>
      </c>
      <c r="N138" s="12">
        <f t="shared" si="159"/>
        <v>0</v>
      </c>
      <c r="O138" s="43">
        <f t="shared" si="160"/>
        <v>0</v>
      </c>
      <c r="P138" s="70"/>
      <c r="R138" s="68" t="str">
        <f>IF(H138="","",VLOOKUP(H138,'DATOS CLIENTES'!B:F,5,FALSE))</f>
        <v/>
      </c>
      <c r="S138" s="68" t="str">
        <f t="shared" si="165"/>
        <v>031</v>
      </c>
      <c r="U138" s="69">
        <f t="shared" si="161"/>
        <v>0</v>
      </c>
      <c r="V138" s="69">
        <f t="shared" si="162"/>
        <v>0</v>
      </c>
      <c r="X138" s="68">
        <f t="shared" si="164"/>
        <v>74</v>
      </c>
      <c r="Y138" s="68" t="str">
        <f t="shared" si="166"/>
        <v/>
      </c>
      <c r="Z138" s="68" t="str">
        <f t="shared" si="167"/>
        <v/>
      </c>
      <c r="AA138" s="68" t="str">
        <f t="shared" si="168"/>
        <v/>
      </c>
      <c r="AB138" s="227" t="str">
        <f t="shared" si="169"/>
        <v/>
      </c>
      <c r="AC138" s="68" t="str">
        <f t="shared" si="170"/>
        <v/>
      </c>
      <c r="AD138" s="68" t="str">
        <f t="shared" si="171"/>
        <v/>
      </c>
      <c r="AE138" s="68" t="str">
        <f t="shared" si="172"/>
        <v/>
      </c>
      <c r="AF138" s="68" t="str">
        <f t="shared" si="173"/>
        <v/>
      </c>
      <c r="AG138" s="68" t="str">
        <f t="shared" si="174"/>
        <v/>
      </c>
    </row>
    <row r="139" spans="1:33" s="67" customFormat="1">
      <c r="A139" s="18" t="str">
        <f t="shared" si="155"/>
        <v/>
      </c>
      <c r="B139" s="219"/>
      <c r="C139" s="58"/>
      <c r="D139" s="44">
        <f t="shared" si="156"/>
        <v>31</v>
      </c>
      <c r="E139" s="59" t="str">
        <f t="shared" si="157"/>
        <v/>
      </c>
      <c r="F139" s="90" t="str">
        <f t="shared" si="158"/>
        <v/>
      </c>
      <c r="G139" s="190"/>
      <c r="H139" s="203"/>
      <c r="I139" s="191"/>
      <c r="J139" s="42"/>
      <c r="K139" s="39">
        <f>IF(I139="",0,VLOOKUP(I139,'LISTA DE PRECIOS'!A:F,IF(R139="CORO",4,5),FALSE))</f>
        <v>0</v>
      </c>
      <c r="L139" s="206">
        <f t="shared" si="163"/>
        <v>0</v>
      </c>
      <c r="M139" s="217">
        <f>IF(F139="",0,IF(SUMIF('REPORTE GASTOS'!$C$6:$C$210,F139,'REPORTE GASTOS'!$G$6:$G$210)=0,'LISTA DE PRECIOS'!$H$3,SUMIF('REPORTE GASTOS'!$C$6:$C$210,F139,'REPORTE GASTOS'!$I$6:$I$210)/SUMIF('REPORTE GASTOS'!$C$6:$C$210,F139,'REPORTE GASTOS'!$G$6:$G$210)))</f>
        <v>0</v>
      </c>
      <c r="N139" s="12">
        <f t="shared" si="159"/>
        <v>0</v>
      </c>
      <c r="O139" s="43">
        <f t="shared" si="160"/>
        <v>0</v>
      </c>
      <c r="P139" s="70"/>
      <c r="R139" s="68" t="str">
        <f>IF(H139="","",VLOOKUP(H139,'DATOS CLIENTES'!B:F,5,FALSE))</f>
        <v/>
      </c>
      <c r="S139" s="68" t="str">
        <f t="shared" si="165"/>
        <v>031</v>
      </c>
      <c r="U139" s="69">
        <f t="shared" si="161"/>
        <v>0</v>
      </c>
      <c r="V139" s="69">
        <f t="shared" si="162"/>
        <v>0</v>
      </c>
      <c r="X139" s="68">
        <f t="shared" si="164"/>
        <v>74</v>
      </c>
      <c r="Y139" s="68" t="str">
        <f t="shared" si="166"/>
        <v/>
      </c>
      <c r="Z139" s="68" t="str">
        <f t="shared" si="167"/>
        <v/>
      </c>
      <c r="AA139" s="68" t="str">
        <f t="shared" si="168"/>
        <v/>
      </c>
      <c r="AB139" s="227" t="str">
        <f t="shared" si="169"/>
        <v/>
      </c>
      <c r="AC139" s="68" t="str">
        <f t="shared" si="170"/>
        <v/>
      </c>
      <c r="AD139" s="68" t="str">
        <f t="shared" si="171"/>
        <v/>
      </c>
      <c r="AE139" s="68" t="str">
        <f t="shared" si="172"/>
        <v/>
      </c>
      <c r="AF139" s="68" t="str">
        <f t="shared" si="173"/>
        <v/>
      </c>
      <c r="AG139" s="68" t="str">
        <f t="shared" si="174"/>
        <v/>
      </c>
    </row>
    <row r="140" spans="1:33" s="67" customFormat="1">
      <c r="A140" s="18" t="str">
        <f t="shared" si="155"/>
        <v/>
      </c>
      <c r="B140" s="219"/>
      <c r="C140" s="58"/>
      <c r="D140" s="44">
        <f t="shared" si="156"/>
        <v>31</v>
      </c>
      <c r="E140" s="59" t="str">
        <f t="shared" si="157"/>
        <v/>
      </c>
      <c r="F140" s="90" t="str">
        <f t="shared" si="158"/>
        <v/>
      </c>
      <c r="G140" s="190"/>
      <c r="H140" s="203"/>
      <c r="I140" s="191"/>
      <c r="J140" s="42"/>
      <c r="K140" s="39">
        <f>IF(I140="",0,VLOOKUP(I140,'LISTA DE PRECIOS'!A:F,IF(R140="CORO",4,5),FALSE))</f>
        <v>0</v>
      </c>
      <c r="L140" s="206">
        <f t="shared" si="163"/>
        <v>0</v>
      </c>
      <c r="M140" s="217">
        <f>IF(F140="",0,IF(SUMIF('REPORTE GASTOS'!$C$6:$C$210,F140,'REPORTE GASTOS'!$G$6:$G$210)=0,'LISTA DE PRECIOS'!$H$3,SUMIF('REPORTE GASTOS'!$C$6:$C$210,F140,'REPORTE GASTOS'!$I$6:$I$210)/SUMIF('REPORTE GASTOS'!$C$6:$C$210,F140,'REPORTE GASTOS'!$G$6:$G$210)))</f>
        <v>0</v>
      </c>
      <c r="N140" s="12">
        <f t="shared" si="159"/>
        <v>0</v>
      </c>
      <c r="O140" s="43">
        <f t="shared" si="160"/>
        <v>0</v>
      </c>
      <c r="P140" s="70"/>
      <c r="R140" s="68" t="str">
        <f>IF(H140="","",VLOOKUP(H140,'DATOS CLIENTES'!B:F,5,FALSE))</f>
        <v/>
      </c>
      <c r="S140" s="68" t="str">
        <f t="shared" si="165"/>
        <v>031</v>
      </c>
      <c r="U140" s="69">
        <f t="shared" si="161"/>
        <v>0</v>
      </c>
      <c r="V140" s="69">
        <f t="shared" si="162"/>
        <v>0</v>
      </c>
      <c r="X140" s="68">
        <f t="shared" si="164"/>
        <v>74</v>
      </c>
      <c r="Y140" s="68" t="str">
        <f t="shared" si="166"/>
        <v/>
      </c>
      <c r="Z140" s="68" t="str">
        <f t="shared" si="167"/>
        <v/>
      </c>
      <c r="AA140" s="68" t="str">
        <f t="shared" si="168"/>
        <v/>
      </c>
      <c r="AB140" s="227" t="str">
        <f t="shared" si="169"/>
        <v/>
      </c>
      <c r="AC140" s="68" t="str">
        <f t="shared" si="170"/>
        <v/>
      </c>
      <c r="AD140" s="68" t="str">
        <f t="shared" si="171"/>
        <v/>
      </c>
      <c r="AE140" s="68" t="str">
        <f t="shared" si="172"/>
        <v/>
      </c>
      <c r="AF140" s="68" t="str">
        <f t="shared" si="173"/>
        <v/>
      </c>
      <c r="AG140" s="68" t="str">
        <f t="shared" si="174"/>
        <v/>
      </c>
    </row>
    <row r="141" spans="1:33" s="67" customFormat="1">
      <c r="A141" s="18" t="str">
        <f t="shared" si="155"/>
        <v/>
      </c>
      <c r="B141" s="219"/>
      <c r="C141" s="58"/>
      <c r="D141" s="44">
        <f t="shared" si="156"/>
        <v>31</v>
      </c>
      <c r="E141" s="59" t="str">
        <f t="shared" si="157"/>
        <v/>
      </c>
      <c r="F141" s="90" t="str">
        <f t="shared" si="158"/>
        <v/>
      </c>
      <c r="G141" s="190"/>
      <c r="H141" s="203"/>
      <c r="I141" s="191"/>
      <c r="J141" s="42"/>
      <c r="K141" s="39">
        <f>IF(I141="",0,VLOOKUP(I141,'LISTA DE PRECIOS'!A:F,IF(R141="CORO",4,5),FALSE))</f>
        <v>0</v>
      </c>
      <c r="L141" s="206">
        <f t="shared" si="163"/>
        <v>0</v>
      </c>
      <c r="M141" s="217">
        <f>IF(F141="",0,IF(SUMIF('REPORTE GASTOS'!$C$6:$C$210,F141,'REPORTE GASTOS'!$G$6:$G$210)=0,'LISTA DE PRECIOS'!$H$3,SUMIF('REPORTE GASTOS'!$C$6:$C$210,F141,'REPORTE GASTOS'!$I$6:$I$210)/SUMIF('REPORTE GASTOS'!$C$6:$C$210,F141,'REPORTE GASTOS'!$G$6:$G$210)))</f>
        <v>0</v>
      </c>
      <c r="N141" s="12">
        <f t="shared" si="159"/>
        <v>0</v>
      </c>
      <c r="O141" s="43">
        <f t="shared" si="160"/>
        <v>0</v>
      </c>
      <c r="P141" s="70"/>
      <c r="R141" s="68" t="str">
        <f>IF(H141="","",VLOOKUP(H141,'DATOS CLIENTES'!B:F,5,FALSE))</f>
        <v/>
      </c>
      <c r="S141" s="68" t="str">
        <f t="shared" si="165"/>
        <v>031</v>
      </c>
      <c r="U141" s="69">
        <f t="shared" si="161"/>
        <v>0</v>
      </c>
      <c r="V141" s="69">
        <f t="shared" si="162"/>
        <v>0</v>
      </c>
      <c r="X141" s="68">
        <f t="shared" si="164"/>
        <v>74</v>
      </c>
      <c r="Y141" s="68" t="str">
        <f t="shared" si="166"/>
        <v/>
      </c>
      <c r="Z141" s="68" t="str">
        <f t="shared" si="167"/>
        <v/>
      </c>
      <c r="AA141" s="68" t="str">
        <f t="shared" si="168"/>
        <v/>
      </c>
      <c r="AB141" s="227" t="str">
        <f t="shared" si="169"/>
        <v/>
      </c>
      <c r="AC141" s="68" t="str">
        <f t="shared" si="170"/>
        <v/>
      </c>
      <c r="AD141" s="68" t="str">
        <f t="shared" si="171"/>
        <v/>
      </c>
      <c r="AE141" s="68" t="str">
        <f t="shared" si="172"/>
        <v/>
      </c>
      <c r="AF141" s="68" t="str">
        <f t="shared" si="173"/>
        <v/>
      </c>
      <c r="AG141" s="68" t="str">
        <f t="shared" si="174"/>
        <v/>
      </c>
    </row>
    <row r="142" spans="1:33" s="67" customFormat="1">
      <c r="A142" s="18" t="str">
        <f t="shared" si="155"/>
        <v/>
      </c>
      <c r="B142" s="219"/>
      <c r="C142" s="58"/>
      <c r="D142" s="44">
        <f t="shared" si="156"/>
        <v>31</v>
      </c>
      <c r="E142" s="59" t="str">
        <f t="shared" si="157"/>
        <v/>
      </c>
      <c r="F142" s="90" t="str">
        <f t="shared" si="158"/>
        <v/>
      </c>
      <c r="G142" s="190"/>
      <c r="H142" s="203"/>
      <c r="I142" s="191"/>
      <c r="J142" s="42"/>
      <c r="K142" s="39">
        <f>IF(I142="",0,VLOOKUP(I142,'LISTA DE PRECIOS'!A:F,IF(R142="CORO",4,5),FALSE))</f>
        <v>0</v>
      </c>
      <c r="L142" s="206">
        <f t="shared" si="163"/>
        <v>0</v>
      </c>
      <c r="M142" s="217">
        <f>IF(F142="",0,IF(SUMIF('REPORTE GASTOS'!$C$6:$C$210,F142,'REPORTE GASTOS'!$G$6:$G$210)=0,'LISTA DE PRECIOS'!$H$3,SUMIF('REPORTE GASTOS'!$C$6:$C$210,F142,'REPORTE GASTOS'!$I$6:$I$210)/SUMIF('REPORTE GASTOS'!$C$6:$C$210,F142,'REPORTE GASTOS'!$G$6:$G$210)))</f>
        <v>0</v>
      </c>
      <c r="N142" s="12">
        <f t="shared" si="159"/>
        <v>0</v>
      </c>
      <c r="O142" s="43">
        <f t="shared" si="160"/>
        <v>0</v>
      </c>
      <c r="P142" s="70"/>
      <c r="R142" s="68" t="str">
        <f>IF(H142="","",VLOOKUP(H142,'DATOS CLIENTES'!B:F,5,FALSE))</f>
        <v/>
      </c>
      <c r="S142" s="68" t="str">
        <f t="shared" si="165"/>
        <v>031</v>
      </c>
      <c r="U142" s="69">
        <f t="shared" si="161"/>
        <v>0</v>
      </c>
      <c r="V142" s="69">
        <f t="shared" si="162"/>
        <v>0</v>
      </c>
      <c r="X142" s="68">
        <f t="shared" si="164"/>
        <v>74</v>
      </c>
      <c r="Y142" s="68" t="str">
        <f t="shared" si="166"/>
        <v/>
      </c>
      <c r="Z142" s="68" t="str">
        <f t="shared" si="167"/>
        <v/>
      </c>
      <c r="AA142" s="68" t="str">
        <f t="shared" si="168"/>
        <v/>
      </c>
      <c r="AB142" s="227" t="str">
        <f t="shared" si="169"/>
        <v/>
      </c>
      <c r="AC142" s="68" t="str">
        <f t="shared" si="170"/>
        <v/>
      </c>
      <c r="AD142" s="68" t="str">
        <f t="shared" si="171"/>
        <v/>
      </c>
      <c r="AE142" s="68" t="str">
        <f t="shared" si="172"/>
        <v/>
      </c>
      <c r="AF142" s="68" t="str">
        <f t="shared" si="173"/>
        <v/>
      </c>
      <c r="AG142" s="68" t="str">
        <f t="shared" si="174"/>
        <v/>
      </c>
    </row>
    <row r="143" spans="1:33" s="67" customFormat="1">
      <c r="A143" s="18" t="str">
        <f t="shared" si="155"/>
        <v/>
      </c>
      <c r="B143" s="219"/>
      <c r="C143" s="58"/>
      <c r="D143" s="44">
        <f t="shared" si="156"/>
        <v>31</v>
      </c>
      <c r="E143" s="59" t="str">
        <f t="shared" si="157"/>
        <v/>
      </c>
      <c r="F143" s="90" t="str">
        <f t="shared" si="158"/>
        <v/>
      </c>
      <c r="G143" s="190"/>
      <c r="H143" s="203"/>
      <c r="I143" s="191"/>
      <c r="J143" s="42"/>
      <c r="K143" s="39">
        <f>IF(I143="",0,VLOOKUP(I143,'LISTA DE PRECIOS'!A:F,IF(R143="CORO",4,5),FALSE))</f>
        <v>0</v>
      </c>
      <c r="L143" s="206">
        <f t="shared" si="163"/>
        <v>0</v>
      </c>
      <c r="M143" s="217">
        <f>IF(F143="",0,IF(SUMIF('REPORTE GASTOS'!$C$6:$C$210,F143,'REPORTE GASTOS'!$G$6:$G$210)=0,'LISTA DE PRECIOS'!$H$3,SUMIF('REPORTE GASTOS'!$C$6:$C$210,F143,'REPORTE GASTOS'!$I$6:$I$210)/SUMIF('REPORTE GASTOS'!$C$6:$C$210,F143,'REPORTE GASTOS'!$G$6:$G$210)))</f>
        <v>0</v>
      </c>
      <c r="N143" s="12">
        <f t="shared" si="159"/>
        <v>0</v>
      </c>
      <c r="O143" s="43">
        <f t="shared" si="160"/>
        <v>0</v>
      </c>
      <c r="P143" s="70"/>
      <c r="R143" s="68" t="str">
        <f>IF(H143="","",VLOOKUP(H143,'DATOS CLIENTES'!B:F,5,FALSE))</f>
        <v/>
      </c>
      <c r="S143" s="68" t="str">
        <f t="shared" si="165"/>
        <v>031</v>
      </c>
      <c r="U143" s="69">
        <f t="shared" si="161"/>
        <v>0</v>
      </c>
      <c r="V143" s="69">
        <f t="shared" si="162"/>
        <v>0</v>
      </c>
      <c r="X143" s="68">
        <f t="shared" si="164"/>
        <v>74</v>
      </c>
      <c r="Y143" s="68" t="str">
        <f t="shared" si="166"/>
        <v/>
      </c>
      <c r="Z143" s="68" t="str">
        <f t="shared" si="167"/>
        <v/>
      </c>
      <c r="AA143" s="68" t="str">
        <f t="shared" si="168"/>
        <v/>
      </c>
      <c r="AB143" s="227" t="str">
        <f t="shared" si="169"/>
        <v/>
      </c>
      <c r="AC143" s="68" t="str">
        <f t="shared" si="170"/>
        <v/>
      </c>
      <c r="AD143" s="68" t="str">
        <f t="shared" si="171"/>
        <v/>
      </c>
      <c r="AE143" s="68" t="str">
        <f t="shared" si="172"/>
        <v/>
      </c>
      <c r="AF143" s="68" t="str">
        <f t="shared" si="173"/>
        <v/>
      </c>
      <c r="AG143" s="68" t="str">
        <f t="shared" si="174"/>
        <v/>
      </c>
    </row>
    <row r="144" spans="1:33" s="67" customFormat="1">
      <c r="A144" s="18" t="str">
        <f t="shared" si="155"/>
        <v/>
      </c>
      <c r="B144" s="219"/>
      <c r="C144" s="58"/>
      <c r="D144" s="44">
        <f t="shared" si="156"/>
        <v>31</v>
      </c>
      <c r="E144" s="59" t="str">
        <f t="shared" si="157"/>
        <v/>
      </c>
      <c r="F144" s="91" t="str">
        <f t="shared" si="158"/>
        <v/>
      </c>
      <c r="G144" s="215"/>
      <c r="H144" s="216"/>
      <c r="I144" s="216"/>
      <c r="J144" s="192"/>
      <c r="K144" s="39">
        <f>IF(I144="",0,VLOOKUP(I144,'LISTA DE PRECIOS'!A:F,IF(R144="CORO",4,5),FALSE))</f>
        <v>0</v>
      </c>
      <c r="L144" s="206">
        <f t="shared" si="163"/>
        <v>0</v>
      </c>
      <c r="M144" s="217">
        <f>IF(F144="",0,IF(SUMIF('REPORTE GASTOS'!$C$6:$C$210,F144,'REPORTE GASTOS'!$G$6:$G$210)=0,'LISTA DE PRECIOS'!$H$3,SUMIF('REPORTE GASTOS'!$C$6:$C$210,F144,'REPORTE GASTOS'!$I$6:$I$210)/SUMIF('REPORTE GASTOS'!$C$6:$C$210,F144,'REPORTE GASTOS'!$G$6:$G$210)))</f>
        <v>0</v>
      </c>
      <c r="N144" s="12">
        <f t="shared" si="159"/>
        <v>0</v>
      </c>
      <c r="O144" s="43">
        <f t="shared" si="160"/>
        <v>0</v>
      </c>
      <c r="P144" s="70"/>
      <c r="R144" s="68" t="str">
        <f>IF(H144="","",VLOOKUP(H144,'DATOS CLIENTES'!B:F,5,FALSE))</f>
        <v/>
      </c>
      <c r="S144" s="68" t="str">
        <f t="shared" si="165"/>
        <v>031</v>
      </c>
      <c r="U144" s="69">
        <f t="shared" si="161"/>
        <v>0</v>
      </c>
      <c r="V144" s="69">
        <f t="shared" si="162"/>
        <v>0</v>
      </c>
      <c r="X144" s="68">
        <f t="shared" si="164"/>
        <v>74</v>
      </c>
      <c r="Y144" s="68" t="str">
        <f t="shared" si="166"/>
        <v/>
      </c>
      <c r="Z144" s="68" t="str">
        <f t="shared" si="167"/>
        <v/>
      </c>
      <c r="AA144" s="68" t="str">
        <f t="shared" si="168"/>
        <v/>
      </c>
      <c r="AB144" s="227" t="str">
        <f t="shared" si="169"/>
        <v/>
      </c>
      <c r="AC144" s="68" t="str">
        <f t="shared" si="170"/>
        <v/>
      </c>
      <c r="AD144" s="68" t="str">
        <f t="shared" si="171"/>
        <v/>
      </c>
      <c r="AE144" s="68" t="str">
        <f t="shared" si="172"/>
        <v/>
      </c>
      <c r="AF144" s="68" t="str">
        <f t="shared" si="173"/>
        <v/>
      </c>
      <c r="AG144" s="68" t="str">
        <f t="shared" si="174"/>
        <v/>
      </c>
    </row>
    <row r="145" spans="1:33" s="67" customFormat="1">
      <c r="A145" s="18" t="str">
        <f t="shared" si="155"/>
        <v/>
      </c>
      <c r="B145" s="219"/>
      <c r="C145" s="58"/>
      <c r="D145" s="44">
        <f t="shared" si="156"/>
        <v>31</v>
      </c>
      <c r="E145" s="59" t="str">
        <f t="shared" si="157"/>
        <v/>
      </c>
      <c r="F145" s="91" t="str">
        <f t="shared" si="158"/>
        <v/>
      </c>
      <c r="G145" s="215"/>
      <c r="H145" s="216"/>
      <c r="I145" s="216"/>
      <c r="J145" s="192"/>
      <c r="K145" s="39">
        <f>IF(I145="",0,VLOOKUP(I145,'LISTA DE PRECIOS'!A:F,IF(R145="CORO",4,5),FALSE))</f>
        <v>0</v>
      </c>
      <c r="L145" s="206">
        <f t="shared" si="163"/>
        <v>0</v>
      </c>
      <c r="M145" s="217">
        <f>IF(F145="",0,IF(SUMIF('REPORTE GASTOS'!$C$6:$C$210,F145,'REPORTE GASTOS'!$G$6:$G$210)=0,'LISTA DE PRECIOS'!$H$3,SUMIF('REPORTE GASTOS'!$C$6:$C$210,F145,'REPORTE GASTOS'!$I$6:$I$210)/SUMIF('REPORTE GASTOS'!$C$6:$C$210,F145,'REPORTE GASTOS'!$G$6:$G$210)))</f>
        <v>0</v>
      </c>
      <c r="N145" s="12">
        <f t="shared" si="159"/>
        <v>0</v>
      </c>
      <c r="O145" s="43">
        <f t="shared" si="160"/>
        <v>0</v>
      </c>
      <c r="P145" s="70"/>
      <c r="R145" s="68" t="str">
        <f>IF(H145="","",VLOOKUP(H145,'DATOS CLIENTES'!B:F,5,FALSE))</f>
        <v/>
      </c>
      <c r="S145" s="68" t="str">
        <f t="shared" si="165"/>
        <v>031</v>
      </c>
      <c r="U145" s="69">
        <f t="shared" si="161"/>
        <v>0</v>
      </c>
      <c r="V145" s="69">
        <f t="shared" si="162"/>
        <v>0</v>
      </c>
      <c r="X145" s="68">
        <f t="shared" si="164"/>
        <v>74</v>
      </c>
      <c r="Y145" s="68" t="str">
        <f t="shared" si="166"/>
        <v/>
      </c>
      <c r="Z145" s="68" t="str">
        <f t="shared" si="167"/>
        <v/>
      </c>
      <c r="AA145" s="68" t="str">
        <f t="shared" si="168"/>
        <v/>
      </c>
      <c r="AB145" s="227" t="str">
        <f t="shared" si="169"/>
        <v/>
      </c>
      <c r="AC145" s="68" t="str">
        <f t="shared" si="170"/>
        <v/>
      </c>
      <c r="AD145" s="68" t="str">
        <f t="shared" si="171"/>
        <v/>
      </c>
      <c r="AE145" s="68" t="str">
        <f t="shared" si="172"/>
        <v/>
      </c>
      <c r="AF145" s="68" t="str">
        <f t="shared" si="173"/>
        <v/>
      </c>
      <c r="AG145" s="68" t="str">
        <f t="shared" si="174"/>
        <v/>
      </c>
    </row>
    <row r="146" spans="1:33" s="67" customFormat="1">
      <c r="A146" s="18" t="str">
        <f t="shared" si="155"/>
        <v/>
      </c>
      <c r="B146" s="219"/>
      <c r="C146" s="58"/>
      <c r="D146" s="44">
        <f t="shared" si="156"/>
        <v>31</v>
      </c>
      <c r="E146" s="59" t="str">
        <f t="shared" si="157"/>
        <v/>
      </c>
      <c r="F146" s="91" t="str">
        <f t="shared" si="158"/>
        <v/>
      </c>
      <c r="G146" s="215"/>
      <c r="H146" s="216"/>
      <c r="I146" s="216"/>
      <c r="J146" s="192"/>
      <c r="K146" s="39">
        <f>IF(I146="",0,VLOOKUP(I146,'LISTA DE PRECIOS'!A:F,IF(R146="CORO",4,5),FALSE))</f>
        <v>0</v>
      </c>
      <c r="L146" s="206">
        <f t="shared" si="163"/>
        <v>0</v>
      </c>
      <c r="M146" s="217">
        <f>IF(F146="",0,IF(SUMIF('REPORTE GASTOS'!$C$6:$C$210,F146,'REPORTE GASTOS'!$G$6:$G$210)=0,'LISTA DE PRECIOS'!$H$3,SUMIF('REPORTE GASTOS'!$C$6:$C$210,F146,'REPORTE GASTOS'!$I$6:$I$210)/SUMIF('REPORTE GASTOS'!$C$6:$C$210,F146,'REPORTE GASTOS'!$G$6:$G$210)))</f>
        <v>0</v>
      </c>
      <c r="N146" s="12">
        <f t="shared" si="159"/>
        <v>0</v>
      </c>
      <c r="O146" s="43">
        <f t="shared" si="160"/>
        <v>0</v>
      </c>
      <c r="P146" s="70"/>
      <c r="R146" s="68" t="str">
        <f>IF(H146="","",VLOOKUP(H146,'DATOS CLIENTES'!B:F,5,FALSE))</f>
        <v/>
      </c>
      <c r="S146" s="68" t="str">
        <f t="shared" si="165"/>
        <v>031</v>
      </c>
      <c r="U146" s="69">
        <f t="shared" si="161"/>
        <v>0</v>
      </c>
      <c r="V146" s="69">
        <f t="shared" si="162"/>
        <v>0</v>
      </c>
      <c r="X146" s="68">
        <f t="shared" si="164"/>
        <v>74</v>
      </c>
      <c r="Y146" s="68" t="str">
        <f t="shared" si="166"/>
        <v/>
      </c>
      <c r="Z146" s="68" t="str">
        <f t="shared" si="167"/>
        <v/>
      </c>
      <c r="AA146" s="68" t="str">
        <f t="shared" si="168"/>
        <v/>
      </c>
      <c r="AB146" s="227" t="str">
        <f t="shared" si="169"/>
        <v/>
      </c>
      <c r="AC146" s="68" t="str">
        <f t="shared" si="170"/>
        <v/>
      </c>
      <c r="AD146" s="68" t="str">
        <f t="shared" si="171"/>
        <v/>
      </c>
      <c r="AE146" s="68" t="str">
        <f t="shared" si="172"/>
        <v/>
      </c>
      <c r="AF146" s="68" t="str">
        <f t="shared" si="173"/>
        <v/>
      </c>
      <c r="AG146" s="68" t="str">
        <f t="shared" si="174"/>
        <v/>
      </c>
    </row>
    <row r="147" spans="1:33" s="67" customFormat="1">
      <c r="A147" s="18" t="str">
        <f t="shared" si="155"/>
        <v/>
      </c>
      <c r="B147" s="219"/>
      <c r="C147" s="58"/>
      <c r="D147" s="44">
        <f t="shared" si="156"/>
        <v>31</v>
      </c>
      <c r="E147" s="59" t="str">
        <f t="shared" si="157"/>
        <v/>
      </c>
      <c r="F147" s="91" t="str">
        <f t="shared" si="158"/>
        <v/>
      </c>
      <c r="G147" s="215"/>
      <c r="H147" s="216"/>
      <c r="I147" s="216"/>
      <c r="J147" s="192"/>
      <c r="K147" s="39">
        <f>IF(I147="",0,VLOOKUP(I147,'LISTA DE PRECIOS'!A:F,IF(R147="CORO",4,5),FALSE))</f>
        <v>0</v>
      </c>
      <c r="L147" s="206">
        <f t="shared" si="163"/>
        <v>0</v>
      </c>
      <c r="M147" s="217">
        <f>IF(F147="",0,IF(SUMIF('REPORTE GASTOS'!$C$6:$C$210,F147,'REPORTE GASTOS'!$G$6:$G$210)=0,'LISTA DE PRECIOS'!$H$3,SUMIF('REPORTE GASTOS'!$C$6:$C$210,F147,'REPORTE GASTOS'!$I$6:$I$210)/SUMIF('REPORTE GASTOS'!$C$6:$C$210,F147,'REPORTE GASTOS'!$G$6:$G$210)))</f>
        <v>0</v>
      </c>
      <c r="N147" s="12">
        <f t="shared" si="159"/>
        <v>0</v>
      </c>
      <c r="O147" s="43">
        <f t="shared" si="160"/>
        <v>0</v>
      </c>
      <c r="P147" s="70"/>
      <c r="R147" s="68" t="str">
        <f>IF(H147="","",VLOOKUP(H147,'DATOS CLIENTES'!B:F,5,FALSE))</f>
        <v/>
      </c>
      <c r="S147" s="68" t="str">
        <f t="shared" si="165"/>
        <v>031</v>
      </c>
      <c r="U147" s="69">
        <f t="shared" si="161"/>
        <v>0</v>
      </c>
      <c r="V147" s="69">
        <f t="shared" si="162"/>
        <v>0</v>
      </c>
      <c r="X147" s="68">
        <f t="shared" si="164"/>
        <v>74</v>
      </c>
      <c r="Y147" s="68" t="str">
        <f t="shared" si="166"/>
        <v/>
      </c>
      <c r="Z147" s="68" t="str">
        <f t="shared" si="167"/>
        <v/>
      </c>
      <c r="AA147" s="68" t="str">
        <f t="shared" si="168"/>
        <v/>
      </c>
      <c r="AB147" s="227" t="str">
        <f t="shared" si="169"/>
        <v/>
      </c>
      <c r="AC147" s="68" t="str">
        <f t="shared" si="170"/>
        <v/>
      </c>
      <c r="AD147" s="68" t="str">
        <f t="shared" si="171"/>
        <v/>
      </c>
      <c r="AE147" s="68" t="str">
        <f t="shared" si="172"/>
        <v/>
      </c>
      <c r="AF147" s="68" t="str">
        <f t="shared" si="173"/>
        <v/>
      </c>
      <c r="AG147" s="68" t="str">
        <f t="shared" si="174"/>
        <v/>
      </c>
    </row>
    <row r="148" spans="1:33" s="67" customFormat="1">
      <c r="A148" s="18" t="str">
        <f t="shared" si="155"/>
        <v/>
      </c>
      <c r="B148" s="219"/>
      <c r="C148" s="58"/>
      <c r="D148" s="44">
        <f t="shared" si="156"/>
        <v>31</v>
      </c>
      <c r="E148" s="59" t="str">
        <f t="shared" si="157"/>
        <v/>
      </c>
      <c r="F148" s="90" t="str">
        <f t="shared" si="158"/>
        <v/>
      </c>
      <c r="G148" s="190"/>
      <c r="H148" s="203"/>
      <c r="I148" s="191"/>
      <c r="J148" s="42"/>
      <c r="K148" s="39">
        <f>IF(I148="",0,VLOOKUP(I148,'LISTA DE PRECIOS'!A:F,IF(R148="CORO",4,5),FALSE))</f>
        <v>0</v>
      </c>
      <c r="L148" s="206">
        <f t="shared" si="163"/>
        <v>0</v>
      </c>
      <c r="M148" s="217">
        <f>IF(F148="",0,IF(SUMIF('REPORTE GASTOS'!$C$6:$C$210,F148,'REPORTE GASTOS'!$G$6:$G$210)=0,'LISTA DE PRECIOS'!$H$3,SUMIF('REPORTE GASTOS'!$C$6:$C$210,F148,'REPORTE GASTOS'!$I$6:$I$210)/SUMIF('REPORTE GASTOS'!$C$6:$C$210,F148,'REPORTE GASTOS'!$G$6:$G$210)))</f>
        <v>0</v>
      </c>
      <c r="N148" s="12">
        <f t="shared" si="159"/>
        <v>0</v>
      </c>
      <c r="O148" s="43">
        <f t="shared" si="160"/>
        <v>0</v>
      </c>
      <c r="P148" s="70"/>
      <c r="R148" s="68" t="str">
        <f>IF(H148="","",VLOOKUP(H148,'DATOS CLIENTES'!B:F,5,FALSE))</f>
        <v/>
      </c>
      <c r="S148" s="68" t="str">
        <f t="shared" si="165"/>
        <v>031</v>
      </c>
      <c r="U148" s="69">
        <f t="shared" si="161"/>
        <v>0</v>
      </c>
      <c r="V148" s="69">
        <f t="shared" si="162"/>
        <v>0</v>
      </c>
      <c r="X148" s="68">
        <f t="shared" si="164"/>
        <v>74</v>
      </c>
      <c r="Y148" s="68" t="str">
        <f t="shared" si="166"/>
        <v/>
      </c>
      <c r="Z148" s="68" t="str">
        <f t="shared" si="167"/>
        <v/>
      </c>
      <c r="AA148" s="68" t="str">
        <f t="shared" si="168"/>
        <v/>
      </c>
      <c r="AB148" s="227" t="str">
        <f t="shared" si="169"/>
        <v/>
      </c>
      <c r="AC148" s="68" t="str">
        <f t="shared" si="170"/>
        <v/>
      </c>
      <c r="AD148" s="68" t="str">
        <f t="shared" si="171"/>
        <v/>
      </c>
      <c r="AE148" s="68" t="str">
        <f t="shared" si="172"/>
        <v/>
      </c>
      <c r="AF148" s="68" t="str">
        <f t="shared" si="173"/>
        <v/>
      </c>
      <c r="AG148" s="68" t="str">
        <f t="shared" si="174"/>
        <v/>
      </c>
    </row>
    <row r="149" spans="1:33" s="67" customFormat="1">
      <c r="A149" s="18" t="str">
        <f t="shared" si="155"/>
        <v/>
      </c>
      <c r="B149" s="219"/>
      <c r="C149" s="58"/>
      <c r="D149" s="44">
        <f t="shared" si="156"/>
        <v>31</v>
      </c>
      <c r="E149" s="59" t="str">
        <f t="shared" si="157"/>
        <v/>
      </c>
      <c r="F149" s="90" t="str">
        <f t="shared" si="158"/>
        <v/>
      </c>
      <c r="G149" s="190"/>
      <c r="H149" s="203"/>
      <c r="I149" s="191"/>
      <c r="J149" s="42"/>
      <c r="K149" s="39">
        <f>IF(I149="",0,VLOOKUP(I149,'LISTA DE PRECIOS'!A:F,IF(R149="CORO",4,5),FALSE))</f>
        <v>0</v>
      </c>
      <c r="L149" s="206">
        <f t="shared" si="163"/>
        <v>0</v>
      </c>
      <c r="M149" s="217">
        <f>IF(F149="",0,IF(SUMIF('REPORTE GASTOS'!$C$6:$C$210,F149,'REPORTE GASTOS'!$G$6:$G$210)=0,'LISTA DE PRECIOS'!$H$3,SUMIF('REPORTE GASTOS'!$C$6:$C$210,F149,'REPORTE GASTOS'!$I$6:$I$210)/SUMIF('REPORTE GASTOS'!$C$6:$C$210,F149,'REPORTE GASTOS'!$G$6:$G$210)))</f>
        <v>0</v>
      </c>
      <c r="N149" s="12">
        <f t="shared" si="159"/>
        <v>0</v>
      </c>
      <c r="O149" s="43">
        <f t="shared" si="160"/>
        <v>0</v>
      </c>
      <c r="P149" s="70"/>
      <c r="R149" s="68" t="str">
        <f>IF(H149="","",VLOOKUP(H149,'DATOS CLIENTES'!B:F,5,FALSE))</f>
        <v/>
      </c>
      <c r="S149" s="68" t="str">
        <f t="shared" si="165"/>
        <v>031</v>
      </c>
      <c r="U149" s="69">
        <f t="shared" si="161"/>
        <v>0</v>
      </c>
      <c r="V149" s="69">
        <f t="shared" si="162"/>
        <v>0</v>
      </c>
      <c r="X149" s="68">
        <f t="shared" si="164"/>
        <v>74</v>
      </c>
      <c r="Y149" s="68" t="str">
        <f t="shared" si="166"/>
        <v/>
      </c>
      <c r="Z149" s="68" t="str">
        <f t="shared" si="167"/>
        <v/>
      </c>
      <c r="AA149" s="68" t="str">
        <f t="shared" si="168"/>
        <v/>
      </c>
      <c r="AB149" s="227" t="str">
        <f t="shared" si="169"/>
        <v/>
      </c>
      <c r="AC149" s="68" t="str">
        <f t="shared" si="170"/>
        <v/>
      </c>
      <c r="AD149" s="68" t="str">
        <f t="shared" si="171"/>
        <v/>
      </c>
      <c r="AE149" s="68" t="str">
        <f t="shared" si="172"/>
        <v/>
      </c>
      <c r="AF149" s="68" t="str">
        <f t="shared" si="173"/>
        <v/>
      </c>
      <c r="AG149" s="68" t="str">
        <f t="shared" si="174"/>
        <v/>
      </c>
    </row>
    <row r="150" spans="1:33" s="67" customFormat="1">
      <c r="A150" s="18" t="str">
        <f t="shared" si="155"/>
        <v/>
      </c>
      <c r="B150" s="219"/>
      <c r="C150" s="58"/>
      <c r="D150" s="44">
        <f t="shared" si="156"/>
        <v>31</v>
      </c>
      <c r="E150" s="59" t="str">
        <f t="shared" si="157"/>
        <v/>
      </c>
      <c r="F150" s="90" t="str">
        <f t="shared" si="158"/>
        <v/>
      </c>
      <c r="G150" s="190"/>
      <c r="H150" s="203"/>
      <c r="I150" s="191"/>
      <c r="J150" s="42"/>
      <c r="K150" s="39">
        <f>IF(I150="",0,VLOOKUP(I150,'LISTA DE PRECIOS'!A:F,IF(R150="CORO",4,5),FALSE))</f>
        <v>0</v>
      </c>
      <c r="L150" s="206">
        <f t="shared" si="163"/>
        <v>0</v>
      </c>
      <c r="M150" s="217">
        <f>IF(F150="",0,IF(SUMIF('REPORTE GASTOS'!$C$6:$C$210,F150,'REPORTE GASTOS'!$G$6:$G$210)=0,'LISTA DE PRECIOS'!$H$3,SUMIF('REPORTE GASTOS'!$C$6:$C$210,F150,'REPORTE GASTOS'!$I$6:$I$210)/SUMIF('REPORTE GASTOS'!$C$6:$C$210,F150,'REPORTE GASTOS'!$G$6:$G$210)))</f>
        <v>0</v>
      </c>
      <c r="N150" s="12">
        <f t="shared" si="159"/>
        <v>0</v>
      </c>
      <c r="O150" s="43">
        <f t="shared" si="160"/>
        <v>0</v>
      </c>
      <c r="P150" s="70"/>
      <c r="R150" s="68" t="str">
        <f>IF(H150="","",VLOOKUP(H150,'DATOS CLIENTES'!B:F,5,FALSE))</f>
        <v/>
      </c>
      <c r="S150" s="68" t="str">
        <f t="shared" si="165"/>
        <v>031</v>
      </c>
      <c r="U150" s="69">
        <f t="shared" si="161"/>
        <v>0</v>
      </c>
      <c r="V150" s="69">
        <f t="shared" si="162"/>
        <v>0</v>
      </c>
      <c r="X150" s="68">
        <f t="shared" si="164"/>
        <v>74</v>
      </c>
      <c r="Y150" s="68" t="str">
        <f t="shared" si="166"/>
        <v/>
      </c>
      <c r="Z150" s="68" t="str">
        <f t="shared" si="167"/>
        <v/>
      </c>
      <c r="AA150" s="68" t="str">
        <f t="shared" si="168"/>
        <v/>
      </c>
      <c r="AB150" s="227" t="str">
        <f t="shared" si="169"/>
        <v/>
      </c>
      <c r="AC150" s="68" t="str">
        <f t="shared" si="170"/>
        <v/>
      </c>
      <c r="AD150" s="68" t="str">
        <f t="shared" si="171"/>
        <v/>
      </c>
      <c r="AE150" s="68" t="str">
        <f t="shared" si="172"/>
        <v/>
      </c>
      <c r="AF150" s="68" t="str">
        <f t="shared" si="173"/>
        <v/>
      </c>
      <c r="AG150" s="68" t="str">
        <f t="shared" si="174"/>
        <v/>
      </c>
    </row>
    <row r="151" spans="1:33" s="67" customFormat="1">
      <c r="A151" s="18" t="str">
        <f t="shared" si="155"/>
        <v/>
      </c>
      <c r="B151" s="219"/>
      <c r="C151" s="58"/>
      <c r="D151" s="44">
        <f t="shared" si="156"/>
        <v>31</v>
      </c>
      <c r="E151" s="59" t="str">
        <f t="shared" si="157"/>
        <v/>
      </c>
      <c r="F151" s="90" t="str">
        <f t="shared" si="158"/>
        <v/>
      </c>
      <c r="G151" s="190"/>
      <c r="H151" s="203"/>
      <c r="I151" s="191"/>
      <c r="J151" s="42"/>
      <c r="K151" s="39">
        <f>IF(I151="",0,VLOOKUP(I151,'LISTA DE PRECIOS'!A:F,IF(R151="CORO",4,5),FALSE))</f>
        <v>0</v>
      </c>
      <c r="L151" s="206">
        <f t="shared" si="163"/>
        <v>0</v>
      </c>
      <c r="M151" s="217">
        <f>IF(F151="",0,IF(SUMIF('REPORTE GASTOS'!$C$6:$C$210,F151,'REPORTE GASTOS'!$G$6:$G$210)=0,'LISTA DE PRECIOS'!$H$3,SUMIF('REPORTE GASTOS'!$C$6:$C$210,F151,'REPORTE GASTOS'!$I$6:$I$210)/SUMIF('REPORTE GASTOS'!$C$6:$C$210,F151,'REPORTE GASTOS'!$G$6:$G$210)))</f>
        <v>0</v>
      </c>
      <c r="N151" s="12">
        <f t="shared" si="159"/>
        <v>0</v>
      </c>
      <c r="O151" s="43">
        <f t="shared" si="160"/>
        <v>0</v>
      </c>
      <c r="P151" s="70"/>
      <c r="R151" s="68" t="str">
        <f>IF(H151="","",VLOOKUP(H151,'DATOS CLIENTES'!B:F,5,FALSE))</f>
        <v/>
      </c>
      <c r="S151" s="68" t="str">
        <f t="shared" si="165"/>
        <v>031</v>
      </c>
      <c r="U151" s="69">
        <f t="shared" si="161"/>
        <v>0</v>
      </c>
      <c r="V151" s="69">
        <f t="shared" si="162"/>
        <v>0</v>
      </c>
      <c r="X151" s="68">
        <f t="shared" si="164"/>
        <v>74</v>
      </c>
      <c r="Y151" s="68" t="str">
        <f t="shared" si="166"/>
        <v/>
      </c>
      <c r="Z151" s="68" t="str">
        <f t="shared" si="167"/>
        <v/>
      </c>
      <c r="AA151" s="68" t="str">
        <f t="shared" si="168"/>
        <v/>
      </c>
      <c r="AB151" s="227" t="str">
        <f t="shared" si="169"/>
        <v/>
      </c>
      <c r="AC151" s="68" t="str">
        <f t="shared" si="170"/>
        <v/>
      </c>
      <c r="AD151" s="68" t="str">
        <f t="shared" si="171"/>
        <v/>
      </c>
      <c r="AE151" s="68" t="str">
        <f t="shared" si="172"/>
        <v/>
      </c>
      <c r="AF151" s="68" t="str">
        <f t="shared" si="173"/>
        <v/>
      </c>
      <c r="AG151" s="68" t="str">
        <f t="shared" si="174"/>
        <v/>
      </c>
    </row>
    <row r="152" spans="1:33" s="67" customFormat="1">
      <c r="A152" s="18" t="str">
        <f t="shared" si="155"/>
        <v/>
      </c>
      <c r="B152" s="219"/>
      <c r="C152" s="58"/>
      <c r="D152" s="44">
        <f t="shared" si="156"/>
        <v>31</v>
      </c>
      <c r="E152" s="59" t="str">
        <f t="shared" si="157"/>
        <v/>
      </c>
      <c r="F152" s="90" t="str">
        <f t="shared" si="158"/>
        <v/>
      </c>
      <c r="G152" s="190"/>
      <c r="H152" s="203"/>
      <c r="I152" s="191"/>
      <c r="J152" s="42"/>
      <c r="K152" s="39">
        <f>IF(I152="",0,VLOOKUP(I152,'LISTA DE PRECIOS'!A:F,IF(R152="CORO",4,5),FALSE))</f>
        <v>0</v>
      </c>
      <c r="L152" s="206">
        <f t="shared" si="163"/>
        <v>0</v>
      </c>
      <c r="M152" s="217">
        <f>IF(F152="",0,IF(SUMIF('REPORTE GASTOS'!$C$6:$C$210,F152,'REPORTE GASTOS'!$G$6:$G$210)=0,'LISTA DE PRECIOS'!$H$3,SUMIF('REPORTE GASTOS'!$C$6:$C$210,F152,'REPORTE GASTOS'!$I$6:$I$210)/SUMIF('REPORTE GASTOS'!$C$6:$C$210,F152,'REPORTE GASTOS'!$G$6:$G$210)))</f>
        <v>0</v>
      </c>
      <c r="N152" s="12">
        <f t="shared" si="159"/>
        <v>0</v>
      </c>
      <c r="O152" s="43">
        <f t="shared" si="160"/>
        <v>0</v>
      </c>
      <c r="P152" s="70"/>
      <c r="R152" s="68" t="str">
        <f>IF(H152="","",VLOOKUP(H152,'DATOS CLIENTES'!B:F,5,FALSE))</f>
        <v/>
      </c>
      <c r="S152" s="68" t="str">
        <f t="shared" si="165"/>
        <v>031</v>
      </c>
      <c r="U152" s="69">
        <f t="shared" si="161"/>
        <v>0</v>
      </c>
      <c r="V152" s="69">
        <f t="shared" si="162"/>
        <v>0</v>
      </c>
      <c r="X152" s="68">
        <f t="shared" si="164"/>
        <v>74</v>
      </c>
      <c r="Y152" s="68" t="str">
        <f t="shared" si="166"/>
        <v/>
      </c>
      <c r="Z152" s="68" t="str">
        <f t="shared" si="167"/>
        <v/>
      </c>
      <c r="AA152" s="68" t="str">
        <f t="shared" si="168"/>
        <v/>
      </c>
      <c r="AB152" s="227" t="str">
        <f t="shared" si="169"/>
        <v/>
      </c>
      <c r="AC152" s="68" t="str">
        <f t="shared" si="170"/>
        <v/>
      </c>
      <c r="AD152" s="68" t="str">
        <f t="shared" si="171"/>
        <v/>
      </c>
      <c r="AE152" s="68" t="str">
        <f t="shared" si="172"/>
        <v/>
      </c>
      <c r="AF152" s="68" t="str">
        <f t="shared" si="173"/>
        <v/>
      </c>
      <c r="AG152" s="68" t="str">
        <f t="shared" si="174"/>
        <v/>
      </c>
    </row>
    <row r="153" spans="1:33" s="67" customFormat="1">
      <c r="A153" s="18" t="str">
        <f t="shared" si="155"/>
        <v/>
      </c>
      <c r="B153" s="219"/>
      <c r="C153" s="58"/>
      <c r="D153" s="44">
        <f t="shared" si="156"/>
        <v>31</v>
      </c>
      <c r="E153" s="59" t="str">
        <f t="shared" si="157"/>
        <v/>
      </c>
      <c r="F153" s="90" t="str">
        <f t="shared" si="158"/>
        <v/>
      </c>
      <c r="G153" s="190"/>
      <c r="H153" s="203"/>
      <c r="I153" s="191"/>
      <c r="J153" s="42"/>
      <c r="K153" s="39">
        <f>IF(I153="",0,VLOOKUP(I153,'LISTA DE PRECIOS'!A:F,IF(R153="CORO",4,5),FALSE))</f>
        <v>0</v>
      </c>
      <c r="L153" s="206">
        <f t="shared" si="163"/>
        <v>0</v>
      </c>
      <c r="M153" s="217">
        <f>IF(F153="",0,IF(SUMIF('REPORTE GASTOS'!$C$6:$C$210,F153,'REPORTE GASTOS'!$G$6:$G$210)=0,'LISTA DE PRECIOS'!$H$3,SUMIF('REPORTE GASTOS'!$C$6:$C$210,F153,'REPORTE GASTOS'!$I$6:$I$210)/SUMIF('REPORTE GASTOS'!$C$6:$C$210,F153,'REPORTE GASTOS'!$G$6:$G$210)))</f>
        <v>0</v>
      </c>
      <c r="N153" s="12">
        <f t="shared" si="159"/>
        <v>0</v>
      </c>
      <c r="O153" s="43">
        <f t="shared" si="160"/>
        <v>0</v>
      </c>
      <c r="P153" s="70"/>
      <c r="R153" s="68" t="str">
        <f>IF(H153="","",VLOOKUP(H153,'DATOS CLIENTES'!B:F,5,FALSE))</f>
        <v/>
      </c>
      <c r="S153" s="68" t="str">
        <f t="shared" si="165"/>
        <v>031</v>
      </c>
      <c r="U153" s="69">
        <f t="shared" si="161"/>
        <v>0</v>
      </c>
      <c r="V153" s="69">
        <f t="shared" si="162"/>
        <v>0</v>
      </c>
      <c r="X153" s="68">
        <f t="shared" si="164"/>
        <v>74</v>
      </c>
      <c r="Y153" s="68" t="str">
        <f t="shared" si="166"/>
        <v/>
      </c>
      <c r="Z153" s="68" t="str">
        <f t="shared" si="167"/>
        <v/>
      </c>
      <c r="AA153" s="68" t="str">
        <f t="shared" si="168"/>
        <v/>
      </c>
      <c r="AB153" s="227" t="str">
        <f t="shared" si="169"/>
        <v/>
      </c>
      <c r="AC153" s="68" t="str">
        <f t="shared" si="170"/>
        <v/>
      </c>
      <c r="AD153" s="68" t="str">
        <f t="shared" si="171"/>
        <v/>
      </c>
      <c r="AE153" s="68" t="str">
        <f t="shared" si="172"/>
        <v/>
      </c>
      <c r="AF153" s="68" t="str">
        <f t="shared" si="173"/>
        <v/>
      </c>
      <c r="AG153" s="68" t="str">
        <f t="shared" si="174"/>
        <v/>
      </c>
    </row>
    <row r="154" spans="1:33" s="67" customFormat="1">
      <c r="A154" s="18" t="str">
        <f t="shared" si="155"/>
        <v/>
      </c>
      <c r="B154" s="219"/>
      <c r="C154" s="58"/>
      <c r="D154" s="44">
        <f t="shared" si="156"/>
        <v>31</v>
      </c>
      <c r="E154" s="59" t="str">
        <f t="shared" si="157"/>
        <v/>
      </c>
      <c r="F154" s="90" t="str">
        <f t="shared" si="158"/>
        <v/>
      </c>
      <c r="G154" s="190"/>
      <c r="H154" s="203"/>
      <c r="I154" s="191"/>
      <c r="J154" s="42"/>
      <c r="K154" s="39">
        <f>IF(I154="",0,VLOOKUP(I154,'LISTA DE PRECIOS'!A:F,IF(R154="CORO",4,5),FALSE))</f>
        <v>0</v>
      </c>
      <c r="L154" s="206">
        <f t="shared" si="163"/>
        <v>0</v>
      </c>
      <c r="M154" s="217">
        <f>IF(F154="",0,IF(SUMIF('REPORTE GASTOS'!$C$6:$C$210,F154,'REPORTE GASTOS'!$G$6:$G$210)=0,'LISTA DE PRECIOS'!$H$3,SUMIF('REPORTE GASTOS'!$C$6:$C$210,F154,'REPORTE GASTOS'!$I$6:$I$210)/SUMIF('REPORTE GASTOS'!$C$6:$C$210,F154,'REPORTE GASTOS'!$G$6:$G$210)))</f>
        <v>0</v>
      </c>
      <c r="N154" s="12">
        <f t="shared" si="159"/>
        <v>0</v>
      </c>
      <c r="O154" s="43">
        <f t="shared" si="160"/>
        <v>0</v>
      </c>
      <c r="P154" s="70"/>
      <c r="R154" s="68" t="str">
        <f>IF(H154="","",VLOOKUP(H154,'DATOS CLIENTES'!B:F,5,FALSE))</f>
        <v/>
      </c>
      <c r="S154" s="68" t="str">
        <f t="shared" si="165"/>
        <v>031</v>
      </c>
      <c r="U154" s="69">
        <f t="shared" si="161"/>
        <v>0</v>
      </c>
      <c r="V154" s="69">
        <f t="shared" si="162"/>
        <v>0</v>
      </c>
      <c r="X154" s="68">
        <f t="shared" si="164"/>
        <v>74</v>
      </c>
      <c r="Y154" s="68" t="str">
        <f t="shared" si="166"/>
        <v/>
      </c>
      <c r="Z154" s="68" t="str">
        <f t="shared" si="167"/>
        <v/>
      </c>
      <c r="AA154" s="68" t="str">
        <f t="shared" si="168"/>
        <v/>
      </c>
      <c r="AB154" s="227" t="str">
        <f t="shared" si="169"/>
        <v/>
      </c>
      <c r="AC154" s="68" t="str">
        <f t="shared" si="170"/>
        <v/>
      </c>
      <c r="AD154" s="68" t="str">
        <f t="shared" si="171"/>
        <v/>
      </c>
      <c r="AE154" s="68" t="str">
        <f t="shared" si="172"/>
        <v/>
      </c>
      <c r="AF154" s="68" t="str">
        <f t="shared" si="173"/>
        <v/>
      </c>
      <c r="AG154" s="68" t="str">
        <f t="shared" si="174"/>
        <v/>
      </c>
    </row>
    <row r="155" spans="1:33" s="67" customFormat="1">
      <c r="A155" s="18" t="str">
        <f t="shared" si="155"/>
        <v/>
      </c>
      <c r="B155" s="219"/>
      <c r="C155" s="58"/>
      <c r="D155" s="44">
        <f t="shared" si="156"/>
        <v>31</v>
      </c>
      <c r="E155" s="59" t="str">
        <f t="shared" si="157"/>
        <v/>
      </c>
      <c r="F155" s="90" t="str">
        <f t="shared" si="158"/>
        <v/>
      </c>
      <c r="G155" s="190"/>
      <c r="H155" s="203"/>
      <c r="I155" s="191"/>
      <c r="J155" s="42"/>
      <c r="K155" s="39">
        <f>IF(I155="",0,VLOOKUP(I155,'LISTA DE PRECIOS'!A:F,IF(R155="CORO",4,5),FALSE))</f>
        <v>0</v>
      </c>
      <c r="L155" s="206">
        <f t="shared" si="163"/>
        <v>0</v>
      </c>
      <c r="M155" s="217">
        <f>IF(F155="",0,IF(SUMIF('REPORTE GASTOS'!$C$6:$C$210,F155,'REPORTE GASTOS'!$G$6:$G$210)=0,'LISTA DE PRECIOS'!$H$3,SUMIF('REPORTE GASTOS'!$C$6:$C$210,F155,'REPORTE GASTOS'!$I$6:$I$210)/SUMIF('REPORTE GASTOS'!$C$6:$C$210,F155,'REPORTE GASTOS'!$G$6:$G$210)))</f>
        <v>0</v>
      </c>
      <c r="N155" s="12">
        <f t="shared" si="159"/>
        <v>0</v>
      </c>
      <c r="O155" s="43">
        <f t="shared" si="160"/>
        <v>0</v>
      </c>
      <c r="P155" s="70"/>
      <c r="R155" s="68" t="str">
        <f>IF(H155="","",VLOOKUP(H155,'DATOS CLIENTES'!B:F,5,FALSE))</f>
        <v/>
      </c>
      <c r="S155" s="68" t="str">
        <f t="shared" si="165"/>
        <v>031</v>
      </c>
      <c r="U155" s="69">
        <f t="shared" si="161"/>
        <v>0</v>
      </c>
      <c r="V155" s="69">
        <f t="shared" si="162"/>
        <v>0</v>
      </c>
      <c r="X155" s="68">
        <f t="shared" si="164"/>
        <v>74</v>
      </c>
      <c r="Y155" s="68" t="str">
        <f t="shared" si="166"/>
        <v/>
      </c>
      <c r="Z155" s="68" t="str">
        <f t="shared" si="167"/>
        <v/>
      </c>
      <c r="AA155" s="68" t="str">
        <f t="shared" si="168"/>
        <v/>
      </c>
      <c r="AB155" s="227" t="str">
        <f t="shared" si="169"/>
        <v/>
      </c>
      <c r="AC155" s="68" t="str">
        <f t="shared" si="170"/>
        <v/>
      </c>
      <c r="AD155" s="68" t="str">
        <f t="shared" si="171"/>
        <v/>
      </c>
      <c r="AE155" s="68" t="str">
        <f t="shared" si="172"/>
        <v/>
      </c>
      <c r="AF155" s="68" t="str">
        <f t="shared" si="173"/>
        <v/>
      </c>
      <c r="AG155" s="68" t="str">
        <f t="shared" si="174"/>
        <v/>
      </c>
    </row>
    <row r="156" spans="1:33" s="67" customFormat="1">
      <c r="A156" s="18" t="str">
        <f t="shared" si="155"/>
        <v/>
      </c>
      <c r="B156" s="219"/>
      <c r="C156" s="58"/>
      <c r="D156" s="44">
        <f t="shared" si="156"/>
        <v>31</v>
      </c>
      <c r="E156" s="59" t="str">
        <f t="shared" si="157"/>
        <v/>
      </c>
      <c r="F156" s="90" t="str">
        <f t="shared" si="158"/>
        <v/>
      </c>
      <c r="G156" s="190"/>
      <c r="H156" s="203"/>
      <c r="I156" s="191"/>
      <c r="J156" s="42"/>
      <c r="K156" s="39">
        <f>IF(I156="",0,VLOOKUP(I156,'LISTA DE PRECIOS'!A:F,IF(R156="CORO",4,5),FALSE))</f>
        <v>0</v>
      </c>
      <c r="L156" s="206">
        <f t="shared" si="163"/>
        <v>0</v>
      </c>
      <c r="M156" s="217">
        <f>IF(F156="",0,IF(SUMIF('REPORTE GASTOS'!$C$6:$C$210,F156,'REPORTE GASTOS'!$G$6:$G$210)=0,'LISTA DE PRECIOS'!$H$3,SUMIF('REPORTE GASTOS'!$C$6:$C$210,F156,'REPORTE GASTOS'!$I$6:$I$210)/SUMIF('REPORTE GASTOS'!$C$6:$C$210,F156,'REPORTE GASTOS'!$G$6:$G$210)))</f>
        <v>0</v>
      </c>
      <c r="N156" s="12">
        <f t="shared" si="159"/>
        <v>0</v>
      </c>
      <c r="O156" s="43">
        <f t="shared" si="160"/>
        <v>0</v>
      </c>
      <c r="P156" s="70"/>
      <c r="R156" s="68" t="str">
        <f>IF(H156="","",VLOOKUP(H156,'DATOS CLIENTES'!B:F,5,FALSE))</f>
        <v/>
      </c>
      <c r="S156" s="68" t="str">
        <f t="shared" si="165"/>
        <v>031</v>
      </c>
      <c r="U156" s="69">
        <f t="shared" si="161"/>
        <v>0</v>
      </c>
      <c r="V156" s="69">
        <f t="shared" si="162"/>
        <v>0</v>
      </c>
      <c r="X156" s="68">
        <f t="shared" si="164"/>
        <v>74</v>
      </c>
      <c r="Y156" s="68" t="str">
        <f t="shared" si="166"/>
        <v/>
      </c>
      <c r="Z156" s="68" t="str">
        <f t="shared" si="167"/>
        <v/>
      </c>
      <c r="AA156" s="68" t="str">
        <f t="shared" si="168"/>
        <v/>
      </c>
      <c r="AB156" s="227" t="str">
        <f t="shared" si="169"/>
        <v/>
      </c>
      <c r="AC156" s="68" t="str">
        <f t="shared" si="170"/>
        <v/>
      </c>
      <c r="AD156" s="68" t="str">
        <f t="shared" si="171"/>
        <v/>
      </c>
      <c r="AE156" s="68" t="str">
        <f t="shared" si="172"/>
        <v/>
      </c>
      <c r="AF156" s="68" t="str">
        <f t="shared" si="173"/>
        <v/>
      </c>
      <c r="AG156" s="68" t="str">
        <f t="shared" si="174"/>
        <v/>
      </c>
    </row>
    <row r="157" spans="1:33" s="67" customFormat="1">
      <c r="A157" s="18" t="str">
        <f t="shared" si="155"/>
        <v/>
      </c>
      <c r="B157" s="219"/>
      <c r="C157" s="58"/>
      <c r="D157" s="44">
        <f t="shared" si="156"/>
        <v>31</v>
      </c>
      <c r="E157" s="59" t="str">
        <f t="shared" si="157"/>
        <v/>
      </c>
      <c r="F157" s="90" t="str">
        <f t="shared" si="158"/>
        <v/>
      </c>
      <c r="G157" s="190"/>
      <c r="H157" s="203"/>
      <c r="I157" s="191"/>
      <c r="J157" s="42"/>
      <c r="K157" s="39">
        <f>IF(I157="",0,VLOOKUP(I157,'LISTA DE PRECIOS'!A:F,IF(R157="CORO",4,5),FALSE))</f>
        <v>0</v>
      </c>
      <c r="L157" s="206">
        <f t="shared" si="163"/>
        <v>0</v>
      </c>
      <c r="M157" s="217">
        <f>IF(F157="",0,IF(SUMIF('REPORTE GASTOS'!$C$6:$C$210,F157,'REPORTE GASTOS'!$G$6:$G$210)=0,'LISTA DE PRECIOS'!$H$3,SUMIF('REPORTE GASTOS'!$C$6:$C$210,F157,'REPORTE GASTOS'!$I$6:$I$210)/SUMIF('REPORTE GASTOS'!$C$6:$C$210,F157,'REPORTE GASTOS'!$G$6:$G$210)))</f>
        <v>0</v>
      </c>
      <c r="N157" s="12">
        <f t="shared" si="159"/>
        <v>0</v>
      </c>
      <c r="O157" s="43">
        <f t="shared" si="160"/>
        <v>0</v>
      </c>
      <c r="P157" s="70"/>
      <c r="R157" s="68" t="str">
        <f>IF(H157="","",VLOOKUP(H157,'DATOS CLIENTES'!B:F,5,FALSE))</f>
        <v/>
      </c>
      <c r="S157" s="68" t="str">
        <f t="shared" si="165"/>
        <v>031</v>
      </c>
      <c r="U157" s="69">
        <f t="shared" si="161"/>
        <v>0</v>
      </c>
      <c r="V157" s="69">
        <f t="shared" si="162"/>
        <v>0</v>
      </c>
      <c r="X157" s="68">
        <f t="shared" si="164"/>
        <v>74</v>
      </c>
      <c r="Y157" s="68" t="str">
        <f t="shared" si="166"/>
        <v/>
      </c>
      <c r="Z157" s="68" t="str">
        <f t="shared" si="167"/>
        <v/>
      </c>
      <c r="AA157" s="68" t="str">
        <f t="shared" si="168"/>
        <v/>
      </c>
      <c r="AB157" s="227" t="str">
        <f t="shared" si="169"/>
        <v/>
      </c>
      <c r="AC157" s="68" t="str">
        <f t="shared" si="170"/>
        <v/>
      </c>
      <c r="AD157" s="68" t="str">
        <f t="shared" si="171"/>
        <v/>
      </c>
      <c r="AE157" s="68" t="str">
        <f t="shared" si="172"/>
        <v/>
      </c>
      <c r="AF157" s="68" t="str">
        <f t="shared" si="173"/>
        <v/>
      </c>
      <c r="AG157" s="68" t="str">
        <f t="shared" si="174"/>
        <v/>
      </c>
    </row>
    <row r="158" spans="1:33" s="67" customFormat="1">
      <c r="A158" s="18" t="str">
        <f t="shared" si="155"/>
        <v/>
      </c>
      <c r="B158" s="219"/>
      <c r="C158" s="58"/>
      <c r="D158" s="44">
        <f t="shared" si="156"/>
        <v>31</v>
      </c>
      <c r="E158" s="59" t="str">
        <f t="shared" si="157"/>
        <v/>
      </c>
      <c r="F158" s="90" t="str">
        <f t="shared" si="158"/>
        <v/>
      </c>
      <c r="G158" s="190"/>
      <c r="H158" s="203"/>
      <c r="I158" s="191"/>
      <c r="J158" s="42"/>
      <c r="K158" s="39">
        <f>IF(I158="",0,VLOOKUP(I158,'LISTA DE PRECIOS'!A:F,IF(R158="CORO",4,5),FALSE))</f>
        <v>0</v>
      </c>
      <c r="L158" s="206">
        <f t="shared" si="163"/>
        <v>0</v>
      </c>
      <c r="M158" s="217">
        <f>IF(F158="",0,IF(SUMIF('REPORTE GASTOS'!$C$6:$C$210,F158,'REPORTE GASTOS'!$G$6:$G$210)=0,'LISTA DE PRECIOS'!$H$3,SUMIF('REPORTE GASTOS'!$C$6:$C$210,F158,'REPORTE GASTOS'!$I$6:$I$210)/SUMIF('REPORTE GASTOS'!$C$6:$C$210,F158,'REPORTE GASTOS'!$G$6:$G$210)))</f>
        <v>0</v>
      </c>
      <c r="N158" s="12">
        <f t="shared" si="159"/>
        <v>0</v>
      </c>
      <c r="O158" s="43">
        <f t="shared" si="160"/>
        <v>0</v>
      </c>
      <c r="P158" s="70"/>
      <c r="R158" s="68" t="str">
        <f>IF(H158="","",VLOOKUP(H158,'DATOS CLIENTES'!B:F,5,FALSE))</f>
        <v/>
      </c>
      <c r="S158" s="68" t="str">
        <f t="shared" si="165"/>
        <v>031</v>
      </c>
      <c r="U158" s="69">
        <f t="shared" si="161"/>
        <v>0</v>
      </c>
      <c r="V158" s="69">
        <f t="shared" si="162"/>
        <v>0</v>
      </c>
      <c r="X158" s="68">
        <f t="shared" si="164"/>
        <v>74</v>
      </c>
      <c r="Y158" s="68" t="str">
        <f t="shared" si="166"/>
        <v/>
      </c>
      <c r="Z158" s="68" t="str">
        <f t="shared" si="167"/>
        <v/>
      </c>
      <c r="AA158" s="68" t="str">
        <f t="shared" si="168"/>
        <v/>
      </c>
      <c r="AB158" s="227" t="str">
        <f t="shared" si="169"/>
        <v/>
      </c>
      <c r="AC158" s="68" t="str">
        <f t="shared" si="170"/>
        <v/>
      </c>
      <c r="AD158" s="68" t="str">
        <f t="shared" si="171"/>
        <v/>
      </c>
      <c r="AE158" s="68" t="str">
        <f t="shared" si="172"/>
        <v/>
      </c>
      <c r="AF158" s="68" t="str">
        <f t="shared" si="173"/>
        <v/>
      </c>
      <c r="AG158" s="68" t="str">
        <f t="shared" si="174"/>
        <v/>
      </c>
    </row>
    <row r="159" spans="1:33" s="67" customFormat="1">
      <c r="A159" s="18" t="str">
        <f t="shared" si="155"/>
        <v/>
      </c>
      <c r="B159" s="219"/>
      <c r="C159" s="58"/>
      <c r="D159" s="44">
        <f t="shared" si="156"/>
        <v>31</v>
      </c>
      <c r="E159" s="59" t="str">
        <f t="shared" si="157"/>
        <v/>
      </c>
      <c r="F159" s="90" t="str">
        <f t="shared" si="158"/>
        <v/>
      </c>
      <c r="G159" s="190"/>
      <c r="H159" s="203"/>
      <c r="I159" s="191"/>
      <c r="J159" s="42"/>
      <c r="K159" s="39">
        <f>IF(I159="",0,VLOOKUP(I159,'LISTA DE PRECIOS'!A:F,IF(R159="CORO",4,5),FALSE))</f>
        <v>0</v>
      </c>
      <c r="L159" s="206">
        <f t="shared" si="163"/>
        <v>0</v>
      </c>
      <c r="M159" s="217">
        <f>IF(F159="",0,IF(SUMIF('REPORTE GASTOS'!$C$6:$C$210,F159,'REPORTE GASTOS'!$G$6:$G$210)=0,'LISTA DE PRECIOS'!$H$3,SUMIF('REPORTE GASTOS'!$C$6:$C$210,F159,'REPORTE GASTOS'!$I$6:$I$210)/SUMIF('REPORTE GASTOS'!$C$6:$C$210,F159,'REPORTE GASTOS'!$G$6:$G$210)))</f>
        <v>0</v>
      </c>
      <c r="N159" s="12">
        <f t="shared" si="159"/>
        <v>0</v>
      </c>
      <c r="O159" s="43">
        <f t="shared" si="160"/>
        <v>0</v>
      </c>
      <c r="P159" s="70"/>
      <c r="R159" s="68" t="str">
        <f>IF(H159="","",VLOOKUP(H159,'DATOS CLIENTES'!B:F,5,FALSE))</f>
        <v/>
      </c>
      <c r="S159" s="68" t="str">
        <f t="shared" si="165"/>
        <v>031</v>
      </c>
      <c r="U159" s="69">
        <f t="shared" si="161"/>
        <v>0</v>
      </c>
      <c r="V159" s="69">
        <f t="shared" si="162"/>
        <v>0</v>
      </c>
      <c r="X159" s="68">
        <f t="shared" si="164"/>
        <v>74</v>
      </c>
      <c r="Y159" s="68" t="str">
        <f t="shared" si="166"/>
        <v/>
      </c>
      <c r="Z159" s="68" t="str">
        <f t="shared" si="167"/>
        <v/>
      </c>
      <c r="AA159" s="68" t="str">
        <f t="shared" si="168"/>
        <v/>
      </c>
      <c r="AB159" s="227" t="str">
        <f t="shared" si="169"/>
        <v/>
      </c>
      <c r="AC159" s="68" t="str">
        <f t="shared" si="170"/>
        <v/>
      </c>
      <c r="AD159" s="68" t="str">
        <f t="shared" si="171"/>
        <v/>
      </c>
      <c r="AE159" s="68" t="str">
        <f t="shared" si="172"/>
        <v/>
      </c>
      <c r="AF159" s="68" t="str">
        <f t="shared" si="173"/>
        <v/>
      </c>
      <c r="AG159" s="68" t="str">
        <f t="shared" si="174"/>
        <v/>
      </c>
    </row>
    <row r="160" spans="1:33" s="67" customFormat="1">
      <c r="A160" s="18" t="str">
        <f t="shared" si="155"/>
        <v/>
      </c>
      <c r="B160" s="219"/>
      <c r="C160" s="58"/>
      <c r="D160" s="44">
        <f t="shared" si="156"/>
        <v>31</v>
      </c>
      <c r="E160" s="59" t="str">
        <f t="shared" si="157"/>
        <v/>
      </c>
      <c r="F160" s="90" t="str">
        <f t="shared" si="158"/>
        <v/>
      </c>
      <c r="G160" s="190"/>
      <c r="H160" s="203"/>
      <c r="I160" s="191"/>
      <c r="J160" s="42"/>
      <c r="K160" s="39">
        <f>IF(I160="",0,VLOOKUP(I160,'LISTA DE PRECIOS'!A:F,IF(R160="CORO",4,5),FALSE))</f>
        <v>0</v>
      </c>
      <c r="L160" s="206">
        <f t="shared" si="163"/>
        <v>0</v>
      </c>
      <c r="M160" s="217">
        <f>IF(F160="",0,IF(SUMIF('REPORTE GASTOS'!$C$6:$C$210,F160,'REPORTE GASTOS'!$G$6:$G$210)=0,'LISTA DE PRECIOS'!$H$3,SUMIF('REPORTE GASTOS'!$C$6:$C$210,F160,'REPORTE GASTOS'!$I$6:$I$210)/SUMIF('REPORTE GASTOS'!$C$6:$C$210,F160,'REPORTE GASTOS'!$G$6:$G$210)))</f>
        <v>0</v>
      </c>
      <c r="N160" s="12">
        <f t="shared" si="159"/>
        <v>0</v>
      </c>
      <c r="O160" s="43">
        <f t="shared" si="160"/>
        <v>0</v>
      </c>
      <c r="P160" s="70"/>
      <c r="R160" s="68" t="str">
        <f>IF(H160="","",VLOOKUP(H160,'DATOS CLIENTES'!B:F,5,FALSE))</f>
        <v/>
      </c>
      <c r="S160" s="68" t="str">
        <f t="shared" si="165"/>
        <v>031</v>
      </c>
      <c r="U160" s="69">
        <f t="shared" si="161"/>
        <v>0</v>
      </c>
      <c r="V160" s="69">
        <f t="shared" si="162"/>
        <v>0</v>
      </c>
      <c r="X160" s="68">
        <f t="shared" si="164"/>
        <v>74</v>
      </c>
      <c r="Y160" s="68" t="str">
        <f t="shared" si="166"/>
        <v/>
      </c>
      <c r="Z160" s="68" t="str">
        <f t="shared" si="167"/>
        <v/>
      </c>
      <c r="AA160" s="68" t="str">
        <f t="shared" si="168"/>
        <v/>
      </c>
      <c r="AB160" s="227" t="str">
        <f t="shared" si="169"/>
        <v/>
      </c>
      <c r="AC160" s="68" t="str">
        <f t="shared" si="170"/>
        <v/>
      </c>
      <c r="AD160" s="68" t="str">
        <f t="shared" si="171"/>
        <v/>
      </c>
      <c r="AE160" s="68" t="str">
        <f t="shared" si="172"/>
        <v/>
      </c>
      <c r="AF160" s="68" t="str">
        <f t="shared" si="173"/>
        <v/>
      </c>
      <c r="AG160" s="68" t="str">
        <f t="shared" si="174"/>
        <v/>
      </c>
    </row>
    <row r="161" spans="1:33" s="67" customFormat="1">
      <c r="A161" s="18" t="str">
        <f t="shared" si="155"/>
        <v/>
      </c>
      <c r="B161" s="219"/>
      <c r="C161" s="58"/>
      <c r="D161" s="44">
        <f t="shared" si="156"/>
        <v>31</v>
      </c>
      <c r="E161" s="59" t="str">
        <f t="shared" si="157"/>
        <v/>
      </c>
      <c r="F161" s="90" t="str">
        <f t="shared" si="158"/>
        <v/>
      </c>
      <c r="G161" s="190"/>
      <c r="H161" s="203"/>
      <c r="I161" s="191"/>
      <c r="J161" s="42"/>
      <c r="K161" s="39">
        <f>IF(I161="",0,VLOOKUP(I161,'LISTA DE PRECIOS'!A:F,IF(R161="CORO",4,5),FALSE))</f>
        <v>0</v>
      </c>
      <c r="L161" s="206">
        <f t="shared" si="163"/>
        <v>0</v>
      </c>
      <c r="M161" s="217">
        <f>IF(F161="",0,IF(SUMIF('REPORTE GASTOS'!$C$6:$C$210,F161,'REPORTE GASTOS'!$G$6:$G$210)=0,'LISTA DE PRECIOS'!$H$3,SUMIF('REPORTE GASTOS'!$C$6:$C$210,F161,'REPORTE GASTOS'!$I$6:$I$210)/SUMIF('REPORTE GASTOS'!$C$6:$C$210,F161,'REPORTE GASTOS'!$G$6:$G$210)))</f>
        <v>0</v>
      </c>
      <c r="N161" s="12">
        <f t="shared" si="159"/>
        <v>0</v>
      </c>
      <c r="O161" s="43">
        <f t="shared" si="160"/>
        <v>0</v>
      </c>
      <c r="P161" s="70"/>
      <c r="R161" s="68" t="str">
        <f>IF(H161="","",VLOOKUP(H161,'DATOS CLIENTES'!B:F,5,FALSE))</f>
        <v/>
      </c>
      <c r="S161" s="68" t="str">
        <f t="shared" si="165"/>
        <v>031</v>
      </c>
      <c r="U161" s="69">
        <f t="shared" si="161"/>
        <v>0</v>
      </c>
      <c r="V161" s="69">
        <f t="shared" si="162"/>
        <v>0</v>
      </c>
      <c r="X161" s="68">
        <f t="shared" si="164"/>
        <v>74</v>
      </c>
      <c r="Y161" s="68" t="str">
        <f t="shared" si="166"/>
        <v/>
      </c>
      <c r="Z161" s="68" t="str">
        <f t="shared" si="167"/>
        <v/>
      </c>
      <c r="AA161" s="68" t="str">
        <f t="shared" si="168"/>
        <v/>
      </c>
      <c r="AB161" s="227" t="str">
        <f t="shared" si="169"/>
        <v/>
      </c>
      <c r="AC161" s="68" t="str">
        <f t="shared" si="170"/>
        <v/>
      </c>
      <c r="AD161" s="68" t="str">
        <f t="shared" si="171"/>
        <v/>
      </c>
      <c r="AE161" s="68" t="str">
        <f t="shared" si="172"/>
        <v/>
      </c>
      <c r="AF161" s="68" t="str">
        <f t="shared" si="173"/>
        <v/>
      </c>
      <c r="AG161" s="68" t="str">
        <f t="shared" si="174"/>
        <v/>
      </c>
    </row>
    <row r="162" spans="1:33" s="67" customFormat="1">
      <c r="A162" s="18" t="str">
        <f t="shared" si="155"/>
        <v/>
      </c>
      <c r="B162" s="219"/>
      <c r="C162" s="58"/>
      <c r="D162" s="44">
        <f t="shared" si="156"/>
        <v>31</v>
      </c>
      <c r="E162" s="59" t="str">
        <f t="shared" si="157"/>
        <v/>
      </c>
      <c r="F162" s="90" t="str">
        <f t="shared" si="158"/>
        <v/>
      </c>
      <c r="G162" s="190"/>
      <c r="H162" s="203"/>
      <c r="I162" s="191"/>
      <c r="J162" s="42"/>
      <c r="K162" s="39">
        <f>IF(I162="",0,VLOOKUP(I162,'LISTA DE PRECIOS'!A:F,IF(R162="CORO",4,5),FALSE))</f>
        <v>0</v>
      </c>
      <c r="L162" s="206">
        <f t="shared" si="163"/>
        <v>0</v>
      </c>
      <c r="M162" s="217">
        <f>IF(F162="",0,IF(SUMIF('REPORTE GASTOS'!$C$6:$C$210,F162,'REPORTE GASTOS'!$G$6:$G$210)=0,'LISTA DE PRECIOS'!$H$3,SUMIF('REPORTE GASTOS'!$C$6:$C$210,F162,'REPORTE GASTOS'!$I$6:$I$210)/SUMIF('REPORTE GASTOS'!$C$6:$C$210,F162,'REPORTE GASTOS'!$G$6:$G$210)))</f>
        <v>0</v>
      </c>
      <c r="N162" s="12">
        <f t="shared" si="159"/>
        <v>0</v>
      </c>
      <c r="O162" s="43">
        <f t="shared" si="160"/>
        <v>0</v>
      </c>
      <c r="P162" s="70"/>
      <c r="R162" s="68" t="str">
        <f>IF(H162="","",VLOOKUP(H162,'DATOS CLIENTES'!B:F,5,FALSE))</f>
        <v/>
      </c>
      <c r="S162" s="68" t="str">
        <f t="shared" si="165"/>
        <v>031</v>
      </c>
      <c r="U162" s="69">
        <f t="shared" si="161"/>
        <v>0</v>
      </c>
      <c r="V162" s="69">
        <f t="shared" si="162"/>
        <v>0</v>
      </c>
      <c r="X162" s="68">
        <f t="shared" si="164"/>
        <v>74</v>
      </c>
      <c r="Y162" s="68" t="str">
        <f t="shared" si="166"/>
        <v/>
      </c>
      <c r="Z162" s="68" t="str">
        <f t="shared" si="167"/>
        <v/>
      </c>
      <c r="AA162" s="68" t="str">
        <f t="shared" si="168"/>
        <v/>
      </c>
      <c r="AB162" s="227" t="str">
        <f t="shared" si="169"/>
        <v/>
      </c>
      <c r="AC162" s="68" t="str">
        <f t="shared" si="170"/>
        <v/>
      </c>
      <c r="AD162" s="68" t="str">
        <f t="shared" si="171"/>
        <v/>
      </c>
      <c r="AE162" s="68" t="str">
        <f t="shared" si="172"/>
        <v/>
      </c>
      <c r="AF162" s="68" t="str">
        <f t="shared" si="173"/>
        <v/>
      </c>
      <c r="AG162" s="68" t="str">
        <f t="shared" si="174"/>
        <v/>
      </c>
    </row>
    <row r="163" spans="1:33" s="67" customFormat="1">
      <c r="A163" s="18" t="str">
        <f t="shared" si="155"/>
        <v/>
      </c>
      <c r="B163" s="219"/>
      <c r="C163" s="58"/>
      <c r="D163" s="44">
        <f t="shared" si="156"/>
        <v>31</v>
      </c>
      <c r="E163" s="59" t="str">
        <f t="shared" si="157"/>
        <v/>
      </c>
      <c r="F163" s="90" t="str">
        <f t="shared" si="158"/>
        <v/>
      </c>
      <c r="G163" s="190"/>
      <c r="H163" s="203"/>
      <c r="I163" s="191"/>
      <c r="J163" s="42"/>
      <c r="K163" s="39">
        <f>IF(I163="",0,VLOOKUP(I163,'LISTA DE PRECIOS'!A:F,IF(R163="CORO",4,5),FALSE))</f>
        <v>0</v>
      </c>
      <c r="L163" s="206">
        <f t="shared" si="163"/>
        <v>0</v>
      </c>
      <c r="M163" s="217">
        <f>IF(F163="",0,IF(SUMIF('REPORTE GASTOS'!$C$6:$C$210,F163,'REPORTE GASTOS'!$G$6:$G$210)=0,'LISTA DE PRECIOS'!$H$3,SUMIF('REPORTE GASTOS'!$C$6:$C$210,F163,'REPORTE GASTOS'!$I$6:$I$210)/SUMIF('REPORTE GASTOS'!$C$6:$C$210,F163,'REPORTE GASTOS'!$G$6:$G$210)))</f>
        <v>0</v>
      </c>
      <c r="N163" s="12">
        <f t="shared" si="159"/>
        <v>0</v>
      </c>
      <c r="O163" s="43">
        <f t="shared" si="160"/>
        <v>0</v>
      </c>
      <c r="P163" s="70"/>
      <c r="R163" s="68" t="str">
        <f>IF(H163="","",VLOOKUP(H163,'DATOS CLIENTES'!B:F,5,FALSE))</f>
        <v/>
      </c>
      <c r="S163" s="68" t="str">
        <f t="shared" si="165"/>
        <v>031</v>
      </c>
      <c r="U163" s="69">
        <f t="shared" si="161"/>
        <v>0</v>
      </c>
      <c r="V163" s="69">
        <f t="shared" si="162"/>
        <v>0</v>
      </c>
      <c r="X163" s="68">
        <f t="shared" si="164"/>
        <v>74</v>
      </c>
      <c r="Y163" s="68" t="str">
        <f t="shared" si="166"/>
        <v/>
      </c>
      <c r="Z163" s="68" t="str">
        <f t="shared" si="167"/>
        <v/>
      </c>
      <c r="AA163" s="68" t="str">
        <f t="shared" si="168"/>
        <v/>
      </c>
      <c r="AB163" s="227" t="str">
        <f t="shared" si="169"/>
        <v/>
      </c>
      <c r="AC163" s="68" t="str">
        <f t="shared" si="170"/>
        <v/>
      </c>
      <c r="AD163" s="68" t="str">
        <f t="shared" si="171"/>
        <v/>
      </c>
      <c r="AE163" s="68" t="str">
        <f t="shared" si="172"/>
        <v/>
      </c>
      <c r="AF163" s="68" t="str">
        <f t="shared" si="173"/>
        <v/>
      </c>
      <c r="AG163" s="68" t="str">
        <f t="shared" si="174"/>
        <v/>
      </c>
    </row>
    <row r="164" spans="1:33" s="67" customFormat="1">
      <c r="A164" s="18" t="str">
        <f t="shared" si="155"/>
        <v/>
      </c>
      <c r="B164" s="219"/>
      <c r="C164" s="58"/>
      <c r="D164" s="44">
        <f t="shared" si="156"/>
        <v>31</v>
      </c>
      <c r="E164" s="59" t="str">
        <f t="shared" si="157"/>
        <v/>
      </c>
      <c r="F164" s="90" t="str">
        <f t="shared" si="158"/>
        <v/>
      </c>
      <c r="G164" s="190"/>
      <c r="H164" s="203"/>
      <c r="I164" s="191"/>
      <c r="J164" s="42"/>
      <c r="K164" s="39">
        <f>IF(I164="",0,VLOOKUP(I164,'LISTA DE PRECIOS'!A:F,IF(R164="CORO",4,5),FALSE))</f>
        <v>0</v>
      </c>
      <c r="L164" s="206">
        <f t="shared" si="163"/>
        <v>0</v>
      </c>
      <c r="M164" s="217">
        <f>IF(F164="",0,IF(SUMIF('REPORTE GASTOS'!$C$6:$C$210,F164,'REPORTE GASTOS'!$G$6:$G$210)=0,'LISTA DE PRECIOS'!$H$3,SUMIF('REPORTE GASTOS'!$C$6:$C$210,F164,'REPORTE GASTOS'!$I$6:$I$210)/SUMIF('REPORTE GASTOS'!$C$6:$C$210,F164,'REPORTE GASTOS'!$G$6:$G$210)))</f>
        <v>0</v>
      </c>
      <c r="N164" s="12">
        <f t="shared" si="159"/>
        <v>0</v>
      </c>
      <c r="O164" s="43">
        <f t="shared" si="160"/>
        <v>0</v>
      </c>
      <c r="P164" s="70"/>
      <c r="R164" s="68" t="str">
        <f>IF(H164="","",VLOOKUP(H164,'DATOS CLIENTES'!B:F,5,FALSE))</f>
        <v/>
      </c>
      <c r="S164" s="68" t="str">
        <f t="shared" si="165"/>
        <v>031</v>
      </c>
      <c r="U164" s="69">
        <f t="shared" si="161"/>
        <v>0</v>
      </c>
      <c r="V164" s="69">
        <f t="shared" si="162"/>
        <v>0</v>
      </c>
      <c r="X164" s="68">
        <f t="shared" si="164"/>
        <v>74</v>
      </c>
      <c r="Y164" s="68" t="str">
        <f t="shared" si="166"/>
        <v/>
      </c>
      <c r="Z164" s="68" t="str">
        <f t="shared" si="167"/>
        <v/>
      </c>
      <c r="AA164" s="68" t="str">
        <f t="shared" si="168"/>
        <v/>
      </c>
      <c r="AB164" s="227" t="str">
        <f t="shared" si="169"/>
        <v/>
      </c>
      <c r="AC164" s="68" t="str">
        <f t="shared" si="170"/>
        <v/>
      </c>
      <c r="AD164" s="68" t="str">
        <f t="shared" si="171"/>
        <v/>
      </c>
      <c r="AE164" s="68" t="str">
        <f t="shared" si="172"/>
        <v/>
      </c>
      <c r="AF164" s="68" t="str">
        <f t="shared" si="173"/>
        <v/>
      </c>
      <c r="AG164" s="68" t="str">
        <f t="shared" si="174"/>
        <v/>
      </c>
    </row>
    <row r="165" spans="1:33" s="67" customFormat="1">
      <c r="A165" s="18" t="str">
        <f t="shared" si="155"/>
        <v/>
      </c>
      <c r="B165" s="219"/>
      <c r="C165" s="58"/>
      <c r="D165" s="44">
        <f t="shared" si="156"/>
        <v>31</v>
      </c>
      <c r="E165" s="59" t="str">
        <f t="shared" si="157"/>
        <v/>
      </c>
      <c r="F165" s="90" t="str">
        <f t="shared" si="158"/>
        <v/>
      </c>
      <c r="G165" s="190"/>
      <c r="H165" s="203"/>
      <c r="I165" s="191"/>
      <c r="J165" s="42"/>
      <c r="K165" s="39">
        <f>IF(I165="",0,VLOOKUP(I165,'LISTA DE PRECIOS'!A:F,IF(R165="CORO",4,5),FALSE))</f>
        <v>0</v>
      </c>
      <c r="L165" s="206">
        <f t="shared" si="163"/>
        <v>0</v>
      </c>
      <c r="M165" s="217">
        <f>IF(F165="",0,IF(SUMIF('REPORTE GASTOS'!$C$6:$C$210,F165,'REPORTE GASTOS'!$G$6:$G$210)=0,'LISTA DE PRECIOS'!$H$3,SUMIF('REPORTE GASTOS'!$C$6:$C$210,F165,'REPORTE GASTOS'!$I$6:$I$210)/SUMIF('REPORTE GASTOS'!$C$6:$C$210,F165,'REPORTE GASTOS'!$G$6:$G$210)))</f>
        <v>0</v>
      </c>
      <c r="N165" s="12">
        <f t="shared" si="159"/>
        <v>0</v>
      </c>
      <c r="O165" s="43">
        <f t="shared" si="160"/>
        <v>0</v>
      </c>
      <c r="P165" s="70"/>
      <c r="R165" s="68" t="str">
        <f>IF(H165="","",VLOOKUP(H165,'DATOS CLIENTES'!B:F,5,FALSE))</f>
        <v/>
      </c>
      <c r="S165" s="68" t="str">
        <f t="shared" si="165"/>
        <v>031</v>
      </c>
      <c r="U165" s="69">
        <f t="shared" si="161"/>
        <v>0</v>
      </c>
      <c r="V165" s="69">
        <f t="shared" si="162"/>
        <v>0</v>
      </c>
      <c r="X165" s="68">
        <f t="shared" si="164"/>
        <v>74</v>
      </c>
      <c r="Y165" s="68" t="str">
        <f t="shared" si="166"/>
        <v/>
      </c>
      <c r="Z165" s="68" t="str">
        <f t="shared" si="167"/>
        <v/>
      </c>
      <c r="AA165" s="68" t="str">
        <f t="shared" si="168"/>
        <v/>
      </c>
      <c r="AB165" s="227" t="str">
        <f t="shared" si="169"/>
        <v/>
      </c>
      <c r="AC165" s="68" t="str">
        <f t="shared" si="170"/>
        <v/>
      </c>
      <c r="AD165" s="68" t="str">
        <f t="shared" si="171"/>
        <v/>
      </c>
      <c r="AE165" s="68" t="str">
        <f t="shared" si="172"/>
        <v/>
      </c>
      <c r="AF165" s="68" t="str">
        <f t="shared" si="173"/>
        <v/>
      </c>
      <c r="AG165" s="68" t="str">
        <f t="shared" si="174"/>
        <v/>
      </c>
    </row>
    <row r="166" spans="1:33" s="67" customFormat="1">
      <c r="A166" s="18" t="str">
        <f t="shared" si="155"/>
        <v/>
      </c>
      <c r="B166" s="219"/>
      <c r="C166" s="58"/>
      <c r="D166" s="44">
        <f t="shared" si="156"/>
        <v>31</v>
      </c>
      <c r="E166" s="59" t="str">
        <f t="shared" si="157"/>
        <v/>
      </c>
      <c r="F166" s="90" t="str">
        <f t="shared" si="158"/>
        <v/>
      </c>
      <c r="G166" s="190"/>
      <c r="H166" s="203"/>
      <c r="I166" s="191"/>
      <c r="J166" s="42"/>
      <c r="K166" s="39">
        <f>IF(I166="",0,VLOOKUP(I166,'LISTA DE PRECIOS'!A:F,IF(R166="CORO",4,5),FALSE))</f>
        <v>0</v>
      </c>
      <c r="L166" s="206">
        <f t="shared" si="163"/>
        <v>0</v>
      </c>
      <c r="M166" s="217">
        <f>IF(F166="",0,IF(SUMIF('REPORTE GASTOS'!$C$6:$C$210,F166,'REPORTE GASTOS'!$G$6:$G$210)=0,'LISTA DE PRECIOS'!$H$3,SUMIF('REPORTE GASTOS'!$C$6:$C$210,F166,'REPORTE GASTOS'!$I$6:$I$210)/SUMIF('REPORTE GASTOS'!$C$6:$C$210,F166,'REPORTE GASTOS'!$G$6:$G$210)))</f>
        <v>0</v>
      </c>
      <c r="N166" s="12">
        <f t="shared" si="159"/>
        <v>0</v>
      </c>
      <c r="O166" s="43">
        <f t="shared" si="160"/>
        <v>0</v>
      </c>
      <c r="P166" s="70"/>
      <c r="R166" s="68" t="str">
        <f>IF(H166="","",VLOOKUP(H166,'DATOS CLIENTES'!B:F,5,FALSE))</f>
        <v/>
      </c>
      <c r="S166" s="68" t="str">
        <f t="shared" si="165"/>
        <v>031</v>
      </c>
      <c r="U166" s="69">
        <f t="shared" si="161"/>
        <v>0</v>
      </c>
      <c r="V166" s="69">
        <f t="shared" si="162"/>
        <v>0</v>
      </c>
      <c r="X166" s="68">
        <f t="shared" si="164"/>
        <v>74</v>
      </c>
      <c r="Y166" s="68" t="str">
        <f t="shared" si="166"/>
        <v/>
      </c>
      <c r="Z166" s="68" t="str">
        <f t="shared" si="167"/>
        <v/>
      </c>
      <c r="AA166" s="68" t="str">
        <f t="shared" si="168"/>
        <v/>
      </c>
      <c r="AB166" s="227" t="str">
        <f t="shared" si="169"/>
        <v/>
      </c>
      <c r="AC166" s="68" t="str">
        <f t="shared" si="170"/>
        <v/>
      </c>
      <c r="AD166" s="68" t="str">
        <f t="shared" si="171"/>
        <v/>
      </c>
      <c r="AE166" s="68" t="str">
        <f t="shared" si="172"/>
        <v/>
      </c>
      <c r="AF166" s="68" t="str">
        <f t="shared" si="173"/>
        <v/>
      </c>
      <c r="AG166" s="68" t="str">
        <f t="shared" si="174"/>
        <v/>
      </c>
    </row>
    <row r="167" spans="1:33" s="67" customFormat="1">
      <c r="A167" s="18" t="str">
        <f t="shared" si="155"/>
        <v/>
      </c>
      <c r="B167" s="219"/>
      <c r="C167" s="58"/>
      <c r="D167" s="44">
        <f t="shared" si="156"/>
        <v>31</v>
      </c>
      <c r="E167" s="59" t="str">
        <f t="shared" si="157"/>
        <v/>
      </c>
      <c r="F167" s="90" t="str">
        <f t="shared" si="158"/>
        <v/>
      </c>
      <c r="G167" s="190"/>
      <c r="H167" s="203"/>
      <c r="I167" s="191"/>
      <c r="J167" s="42"/>
      <c r="K167" s="39">
        <f>IF(I167="",0,VLOOKUP(I167,'LISTA DE PRECIOS'!A:F,IF(R167="CORO",4,5),FALSE))</f>
        <v>0</v>
      </c>
      <c r="L167" s="206">
        <f t="shared" si="163"/>
        <v>0</v>
      </c>
      <c r="M167" s="217">
        <f>IF(F167="",0,IF(SUMIF('REPORTE GASTOS'!$C$6:$C$210,F167,'REPORTE GASTOS'!$G$6:$G$210)=0,'LISTA DE PRECIOS'!$H$3,SUMIF('REPORTE GASTOS'!$C$6:$C$210,F167,'REPORTE GASTOS'!$I$6:$I$210)/SUMIF('REPORTE GASTOS'!$C$6:$C$210,F167,'REPORTE GASTOS'!$G$6:$G$210)))</f>
        <v>0</v>
      </c>
      <c r="N167" s="12">
        <f t="shared" si="159"/>
        <v>0</v>
      </c>
      <c r="O167" s="43">
        <f t="shared" si="160"/>
        <v>0</v>
      </c>
      <c r="P167" s="70"/>
      <c r="R167" s="68" t="str">
        <f>IF(H167="","",VLOOKUP(H167,'DATOS CLIENTES'!B:F,5,FALSE))</f>
        <v/>
      </c>
      <c r="S167" s="68" t="str">
        <f t="shared" si="165"/>
        <v>031</v>
      </c>
      <c r="U167" s="69">
        <f t="shared" si="161"/>
        <v>0</v>
      </c>
      <c r="V167" s="69">
        <f t="shared" si="162"/>
        <v>0</v>
      </c>
      <c r="X167" s="68">
        <f t="shared" si="164"/>
        <v>74</v>
      </c>
      <c r="Y167" s="68" t="str">
        <f t="shared" si="166"/>
        <v/>
      </c>
      <c r="Z167" s="68" t="str">
        <f t="shared" si="167"/>
        <v/>
      </c>
      <c r="AA167" s="68" t="str">
        <f t="shared" si="168"/>
        <v/>
      </c>
      <c r="AB167" s="227" t="str">
        <f t="shared" si="169"/>
        <v/>
      </c>
      <c r="AC167" s="68" t="str">
        <f t="shared" si="170"/>
        <v/>
      </c>
      <c r="AD167" s="68" t="str">
        <f t="shared" si="171"/>
        <v/>
      </c>
      <c r="AE167" s="68" t="str">
        <f t="shared" si="172"/>
        <v/>
      </c>
      <c r="AF167" s="68" t="str">
        <f t="shared" si="173"/>
        <v/>
      </c>
      <c r="AG167" s="68" t="str">
        <f t="shared" si="174"/>
        <v/>
      </c>
    </row>
    <row r="168" spans="1:33" s="67" customFormat="1">
      <c r="A168" s="18" t="str">
        <f t="shared" si="155"/>
        <v/>
      </c>
      <c r="B168" s="219"/>
      <c r="C168" s="58"/>
      <c r="D168" s="44">
        <f t="shared" si="156"/>
        <v>31</v>
      </c>
      <c r="E168" s="59" t="str">
        <f t="shared" si="157"/>
        <v/>
      </c>
      <c r="F168" s="90" t="str">
        <f t="shared" si="158"/>
        <v/>
      </c>
      <c r="G168" s="190"/>
      <c r="H168" s="203"/>
      <c r="I168" s="191"/>
      <c r="J168" s="42"/>
      <c r="K168" s="39">
        <f>IF(I168="",0,VLOOKUP(I168,'LISTA DE PRECIOS'!A:F,IF(R168="CORO",4,5),FALSE))</f>
        <v>0</v>
      </c>
      <c r="L168" s="206">
        <f t="shared" si="163"/>
        <v>0</v>
      </c>
      <c r="M168" s="217">
        <f>IF(F168="",0,IF(SUMIF('REPORTE GASTOS'!$C$6:$C$210,F168,'REPORTE GASTOS'!$G$6:$G$210)=0,'LISTA DE PRECIOS'!$H$3,SUMIF('REPORTE GASTOS'!$C$6:$C$210,F168,'REPORTE GASTOS'!$I$6:$I$210)/SUMIF('REPORTE GASTOS'!$C$6:$C$210,F168,'REPORTE GASTOS'!$G$6:$G$210)))</f>
        <v>0</v>
      </c>
      <c r="N168" s="12">
        <f t="shared" si="159"/>
        <v>0</v>
      </c>
      <c r="O168" s="43">
        <f t="shared" si="160"/>
        <v>0</v>
      </c>
      <c r="P168" s="70"/>
      <c r="R168" s="68" t="str">
        <f>IF(H168="","",VLOOKUP(H168,'DATOS CLIENTES'!B:F,5,FALSE))</f>
        <v/>
      </c>
      <c r="S168" s="68" t="str">
        <f t="shared" si="165"/>
        <v>031</v>
      </c>
      <c r="U168" s="69">
        <f t="shared" si="161"/>
        <v>0</v>
      </c>
      <c r="V168" s="69">
        <f t="shared" si="162"/>
        <v>0</v>
      </c>
      <c r="X168" s="68">
        <f t="shared" si="164"/>
        <v>74</v>
      </c>
      <c r="Y168" s="68" t="str">
        <f t="shared" si="166"/>
        <v/>
      </c>
      <c r="Z168" s="68" t="str">
        <f t="shared" si="167"/>
        <v/>
      </c>
      <c r="AA168" s="68" t="str">
        <f t="shared" si="168"/>
        <v/>
      </c>
      <c r="AB168" s="227" t="str">
        <f t="shared" si="169"/>
        <v/>
      </c>
      <c r="AC168" s="68" t="str">
        <f t="shared" si="170"/>
        <v/>
      </c>
      <c r="AD168" s="68" t="str">
        <f t="shared" si="171"/>
        <v/>
      </c>
      <c r="AE168" s="68" t="str">
        <f t="shared" si="172"/>
        <v/>
      </c>
      <c r="AF168" s="68" t="str">
        <f t="shared" si="173"/>
        <v/>
      </c>
      <c r="AG168" s="68" t="str">
        <f t="shared" si="174"/>
        <v/>
      </c>
    </row>
    <row r="169" spans="1:33" s="67" customFormat="1">
      <c r="A169" s="18" t="str">
        <f t="shared" si="155"/>
        <v/>
      </c>
      <c r="B169" s="219"/>
      <c r="C169" s="58"/>
      <c r="D169" s="44">
        <f t="shared" si="156"/>
        <v>31</v>
      </c>
      <c r="E169" s="59" t="str">
        <f t="shared" si="157"/>
        <v/>
      </c>
      <c r="F169" s="90" t="str">
        <f t="shared" si="158"/>
        <v/>
      </c>
      <c r="G169" s="190"/>
      <c r="H169" s="203"/>
      <c r="I169" s="191"/>
      <c r="J169" s="42"/>
      <c r="K169" s="39">
        <f>IF(I169="",0,VLOOKUP(I169,'LISTA DE PRECIOS'!A:F,IF(R169="CORO",4,5),FALSE))</f>
        <v>0</v>
      </c>
      <c r="L169" s="206">
        <f t="shared" si="163"/>
        <v>0</v>
      </c>
      <c r="M169" s="217">
        <f>IF(F169="",0,IF(SUMIF('REPORTE GASTOS'!$C$6:$C$210,F169,'REPORTE GASTOS'!$G$6:$G$210)=0,'LISTA DE PRECIOS'!$H$3,SUMIF('REPORTE GASTOS'!$C$6:$C$210,F169,'REPORTE GASTOS'!$I$6:$I$210)/SUMIF('REPORTE GASTOS'!$C$6:$C$210,F169,'REPORTE GASTOS'!$G$6:$G$210)))</f>
        <v>0</v>
      </c>
      <c r="N169" s="12">
        <f t="shared" si="159"/>
        <v>0</v>
      </c>
      <c r="O169" s="43">
        <f t="shared" si="160"/>
        <v>0</v>
      </c>
      <c r="P169" s="70"/>
      <c r="R169" s="68" t="str">
        <f>IF(H169="","",VLOOKUP(H169,'DATOS CLIENTES'!B:F,5,FALSE))</f>
        <v/>
      </c>
      <c r="S169" s="68" t="str">
        <f t="shared" si="165"/>
        <v>031</v>
      </c>
      <c r="U169" s="69">
        <f t="shared" si="161"/>
        <v>0</v>
      </c>
      <c r="V169" s="69">
        <f t="shared" si="162"/>
        <v>0</v>
      </c>
      <c r="X169" s="68">
        <f t="shared" si="164"/>
        <v>74</v>
      </c>
      <c r="Y169" s="68" t="str">
        <f t="shared" si="166"/>
        <v/>
      </c>
      <c r="Z169" s="68" t="str">
        <f t="shared" si="167"/>
        <v/>
      </c>
      <c r="AA169" s="68" t="str">
        <f t="shared" si="168"/>
        <v/>
      </c>
      <c r="AB169" s="227" t="str">
        <f t="shared" si="169"/>
        <v/>
      </c>
      <c r="AC169" s="68" t="str">
        <f t="shared" si="170"/>
        <v/>
      </c>
      <c r="AD169" s="68" t="str">
        <f t="shared" si="171"/>
        <v/>
      </c>
      <c r="AE169" s="68" t="str">
        <f t="shared" si="172"/>
        <v/>
      </c>
      <c r="AF169" s="68" t="str">
        <f t="shared" si="173"/>
        <v/>
      </c>
      <c r="AG169" s="68" t="str">
        <f t="shared" si="174"/>
        <v/>
      </c>
    </row>
    <row r="170" spans="1:33" s="67" customFormat="1">
      <c r="A170" s="18" t="str">
        <f t="shared" si="155"/>
        <v/>
      </c>
      <c r="B170" s="219"/>
      <c r="C170" s="58"/>
      <c r="D170" s="44">
        <f t="shared" si="156"/>
        <v>31</v>
      </c>
      <c r="E170" s="59" t="str">
        <f t="shared" si="157"/>
        <v/>
      </c>
      <c r="F170" s="90" t="str">
        <f t="shared" si="158"/>
        <v/>
      </c>
      <c r="G170" s="190"/>
      <c r="H170" s="203"/>
      <c r="I170" s="191"/>
      <c r="J170" s="42"/>
      <c r="K170" s="39">
        <f>IF(I170="",0,VLOOKUP(I170,'LISTA DE PRECIOS'!A:F,IF(R170="CORO",4,5),FALSE))</f>
        <v>0</v>
      </c>
      <c r="L170" s="206">
        <f t="shared" si="163"/>
        <v>0</v>
      </c>
      <c r="M170" s="217">
        <f>IF(F170="",0,IF(SUMIF('REPORTE GASTOS'!$C$6:$C$210,F170,'REPORTE GASTOS'!$G$6:$G$210)=0,'LISTA DE PRECIOS'!$H$3,SUMIF('REPORTE GASTOS'!$C$6:$C$210,F170,'REPORTE GASTOS'!$I$6:$I$210)/SUMIF('REPORTE GASTOS'!$C$6:$C$210,F170,'REPORTE GASTOS'!$G$6:$G$210)))</f>
        <v>0</v>
      </c>
      <c r="N170" s="12">
        <f t="shared" si="159"/>
        <v>0</v>
      </c>
      <c r="O170" s="43">
        <f t="shared" si="160"/>
        <v>0</v>
      </c>
      <c r="P170" s="70"/>
      <c r="R170" s="68" t="str">
        <f>IF(H170="","",VLOOKUP(H170,'DATOS CLIENTES'!B:F,5,FALSE))</f>
        <v/>
      </c>
      <c r="S170" s="68" t="str">
        <f t="shared" si="165"/>
        <v>031</v>
      </c>
      <c r="U170" s="69">
        <f t="shared" si="161"/>
        <v>0</v>
      </c>
      <c r="V170" s="69">
        <f t="shared" si="162"/>
        <v>0</v>
      </c>
      <c r="X170" s="68">
        <f t="shared" si="164"/>
        <v>74</v>
      </c>
      <c r="Y170" s="68" t="str">
        <f t="shared" si="166"/>
        <v/>
      </c>
      <c r="Z170" s="68" t="str">
        <f t="shared" si="167"/>
        <v/>
      </c>
      <c r="AA170" s="68" t="str">
        <f t="shared" si="168"/>
        <v/>
      </c>
      <c r="AB170" s="227" t="str">
        <f t="shared" si="169"/>
        <v/>
      </c>
      <c r="AC170" s="68" t="str">
        <f t="shared" si="170"/>
        <v/>
      </c>
      <c r="AD170" s="68" t="str">
        <f t="shared" si="171"/>
        <v/>
      </c>
      <c r="AE170" s="68" t="str">
        <f t="shared" si="172"/>
        <v/>
      </c>
      <c r="AF170" s="68" t="str">
        <f t="shared" si="173"/>
        <v/>
      </c>
      <c r="AG170" s="68" t="str">
        <f t="shared" si="174"/>
        <v/>
      </c>
    </row>
    <row r="171" spans="1:33" s="67" customFormat="1">
      <c r="A171" s="18" t="str">
        <f t="shared" si="155"/>
        <v/>
      </c>
      <c r="B171" s="219"/>
      <c r="C171" s="58"/>
      <c r="D171" s="44">
        <f t="shared" si="156"/>
        <v>31</v>
      </c>
      <c r="E171" s="59" t="str">
        <f t="shared" si="157"/>
        <v/>
      </c>
      <c r="F171" s="90" t="str">
        <f t="shared" si="158"/>
        <v/>
      </c>
      <c r="G171" s="190"/>
      <c r="H171" s="203"/>
      <c r="I171" s="191"/>
      <c r="J171" s="42"/>
      <c r="K171" s="39">
        <f>IF(I171="",0,VLOOKUP(I171,'LISTA DE PRECIOS'!A:F,IF(R171="CORO",4,5),FALSE))</f>
        <v>0</v>
      </c>
      <c r="L171" s="206">
        <f t="shared" si="163"/>
        <v>0</v>
      </c>
      <c r="M171" s="217">
        <f>IF(F171="",0,IF(SUMIF('REPORTE GASTOS'!$C$6:$C$210,F171,'REPORTE GASTOS'!$G$6:$G$210)=0,'LISTA DE PRECIOS'!$H$3,SUMIF('REPORTE GASTOS'!$C$6:$C$210,F171,'REPORTE GASTOS'!$I$6:$I$210)/SUMIF('REPORTE GASTOS'!$C$6:$C$210,F171,'REPORTE GASTOS'!$G$6:$G$210)))</f>
        <v>0</v>
      </c>
      <c r="N171" s="12">
        <f t="shared" si="159"/>
        <v>0</v>
      </c>
      <c r="O171" s="43">
        <f t="shared" si="160"/>
        <v>0</v>
      </c>
      <c r="P171" s="70"/>
      <c r="R171" s="68" t="str">
        <f>IF(H171="","",VLOOKUP(H171,'DATOS CLIENTES'!B:F,5,FALSE))</f>
        <v/>
      </c>
      <c r="S171" s="68" t="str">
        <f t="shared" si="165"/>
        <v>031</v>
      </c>
      <c r="U171" s="69">
        <f t="shared" si="161"/>
        <v>0</v>
      </c>
      <c r="V171" s="69">
        <f t="shared" si="162"/>
        <v>0</v>
      </c>
      <c r="X171" s="68">
        <f t="shared" si="164"/>
        <v>74</v>
      </c>
      <c r="Y171" s="68" t="str">
        <f t="shared" si="166"/>
        <v/>
      </c>
      <c r="Z171" s="68" t="str">
        <f t="shared" si="167"/>
        <v/>
      </c>
      <c r="AA171" s="68" t="str">
        <f t="shared" si="168"/>
        <v/>
      </c>
      <c r="AB171" s="227" t="str">
        <f t="shared" si="169"/>
        <v/>
      </c>
      <c r="AC171" s="68" t="str">
        <f t="shared" si="170"/>
        <v/>
      </c>
      <c r="AD171" s="68" t="str">
        <f t="shared" si="171"/>
        <v/>
      </c>
      <c r="AE171" s="68" t="str">
        <f t="shared" si="172"/>
        <v/>
      </c>
      <c r="AF171" s="68" t="str">
        <f t="shared" si="173"/>
        <v/>
      </c>
      <c r="AG171" s="68" t="str">
        <f t="shared" si="174"/>
        <v/>
      </c>
    </row>
    <row r="172" spans="1:33" s="67" customFormat="1">
      <c r="A172" s="18" t="str">
        <f t="shared" si="155"/>
        <v/>
      </c>
      <c r="B172" s="219"/>
      <c r="C172" s="58"/>
      <c r="D172" s="44">
        <f t="shared" si="156"/>
        <v>31</v>
      </c>
      <c r="E172" s="59" t="str">
        <f t="shared" si="157"/>
        <v/>
      </c>
      <c r="F172" s="90" t="str">
        <f t="shared" si="158"/>
        <v/>
      </c>
      <c r="G172" s="190"/>
      <c r="H172" s="203"/>
      <c r="I172" s="191"/>
      <c r="J172" s="42"/>
      <c r="K172" s="39">
        <f>IF(I172="",0,VLOOKUP(I172,'LISTA DE PRECIOS'!A:F,IF(R172="CORO",4,5),FALSE))</f>
        <v>0</v>
      </c>
      <c r="L172" s="206">
        <f t="shared" si="163"/>
        <v>0</v>
      </c>
      <c r="M172" s="217">
        <f>IF(F172="",0,IF(SUMIF('REPORTE GASTOS'!$C$6:$C$210,F172,'REPORTE GASTOS'!$G$6:$G$210)=0,'LISTA DE PRECIOS'!$H$3,SUMIF('REPORTE GASTOS'!$C$6:$C$210,F172,'REPORTE GASTOS'!$I$6:$I$210)/SUMIF('REPORTE GASTOS'!$C$6:$C$210,F172,'REPORTE GASTOS'!$G$6:$G$210)))</f>
        <v>0</v>
      </c>
      <c r="N172" s="12">
        <f t="shared" si="159"/>
        <v>0</v>
      </c>
      <c r="O172" s="43">
        <f t="shared" si="160"/>
        <v>0</v>
      </c>
      <c r="P172" s="70"/>
      <c r="R172" s="68" t="str">
        <f>IF(H172="","",VLOOKUP(H172,'DATOS CLIENTES'!B:F,5,FALSE))</f>
        <v/>
      </c>
      <c r="S172" s="68" t="str">
        <f t="shared" si="165"/>
        <v>031</v>
      </c>
      <c r="U172" s="69">
        <f t="shared" si="161"/>
        <v>0</v>
      </c>
      <c r="V172" s="69">
        <f t="shared" si="162"/>
        <v>0</v>
      </c>
      <c r="X172" s="68">
        <f t="shared" si="164"/>
        <v>74</v>
      </c>
      <c r="Y172" s="68" t="str">
        <f t="shared" si="166"/>
        <v/>
      </c>
      <c r="Z172" s="68" t="str">
        <f t="shared" si="167"/>
        <v/>
      </c>
      <c r="AA172" s="68" t="str">
        <f t="shared" si="168"/>
        <v/>
      </c>
      <c r="AB172" s="227" t="str">
        <f t="shared" si="169"/>
        <v/>
      </c>
      <c r="AC172" s="68" t="str">
        <f t="shared" si="170"/>
        <v/>
      </c>
      <c r="AD172" s="68" t="str">
        <f t="shared" si="171"/>
        <v/>
      </c>
      <c r="AE172" s="68" t="str">
        <f t="shared" si="172"/>
        <v/>
      </c>
      <c r="AF172" s="68" t="str">
        <f t="shared" si="173"/>
        <v/>
      </c>
      <c r="AG172" s="68" t="str">
        <f t="shared" si="174"/>
        <v/>
      </c>
    </row>
    <row r="173" spans="1:33" s="67" customFormat="1">
      <c r="A173" s="18" t="str">
        <f t="shared" si="155"/>
        <v/>
      </c>
      <c r="B173" s="219"/>
      <c r="C173" s="58"/>
      <c r="D173" s="44">
        <f t="shared" si="156"/>
        <v>31</v>
      </c>
      <c r="E173" s="59" t="str">
        <f t="shared" si="157"/>
        <v/>
      </c>
      <c r="F173" s="90" t="str">
        <f t="shared" si="158"/>
        <v/>
      </c>
      <c r="G173" s="190"/>
      <c r="H173" s="203"/>
      <c r="I173" s="191"/>
      <c r="J173" s="42"/>
      <c r="K173" s="39">
        <f>IF(I173="",0,VLOOKUP(I173,'LISTA DE PRECIOS'!A:F,IF(R173="CORO",4,5),FALSE))</f>
        <v>0</v>
      </c>
      <c r="L173" s="206">
        <f t="shared" si="163"/>
        <v>0</v>
      </c>
      <c r="M173" s="217">
        <f>IF(F173="",0,IF(SUMIF('REPORTE GASTOS'!$C$6:$C$210,F173,'REPORTE GASTOS'!$G$6:$G$210)=0,'LISTA DE PRECIOS'!$H$3,SUMIF('REPORTE GASTOS'!$C$6:$C$210,F173,'REPORTE GASTOS'!$I$6:$I$210)/SUMIF('REPORTE GASTOS'!$C$6:$C$210,F173,'REPORTE GASTOS'!$G$6:$G$210)))</f>
        <v>0</v>
      </c>
      <c r="N173" s="12">
        <f t="shared" si="159"/>
        <v>0</v>
      </c>
      <c r="O173" s="43">
        <f t="shared" si="160"/>
        <v>0</v>
      </c>
      <c r="P173" s="70"/>
      <c r="R173" s="68" t="str">
        <f>IF(H173="","",VLOOKUP(H173,'DATOS CLIENTES'!B:F,5,FALSE))</f>
        <v/>
      </c>
      <c r="S173" s="68" t="str">
        <f t="shared" si="165"/>
        <v>031</v>
      </c>
      <c r="U173" s="69">
        <f t="shared" si="161"/>
        <v>0</v>
      </c>
      <c r="V173" s="69">
        <f t="shared" si="162"/>
        <v>0</v>
      </c>
      <c r="X173" s="68">
        <f t="shared" si="164"/>
        <v>74</v>
      </c>
      <c r="Y173" s="68" t="str">
        <f t="shared" si="166"/>
        <v/>
      </c>
      <c r="Z173" s="68" t="str">
        <f t="shared" si="167"/>
        <v/>
      </c>
      <c r="AA173" s="68" t="str">
        <f t="shared" si="168"/>
        <v/>
      </c>
      <c r="AB173" s="227" t="str">
        <f t="shared" si="169"/>
        <v/>
      </c>
      <c r="AC173" s="68" t="str">
        <f t="shared" si="170"/>
        <v/>
      </c>
      <c r="AD173" s="68" t="str">
        <f t="shared" si="171"/>
        <v/>
      </c>
      <c r="AE173" s="68" t="str">
        <f t="shared" si="172"/>
        <v/>
      </c>
      <c r="AF173" s="68" t="str">
        <f t="shared" si="173"/>
        <v/>
      </c>
      <c r="AG173" s="68" t="str">
        <f t="shared" si="174"/>
        <v/>
      </c>
    </row>
    <row r="174" spans="1:33" s="67" customFormat="1">
      <c r="A174" s="18" t="str">
        <f t="shared" si="155"/>
        <v/>
      </c>
      <c r="B174" s="219"/>
      <c r="C174" s="58"/>
      <c r="D174" s="44">
        <f t="shared" si="156"/>
        <v>31</v>
      </c>
      <c r="E174" s="59" t="str">
        <f t="shared" si="157"/>
        <v/>
      </c>
      <c r="F174" s="90" t="str">
        <f t="shared" si="158"/>
        <v/>
      </c>
      <c r="G174" s="190"/>
      <c r="H174" s="203"/>
      <c r="I174" s="191"/>
      <c r="J174" s="42"/>
      <c r="K174" s="39">
        <f>IF(I174="",0,VLOOKUP(I174,'LISTA DE PRECIOS'!A:F,IF(R174="CORO",4,5),FALSE))</f>
        <v>0</v>
      </c>
      <c r="L174" s="206">
        <f t="shared" si="163"/>
        <v>0</v>
      </c>
      <c r="M174" s="217">
        <f>IF(F174="",0,IF(SUMIF('REPORTE GASTOS'!$C$6:$C$210,F174,'REPORTE GASTOS'!$G$6:$G$210)=0,'LISTA DE PRECIOS'!$H$3,SUMIF('REPORTE GASTOS'!$C$6:$C$210,F174,'REPORTE GASTOS'!$I$6:$I$210)/SUMIF('REPORTE GASTOS'!$C$6:$C$210,F174,'REPORTE GASTOS'!$G$6:$G$210)))</f>
        <v>0</v>
      </c>
      <c r="N174" s="12">
        <f t="shared" si="159"/>
        <v>0</v>
      </c>
      <c r="O174" s="43">
        <f t="shared" si="160"/>
        <v>0</v>
      </c>
      <c r="P174" s="70"/>
      <c r="R174" s="68" t="str">
        <f>IF(H174="","",VLOOKUP(H174,'DATOS CLIENTES'!B:F,5,FALSE))</f>
        <v/>
      </c>
      <c r="S174" s="68" t="str">
        <f t="shared" si="165"/>
        <v>031</v>
      </c>
      <c r="U174" s="69">
        <f t="shared" si="161"/>
        <v>0</v>
      </c>
      <c r="V174" s="69">
        <f t="shared" si="162"/>
        <v>0</v>
      </c>
      <c r="X174" s="68">
        <f t="shared" si="164"/>
        <v>74</v>
      </c>
      <c r="Y174" s="68" t="str">
        <f t="shared" si="166"/>
        <v/>
      </c>
      <c r="Z174" s="68" t="str">
        <f t="shared" si="167"/>
        <v/>
      </c>
      <c r="AA174" s="68" t="str">
        <f t="shared" si="168"/>
        <v/>
      </c>
      <c r="AB174" s="227" t="str">
        <f t="shared" si="169"/>
        <v/>
      </c>
      <c r="AC174" s="68" t="str">
        <f t="shared" si="170"/>
        <v/>
      </c>
      <c r="AD174" s="68" t="str">
        <f t="shared" si="171"/>
        <v/>
      </c>
      <c r="AE174" s="68" t="str">
        <f t="shared" si="172"/>
        <v/>
      </c>
      <c r="AF174" s="68" t="str">
        <f t="shared" si="173"/>
        <v/>
      </c>
      <c r="AG174" s="68" t="str">
        <f t="shared" si="174"/>
        <v/>
      </c>
    </row>
    <row r="175" spans="1:33" s="67" customFormat="1">
      <c r="A175" s="18" t="str">
        <f t="shared" si="155"/>
        <v/>
      </c>
      <c r="B175" s="219"/>
      <c r="C175" s="58"/>
      <c r="D175" s="44">
        <f t="shared" si="156"/>
        <v>31</v>
      </c>
      <c r="E175" s="59" t="str">
        <f t="shared" si="157"/>
        <v/>
      </c>
      <c r="F175" s="90" t="str">
        <f t="shared" si="158"/>
        <v/>
      </c>
      <c r="G175" s="190"/>
      <c r="H175" s="203"/>
      <c r="I175" s="191"/>
      <c r="J175" s="42"/>
      <c r="K175" s="39">
        <f>IF(I175="",0,VLOOKUP(I175,'LISTA DE PRECIOS'!A:F,IF(R175="CORO",4,5),FALSE))</f>
        <v>0</v>
      </c>
      <c r="L175" s="206">
        <f t="shared" si="163"/>
        <v>0</v>
      </c>
      <c r="M175" s="217">
        <f>IF(F175="",0,IF(SUMIF('REPORTE GASTOS'!$C$6:$C$210,F175,'REPORTE GASTOS'!$G$6:$G$210)=0,'LISTA DE PRECIOS'!$H$3,SUMIF('REPORTE GASTOS'!$C$6:$C$210,F175,'REPORTE GASTOS'!$I$6:$I$210)/SUMIF('REPORTE GASTOS'!$C$6:$C$210,F175,'REPORTE GASTOS'!$G$6:$G$210)))</f>
        <v>0</v>
      </c>
      <c r="N175" s="12">
        <f t="shared" si="159"/>
        <v>0</v>
      </c>
      <c r="O175" s="43">
        <f t="shared" si="160"/>
        <v>0</v>
      </c>
      <c r="P175" s="70"/>
      <c r="R175" s="68" t="str">
        <f>IF(H175="","",VLOOKUP(H175,'DATOS CLIENTES'!B:F,5,FALSE))</f>
        <v/>
      </c>
      <c r="S175" s="68" t="str">
        <f t="shared" si="165"/>
        <v>031</v>
      </c>
      <c r="U175" s="69">
        <f t="shared" si="161"/>
        <v>0</v>
      </c>
      <c r="V175" s="69">
        <f t="shared" si="162"/>
        <v>0</v>
      </c>
      <c r="X175" s="68">
        <f t="shared" si="164"/>
        <v>74</v>
      </c>
      <c r="Y175" s="68" t="str">
        <f t="shared" si="166"/>
        <v/>
      </c>
      <c r="Z175" s="68" t="str">
        <f t="shared" si="167"/>
        <v/>
      </c>
      <c r="AA175" s="68" t="str">
        <f t="shared" si="168"/>
        <v/>
      </c>
      <c r="AB175" s="227" t="str">
        <f t="shared" si="169"/>
        <v/>
      </c>
      <c r="AC175" s="68" t="str">
        <f t="shared" si="170"/>
        <v/>
      </c>
      <c r="AD175" s="68" t="str">
        <f t="shared" si="171"/>
        <v/>
      </c>
      <c r="AE175" s="68" t="str">
        <f t="shared" si="172"/>
        <v/>
      </c>
      <c r="AF175" s="68" t="str">
        <f t="shared" si="173"/>
        <v/>
      </c>
      <c r="AG175" s="68" t="str">
        <f t="shared" si="174"/>
        <v/>
      </c>
    </row>
    <row r="176" spans="1:33" s="67" customFormat="1">
      <c r="A176" s="18" t="str">
        <f t="shared" si="155"/>
        <v/>
      </c>
      <c r="B176" s="219"/>
      <c r="C176" s="58"/>
      <c r="D176" s="44">
        <f t="shared" si="156"/>
        <v>31</v>
      </c>
      <c r="E176" s="59" t="str">
        <f t="shared" si="157"/>
        <v/>
      </c>
      <c r="F176" s="90" t="str">
        <f t="shared" si="158"/>
        <v/>
      </c>
      <c r="G176" s="190"/>
      <c r="H176" s="203"/>
      <c r="I176" s="191"/>
      <c r="J176" s="42"/>
      <c r="K176" s="39">
        <f>IF(I176="",0,VLOOKUP(I176,'LISTA DE PRECIOS'!A:F,IF(R176="CORO",4,5),FALSE))</f>
        <v>0</v>
      </c>
      <c r="L176" s="206">
        <f t="shared" si="163"/>
        <v>0</v>
      </c>
      <c r="M176" s="217">
        <f>IF(F176="",0,IF(SUMIF('REPORTE GASTOS'!$C$6:$C$210,F176,'REPORTE GASTOS'!$G$6:$G$210)=0,'LISTA DE PRECIOS'!$H$3,SUMIF('REPORTE GASTOS'!$C$6:$C$210,F176,'REPORTE GASTOS'!$I$6:$I$210)/SUMIF('REPORTE GASTOS'!$C$6:$C$210,F176,'REPORTE GASTOS'!$G$6:$G$210)))</f>
        <v>0</v>
      </c>
      <c r="N176" s="12">
        <f t="shared" si="159"/>
        <v>0</v>
      </c>
      <c r="O176" s="43">
        <f t="shared" si="160"/>
        <v>0</v>
      </c>
      <c r="P176" s="70"/>
      <c r="R176" s="68" t="str">
        <f>IF(H176="","",VLOOKUP(H176,'DATOS CLIENTES'!B:F,5,FALSE))</f>
        <v/>
      </c>
      <c r="S176" s="68" t="str">
        <f t="shared" si="165"/>
        <v>031</v>
      </c>
      <c r="U176" s="69">
        <f t="shared" si="161"/>
        <v>0</v>
      </c>
      <c r="V176" s="69">
        <f t="shared" si="162"/>
        <v>0</v>
      </c>
      <c r="X176" s="68">
        <f t="shared" si="164"/>
        <v>74</v>
      </c>
      <c r="Y176" s="68" t="str">
        <f t="shared" si="166"/>
        <v/>
      </c>
      <c r="Z176" s="68" t="str">
        <f t="shared" si="167"/>
        <v/>
      </c>
      <c r="AA176" s="68" t="str">
        <f t="shared" si="168"/>
        <v/>
      </c>
      <c r="AB176" s="227" t="str">
        <f t="shared" si="169"/>
        <v/>
      </c>
      <c r="AC176" s="68" t="str">
        <f t="shared" si="170"/>
        <v/>
      </c>
      <c r="AD176" s="68" t="str">
        <f t="shared" si="171"/>
        <v/>
      </c>
      <c r="AE176" s="68" t="str">
        <f t="shared" si="172"/>
        <v/>
      </c>
      <c r="AF176" s="68" t="str">
        <f t="shared" si="173"/>
        <v/>
      </c>
      <c r="AG176" s="68" t="str">
        <f t="shared" si="174"/>
        <v/>
      </c>
    </row>
    <row r="177" spans="1:33" s="67" customFormat="1">
      <c r="A177" s="18" t="str">
        <f t="shared" si="155"/>
        <v/>
      </c>
      <c r="B177" s="219"/>
      <c r="C177" s="58"/>
      <c r="D177" s="44">
        <f t="shared" si="156"/>
        <v>31</v>
      </c>
      <c r="E177" s="59" t="str">
        <f t="shared" si="157"/>
        <v/>
      </c>
      <c r="F177" s="90" t="str">
        <f t="shared" si="158"/>
        <v/>
      </c>
      <c r="G177" s="190"/>
      <c r="H177" s="203"/>
      <c r="I177" s="191"/>
      <c r="J177" s="42"/>
      <c r="K177" s="39">
        <f>IF(I177="",0,VLOOKUP(I177,'LISTA DE PRECIOS'!A:F,IF(R177="CORO",4,5),FALSE))</f>
        <v>0</v>
      </c>
      <c r="L177" s="206">
        <f t="shared" si="163"/>
        <v>0</v>
      </c>
      <c r="M177" s="217">
        <f>IF(F177="",0,IF(SUMIF('REPORTE GASTOS'!$C$6:$C$210,F177,'REPORTE GASTOS'!$G$6:$G$210)=0,'LISTA DE PRECIOS'!$H$3,SUMIF('REPORTE GASTOS'!$C$6:$C$210,F177,'REPORTE GASTOS'!$I$6:$I$210)/SUMIF('REPORTE GASTOS'!$C$6:$C$210,F177,'REPORTE GASTOS'!$G$6:$G$210)))</f>
        <v>0</v>
      </c>
      <c r="N177" s="12">
        <f t="shared" si="159"/>
        <v>0</v>
      </c>
      <c r="O177" s="43">
        <f t="shared" si="160"/>
        <v>0</v>
      </c>
      <c r="P177" s="70"/>
      <c r="R177" s="68" t="str">
        <f>IF(H177="","",VLOOKUP(H177,'DATOS CLIENTES'!B:F,5,FALSE))</f>
        <v/>
      </c>
      <c r="S177" s="68" t="str">
        <f t="shared" si="165"/>
        <v>031</v>
      </c>
      <c r="U177" s="69">
        <f t="shared" si="161"/>
        <v>0</v>
      </c>
      <c r="V177" s="69">
        <f t="shared" si="162"/>
        <v>0</v>
      </c>
      <c r="X177" s="68">
        <f t="shared" si="164"/>
        <v>74</v>
      </c>
      <c r="Y177" s="68" t="str">
        <f t="shared" si="166"/>
        <v/>
      </c>
      <c r="Z177" s="68" t="str">
        <f t="shared" si="167"/>
        <v/>
      </c>
      <c r="AA177" s="68" t="str">
        <f t="shared" si="168"/>
        <v/>
      </c>
      <c r="AB177" s="227" t="str">
        <f t="shared" si="169"/>
        <v/>
      </c>
      <c r="AC177" s="68" t="str">
        <f t="shared" si="170"/>
        <v/>
      </c>
      <c r="AD177" s="68" t="str">
        <f t="shared" si="171"/>
        <v/>
      </c>
      <c r="AE177" s="68" t="str">
        <f t="shared" si="172"/>
        <v/>
      </c>
      <c r="AF177" s="68" t="str">
        <f t="shared" si="173"/>
        <v/>
      </c>
      <c r="AG177" s="68" t="str">
        <f t="shared" si="174"/>
        <v/>
      </c>
    </row>
    <row r="178" spans="1:33" s="67" customFormat="1">
      <c r="A178" s="18" t="str">
        <f t="shared" si="155"/>
        <v/>
      </c>
      <c r="B178" s="219"/>
      <c r="C178" s="58"/>
      <c r="D178" s="44">
        <f t="shared" si="156"/>
        <v>31</v>
      </c>
      <c r="E178" s="59" t="str">
        <f t="shared" si="157"/>
        <v/>
      </c>
      <c r="F178" s="90" t="str">
        <f t="shared" si="158"/>
        <v/>
      </c>
      <c r="G178" s="190"/>
      <c r="H178" s="203"/>
      <c r="I178" s="191"/>
      <c r="J178" s="42"/>
      <c r="K178" s="39">
        <f>IF(I178="",0,VLOOKUP(I178,'LISTA DE PRECIOS'!A:F,IF(R178="CORO",4,5),FALSE))</f>
        <v>0</v>
      </c>
      <c r="L178" s="206">
        <f t="shared" si="163"/>
        <v>0</v>
      </c>
      <c r="M178" s="217">
        <f>IF(F178="",0,IF(SUMIF('REPORTE GASTOS'!$C$6:$C$210,F178,'REPORTE GASTOS'!$G$6:$G$210)=0,'LISTA DE PRECIOS'!$H$3,SUMIF('REPORTE GASTOS'!$C$6:$C$210,F178,'REPORTE GASTOS'!$I$6:$I$210)/SUMIF('REPORTE GASTOS'!$C$6:$C$210,F178,'REPORTE GASTOS'!$G$6:$G$210)))</f>
        <v>0</v>
      </c>
      <c r="N178" s="12">
        <f t="shared" si="159"/>
        <v>0</v>
      </c>
      <c r="O178" s="43">
        <f t="shared" si="160"/>
        <v>0</v>
      </c>
      <c r="P178" s="70"/>
      <c r="R178" s="68" t="str">
        <f>IF(H178="","",VLOOKUP(H178,'DATOS CLIENTES'!B:F,5,FALSE))</f>
        <v/>
      </c>
      <c r="S178" s="68" t="str">
        <f t="shared" si="165"/>
        <v>031</v>
      </c>
      <c r="U178" s="69">
        <f t="shared" si="161"/>
        <v>0</v>
      </c>
      <c r="V178" s="69">
        <f t="shared" si="162"/>
        <v>0</v>
      </c>
      <c r="X178" s="68">
        <f t="shared" si="164"/>
        <v>74</v>
      </c>
      <c r="Y178" s="68" t="str">
        <f t="shared" si="166"/>
        <v/>
      </c>
      <c r="Z178" s="68" t="str">
        <f t="shared" si="167"/>
        <v/>
      </c>
      <c r="AA178" s="68" t="str">
        <f t="shared" si="168"/>
        <v/>
      </c>
      <c r="AB178" s="227" t="str">
        <f t="shared" si="169"/>
        <v/>
      </c>
      <c r="AC178" s="68" t="str">
        <f t="shared" si="170"/>
        <v/>
      </c>
      <c r="AD178" s="68" t="str">
        <f t="shared" si="171"/>
        <v/>
      </c>
      <c r="AE178" s="68" t="str">
        <f t="shared" si="172"/>
        <v/>
      </c>
      <c r="AF178" s="68" t="str">
        <f t="shared" si="173"/>
        <v/>
      </c>
      <c r="AG178" s="68" t="str">
        <f t="shared" si="174"/>
        <v/>
      </c>
    </row>
    <row r="179" spans="1:33" s="67" customFormat="1">
      <c r="A179" s="18" t="str">
        <f t="shared" si="155"/>
        <v/>
      </c>
      <c r="B179" s="219"/>
      <c r="C179" s="58"/>
      <c r="D179" s="44">
        <f t="shared" si="156"/>
        <v>31</v>
      </c>
      <c r="E179" s="59" t="str">
        <f t="shared" si="157"/>
        <v/>
      </c>
      <c r="F179" s="90" t="str">
        <f t="shared" si="158"/>
        <v/>
      </c>
      <c r="G179" s="190"/>
      <c r="H179" s="203"/>
      <c r="I179" s="191"/>
      <c r="J179" s="42"/>
      <c r="K179" s="39">
        <f>IF(I179="",0,VLOOKUP(I179,'LISTA DE PRECIOS'!A:F,IF(R179="CORO",4,5),FALSE))</f>
        <v>0</v>
      </c>
      <c r="L179" s="206">
        <f t="shared" si="163"/>
        <v>0</v>
      </c>
      <c r="M179" s="217">
        <f>IF(F179="",0,IF(SUMIF('REPORTE GASTOS'!$C$6:$C$210,F179,'REPORTE GASTOS'!$G$6:$G$210)=0,'LISTA DE PRECIOS'!$H$3,SUMIF('REPORTE GASTOS'!$C$6:$C$210,F179,'REPORTE GASTOS'!$I$6:$I$210)/SUMIF('REPORTE GASTOS'!$C$6:$C$210,F179,'REPORTE GASTOS'!$G$6:$G$210)))</f>
        <v>0</v>
      </c>
      <c r="N179" s="12">
        <f t="shared" si="159"/>
        <v>0</v>
      </c>
      <c r="O179" s="43">
        <f t="shared" si="160"/>
        <v>0</v>
      </c>
      <c r="P179" s="70"/>
      <c r="R179" s="68" t="str">
        <f>IF(H179="","",VLOOKUP(H179,'DATOS CLIENTES'!B:F,5,FALSE))</f>
        <v/>
      </c>
      <c r="S179" s="68" t="str">
        <f t="shared" si="165"/>
        <v>031</v>
      </c>
      <c r="U179" s="69">
        <f t="shared" si="161"/>
        <v>0</v>
      </c>
      <c r="V179" s="69">
        <f t="shared" si="162"/>
        <v>0</v>
      </c>
      <c r="X179" s="68">
        <f t="shared" si="164"/>
        <v>74</v>
      </c>
      <c r="Y179" s="68" t="str">
        <f t="shared" si="166"/>
        <v/>
      </c>
      <c r="Z179" s="68" t="str">
        <f t="shared" si="167"/>
        <v/>
      </c>
      <c r="AA179" s="68" t="str">
        <f t="shared" si="168"/>
        <v/>
      </c>
      <c r="AB179" s="227" t="str">
        <f t="shared" si="169"/>
        <v/>
      </c>
      <c r="AC179" s="68" t="str">
        <f t="shared" si="170"/>
        <v/>
      </c>
      <c r="AD179" s="68" t="str">
        <f t="shared" si="171"/>
        <v/>
      </c>
      <c r="AE179" s="68" t="str">
        <f t="shared" si="172"/>
        <v/>
      </c>
      <c r="AF179" s="68" t="str">
        <f t="shared" si="173"/>
        <v/>
      </c>
      <c r="AG179" s="68" t="str">
        <f t="shared" si="174"/>
        <v/>
      </c>
    </row>
    <row r="180" spans="1:33" s="67" customFormat="1">
      <c r="A180" s="18" t="str">
        <f t="shared" si="155"/>
        <v/>
      </c>
      <c r="B180" s="219"/>
      <c r="C180" s="58"/>
      <c r="D180" s="44">
        <f t="shared" si="156"/>
        <v>31</v>
      </c>
      <c r="E180" s="59" t="str">
        <f t="shared" si="157"/>
        <v/>
      </c>
      <c r="F180" s="90" t="str">
        <f t="shared" si="158"/>
        <v/>
      </c>
      <c r="G180" s="190"/>
      <c r="H180" s="203"/>
      <c r="I180" s="191"/>
      <c r="J180" s="42"/>
      <c r="K180" s="39">
        <f>IF(I180="",0,VLOOKUP(I180,'LISTA DE PRECIOS'!A:F,IF(R180="CORO",4,5),FALSE))</f>
        <v>0</v>
      </c>
      <c r="L180" s="206">
        <f t="shared" si="163"/>
        <v>0</v>
      </c>
      <c r="M180" s="217">
        <f>IF(F180="",0,IF(SUMIF('REPORTE GASTOS'!$C$6:$C$210,F180,'REPORTE GASTOS'!$G$6:$G$210)=0,'LISTA DE PRECIOS'!$H$3,SUMIF('REPORTE GASTOS'!$C$6:$C$210,F180,'REPORTE GASTOS'!$I$6:$I$210)/SUMIF('REPORTE GASTOS'!$C$6:$C$210,F180,'REPORTE GASTOS'!$G$6:$G$210)))</f>
        <v>0</v>
      </c>
      <c r="N180" s="12">
        <f t="shared" si="159"/>
        <v>0</v>
      </c>
      <c r="O180" s="43">
        <f t="shared" si="160"/>
        <v>0</v>
      </c>
      <c r="P180" s="70"/>
      <c r="R180" s="68" t="str">
        <f>IF(H180="","",VLOOKUP(H180,'DATOS CLIENTES'!B:F,5,FALSE))</f>
        <v/>
      </c>
      <c r="S180" s="68" t="str">
        <f t="shared" si="165"/>
        <v>031</v>
      </c>
      <c r="U180" s="69">
        <f t="shared" si="161"/>
        <v>0</v>
      </c>
      <c r="V180" s="69">
        <f t="shared" si="162"/>
        <v>0</v>
      </c>
      <c r="X180" s="68">
        <f t="shared" si="164"/>
        <v>74</v>
      </c>
      <c r="Y180" s="68" t="str">
        <f t="shared" si="166"/>
        <v/>
      </c>
      <c r="Z180" s="68" t="str">
        <f t="shared" si="167"/>
        <v/>
      </c>
      <c r="AA180" s="68" t="str">
        <f t="shared" si="168"/>
        <v/>
      </c>
      <c r="AB180" s="227" t="str">
        <f t="shared" si="169"/>
        <v/>
      </c>
      <c r="AC180" s="68" t="str">
        <f t="shared" si="170"/>
        <v/>
      </c>
      <c r="AD180" s="68" t="str">
        <f t="shared" si="171"/>
        <v/>
      </c>
      <c r="AE180" s="68" t="str">
        <f t="shared" si="172"/>
        <v/>
      </c>
      <c r="AF180" s="68" t="str">
        <f t="shared" si="173"/>
        <v/>
      </c>
      <c r="AG180" s="68" t="str">
        <f t="shared" si="174"/>
        <v/>
      </c>
    </row>
    <row r="181" spans="1:33" s="67" customFormat="1">
      <c r="A181" s="18" t="str">
        <f t="shared" si="155"/>
        <v/>
      </c>
      <c r="B181" s="219"/>
      <c r="C181" s="58"/>
      <c r="D181" s="44">
        <f t="shared" si="156"/>
        <v>31</v>
      </c>
      <c r="E181" s="59" t="str">
        <f t="shared" si="157"/>
        <v/>
      </c>
      <c r="F181" s="90" t="str">
        <f t="shared" si="158"/>
        <v/>
      </c>
      <c r="G181" s="190"/>
      <c r="H181" s="203"/>
      <c r="I181" s="191"/>
      <c r="J181" s="42"/>
      <c r="K181" s="39">
        <f>IF(I181="",0,VLOOKUP(I181,'LISTA DE PRECIOS'!A:F,IF(R181="CORO",4,5),FALSE))</f>
        <v>0</v>
      </c>
      <c r="L181" s="206">
        <f t="shared" si="163"/>
        <v>0</v>
      </c>
      <c r="M181" s="217">
        <f>IF(F181="",0,IF(SUMIF('REPORTE GASTOS'!$C$6:$C$210,F181,'REPORTE GASTOS'!$G$6:$G$210)=0,'LISTA DE PRECIOS'!$H$3,SUMIF('REPORTE GASTOS'!$C$6:$C$210,F181,'REPORTE GASTOS'!$I$6:$I$210)/SUMIF('REPORTE GASTOS'!$C$6:$C$210,F181,'REPORTE GASTOS'!$G$6:$G$210)))</f>
        <v>0</v>
      </c>
      <c r="N181" s="12">
        <f t="shared" si="159"/>
        <v>0</v>
      </c>
      <c r="O181" s="43">
        <f t="shared" si="160"/>
        <v>0</v>
      </c>
      <c r="P181" s="70"/>
      <c r="R181" s="68" t="str">
        <f>IF(H181="","",VLOOKUP(H181,'DATOS CLIENTES'!B:F,5,FALSE))</f>
        <v/>
      </c>
      <c r="S181" s="68" t="str">
        <f t="shared" si="165"/>
        <v>031</v>
      </c>
      <c r="U181" s="69">
        <f t="shared" si="161"/>
        <v>0</v>
      </c>
      <c r="V181" s="69">
        <f t="shared" si="162"/>
        <v>0</v>
      </c>
      <c r="X181" s="68">
        <f t="shared" si="164"/>
        <v>74</v>
      </c>
      <c r="Y181" s="68" t="str">
        <f t="shared" si="166"/>
        <v/>
      </c>
      <c r="Z181" s="68" t="str">
        <f t="shared" si="167"/>
        <v/>
      </c>
      <c r="AA181" s="68" t="str">
        <f t="shared" si="168"/>
        <v/>
      </c>
      <c r="AB181" s="227" t="str">
        <f t="shared" si="169"/>
        <v/>
      </c>
      <c r="AC181" s="68" t="str">
        <f t="shared" si="170"/>
        <v/>
      </c>
      <c r="AD181" s="68" t="str">
        <f t="shared" si="171"/>
        <v/>
      </c>
      <c r="AE181" s="68" t="str">
        <f t="shared" si="172"/>
        <v/>
      </c>
      <c r="AF181" s="68" t="str">
        <f t="shared" si="173"/>
        <v/>
      </c>
      <c r="AG181" s="68" t="str">
        <f t="shared" si="174"/>
        <v/>
      </c>
    </row>
    <row r="182" spans="1:33" s="67" customFormat="1">
      <c r="A182" s="18" t="str">
        <f t="shared" si="155"/>
        <v/>
      </c>
      <c r="B182" s="219"/>
      <c r="C182" s="58"/>
      <c r="D182" s="44">
        <f t="shared" si="156"/>
        <v>31</v>
      </c>
      <c r="E182" s="59" t="str">
        <f t="shared" si="157"/>
        <v/>
      </c>
      <c r="F182" s="90" t="str">
        <f t="shared" si="158"/>
        <v/>
      </c>
      <c r="G182" s="190"/>
      <c r="H182" s="203"/>
      <c r="I182" s="191"/>
      <c r="J182" s="42"/>
      <c r="K182" s="39">
        <f>IF(I182="",0,VLOOKUP(I182,'LISTA DE PRECIOS'!A:F,IF(R182="CORO",4,5),FALSE))</f>
        <v>0</v>
      </c>
      <c r="L182" s="206">
        <f t="shared" si="163"/>
        <v>0</v>
      </c>
      <c r="M182" s="217">
        <f>IF(F182="",0,IF(SUMIF('REPORTE GASTOS'!$C$6:$C$210,F182,'REPORTE GASTOS'!$G$6:$G$210)=0,'LISTA DE PRECIOS'!$H$3,SUMIF('REPORTE GASTOS'!$C$6:$C$210,F182,'REPORTE GASTOS'!$I$6:$I$210)/SUMIF('REPORTE GASTOS'!$C$6:$C$210,F182,'REPORTE GASTOS'!$G$6:$G$210)))</f>
        <v>0</v>
      </c>
      <c r="N182" s="12">
        <f t="shared" si="159"/>
        <v>0</v>
      </c>
      <c r="O182" s="43">
        <f t="shared" si="160"/>
        <v>0</v>
      </c>
      <c r="P182" s="70"/>
      <c r="R182" s="68" t="str">
        <f>IF(H182="","",VLOOKUP(H182,'DATOS CLIENTES'!B:F,5,FALSE))</f>
        <v/>
      </c>
      <c r="S182" s="68" t="str">
        <f t="shared" si="165"/>
        <v>031</v>
      </c>
      <c r="U182" s="69">
        <f t="shared" si="161"/>
        <v>0</v>
      </c>
      <c r="V182" s="69">
        <f t="shared" si="162"/>
        <v>0</v>
      </c>
      <c r="X182" s="68">
        <f t="shared" si="164"/>
        <v>74</v>
      </c>
      <c r="Y182" s="68" t="str">
        <f t="shared" si="166"/>
        <v/>
      </c>
      <c r="Z182" s="68" t="str">
        <f t="shared" si="167"/>
        <v/>
      </c>
      <c r="AA182" s="68" t="str">
        <f t="shared" si="168"/>
        <v/>
      </c>
      <c r="AB182" s="227" t="str">
        <f t="shared" si="169"/>
        <v/>
      </c>
      <c r="AC182" s="68" t="str">
        <f t="shared" si="170"/>
        <v/>
      </c>
      <c r="AD182" s="68" t="str">
        <f t="shared" si="171"/>
        <v/>
      </c>
      <c r="AE182" s="68" t="str">
        <f t="shared" si="172"/>
        <v/>
      </c>
      <c r="AF182" s="68" t="str">
        <f t="shared" si="173"/>
        <v/>
      </c>
      <c r="AG182" s="68" t="str">
        <f t="shared" si="174"/>
        <v/>
      </c>
    </row>
    <row r="183" spans="1:33" s="67" customFormat="1">
      <c r="A183" s="18" t="str">
        <f t="shared" si="155"/>
        <v/>
      </c>
      <c r="B183" s="219"/>
      <c r="C183" s="58"/>
      <c r="D183" s="44">
        <f t="shared" si="156"/>
        <v>31</v>
      </c>
      <c r="E183" s="59" t="str">
        <f t="shared" si="157"/>
        <v/>
      </c>
      <c r="F183" s="90" t="str">
        <f t="shared" si="158"/>
        <v/>
      </c>
      <c r="G183" s="190"/>
      <c r="H183" s="203"/>
      <c r="I183" s="191"/>
      <c r="J183" s="42"/>
      <c r="K183" s="39">
        <f>IF(I183="",0,VLOOKUP(I183,'LISTA DE PRECIOS'!A:F,IF(R183="CORO",4,5),FALSE))</f>
        <v>0</v>
      </c>
      <c r="L183" s="206">
        <f t="shared" si="163"/>
        <v>0</v>
      </c>
      <c r="M183" s="217">
        <f>IF(F183="",0,IF(SUMIF('REPORTE GASTOS'!$C$6:$C$210,F183,'REPORTE GASTOS'!$G$6:$G$210)=0,'LISTA DE PRECIOS'!$H$3,SUMIF('REPORTE GASTOS'!$C$6:$C$210,F183,'REPORTE GASTOS'!$I$6:$I$210)/SUMIF('REPORTE GASTOS'!$C$6:$C$210,F183,'REPORTE GASTOS'!$G$6:$G$210)))</f>
        <v>0</v>
      </c>
      <c r="N183" s="12">
        <f t="shared" si="159"/>
        <v>0</v>
      </c>
      <c r="O183" s="43">
        <f t="shared" si="160"/>
        <v>0</v>
      </c>
      <c r="P183" s="70"/>
      <c r="R183" s="68" t="str">
        <f>IF(H183="","",VLOOKUP(H183,'DATOS CLIENTES'!B:F,5,FALSE))</f>
        <v/>
      </c>
      <c r="S183" s="68" t="str">
        <f t="shared" si="165"/>
        <v>031</v>
      </c>
      <c r="U183" s="69">
        <f t="shared" si="161"/>
        <v>0</v>
      </c>
      <c r="V183" s="69">
        <f t="shared" si="162"/>
        <v>0</v>
      </c>
      <c r="X183" s="68">
        <f t="shared" si="164"/>
        <v>74</v>
      </c>
      <c r="Y183" s="68" t="str">
        <f t="shared" si="166"/>
        <v/>
      </c>
      <c r="Z183" s="68" t="str">
        <f t="shared" si="167"/>
        <v/>
      </c>
      <c r="AA183" s="68" t="str">
        <f t="shared" si="168"/>
        <v/>
      </c>
      <c r="AB183" s="227" t="str">
        <f t="shared" si="169"/>
        <v/>
      </c>
      <c r="AC183" s="68" t="str">
        <f t="shared" si="170"/>
        <v/>
      </c>
      <c r="AD183" s="68" t="str">
        <f t="shared" si="171"/>
        <v/>
      </c>
      <c r="AE183" s="68" t="str">
        <f t="shared" si="172"/>
        <v/>
      </c>
      <c r="AF183" s="68" t="str">
        <f t="shared" si="173"/>
        <v/>
      </c>
      <c r="AG183" s="68" t="str">
        <f t="shared" si="174"/>
        <v/>
      </c>
    </row>
    <row r="184" spans="1:33" s="67" customFormat="1">
      <c r="A184" s="18" t="str">
        <f t="shared" si="155"/>
        <v/>
      </c>
      <c r="B184" s="219"/>
      <c r="C184" s="58"/>
      <c r="D184" s="44">
        <f t="shared" si="156"/>
        <v>31</v>
      </c>
      <c r="E184" s="59" t="str">
        <f t="shared" si="157"/>
        <v/>
      </c>
      <c r="F184" s="90" t="str">
        <f t="shared" si="158"/>
        <v/>
      </c>
      <c r="G184" s="190"/>
      <c r="H184" s="203"/>
      <c r="I184" s="191"/>
      <c r="J184" s="42"/>
      <c r="K184" s="39">
        <f>IF(I184="",0,VLOOKUP(I184,'LISTA DE PRECIOS'!A:F,IF(R184="CORO",4,5),FALSE))</f>
        <v>0</v>
      </c>
      <c r="L184" s="206">
        <f t="shared" si="163"/>
        <v>0</v>
      </c>
      <c r="M184" s="217">
        <f>IF(F184="",0,IF(SUMIF('REPORTE GASTOS'!$C$6:$C$210,F184,'REPORTE GASTOS'!$G$6:$G$210)=0,'LISTA DE PRECIOS'!$H$3,SUMIF('REPORTE GASTOS'!$C$6:$C$210,F184,'REPORTE GASTOS'!$I$6:$I$210)/SUMIF('REPORTE GASTOS'!$C$6:$C$210,F184,'REPORTE GASTOS'!$G$6:$G$210)))</f>
        <v>0</v>
      </c>
      <c r="N184" s="12">
        <f t="shared" si="159"/>
        <v>0</v>
      </c>
      <c r="O184" s="43">
        <f t="shared" si="160"/>
        <v>0</v>
      </c>
      <c r="P184" s="70"/>
      <c r="R184" s="68" t="str">
        <f>IF(H184="","",VLOOKUP(H184,'DATOS CLIENTES'!B:F,5,FALSE))</f>
        <v/>
      </c>
      <c r="S184" s="68" t="str">
        <f t="shared" si="165"/>
        <v>031</v>
      </c>
      <c r="U184" s="69">
        <f t="shared" si="161"/>
        <v>0</v>
      </c>
      <c r="V184" s="69">
        <f t="shared" si="162"/>
        <v>0</v>
      </c>
      <c r="X184" s="68">
        <f t="shared" si="164"/>
        <v>74</v>
      </c>
      <c r="Y184" s="68" t="str">
        <f t="shared" si="166"/>
        <v/>
      </c>
      <c r="Z184" s="68" t="str">
        <f t="shared" si="167"/>
        <v/>
      </c>
      <c r="AA184" s="68" t="str">
        <f t="shared" si="168"/>
        <v/>
      </c>
      <c r="AB184" s="227" t="str">
        <f t="shared" si="169"/>
        <v/>
      </c>
      <c r="AC184" s="68" t="str">
        <f t="shared" si="170"/>
        <v/>
      </c>
      <c r="AD184" s="68" t="str">
        <f t="shared" si="171"/>
        <v/>
      </c>
      <c r="AE184" s="68" t="str">
        <f t="shared" si="172"/>
        <v/>
      </c>
      <c r="AF184" s="68" t="str">
        <f t="shared" si="173"/>
        <v/>
      </c>
      <c r="AG184" s="68" t="str">
        <f t="shared" si="174"/>
        <v/>
      </c>
    </row>
    <row r="185" spans="1:33" s="67" customFormat="1">
      <c r="A185" s="18" t="str">
        <f t="shared" si="155"/>
        <v/>
      </c>
      <c r="B185" s="219"/>
      <c r="C185" s="58"/>
      <c r="D185" s="44">
        <f t="shared" si="156"/>
        <v>31</v>
      </c>
      <c r="E185" s="59" t="str">
        <f t="shared" si="157"/>
        <v/>
      </c>
      <c r="F185" s="90" t="str">
        <f t="shared" si="158"/>
        <v/>
      </c>
      <c r="G185" s="190"/>
      <c r="H185" s="203"/>
      <c r="I185" s="191"/>
      <c r="J185" s="42"/>
      <c r="K185" s="39">
        <f>IF(I185="",0,VLOOKUP(I185,'LISTA DE PRECIOS'!A:F,IF(R185="CORO",4,5),FALSE))</f>
        <v>0</v>
      </c>
      <c r="L185" s="206">
        <f t="shared" si="163"/>
        <v>0</v>
      </c>
      <c r="M185" s="217">
        <f>IF(F185="",0,IF(SUMIF('REPORTE GASTOS'!$C$6:$C$210,F185,'REPORTE GASTOS'!$G$6:$G$210)=0,'LISTA DE PRECIOS'!$H$3,SUMIF('REPORTE GASTOS'!$C$6:$C$210,F185,'REPORTE GASTOS'!$I$6:$I$210)/SUMIF('REPORTE GASTOS'!$C$6:$C$210,F185,'REPORTE GASTOS'!$G$6:$G$210)))</f>
        <v>0</v>
      </c>
      <c r="N185" s="12">
        <f t="shared" si="159"/>
        <v>0</v>
      </c>
      <c r="O185" s="43">
        <f t="shared" si="160"/>
        <v>0</v>
      </c>
      <c r="P185" s="70"/>
      <c r="R185" s="68" t="str">
        <f>IF(H185="","",VLOOKUP(H185,'DATOS CLIENTES'!B:F,5,FALSE))</f>
        <v/>
      </c>
      <c r="S185" s="68" t="str">
        <f t="shared" si="165"/>
        <v>031</v>
      </c>
      <c r="U185" s="69">
        <f t="shared" si="161"/>
        <v>0</v>
      </c>
      <c r="V185" s="69">
        <f t="shared" si="162"/>
        <v>0</v>
      </c>
      <c r="X185" s="68">
        <f t="shared" si="164"/>
        <v>74</v>
      </c>
      <c r="Y185" s="68" t="str">
        <f t="shared" si="166"/>
        <v/>
      </c>
      <c r="Z185" s="68" t="str">
        <f t="shared" si="167"/>
        <v/>
      </c>
      <c r="AA185" s="68" t="str">
        <f t="shared" si="168"/>
        <v/>
      </c>
      <c r="AB185" s="227" t="str">
        <f t="shared" si="169"/>
        <v/>
      </c>
      <c r="AC185" s="68" t="str">
        <f t="shared" si="170"/>
        <v/>
      </c>
      <c r="AD185" s="68" t="str">
        <f t="shared" si="171"/>
        <v/>
      </c>
      <c r="AE185" s="68" t="str">
        <f t="shared" si="172"/>
        <v/>
      </c>
      <c r="AF185" s="68" t="str">
        <f t="shared" si="173"/>
        <v/>
      </c>
      <c r="AG185" s="68" t="str">
        <f t="shared" si="174"/>
        <v/>
      </c>
    </row>
    <row r="186" spans="1:33" s="67" customFormat="1">
      <c r="A186" s="18" t="str">
        <f t="shared" si="155"/>
        <v/>
      </c>
      <c r="B186" s="219"/>
      <c r="C186" s="58"/>
      <c r="D186" s="44">
        <f t="shared" si="156"/>
        <v>31</v>
      </c>
      <c r="E186" s="59" t="str">
        <f t="shared" si="157"/>
        <v/>
      </c>
      <c r="F186" s="90" t="str">
        <f t="shared" si="158"/>
        <v/>
      </c>
      <c r="G186" s="190"/>
      <c r="H186" s="203"/>
      <c r="I186" s="191"/>
      <c r="J186" s="42"/>
      <c r="K186" s="39">
        <f>IF(I186="",0,VLOOKUP(I186,'LISTA DE PRECIOS'!A:F,IF(R186="CORO",4,5),FALSE))</f>
        <v>0</v>
      </c>
      <c r="L186" s="206">
        <f t="shared" si="163"/>
        <v>0</v>
      </c>
      <c r="M186" s="217">
        <f>IF(F186="",0,IF(SUMIF('REPORTE GASTOS'!$C$6:$C$210,F186,'REPORTE GASTOS'!$G$6:$G$210)=0,'LISTA DE PRECIOS'!$H$3,SUMIF('REPORTE GASTOS'!$C$6:$C$210,F186,'REPORTE GASTOS'!$I$6:$I$210)/SUMIF('REPORTE GASTOS'!$C$6:$C$210,F186,'REPORTE GASTOS'!$G$6:$G$210)))</f>
        <v>0</v>
      </c>
      <c r="N186" s="12">
        <f t="shared" si="159"/>
        <v>0</v>
      </c>
      <c r="O186" s="43">
        <f t="shared" si="160"/>
        <v>0</v>
      </c>
      <c r="P186" s="70"/>
      <c r="R186" s="68" t="str">
        <f>IF(H186="","",VLOOKUP(H186,'DATOS CLIENTES'!B:F,5,FALSE))</f>
        <v/>
      </c>
      <c r="S186" s="68" t="str">
        <f t="shared" si="165"/>
        <v>031</v>
      </c>
      <c r="U186" s="69">
        <f t="shared" si="161"/>
        <v>0</v>
      </c>
      <c r="V186" s="69">
        <f t="shared" si="162"/>
        <v>0</v>
      </c>
      <c r="X186" s="68">
        <f t="shared" si="164"/>
        <v>74</v>
      </c>
      <c r="Y186" s="68" t="str">
        <f t="shared" si="166"/>
        <v/>
      </c>
      <c r="Z186" s="68" t="str">
        <f t="shared" si="167"/>
        <v/>
      </c>
      <c r="AA186" s="68" t="str">
        <f t="shared" si="168"/>
        <v/>
      </c>
      <c r="AB186" s="227" t="str">
        <f t="shared" si="169"/>
        <v/>
      </c>
      <c r="AC186" s="68" t="str">
        <f t="shared" si="170"/>
        <v/>
      </c>
      <c r="AD186" s="68" t="str">
        <f t="shared" si="171"/>
        <v/>
      </c>
      <c r="AE186" s="68" t="str">
        <f t="shared" si="172"/>
        <v/>
      </c>
      <c r="AF186" s="68" t="str">
        <f t="shared" si="173"/>
        <v/>
      </c>
      <c r="AG186" s="68" t="str">
        <f t="shared" si="174"/>
        <v/>
      </c>
    </row>
    <row r="187" spans="1:33" s="67" customFormat="1">
      <c r="A187" s="18" t="str">
        <f t="shared" si="155"/>
        <v/>
      </c>
      <c r="B187" s="219"/>
      <c r="C187" s="58"/>
      <c r="D187" s="44">
        <f t="shared" si="156"/>
        <v>31</v>
      </c>
      <c r="E187" s="59" t="str">
        <f t="shared" si="157"/>
        <v/>
      </c>
      <c r="F187" s="90" t="str">
        <f t="shared" si="158"/>
        <v/>
      </c>
      <c r="G187" s="190"/>
      <c r="H187" s="203"/>
      <c r="I187" s="191"/>
      <c r="J187" s="42"/>
      <c r="K187" s="39">
        <f>IF(I187="",0,VLOOKUP(I187,'LISTA DE PRECIOS'!A:F,IF(R187="CORO",4,5),FALSE))</f>
        <v>0</v>
      </c>
      <c r="L187" s="206">
        <f t="shared" si="163"/>
        <v>0</v>
      </c>
      <c r="M187" s="217">
        <f>IF(F187="",0,IF(SUMIF('REPORTE GASTOS'!$C$6:$C$210,F187,'REPORTE GASTOS'!$G$6:$G$210)=0,'LISTA DE PRECIOS'!$H$3,SUMIF('REPORTE GASTOS'!$C$6:$C$210,F187,'REPORTE GASTOS'!$I$6:$I$210)/SUMIF('REPORTE GASTOS'!$C$6:$C$210,F187,'REPORTE GASTOS'!$G$6:$G$210)))</f>
        <v>0</v>
      </c>
      <c r="N187" s="12">
        <f t="shared" si="159"/>
        <v>0</v>
      </c>
      <c r="O187" s="43">
        <f t="shared" si="160"/>
        <v>0</v>
      </c>
      <c r="P187" s="70"/>
      <c r="R187" s="68" t="str">
        <f>IF(H187="","",VLOOKUP(H187,'DATOS CLIENTES'!B:F,5,FALSE))</f>
        <v/>
      </c>
      <c r="S187" s="68" t="str">
        <f t="shared" si="165"/>
        <v>031</v>
      </c>
      <c r="U187" s="69">
        <f t="shared" si="161"/>
        <v>0</v>
      </c>
      <c r="V187" s="69">
        <f t="shared" si="162"/>
        <v>0</v>
      </c>
      <c r="X187" s="68">
        <f t="shared" si="164"/>
        <v>74</v>
      </c>
      <c r="Y187" s="68" t="str">
        <f t="shared" si="166"/>
        <v/>
      </c>
      <c r="Z187" s="68" t="str">
        <f t="shared" si="167"/>
        <v/>
      </c>
      <c r="AA187" s="68" t="str">
        <f t="shared" si="168"/>
        <v/>
      </c>
      <c r="AB187" s="227" t="str">
        <f t="shared" si="169"/>
        <v/>
      </c>
      <c r="AC187" s="68" t="str">
        <f t="shared" si="170"/>
        <v/>
      </c>
      <c r="AD187" s="68" t="str">
        <f t="shared" si="171"/>
        <v/>
      </c>
      <c r="AE187" s="68" t="str">
        <f t="shared" si="172"/>
        <v/>
      </c>
      <c r="AF187" s="68" t="str">
        <f t="shared" si="173"/>
        <v/>
      </c>
      <c r="AG187" s="68" t="str">
        <f t="shared" si="174"/>
        <v/>
      </c>
    </row>
    <row r="188" spans="1:33" s="67" customFormat="1">
      <c r="A188" s="18" t="str">
        <f t="shared" si="155"/>
        <v/>
      </c>
      <c r="B188" s="219"/>
      <c r="C188" s="58"/>
      <c r="D188" s="44">
        <f t="shared" si="156"/>
        <v>31</v>
      </c>
      <c r="E188" s="59" t="str">
        <f t="shared" si="157"/>
        <v/>
      </c>
      <c r="F188" s="90" t="str">
        <f t="shared" si="158"/>
        <v/>
      </c>
      <c r="G188" s="190"/>
      <c r="H188" s="203"/>
      <c r="I188" s="191"/>
      <c r="J188" s="42"/>
      <c r="K188" s="39">
        <f>IF(I188="",0,VLOOKUP(I188,'LISTA DE PRECIOS'!A:F,IF(R188="CORO",4,5),FALSE))</f>
        <v>0</v>
      </c>
      <c r="L188" s="206">
        <f t="shared" si="163"/>
        <v>0</v>
      </c>
      <c r="M188" s="217">
        <f>IF(F188="",0,IF(SUMIF('REPORTE GASTOS'!$C$6:$C$210,F188,'REPORTE GASTOS'!$G$6:$G$210)=0,'LISTA DE PRECIOS'!$H$3,SUMIF('REPORTE GASTOS'!$C$6:$C$210,F188,'REPORTE GASTOS'!$I$6:$I$210)/SUMIF('REPORTE GASTOS'!$C$6:$C$210,F188,'REPORTE GASTOS'!$G$6:$G$210)))</f>
        <v>0</v>
      </c>
      <c r="N188" s="12">
        <f t="shared" si="159"/>
        <v>0</v>
      </c>
      <c r="O188" s="43">
        <f t="shared" si="160"/>
        <v>0</v>
      </c>
      <c r="P188" s="70"/>
      <c r="R188" s="68" t="str">
        <f>IF(H188="","",VLOOKUP(H188,'DATOS CLIENTES'!B:F,5,FALSE))</f>
        <v/>
      </c>
      <c r="S188" s="68" t="str">
        <f t="shared" si="165"/>
        <v>031</v>
      </c>
      <c r="U188" s="69">
        <f t="shared" si="161"/>
        <v>0</v>
      </c>
      <c r="V188" s="69">
        <f t="shared" si="162"/>
        <v>0</v>
      </c>
      <c r="X188" s="68">
        <f t="shared" si="164"/>
        <v>74</v>
      </c>
      <c r="Y188" s="68" t="str">
        <f t="shared" si="166"/>
        <v/>
      </c>
      <c r="Z188" s="68" t="str">
        <f t="shared" si="167"/>
        <v/>
      </c>
      <c r="AA188" s="68" t="str">
        <f t="shared" si="168"/>
        <v/>
      </c>
      <c r="AB188" s="227" t="str">
        <f t="shared" si="169"/>
        <v/>
      </c>
      <c r="AC188" s="68" t="str">
        <f t="shared" si="170"/>
        <v/>
      </c>
      <c r="AD188" s="68" t="str">
        <f t="shared" si="171"/>
        <v/>
      </c>
      <c r="AE188" s="68" t="str">
        <f t="shared" si="172"/>
        <v/>
      </c>
      <c r="AF188" s="68" t="str">
        <f t="shared" si="173"/>
        <v/>
      </c>
      <c r="AG188" s="68" t="str">
        <f t="shared" si="174"/>
        <v/>
      </c>
    </row>
    <row r="189" spans="1:33" s="67" customFormat="1">
      <c r="A189" s="18" t="str">
        <f t="shared" si="155"/>
        <v/>
      </c>
      <c r="B189" s="219"/>
      <c r="C189" s="58"/>
      <c r="D189" s="44">
        <f t="shared" si="156"/>
        <v>31</v>
      </c>
      <c r="E189" s="59" t="str">
        <f t="shared" si="157"/>
        <v/>
      </c>
      <c r="F189" s="90" t="str">
        <f t="shared" si="158"/>
        <v/>
      </c>
      <c r="G189" s="190"/>
      <c r="H189" s="203"/>
      <c r="I189" s="191"/>
      <c r="J189" s="42"/>
      <c r="K189" s="39">
        <f>IF(I189="",0,VLOOKUP(I189,'LISTA DE PRECIOS'!A:F,IF(R189="CORO",4,5),FALSE))</f>
        <v>0</v>
      </c>
      <c r="L189" s="206">
        <f t="shared" si="163"/>
        <v>0</v>
      </c>
      <c r="M189" s="217">
        <f>IF(F189="",0,IF(SUMIF('REPORTE GASTOS'!$C$6:$C$210,F189,'REPORTE GASTOS'!$G$6:$G$210)=0,'LISTA DE PRECIOS'!$H$3,SUMIF('REPORTE GASTOS'!$C$6:$C$210,F189,'REPORTE GASTOS'!$I$6:$I$210)/SUMIF('REPORTE GASTOS'!$C$6:$C$210,F189,'REPORTE GASTOS'!$G$6:$G$210)))</f>
        <v>0</v>
      </c>
      <c r="N189" s="12">
        <f t="shared" si="159"/>
        <v>0</v>
      </c>
      <c r="O189" s="43">
        <f t="shared" si="160"/>
        <v>0</v>
      </c>
      <c r="P189" s="70"/>
      <c r="R189" s="68" t="str">
        <f>IF(H189="","",VLOOKUP(H189,'DATOS CLIENTES'!B:F,5,FALSE))</f>
        <v/>
      </c>
      <c r="S189" s="68" t="str">
        <f t="shared" si="165"/>
        <v>031</v>
      </c>
      <c r="U189" s="69">
        <f t="shared" si="161"/>
        <v>0</v>
      </c>
      <c r="V189" s="69">
        <f t="shared" si="162"/>
        <v>0</v>
      </c>
      <c r="X189" s="68">
        <f t="shared" si="164"/>
        <v>74</v>
      </c>
      <c r="Y189" s="68" t="str">
        <f t="shared" si="166"/>
        <v/>
      </c>
      <c r="Z189" s="68" t="str">
        <f t="shared" si="167"/>
        <v/>
      </c>
      <c r="AA189" s="68" t="str">
        <f t="shared" si="168"/>
        <v/>
      </c>
      <c r="AB189" s="227" t="str">
        <f t="shared" si="169"/>
        <v/>
      </c>
      <c r="AC189" s="68" t="str">
        <f t="shared" si="170"/>
        <v/>
      </c>
      <c r="AD189" s="68" t="str">
        <f t="shared" si="171"/>
        <v/>
      </c>
      <c r="AE189" s="68" t="str">
        <f t="shared" si="172"/>
        <v/>
      </c>
      <c r="AF189" s="68" t="str">
        <f t="shared" si="173"/>
        <v/>
      </c>
      <c r="AG189" s="68" t="str">
        <f t="shared" si="174"/>
        <v/>
      </c>
    </row>
    <row r="190" spans="1:33" s="67" customFormat="1">
      <c r="A190" s="18" t="str">
        <f t="shared" si="155"/>
        <v/>
      </c>
      <c r="B190" s="219"/>
      <c r="C190" s="58"/>
      <c r="D190" s="44">
        <f t="shared" si="156"/>
        <v>31</v>
      </c>
      <c r="E190" s="59" t="str">
        <f t="shared" si="157"/>
        <v/>
      </c>
      <c r="F190" s="90" t="str">
        <f t="shared" si="158"/>
        <v/>
      </c>
      <c r="G190" s="190"/>
      <c r="H190" s="203"/>
      <c r="I190" s="191"/>
      <c r="J190" s="42"/>
      <c r="K190" s="39">
        <f>IF(I190="",0,VLOOKUP(I190,'LISTA DE PRECIOS'!A:F,IF(R190="CORO",4,5),FALSE))</f>
        <v>0</v>
      </c>
      <c r="L190" s="206">
        <f t="shared" si="163"/>
        <v>0</v>
      </c>
      <c r="M190" s="217">
        <f>IF(F190="",0,IF(SUMIF('REPORTE GASTOS'!$C$6:$C$210,F190,'REPORTE GASTOS'!$G$6:$G$210)=0,'LISTA DE PRECIOS'!$H$3,SUMIF('REPORTE GASTOS'!$C$6:$C$210,F190,'REPORTE GASTOS'!$I$6:$I$210)/SUMIF('REPORTE GASTOS'!$C$6:$C$210,F190,'REPORTE GASTOS'!$G$6:$G$210)))</f>
        <v>0</v>
      </c>
      <c r="N190" s="12">
        <f t="shared" si="159"/>
        <v>0</v>
      </c>
      <c r="O190" s="43">
        <f t="shared" si="160"/>
        <v>0</v>
      </c>
      <c r="P190" s="70"/>
      <c r="R190" s="68" t="str">
        <f>IF(H190="","",VLOOKUP(H190,'DATOS CLIENTES'!B:F,5,FALSE))</f>
        <v/>
      </c>
      <c r="S190" s="68" t="str">
        <f t="shared" si="165"/>
        <v>031</v>
      </c>
      <c r="U190" s="69">
        <f t="shared" si="161"/>
        <v>0</v>
      </c>
      <c r="V190" s="69">
        <f t="shared" si="162"/>
        <v>0</v>
      </c>
      <c r="X190" s="68">
        <f t="shared" si="164"/>
        <v>74</v>
      </c>
      <c r="Y190" s="68" t="str">
        <f t="shared" si="166"/>
        <v/>
      </c>
      <c r="Z190" s="68" t="str">
        <f t="shared" si="167"/>
        <v/>
      </c>
      <c r="AA190" s="68" t="str">
        <f t="shared" si="168"/>
        <v/>
      </c>
      <c r="AB190" s="227" t="str">
        <f t="shared" si="169"/>
        <v/>
      </c>
      <c r="AC190" s="68" t="str">
        <f t="shared" si="170"/>
        <v/>
      </c>
      <c r="AD190" s="68" t="str">
        <f t="shared" si="171"/>
        <v/>
      </c>
      <c r="AE190" s="68" t="str">
        <f t="shared" si="172"/>
        <v/>
      </c>
      <c r="AF190" s="68" t="str">
        <f t="shared" si="173"/>
        <v/>
      </c>
      <c r="AG190" s="68" t="str">
        <f t="shared" si="174"/>
        <v/>
      </c>
    </row>
    <row r="191" spans="1:33" s="67" customFormat="1">
      <c r="A191" s="18" t="str">
        <f t="shared" si="155"/>
        <v/>
      </c>
      <c r="B191" s="219"/>
      <c r="C191" s="58"/>
      <c r="D191" s="44">
        <f t="shared" si="156"/>
        <v>31</v>
      </c>
      <c r="E191" s="59" t="str">
        <f t="shared" si="157"/>
        <v/>
      </c>
      <c r="F191" s="90" t="str">
        <f t="shared" si="158"/>
        <v/>
      </c>
      <c r="G191" s="190"/>
      <c r="H191" s="203"/>
      <c r="I191" s="191"/>
      <c r="J191" s="42"/>
      <c r="K191" s="39">
        <f>IF(I191="",0,VLOOKUP(I191,'LISTA DE PRECIOS'!A:F,IF(R191="CORO",4,5),FALSE))</f>
        <v>0</v>
      </c>
      <c r="L191" s="206">
        <f t="shared" si="163"/>
        <v>0</v>
      </c>
      <c r="M191" s="217">
        <f>IF(F191="",0,IF(SUMIF('REPORTE GASTOS'!$C$6:$C$210,F191,'REPORTE GASTOS'!$G$6:$G$210)=0,'LISTA DE PRECIOS'!$H$3,SUMIF('REPORTE GASTOS'!$C$6:$C$210,F191,'REPORTE GASTOS'!$I$6:$I$210)/SUMIF('REPORTE GASTOS'!$C$6:$C$210,F191,'REPORTE GASTOS'!$G$6:$G$210)))</f>
        <v>0</v>
      </c>
      <c r="N191" s="12">
        <f t="shared" si="159"/>
        <v>0</v>
      </c>
      <c r="O191" s="43">
        <f t="shared" si="160"/>
        <v>0</v>
      </c>
      <c r="P191" s="70"/>
      <c r="R191" s="68" t="str">
        <f>IF(H191="","",VLOOKUP(H191,'DATOS CLIENTES'!B:F,5,FALSE))</f>
        <v/>
      </c>
      <c r="S191" s="68" t="str">
        <f t="shared" si="165"/>
        <v>031</v>
      </c>
      <c r="U191" s="69">
        <f t="shared" si="161"/>
        <v>0</v>
      </c>
      <c r="V191" s="69">
        <f t="shared" si="162"/>
        <v>0</v>
      </c>
      <c r="X191" s="68">
        <f t="shared" si="164"/>
        <v>74</v>
      </c>
      <c r="Y191" s="68" t="str">
        <f t="shared" si="166"/>
        <v/>
      </c>
      <c r="Z191" s="68" t="str">
        <f t="shared" si="167"/>
        <v/>
      </c>
      <c r="AA191" s="68" t="str">
        <f t="shared" si="168"/>
        <v/>
      </c>
      <c r="AB191" s="227" t="str">
        <f t="shared" si="169"/>
        <v/>
      </c>
      <c r="AC191" s="68" t="str">
        <f t="shared" si="170"/>
        <v/>
      </c>
      <c r="AD191" s="68" t="str">
        <f t="shared" si="171"/>
        <v/>
      </c>
      <c r="AE191" s="68" t="str">
        <f t="shared" si="172"/>
        <v/>
      </c>
      <c r="AF191" s="68" t="str">
        <f t="shared" si="173"/>
        <v/>
      </c>
      <c r="AG191" s="68" t="str">
        <f t="shared" si="174"/>
        <v/>
      </c>
    </row>
    <row r="192" spans="1:33" s="67" customFormat="1">
      <c r="A192" s="18" t="str">
        <f t="shared" si="155"/>
        <v/>
      </c>
      <c r="B192" s="219"/>
      <c r="C192" s="58"/>
      <c r="D192" s="44">
        <f t="shared" si="156"/>
        <v>31</v>
      </c>
      <c r="E192" s="59" t="str">
        <f t="shared" si="157"/>
        <v/>
      </c>
      <c r="F192" s="90" t="str">
        <f t="shared" si="158"/>
        <v/>
      </c>
      <c r="G192" s="190"/>
      <c r="H192" s="203"/>
      <c r="I192" s="191"/>
      <c r="J192" s="42"/>
      <c r="K192" s="39">
        <f>IF(I192="",0,VLOOKUP(I192,'LISTA DE PRECIOS'!A:F,IF(R192="CORO",4,5),FALSE))</f>
        <v>0</v>
      </c>
      <c r="L192" s="206">
        <f t="shared" si="163"/>
        <v>0</v>
      </c>
      <c r="M192" s="217">
        <f>IF(F192="",0,IF(SUMIF('REPORTE GASTOS'!$C$6:$C$210,F192,'REPORTE GASTOS'!$G$6:$G$210)=0,'LISTA DE PRECIOS'!$H$3,SUMIF('REPORTE GASTOS'!$C$6:$C$210,F192,'REPORTE GASTOS'!$I$6:$I$210)/SUMIF('REPORTE GASTOS'!$C$6:$C$210,F192,'REPORTE GASTOS'!$G$6:$G$210)))</f>
        <v>0</v>
      </c>
      <c r="N192" s="12">
        <f t="shared" si="159"/>
        <v>0</v>
      </c>
      <c r="O192" s="43">
        <f t="shared" si="160"/>
        <v>0</v>
      </c>
      <c r="P192" s="70"/>
      <c r="R192" s="68" t="str">
        <f>IF(H192="","",VLOOKUP(H192,'DATOS CLIENTES'!B:F,5,FALSE))</f>
        <v/>
      </c>
      <c r="S192" s="68" t="str">
        <f t="shared" si="165"/>
        <v>031</v>
      </c>
      <c r="U192" s="69">
        <f t="shared" si="161"/>
        <v>0</v>
      </c>
      <c r="V192" s="69">
        <f t="shared" si="162"/>
        <v>0</v>
      </c>
      <c r="X192" s="68">
        <f t="shared" si="164"/>
        <v>74</v>
      </c>
      <c r="Y192" s="68" t="str">
        <f t="shared" si="166"/>
        <v/>
      </c>
      <c r="Z192" s="68" t="str">
        <f t="shared" si="167"/>
        <v/>
      </c>
      <c r="AA192" s="68" t="str">
        <f t="shared" si="168"/>
        <v/>
      </c>
      <c r="AB192" s="227" t="str">
        <f t="shared" si="169"/>
        <v/>
      </c>
      <c r="AC192" s="68" t="str">
        <f t="shared" si="170"/>
        <v/>
      </c>
      <c r="AD192" s="68" t="str">
        <f t="shared" si="171"/>
        <v/>
      </c>
      <c r="AE192" s="68" t="str">
        <f t="shared" si="172"/>
        <v/>
      </c>
      <c r="AF192" s="68" t="str">
        <f t="shared" si="173"/>
        <v/>
      </c>
      <c r="AG192" s="68" t="str">
        <f t="shared" si="174"/>
        <v/>
      </c>
    </row>
    <row r="193" spans="1:33" s="67" customFormat="1">
      <c r="A193" s="18" t="str">
        <f t="shared" si="155"/>
        <v/>
      </c>
      <c r="B193" s="219"/>
      <c r="C193" s="58"/>
      <c r="D193" s="44">
        <f t="shared" si="156"/>
        <v>31</v>
      </c>
      <c r="E193" s="59" t="str">
        <f t="shared" si="157"/>
        <v/>
      </c>
      <c r="F193" s="90" t="str">
        <f t="shared" si="158"/>
        <v/>
      </c>
      <c r="G193" s="190"/>
      <c r="H193" s="203"/>
      <c r="I193" s="191"/>
      <c r="J193" s="42"/>
      <c r="K193" s="39">
        <f>IF(I193="",0,VLOOKUP(I193,'LISTA DE PRECIOS'!A:F,IF(R193="CORO",4,5),FALSE))</f>
        <v>0</v>
      </c>
      <c r="L193" s="206">
        <f t="shared" si="163"/>
        <v>0</v>
      </c>
      <c r="M193" s="217">
        <f>IF(F193="",0,IF(SUMIF('REPORTE GASTOS'!$C$6:$C$210,F193,'REPORTE GASTOS'!$G$6:$G$210)=0,'LISTA DE PRECIOS'!$H$3,SUMIF('REPORTE GASTOS'!$C$6:$C$210,F193,'REPORTE GASTOS'!$I$6:$I$210)/SUMIF('REPORTE GASTOS'!$C$6:$C$210,F193,'REPORTE GASTOS'!$G$6:$G$210)))</f>
        <v>0</v>
      </c>
      <c r="N193" s="12">
        <f t="shared" si="159"/>
        <v>0</v>
      </c>
      <c r="O193" s="43">
        <f t="shared" si="160"/>
        <v>0</v>
      </c>
      <c r="P193" s="70"/>
      <c r="R193" s="68" t="str">
        <f>IF(H193="","",VLOOKUP(H193,'DATOS CLIENTES'!B:F,5,FALSE))</f>
        <v/>
      </c>
      <c r="S193" s="68" t="str">
        <f t="shared" si="165"/>
        <v>031</v>
      </c>
      <c r="U193" s="69">
        <f t="shared" si="161"/>
        <v>0</v>
      </c>
      <c r="V193" s="69">
        <f t="shared" si="162"/>
        <v>0</v>
      </c>
      <c r="X193" s="68">
        <f t="shared" si="164"/>
        <v>74</v>
      </c>
      <c r="Y193" s="68" t="str">
        <f t="shared" si="166"/>
        <v/>
      </c>
      <c r="Z193" s="68" t="str">
        <f t="shared" si="167"/>
        <v/>
      </c>
      <c r="AA193" s="68" t="str">
        <f t="shared" si="168"/>
        <v/>
      </c>
      <c r="AB193" s="227" t="str">
        <f t="shared" si="169"/>
        <v/>
      </c>
      <c r="AC193" s="68" t="str">
        <f t="shared" si="170"/>
        <v/>
      </c>
      <c r="AD193" s="68" t="str">
        <f t="shared" si="171"/>
        <v/>
      </c>
      <c r="AE193" s="68" t="str">
        <f t="shared" si="172"/>
        <v/>
      </c>
      <c r="AF193" s="68" t="str">
        <f t="shared" si="173"/>
        <v/>
      </c>
      <c r="AG193" s="68" t="str">
        <f t="shared" si="174"/>
        <v/>
      </c>
    </row>
    <row r="194" spans="1:33" s="67" customFormat="1">
      <c r="A194" s="18" t="str">
        <f t="shared" si="155"/>
        <v/>
      </c>
      <c r="B194" s="219"/>
      <c r="C194" s="58"/>
      <c r="D194" s="44">
        <f t="shared" si="156"/>
        <v>31</v>
      </c>
      <c r="E194" s="59" t="str">
        <f t="shared" si="157"/>
        <v/>
      </c>
      <c r="F194" s="90" t="str">
        <f t="shared" si="158"/>
        <v/>
      </c>
      <c r="G194" s="190"/>
      <c r="H194" s="203"/>
      <c r="I194" s="191"/>
      <c r="J194" s="42"/>
      <c r="K194" s="39">
        <f>IF(I194="",0,VLOOKUP(I194,'LISTA DE PRECIOS'!A:F,IF(R194="CORO",4,5),FALSE))</f>
        <v>0</v>
      </c>
      <c r="L194" s="206">
        <f t="shared" si="163"/>
        <v>0</v>
      </c>
      <c r="M194" s="217">
        <f>IF(F194="",0,IF(SUMIF('REPORTE GASTOS'!$C$6:$C$210,F194,'REPORTE GASTOS'!$G$6:$G$210)=0,'LISTA DE PRECIOS'!$H$3,SUMIF('REPORTE GASTOS'!$C$6:$C$210,F194,'REPORTE GASTOS'!$I$6:$I$210)/SUMIF('REPORTE GASTOS'!$C$6:$C$210,F194,'REPORTE GASTOS'!$G$6:$G$210)))</f>
        <v>0</v>
      </c>
      <c r="N194" s="12">
        <f t="shared" si="159"/>
        <v>0</v>
      </c>
      <c r="O194" s="43">
        <f t="shared" si="160"/>
        <v>0</v>
      </c>
      <c r="P194" s="70"/>
      <c r="R194" s="68" t="str">
        <f>IF(H194="","",VLOOKUP(H194,'DATOS CLIENTES'!B:F,5,FALSE))</f>
        <v/>
      </c>
      <c r="S194" s="68" t="str">
        <f t="shared" si="165"/>
        <v>031</v>
      </c>
      <c r="U194" s="69">
        <f t="shared" si="161"/>
        <v>0</v>
      </c>
      <c r="V194" s="69">
        <f t="shared" si="162"/>
        <v>0</v>
      </c>
      <c r="X194" s="68">
        <f t="shared" si="164"/>
        <v>74</v>
      </c>
      <c r="Y194" s="68" t="str">
        <f t="shared" si="166"/>
        <v/>
      </c>
      <c r="Z194" s="68" t="str">
        <f t="shared" si="167"/>
        <v/>
      </c>
      <c r="AA194" s="68" t="str">
        <f t="shared" si="168"/>
        <v/>
      </c>
      <c r="AB194" s="227" t="str">
        <f t="shared" si="169"/>
        <v/>
      </c>
      <c r="AC194" s="68" t="str">
        <f t="shared" si="170"/>
        <v/>
      </c>
      <c r="AD194" s="68" t="str">
        <f t="shared" si="171"/>
        <v/>
      </c>
      <c r="AE194" s="68" t="str">
        <f t="shared" si="172"/>
        <v/>
      </c>
      <c r="AF194" s="68" t="str">
        <f t="shared" si="173"/>
        <v/>
      </c>
      <c r="AG194" s="68" t="str">
        <f t="shared" si="174"/>
        <v/>
      </c>
    </row>
    <row r="195" spans="1:33" s="67" customFormat="1">
      <c r="A195" s="18" t="str">
        <f t="shared" si="155"/>
        <v/>
      </c>
      <c r="B195" s="219"/>
      <c r="C195" s="58"/>
      <c r="D195" s="44">
        <f t="shared" si="156"/>
        <v>31</v>
      </c>
      <c r="E195" s="59" t="str">
        <f t="shared" si="157"/>
        <v/>
      </c>
      <c r="F195" s="90" t="str">
        <f t="shared" si="158"/>
        <v/>
      </c>
      <c r="G195" s="190"/>
      <c r="H195" s="203"/>
      <c r="I195" s="191"/>
      <c r="J195" s="42"/>
      <c r="K195" s="39">
        <f>IF(I195="",0,VLOOKUP(I195,'LISTA DE PRECIOS'!A:F,IF(R195="CORO",4,5),FALSE))</f>
        <v>0</v>
      </c>
      <c r="L195" s="206">
        <f t="shared" si="163"/>
        <v>0</v>
      </c>
      <c r="M195" s="217">
        <f>IF(F195="",0,IF(SUMIF('REPORTE GASTOS'!$C$6:$C$210,F195,'REPORTE GASTOS'!$G$6:$G$210)=0,'LISTA DE PRECIOS'!$H$3,SUMIF('REPORTE GASTOS'!$C$6:$C$210,F195,'REPORTE GASTOS'!$I$6:$I$210)/SUMIF('REPORTE GASTOS'!$C$6:$C$210,F195,'REPORTE GASTOS'!$G$6:$G$210)))</f>
        <v>0</v>
      </c>
      <c r="N195" s="12">
        <f t="shared" si="159"/>
        <v>0</v>
      </c>
      <c r="O195" s="43">
        <f t="shared" si="160"/>
        <v>0</v>
      </c>
      <c r="P195" s="70"/>
      <c r="R195" s="68" t="str">
        <f>IF(H195="","",VLOOKUP(H195,'DATOS CLIENTES'!B:F,5,FALSE))</f>
        <v/>
      </c>
      <c r="S195" s="68" t="str">
        <f t="shared" si="165"/>
        <v>031</v>
      </c>
      <c r="U195" s="69">
        <f t="shared" si="161"/>
        <v>0</v>
      </c>
      <c r="V195" s="69">
        <f t="shared" si="162"/>
        <v>0</v>
      </c>
      <c r="X195" s="68">
        <f t="shared" si="164"/>
        <v>74</v>
      </c>
      <c r="Y195" s="68" t="str">
        <f t="shared" si="166"/>
        <v/>
      </c>
      <c r="Z195" s="68" t="str">
        <f t="shared" si="167"/>
        <v/>
      </c>
      <c r="AA195" s="68" t="str">
        <f t="shared" si="168"/>
        <v/>
      </c>
      <c r="AB195" s="227" t="str">
        <f t="shared" si="169"/>
        <v/>
      </c>
      <c r="AC195" s="68" t="str">
        <f t="shared" si="170"/>
        <v/>
      </c>
      <c r="AD195" s="68" t="str">
        <f t="shared" si="171"/>
        <v/>
      </c>
      <c r="AE195" s="68" t="str">
        <f t="shared" si="172"/>
        <v/>
      </c>
      <c r="AF195" s="68" t="str">
        <f t="shared" si="173"/>
        <v/>
      </c>
      <c r="AG195" s="68" t="str">
        <f t="shared" si="174"/>
        <v/>
      </c>
    </row>
    <row r="196" spans="1:33" s="67" customFormat="1">
      <c r="A196" s="18" t="str">
        <f t="shared" si="155"/>
        <v/>
      </c>
      <c r="B196" s="219"/>
      <c r="C196" s="58"/>
      <c r="D196" s="44">
        <f t="shared" si="156"/>
        <v>31</v>
      </c>
      <c r="E196" s="59" t="str">
        <f t="shared" si="157"/>
        <v/>
      </c>
      <c r="F196" s="90" t="str">
        <f t="shared" si="158"/>
        <v/>
      </c>
      <c r="G196" s="190"/>
      <c r="H196" s="203"/>
      <c r="I196" s="191"/>
      <c r="J196" s="42"/>
      <c r="K196" s="39">
        <f>IF(I196="",0,VLOOKUP(I196,'LISTA DE PRECIOS'!A:F,IF(R196="CORO",4,5),FALSE))</f>
        <v>0</v>
      </c>
      <c r="L196" s="206">
        <f t="shared" si="163"/>
        <v>0</v>
      </c>
      <c r="M196" s="217">
        <f>IF(F196="",0,IF(SUMIF('REPORTE GASTOS'!$C$6:$C$210,F196,'REPORTE GASTOS'!$G$6:$G$210)=0,'LISTA DE PRECIOS'!$H$3,SUMIF('REPORTE GASTOS'!$C$6:$C$210,F196,'REPORTE GASTOS'!$I$6:$I$210)/SUMIF('REPORTE GASTOS'!$C$6:$C$210,F196,'REPORTE GASTOS'!$G$6:$G$210)))</f>
        <v>0</v>
      </c>
      <c r="N196" s="12">
        <f t="shared" si="159"/>
        <v>0</v>
      </c>
      <c r="O196" s="43">
        <f t="shared" si="160"/>
        <v>0</v>
      </c>
      <c r="P196" s="70"/>
      <c r="R196" s="68" t="str">
        <f>IF(H196="","",VLOOKUP(H196,'DATOS CLIENTES'!B:F,5,FALSE))</f>
        <v/>
      </c>
      <c r="S196" s="68" t="str">
        <f t="shared" si="165"/>
        <v>031</v>
      </c>
      <c r="U196" s="69">
        <f t="shared" si="161"/>
        <v>0</v>
      </c>
      <c r="V196" s="69">
        <f t="shared" si="162"/>
        <v>0</v>
      </c>
      <c r="X196" s="68">
        <f t="shared" si="164"/>
        <v>74</v>
      </c>
      <c r="Y196" s="68" t="str">
        <f t="shared" si="166"/>
        <v/>
      </c>
      <c r="Z196" s="68" t="str">
        <f t="shared" si="167"/>
        <v/>
      </c>
      <c r="AA196" s="68" t="str">
        <f t="shared" si="168"/>
        <v/>
      </c>
      <c r="AB196" s="227" t="str">
        <f t="shared" si="169"/>
        <v/>
      </c>
      <c r="AC196" s="68" t="str">
        <f t="shared" si="170"/>
        <v/>
      </c>
      <c r="AD196" s="68" t="str">
        <f t="shared" si="171"/>
        <v/>
      </c>
      <c r="AE196" s="68" t="str">
        <f t="shared" si="172"/>
        <v/>
      </c>
      <c r="AF196" s="68" t="str">
        <f t="shared" si="173"/>
        <v/>
      </c>
      <c r="AG196" s="68" t="str">
        <f t="shared" si="174"/>
        <v/>
      </c>
    </row>
    <row r="197" spans="1:33" s="67" customFormat="1">
      <c r="A197" s="18" t="str">
        <f t="shared" si="155"/>
        <v/>
      </c>
      <c r="B197" s="219"/>
      <c r="C197" s="58"/>
      <c r="D197" s="44">
        <f t="shared" si="156"/>
        <v>31</v>
      </c>
      <c r="E197" s="59" t="str">
        <f t="shared" si="157"/>
        <v/>
      </c>
      <c r="F197" s="90" t="str">
        <f t="shared" si="158"/>
        <v/>
      </c>
      <c r="G197" s="190"/>
      <c r="H197" s="203"/>
      <c r="I197" s="191"/>
      <c r="J197" s="42"/>
      <c r="K197" s="39">
        <f>IF(I197="",0,VLOOKUP(I197,'LISTA DE PRECIOS'!A:F,IF(R197="CORO",4,5),FALSE))</f>
        <v>0</v>
      </c>
      <c r="L197" s="206">
        <f t="shared" si="163"/>
        <v>0</v>
      </c>
      <c r="M197" s="217">
        <f>IF(F197="",0,IF(SUMIF('REPORTE GASTOS'!$C$6:$C$210,F197,'REPORTE GASTOS'!$G$6:$G$210)=0,'LISTA DE PRECIOS'!$H$3,SUMIF('REPORTE GASTOS'!$C$6:$C$210,F197,'REPORTE GASTOS'!$I$6:$I$210)/SUMIF('REPORTE GASTOS'!$C$6:$C$210,F197,'REPORTE GASTOS'!$G$6:$G$210)))</f>
        <v>0</v>
      </c>
      <c r="N197" s="12">
        <f t="shared" si="159"/>
        <v>0</v>
      </c>
      <c r="O197" s="43">
        <f t="shared" si="160"/>
        <v>0</v>
      </c>
      <c r="P197" s="70"/>
      <c r="R197" s="68" t="str">
        <f>IF(H197="","",VLOOKUP(H197,'DATOS CLIENTES'!B:F,5,FALSE))</f>
        <v/>
      </c>
      <c r="S197" s="68" t="str">
        <f t="shared" si="165"/>
        <v>031</v>
      </c>
      <c r="U197" s="69">
        <f t="shared" si="161"/>
        <v>0</v>
      </c>
      <c r="V197" s="69">
        <f t="shared" si="162"/>
        <v>0</v>
      </c>
      <c r="X197" s="68">
        <f t="shared" si="164"/>
        <v>74</v>
      </c>
      <c r="Y197" s="68" t="str">
        <f t="shared" si="166"/>
        <v/>
      </c>
      <c r="Z197" s="68" t="str">
        <f t="shared" si="167"/>
        <v/>
      </c>
      <c r="AA197" s="68" t="str">
        <f t="shared" si="168"/>
        <v/>
      </c>
      <c r="AB197" s="227" t="str">
        <f t="shared" si="169"/>
        <v/>
      </c>
      <c r="AC197" s="68" t="str">
        <f t="shared" si="170"/>
        <v/>
      </c>
      <c r="AD197" s="68" t="str">
        <f t="shared" si="171"/>
        <v/>
      </c>
      <c r="AE197" s="68" t="str">
        <f t="shared" si="172"/>
        <v/>
      </c>
      <c r="AF197" s="68" t="str">
        <f t="shared" si="173"/>
        <v/>
      </c>
      <c r="AG197" s="68" t="str">
        <f t="shared" si="174"/>
        <v/>
      </c>
    </row>
    <row r="198" spans="1:33" s="67" customFormat="1">
      <c r="A198" s="18" t="str">
        <f t="shared" ref="A198:A249" si="175">CONCATENATE(E198,F198)</f>
        <v/>
      </c>
      <c r="B198" s="219"/>
      <c r="C198" s="58"/>
      <c r="D198" s="44">
        <f t="shared" si="156"/>
        <v>31</v>
      </c>
      <c r="E198" s="59" t="str">
        <f t="shared" si="157"/>
        <v/>
      </c>
      <c r="F198" s="90" t="str">
        <f t="shared" si="158"/>
        <v/>
      </c>
      <c r="G198" s="190"/>
      <c r="H198" s="203"/>
      <c r="I198" s="191"/>
      <c r="J198" s="42"/>
      <c r="K198" s="39">
        <f>IF(I198="",0,VLOOKUP(I198,'LISTA DE PRECIOS'!A:F,IF(R198="CORO",4,5),FALSE))</f>
        <v>0</v>
      </c>
      <c r="L198" s="206">
        <f t="shared" si="163"/>
        <v>0</v>
      </c>
      <c r="M198" s="217">
        <f>IF(F198="",0,IF(SUMIF('REPORTE GASTOS'!$C$6:$C$210,F198,'REPORTE GASTOS'!$G$6:$G$210)=0,'LISTA DE PRECIOS'!$H$3,SUMIF('REPORTE GASTOS'!$C$6:$C$210,F198,'REPORTE GASTOS'!$I$6:$I$210)/SUMIF('REPORTE GASTOS'!$C$6:$C$210,F198,'REPORTE GASTOS'!$G$6:$G$210)))</f>
        <v>0</v>
      </c>
      <c r="N198" s="12">
        <f t="shared" si="159"/>
        <v>0</v>
      </c>
      <c r="O198" s="43">
        <f t="shared" si="160"/>
        <v>0</v>
      </c>
      <c r="P198" s="70"/>
      <c r="R198" s="68" t="str">
        <f>IF(H198="","",VLOOKUP(H198,'DATOS CLIENTES'!B:F,5,FALSE))</f>
        <v/>
      </c>
      <c r="S198" s="68" t="str">
        <f t="shared" si="165"/>
        <v>031</v>
      </c>
      <c r="U198" s="69">
        <f t="shared" si="161"/>
        <v>0</v>
      </c>
      <c r="V198" s="69">
        <f t="shared" si="162"/>
        <v>0</v>
      </c>
      <c r="X198" s="68">
        <f t="shared" si="164"/>
        <v>74</v>
      </c>
      <c r="Y198" s="68" t="str">
        <f t="shared" si="166"/>
        <v/>
      </c>
      <c r="Z198" s="68" t="str">
        <f t="shared" si="167"/>
        <v/>
      </c>
      <c r="AA198" s="68" t="str">
        <f t="shared" si="168"/>
        <v/>
      </c>
      <c r="AB198" s="227" t="str">
        <f t="shared" si="169"/>
        <v/>
      </c>
      <c r="AC198" s="68" t="str">
        <f t="shared" si="170"/>
        <v/>
      </c>
      <c r="AD198" s="68" t="str">
        <f t="shared" si="171"/>
        <v/>
      </c>
      <c r="AE198" s="68" t="str">
        <f t="shared" si="172"/>
        <v/>
      </c>
      <c r="AF198" s="68" t="str">
        <f t="shared" si="173"/>
        <v/>
      </c>
      <c r="AG198" s="68" t="str">
        <f t="shared" si="174"/>
        <v/>
      </c>
    </row>
    <row r="199" spans="1:33" s="67" customFormat="1">
      <c r="A199" s="18" t="str">
        <f t="shared" si="175"/>
        <v/>
      </c>
      <c r="B199" s="219"/>
      <c r="C199" s="58"/>
      <c r="D199" s="44">
        <f t="shared" ref="D199:D250" si="176">IF(OR(H199="",AND(H199=H198,G199=G198)),D198,D198+1)</f>
        <v>31</v>
      </c>
      <c r="E199" s="59" t="str">
        <f t="shared" ref="E199:E250" si="177">IF(F199="","",IF(OR(F199=0,F199=F198),E198+1,1))</f>
        <v/>
      </c>
      <c r="F199" s="90" t="str">
        <f t="shared" ref="F199:F250" si="178">IF(G199="","",CONCATENATE("SFC-",IF(LEN(MONTH($G$4))=1,CONCATENATE("0",MONTH($G$4)),MONTH($G$4)),RIGHT(YEAR($G$4),2),"-",S199))</f>
        <v/>
      </c>
      <c r="G199" s="190"/>
      <c r="H199" s="203"/>
      <c r="I199" s="191"/>
      <c r="J199" s="42"/>
      <c r="K199" s="39">
        <f>IF(I199="",0,VLOOKUP(I199,'LISTA DE PRECIOS'!A:F,IF(R199="CORO",4,5),FALSE))</f>
        <v>0</v>
      </c>
      <c r="L199" s="206">
        <f t="shared" si="163"/>
        <v>0</v>
      </c>
      <c r="M199" s="217">
        <f>IF(F199="",0,IF(SUMIF('REPORTE GASTOS'!$C$6:$C$210,F199,'REPORTE GASTOS'!$G$6:$G$210)=0,'LISTA DE PRECIOS'!$H$3,SUMIF('REPORTE GASTOS'!$C$6:$C$210,F199,'REPORTE GASTOS'!$I$6:$I$210)/SUMIF('REPORTE GASTOS'!$C$6:$C$210,F199,'REPORTE GASTOS'!$G$6:$G$210)))</f>
        <v>0</v>
      </c>
      <c r="N199" s="12">
        <f t="shared" ref="N199:N250" si="179">M199*K199</f>
        <v>0</v>
      </c>
      <c r="O199" s="43">
        <f t="shared" ref="O199:O250" si="180">N199*J199</f>
        <v>0</v>
      </c>
      <c r="P199" s="70"/>
      <c r="R199" s="68" t="str">
        <f>IF(H199="","",VLOOKUP(H199,'DATOS CLIENTES'!B:F,5,FALSE))</f>
        <v/>
      </c>
      <c r="S199" s="68" t="str">
        <f t="shared" si="165"/>
        <v>031</v>
      </c>
      <c r="U199" s="69">
        <f t="shared" ref="U199:U250" si="181">IF(R199="PUNTO FIJO",0,SUMIF($F$7:$F$250,F199,$L$7:$L$250))</f>
        <v>0</v>
      </c>
      <c r="V199" s="69">
        <f t="shared" ref="V199:V250" si="182">IF(R199="PUNTO FIJO",0,SUMIF($F$7:$F$250,F199,$O$7:$O$250))</f>
        <v>0</v>
      </c>
      <c r="X199" s="68">
        <f t="shared" si="164"/>
        <v>74</v>
      </c>
      <c r="Y199" s="68" t="str">
        <f t="shared" si="166"/>
        <v/>
      </c>
      <c r="Z199" s="68" t="str">
        <f t="shared" si="167"/>
        <v/>
      </c>
      <c r="AA199" s="68" t="str">
        <f t="shared" si="168"/>
        <v/>
      </c>
      <c r="AB199" s="227" t="str">
        <f t="shared" si="169"/>
        <v/>
      </c>
      <c r="AC199" s="68" t="str">
        <f t="shared" si="170"/>
        <v/>
      </c>
      <c r="AD199" s="68" t="str">
        <f t="shared" si="171"/>
        <v/>
      </c>
      <c r="AE199" s="68" t="str">
        <f t="shared" si="172"/>
        <v/>
      </c>
      <c r="AF199" s="68" t="str">
        <f t="shared" si="173"/>
        <v/>
      </c>
      <c r="AG199" s="68" t="str">
        <f t="shared" si="174"/>
        <v/>
      </c>
    </row>
    <row r="200" spans="1:33" s="67" customFormat="1">
      <c r="A200" s="18" t="str">
        <f t="shared" si="175"/>
        <v/>
      </c>
      <c r="B200" s="219"/>
      <c r="C200" s="58"/>
      <c r="D200" s="44">
        <f t="shared" si="176"/>
        <v>31</v>
      </c>
      <c r="E200" s="59" t="str">
        <f t="shared" si="177"/>
        <v/>
      </c>
      <c r="F200" s="90" t="str">
        <f t="shared" si="178"/>
        <v/>
      </c>
      <c r="G200" s="190"/>
      <c r="H200" s="203"/>
      <c r="I200" s="191"/>
      <c r="J200" s="42"/>
      <c r="K200" s="39">
        <f>IF(I200="",0,VLOOKUP(I200,'LISTA DE PRECIOS'!A:F,IF(R200="CORO",4,5),FALSE))</f>
        <v>0</v>
      </c>
      <c r="L200" s="206">
        <f t="shared" ref="L200:L250" si="183">ROUND(K200*J200,2)</f>
        <v>0</v>
      </c>
      <c r="M200" s="217">
        <f>IF(F200="",0,IF(SUMIF('REPORTE GASTOS'!$C$6:$C$210,F200,'REPORTE GASTOS'!$G$6:$G$210)=0,'LISTA DE PRECIOS'!$H$3,SUMIF('REPORTE GASTOS'!$C$6:$C$210,F200,'REPORTE GASTOS'!$I$6:$I$210)/SUMIF('REPORTE GASTOS'!$C$6:$C$210,F200,'REPORTE GASTOS'!$G$6:$G$210)))</f>
        <v>0</v>
      </c>
      <c r="N200" s="12">
        <f t="shared" si="179"/>
        <v>0</v>
      </c>
      <c r="O200" s="43">
        <f t="shared" si="180"/>
        <v>0</v>
      </c>
      <c r="P200" s="70"/>
      <c r="R200" s="68" t="str">
        <f>IF(H200="","",VLOOKUP(H200,'DATOS CLIENTES'!B:F,5,FALSE))</f>
        <v/>
      </c>
      <c r="S200" s="68" t="str">
        <f t="shared" si="165"/>
        <v>031</v>
      </c>
      <c r="U200" s="69">
        <f t="shared" si="181"/>
        <v>0</v>
      </c>
      <c r="V200" s="69">
        <f t="shared" si="182"/>
        <v>0</v>
      </c>
      <c r="X200" s="68">
        <f t="shared" ref="X200:X250" si="184">IF(Y200="",X199,X199+1)</f>
        <v>74</v>
      </c>
      <c r="Y200" s="68" t="str">
        <f t="shared" si="166"/>
        <v/>
      </c>
      <c r="Z200" s="68" t="str">
        <f t="shared" si="167"/>
        <v/>
      </c>
      <c r="AA200" s="68" t="str">
        <f t="shared" si="168"/>
        <v/>
      </c>
      <c r="AB200" s="227" t="str">
        <f t="shared" si="169"/>
        <v/>
      </c>
      <c r="AC200" s="68" t="str">
        <f t="shared" si="170"/>
        <v/>
      </c>
      <c r="AD200" s="68" t="str">
        <f t="shared" si="171"/>
        <v/>
      </c>
      <c r="AE200" s="68" t="str">
        <f t="shared" si="172"/>
        <v/>
      </c>
      <c r="AF200" s="68" t="str">
        <f t="shared" si="173"/>
        <v/>
      </c>
      <c r="AG200" s="68" t="str">
        <f t="shared" si="174"/>
        <v/>
      </c>
    </row>
    <row r="201" spans="1:33" s="67" customFormat="1">
      <c r="A201" s="18" t="str">
        <f t="shared" si="175"/>
        <v/>
      </c>
      <c r="B201" s="219"/>
      <c r="C201" s="58"/>
      <c r="D201" s="44">
        <f t="shared" si="176"/>
        <v>31</v>
      </c>
      <c r="E201" s="59" t="str">
        <f t="shared" si="177"/>
        <v/>
      </c>
      <c r="F201" s="90" t="str">
        <f t="shared" si="178"/>
        <v/>
      </c>
      <c r="G201" s="190"/>
      <c r="H201" s="203"/>
      <c r="I201" s="191"/>
      <c r="J201" s="42"/>
      <c r="K201" s="39">
        <f>IF(I201="",0,VLOOKUP(I201,'LISTA DE PRECIOS'!A:F,IF(R201="CORO",4,5),FALSE))</f>
        <v>0</v>
      </c>
      <c r="L201" s="206">
        <f t="shared" si="183"/>
        <v>0</v>
      </c>
      <c r="M201" s="217">
        <f>IF(F201="",0,IF(SUMIF('REPORTE GASTOS'!$C$6:$C$210,F201,'REPORTE GASTOS'!$G$6:$G$210)=0,'LISTA DE PRECIOS'!$H$3,SUMIF('REPORTE GASTOS'!$C$6:$C$210,F201,'REPORTE GASTOS'!$I$6:$I$210)/SUMIF('REPORTE GASTOS'!$C$6:$C$210,F201,'REPORTE GASTOS'!$G$6:$G$210)))</f>
        <v>0</v>
      </c>
      <c r="N201" s="12">
        <f t="shared" si="179"/>
        <v>0</v>
      </c>
      <c r="O201" s="43">
        <f t="shared" si="180"/>
        <v>0</v>
      </c>
      <c r="P201" s="70"/>
      <c r="R201" s="68" t="str">
        <f>IF(H201="","",VLOOKUP(H201,'DATOS CLIENTES'!B:F,5,FALSE))</f>
        <v/>
      </c>
      <c r="S201" s="68" t="str">
        <f t="shared" ref="S201:S250" si="185">IF(B201="CHS",S200,IF(D201=D200,S200,IF(S200+1-1&lt;9,CONCATENATE("00",S200+1),IF(S200+1-1&lt;99,CONCATENATE("0",S200+1),S200+1))))</f>
        <v>031</v>
      </c>
      <c r="U201" s="69">
        <f t="shared" si="181"/>
        <v>0</v>
      </c>
      <c r="V201" s="69">
        <f t="shared" si="182"/>
        <v>0</v>
      </c>
      <c r="X201" s="68">
        <f t="shared" si="184"/>
        <v>74</v>
      </c>
      <c r="Y201" s="68" t="str">
        <f t="shared" ref="Y201:Y250" si="186">IF(AND($R201&lt;&gt;"PUNTO FIJO",$R201&lt;&gt;""),B201,"")</f>
        <v/>
      </c>
      <c r="Z201" s="68" t="str">
        <f t="shared" ref="Z201:Z250" si="187">IF(AND($R201&lt;&gt;"PUNTO FIJO",$R201&lt;&gt;""),C201,"")</f>
        <v/>
      </c>
      <c r="AA201" s="68" t="str">
        <f t="shared" ref="AA201:AA250" si="188">IF(AND($R201&lt;&gt;"PUNTO FIJO",$R201&lt;&gt;""),F201,"")</f>
        <v/>
      </c>
      <c r="AB201" s="227" t="str">
        <f t="shared" ref="AB201:AB250" si="189">IF(AND($R201&lt;&gt;"PUNTO FIJO",$R201&lt;&gt;""),G201,"")</f>
        <v/>
      </c>
      <c r="AC201" s="68" t="str">
        <f t="shared" ref="AC201:AC250" si="190">IF(AND($R201&lt;&gt;"PUNTO FIJO",$R201&lt;&gt;""),H201,"")</f>
        <v/>
      </c>
      <c r="AD201" s="68" t="str">
        <f t="shared" ref="AD201:AD250" si="191">IF(AND($R201&lt;&gt;"PUNTO FIJO",$R201&lt;&gt;""),I201,"")</f>
        <v/>
      </c>
      <c r="AE201" s="68" t="str">
        <f t="shared" ref="AE201:AE250" si="192">IF(AND($R201&lt;&gt;"PUNTO FIJO",$R201&lt;&gt;""),J201,"")</f>
        <v/>
      </c>
      <c r="AF201" s="68" t="str">
        <f t="shared" ref="AF201:AF250" si="193">IF(AND($R201&lt;&gt;"PUNTO FIJO",$R201&lt;&gt;""),K201,"")</f>
        <v/>
      </c>
      <c r="AG201" s="68" t="str">
        <f t="shared" ref="AG201:AG250" si="194">IF(AND($R201&lt;&gt;"PUNTO FIJO",$R201&lt;&gt;""),M201,"")</f>
        <v/>
      </c>
    </row>
    <row r="202" spans="1:33" s="67" customFormat="1">
      <c r="A202" s="18" t="str">
        <f t="shared" si="175"/>
        <v/>
      </c>
      <c r="B202" s="219"/>
      <c r="C202" s="58"/>
      <c r="D202" s="44">
        <f t="shared" si="176"/>
        <v>31</v>
      </c>
      <c r="E202" s="59" t="str">
        <f t="shared" si="177"/>
        <v/>
      </c>
      <c r="F202" s="90" t="str">
        <f t="shared" si="178"/>
        <v/>
      </c>
      <c r="G202" s="190"/>
      <c r="H202" s="203"/>
      <c r="I202" s="191"/>
      <c r="J202" s="42"/>
      <c r="K202" s="39">
        <f>IF(I202="",0,VLOOKUP(I202,'LISTA DE PRECIOS'!A:F,IF(R202="CORO",4,5),FALSE))</f>
        <v>0</v>
      </c>
      <c r="L202" s="206">
        <f t="shared" si="183"/>
        <v>0</v>
      </c>
      <c r="M202" s="217">
        <f>IF(F202="",0,IF(SUMIF('REPORTE GASTOS'!$C$6:$C$210,F202,'REPORTE GASTOS'!$G$6:$G$210)=0,'LISTA DE PRECIOS'!$H$3,SUMIF('REPORTE GASTOS'!$C$6:$C$210,F202,'REPORTE GASTOS'!$I$6:$I$210)/SUMIF('REPORTE GASTOS'!$C$6:$C$210,F202,'REPORTE GASTOS'!$G$6:$G$210)))</f>
        <v>0</v>
      </c>
      <c r="N202" s="12">
        <f t="shared" si="179"/>
        <v>0</v>
      </c>
      <c r="O202" s="43">
        <f t="shared" si="180"/>
        <v>0</v>
      </c>
      <c r="P202" s="70"/>
      <c r="R202" s="68" t="str">
        <f>IF(H202="","",VLOOKUP(H202,'DATOS CLIENTES'!B:F,5,FALSE))</f>
        <v/>
      </c>
      <c r="S202" s="68" t="str">
        <f t="shared" si="185"/>
        <v>031</v>
      </c>
      <c r="U202" s="69">
        <f t="shared" si="181"/>
        <v>0</v>
      </c>
      <c r="V202" s="69">
        <f t="shared" si="182"/>
        <v>0</v>
      </c>
      <c r="X202" s="68">
        <f t="shared" si="184"/>
        <v>74</v>
      </c>
      <c r="Y202" s="68" t="str">
        <f t="shared" si="186"/>
        <v/>
      </c>
      <c r="Z202" s="68" t="str">
        <f t="shared" si="187"/>
        <v/>
      </c>
      <c r="AA202" s="68" t="str">
        <f t="shared" si="188"/>
        <v/>
      </c>
      <c r="AB202" s="227" t="str">
        <f t="shared" si="189"/>
        <v/>
      </c>
      <c r="AC202" s="68" t="str">
        <f t="shared" si="190"/>
        <v/>
      </c>
      <c r="AD202" s="68" t="str">
        <f t="shared" si="191"/>
        <v/>
      </c>
      <c r="AE202" s="68" t="str">
        <f t="shared" si="192"/>
        <v/>
      </c>
      <c r="AF202" s="68" t="str">
        <f t="shared" si="193"/>
        <v/>
      </c>
      <c r="AG202" s="68" t="str">
        <f t="shared" si="194"/>
        <v/>
      </c>
    </row>
    <row r="203" spans="1:33" s="67" customFormat="1">
      <c r="A203" s="18" t="str">
        <f t="shared" si="175"/>
        <v/>
      </c>
      <c r="B203" s="219"/>
      <c r="C203" s="58"/>
      <c r="D203" s="44">
        <f t="shared" si="176"/>
        <v>31</v>
      </c>
      <c r="E203" s="59" t="str">
        <f t="shared" si="177"/>
        <v/>
      </c>
      <c r="F203" s="90" t="str">
        <f t="shared" si="178"/>
        <v/>
      </c>
      <c r="G203" s="190"/>
      <c r="H203" s="203"/>
      <c r="I203" s="191"/>
      <c r="J203" s="42"/>
      <c r="K203" s="39">
        <f>IF(I203="",0,VLOOKUP(I203,'LISTA DE PRECIOS'!A:F,IF(R203="CORO",4,5),FALSE))</f>
        <v>0</v>
      </c>
      <c r="L203" s="206">
        <f t="shared" si="183"/>
        <v>0</v>
      </c>
      <c r="M203" s="217">
        <f>IF(F203="",0,IF(SUMIF('REPORTE GASTOS'!$C$6:$C$210,F203,'REPORTE GASTOS'!$G$6:$G$210)=0,'LISTA DE PRECIOS'!$H$3,SUMIF('REPORTE GASTOS'!$C$6:$C$210,F203,'REPORTE GASTOS'!$I$6:$I$210)/SUMIF('REPORTE GASTOS'!$C$6:$C$210,F203,'REPORTE GASTOS'!$G$6:$G$210)))</f>
        <v>0</v>
      </c>
      <c r="N203" s="12">
        <f t="shared" si="179"/>
        <v>0</v>
      </c>
      <c r="O203" s="43">
        <f t="shared" si="180"/>
        <v>0</v>
      </c>
      <c r="P203" s="70"/>
      <c r="R203" s="68" t="str">
        <f>IF(H203="","",VLOOKUP(H203,'DATOS CLIENTES'!B:F,5,FALSE))</f>
        <v/>
      </c>
      <c r="S203" s="68" t="str">
        <f t="shared" si="185"/>
        <v>031</v>
      </c>
      <c r="U203" s="69">
        <f t="shared" si="181"/>
        <v>0</v>
      </c>
      <c r="V203" s="69">
        <f t="shared" si="182"/>
        <v>0</v>
      </c>
      <c r="X203" s="68">
        <f t="shared" si="184"/>
        <v>74</v>
      </c>
      <c r="Y203" s="68" t="str">
        <f t="shared" si="186"/>
        <v/>
      </c>
      <c r="Z203" s="68" t="str">
        <f t="shared" si="187"/>
        <v/>
      </c>
      <c r="AA203" s="68" t="str">
        <f t="shared" si="188"/>
        <v/>
      </c>
      <c r="AB203" s="227" t="str">
        <f t="shared" si="189"/>
        <v/>
      </c>
      <c r="AC203" s="68" t="str">
        <f t="shared" si="190"/>
        <v/>
      </c>
      <c r="AD203" s="68" t="str">
        <f t="shared" si="191"/>
        <v/>
      </c>
      <c r="AE203" s="68" t="str">
        <f t="shared" si="192"/>
        <v/>
      </c>
      <c r="AF203" s="68" t="str">
        <f t="shared" si="193"/>
        <v/>
      </c>
      <c r="AG203" s="68" t="str">
        <f t="shared" si="194"/>
        <v/>
      </c>
    </row>
    <row r="204" spans="1:33" s="67" customFormat="1">
      <c r="A204" s="18" t="str">
        <f t="shared" si="175"/>
        <v/>
      </c>
      <c r="B204" s="219"/>
      <c r="C204" s="58"/>
      <c r="D204" s="44">
        <f t="shared" si="176"/>
        <v>31</v>
      </c>
      <c r="E204" s="59" t="str">
        <f t="shared" si="177"/>
        <v/>
      </c>
      <c r="F204" s="90" t="str">
        <f t="shared" si="178"/>
        <v/>
      </c>
      <c r="G204" s="190"/>
      <c r="H204" s="203"/>
      <c r="I204" s="191"/>
      <c r="J204" s="42"/>
      <c r="K204" s="39">
        <f>IF(I204="",0,VLOOKUP(I204,'LISTA DE PRECIOS'!A:F,IF(R204="CORO",4,5),FALSE))</f>
        <v>0</v>
      </c>
      <c r="L204" s="206">
        <f t="shared" si="183"/>
        <v>0</v>
      </c>
      <c r="M204" s="217">
        <f>IF(F204="",0,IF(SUMIF('REPORTE GASTOS'!$C$6:$C$210,F204,'REPORTE GASTOS'!$G$6:$G$210)=0,'LISTA DE PRECIOS'!$H$3,SUMIF('REPORTE GASTOS'!$C$6:$C$210,F204,'REPORTE GASTOS'!$I$6:$I$210)/SUMIF('REPORTE GASTOS'!$C$6:$C$210,F204,'REPORTE GASTOS'!$G$6:$G$210)))</f>
        <v>0</v>
      </c>
      <c r="N204" s="12">
        <f t="shared" si="179"/>
        <v>0</v>
      </c>
      <c r="O204" s="43">
        <f t="shared" si="180"/>
        <v>0</v>
      </c>
      <c r="P204" s="70"/>
      <c r="R204" s="68" t="str">
        <f>IF(H204="","",VLOOKUP(H204,'DATOS CLIENTES'!B:F,5,FALSE))</f>
        <v/>
      </c>
      <c r="S204" s="68" t="str">
        <f t="shared" si="185"/>
        <v>031</v>
      </c>
      <c r="U204" s="69">
        <f t="shared" si="181"/>
        <v>0</v>
      </c>
      <c r="V204" s="69">
        <f t="shared" si="182"/>
        <v>0</v>
      </c>
      <c r="X204" s="68">
        <f t="shared" si="184"/>
        <v>74</v>
      </c>
      <c r="Y204" s="68" t="str">
        <f t="shared" si="186"/>
        <v/>
      </c>
      <c r="Z204" s="68" t="str">
        <f t="shared" si="187"/>
        <v/>
      </c>
      <c r="AA204" s="68" t="str">
        <f t="shared" si="188"/>
        <v/>
      </c>
      <c r="AB204" s="227" t="str">
        <f t="shared" si="189"/>
        <v/>
      </c>
      <c r="AC204" s="68" t="str">
        <f t="shared" si="190"/>
        <v/>
      </c>
      <c r="AD204" s="68" t="str">
        <f t="shared" si="191"/>
        <v/>
      </c>
      <c r="AE204" s="68" t="str">
        <f t="shared" si="192"/>
        <v/>
      </c>
      <c r="AF204" s="68" t="str">
        <f t="shared" si="193"/>
        <v/>
      </c>
      <c r="AG204" s="68" t="str">
        <f t="shared" si="194"/>
        <v/>
      </c>
    </row>
    <row r="205" spans="1:33" s="67" customFormat="1">
      <c r="A205" s="18" t="str">
        <f t="shared" si="175"/>
        <v/>
      </c>
      <c r="B205" s="219"/>
      <c r="C205" s="58"/>
      <c r="D205" s="44">
        <f t="shared" si="176"/>
        <v>31</v>
      </c>
      <c r="E205" s="59" t="str">
        <f t="shared" si="177"/>
        <v/>
      </c>
      <c r="F205" s="90" t="str">
        <f t="shared" si="178"/>
        <v/>
      </c>
      <c r="G205" s="190"/>
      <c r="H205" s="203"/>
      <c r="I205" s="191"/>
      <c r="J205" s="42"/>
      <c r="K205" s="39">
        <f>IF(I205="",0,VLOOKUP(I205,'LISTA DE PRECIOS'!A:F,IF(R205="CORO",4,5),FALSE))</f>
        <v>0</v>
      </c>
      <c r="L205" s="206">
        <f t="shared" si="183"/>
        <v>0</v>
      </c>
      <c r="M205" s="217">
        <f>IF(F205="",0,IF(SUMIF('REPORTE GASTOS'!$C$6:$C$210,F205,'REPORTE GASTOS'!$G$6:$G$210)=0,'LISTA DE PRECIOS'!$H$3,SUMIF('REPORTE GASTOS'!$C$6:$C$210,F205,'REPORTE GASTOS'!$I$6:$I$210)/SUMIF('REPORTE GASTOS'!$C$6:$C$210,F205,'REPORTE GASTOS'!$G$6:$G$210)))</f>
        <v>0</v>
      </c>
      <c r="N205" s="12">
        <f t="shared" si="179"/>
        <v>0</v>
      </c>
      <c r="O205" s="43">
        <f t="shared" si="180"/>
        <v>0</v>
      </c>
      <c r="P205" s="70"/>
      <c r="R205" s="68" t="str">
        <f>IF(H205="","",VLOOKUP(H205,'DATOS CLIENTES'!B:F,5,FALSE))</f>
        <v/>
      </c>
      <c r="S205" s="68" t="str">
        <f t="shared" si="185"/>
        <v>031</v>
      </c>
      <c r="U205" s="69">
        <f t="shared" si="181"/>
        <v>0</v>
      </c>
      <c r="V205" s="69">
        <f t="shared" si="182"/>
        <v>0</v>
      </c>
      <c r="X205" s="68">
        <f t="shared" si="184"/>
        <v>74</v>
      </c>
      <c r="Y205" s="68" t="str">
        <f t="shared" si="186"/>
        <v/>
      </c>
      <c r="Z205" s="68" t="str">
        <f t="shared" si="187"/>
        <v/>
      </c>
      <c r="AA205" s="68" t="str">
        <f t="shared" si="188"/>
        <v/>
      </c>
      <c r="AB205" s="227" t="str">
        <f t="shared" si="189"/>
        <v/>
      </c>
      <c r="AC205" s="68" t="str">
        <f t="shared" si="190"/>
        <v/>
      </c>
      <c r="AD205" s="68" t="str">
        <f t="shared" si="191"/>
        <v/>
      </c>
      <c r="AE205" s="68" t="str">
        <f t="shared" si="192"/>
        <v/>
      </c>
      <c r="AF205" s="68" t="str">
        <f t="shared" si="193"/>
        <v/>
      </c>
      <c r="AG205" s="68" t="str">
        <f t="shared" si="194"/>
        <v/>
      </c>
    </row>
    <row r="206" spans="1:33" s="67" customFormat="1">
      <c r="A206" s="18" t="str">
        <f t="shared" si="175"/>
        <v/>
      </c>
      <c r="B206" s="219"/>
      <c r="C206" s="58"/>
      <c r="D206" s="44">
        <f t="shared" si="176"/>
        <v>31</v>
      </c>
      <c r="E206" s="59" t="str">
        <f t="shared" si="177"/>
        <v/>
      </c>
      <c r="F206" s="90" t="str">
        <f t="shared" si="178"/>
        <v/>
      </c>
      <c r="G206" s="190"/>
      <c r="H206" s="203"/>
      <c r="I206" s="191"/>
      <c r="J206" s="42"/>
      <c r="K206" s="39">
        <f>IF(I206="",0,VLOOKUP(I206,'LISTA DE PRECIOS'!A:F,IF(R206="CORO",4,5),FALSE))</f>
        <v>0</v>
      </c>
      <c r="L206" s="206">
        <f t="shared" si="183"/>
        <v>0</v>
      </c>
      <c r="M206" s="217">
        <f>IF(F206="",0,IF(SUMIF('REPORTE GASTOS'!$C$6:$C$210,F206,'REPORTE GASTOS'!$G$6:$G$210)=0,'LISTA DE PRECIOS'!$H$3,SUMIF('REPORTE GASTOS'!$C$6:$C$210,F206,'REPORTE GASTOS'!$I$6:$I$210)/SUMIF('REPORTE GASTOS'!$C$6:$C$210,F206,'REPORTE GASTOS'!$G$6:$G$210)))</f>
        <v>0</v>
      </c>
      <c r="N206" s="12">
        <f t="shared" si="179"/>
        <v>0</v>
      </c>
      <c r="O206" s="43">
        <f t="shared" si="180"/>
        <v>0</v>
      </c>
      <c r="P206" s="70"/>
      <c r="R206" s="68" t="str">
        <f>IF(H206="","",VLOOKUP(H206,'DATOS CLIENTES'!B:F,5,FALSE))</f>
        <v/>
      </c>
      <c r="S206" s="68" t="str">
        <f t="shared" si="185"/>
        <v>031</v>
      </c>
      <c r="U206" s="69">
        <f t="shared" si="181"/>
        <v>0</v>
      </c>
      <c r="V206" s="69">
        <f t="shared" si="182"/>
        <v>0</v>
      </c>
      <c r="X206" s="68">
        <f t="shared" si="184"/>
        <v>74</v>
      </c>
      <c r="Y206" s="68" t="str">
        <f t="shared" si="186"/>
        <v/>
      </c>
      <c r="Z206" s="68" t="str">
        <f t="shared" si="187"/>
        <v/>
      </c>
      <c r="AA206" s="68" t="str">
        <f t="shared" si="188"/>
        <v/>
      </c>
      <c r="AB206" s="227" t="str">
        <f t="shared" si="189"/>
        <v/>
      </c>
      <c r="AC206" s="68" t="str">
        <f t="shared" si="190"/>
        <v/>
      </c>
      <c r="AD206" s="68" t="str">
        <f t="shared" si="191"/>
        <v/>
      </c>
      <c r="AE206" s="68" t="str">
        <f t="shared" si="192"/>
        <v/>
      </c>
      <c r="AF206" s="68" t="str">
        <f t="shared" si="193"/>
        <v/>
      </c>
      <c r="AG206" s="68" t="str">
        <f t="shared" si="194"/>
        <v/>
      </c>
    </row>
    <row r="207" spans="1:33" s="67" customFormat="1">
      <c r="A207" s="18" t="str">
        <f t="shared" si="175"/>
        <v/>
      </c>
      <c r="B207" s="219"/>
      <c r="C207" s="58"/>
      <c r="D207" s="44">
        <f t="shared" si="176"/>
        <v>31</v>
      </c>
      <c r="E207" s="59" t="str">
        <f t="shared" si="177"/>
        <v/>
      </c>
      <c r="F207" s="90" t="str">
        <f t="shared" si="178"/>
        <v/>
      </c>
      <c r="G207" s="190"/>
      <c r="H207" s="203"/>
      <c r="I207" s="191"/>
      <c r="J207" s="42"/>
      <c r="K207" s="39">
        <f>IF(I207="",0,VLOOKUP(I207,'LISTA DE PRECIOS'!A:F,IF(R207="CORO",4,5),FALSE))</f>
        <v>0</v>
      </c>
      <c r="L207" s="206">
        <f t="shared" si="183"/>
        <v>0</v>
      </c>
      <c r="M207" s="217">
        <f>IF(F207="",0,IF(SUMIF('REPORTE GASTOS'!$C$6:$C$210,F207,'REPORTE GASTOS'!$G$6:$G$210)=0,'LISTA DE PRECIOS'!$H$3,SUMIF('REPORTE GASTOS'!$C$6:$C$210,F207,'REPORTE GASTOS'!$I$6:$I$210)/SUMIF('REPORTE GASTOS'!$C$6:$C$210,F207,'REPORTE GASTOS'!$G$6:$G$210)))</f>
        <v>0</v>
      </c>
      <c r="N207" s="12">
        <f t="shared" si="179"/>
        <v>0</v>
      </c>
      <c r="O207" s="43">
        <f t="shared" si="180"/>
        <v>0</v>
      </c>
      <c r="P207" s="70"/>
      <c r="R207" s="68" t="str">
        <f>IF(H207="","",VLOOKUP(H207,'DATOS CLIENTES'!B:F,5,FALSE))</f>
        <v/>
      </c>
      <c r="S207" s="68" t="str">
        <f t="shared" si="185"/>
        <v>031</v>
      </c>
      <c r="U207" s="69">
        <f t="shared" si="181"/>
        <v>0</v>
      </c>
      <c r="V207" s="69">
        <f t="shared" si="182"/>
        <v>0</v>
      </c>
      <c r="X207" s="68">
        <f t="shared" si="184"/>
        <v>74</v>
      </c>
      <c r="Y207" s="68" t="str">
        <f t="shared" si="186"/>
        <v/>
      </c>
      <c r="Z207" s="68" t="str">
        <f t="shared" si="187"/>
        <v/>
      </c>
      <c r="AA207" s="68" t="str">
        <f t="shared" si="188"/>
        <v/>
      </c>
      <c r="AB207" s="227" t="str">
        <f t="shared" si="189"/>
        <v/>
      </c>
      <c r="AC207" s="68" t="str">
        <f t="shared" si="190"/>
        <v/>
      </c>
      <c r="AD207" s="68" t="str">
        <f t="shared" si="191"/>
        <v/>
      </c>
      <c r="AE207" s="68" t="str">
        <f t="shared" si="192"/>
        <v/>
      </c>
      <c r="AF207" s="68" t="str">
        <f t="shared" si="193"/>
        <v/>
      </c>
      <c r="AG207" s="68" t="str">
        <f t="shared" si="194"/>
        <v/>
      </c>
    </row>
    <row r="208" spans="1:33" s="67" customFormat="1">
      <c r="A208" s="18" t="str">
        <f t="shared" si="175"/>
        <v/>
      </c>
      <c r="B208" s="219"/>
      <c r="C208" s="58"/>
      <c r="D208" s="44">
        <f t="shared" si="176"/>
        <v>31</v>
      </c>
      <c r="E208" s="59" t="str">
        <f t="shared" si="177"/>
        <v/>
      </c>
      <c r="F208" s="90" t="str">
        <f t="shared" si="178"/>
        <v/>
      </c>
      <c r="G208" s="190"/>
      <c r="H208" s="203"/>
      <c r="I208" s="191"/>
      <c r="J208" s="42"/>
      <c r="K208" s="39">
        <f>IF(I208="",0,VLOOKUP(I208,'LISTA DE PRECIOS'!A:F,IF(R208="CORO",4,5),FALSE))</f>
        <v>0</v>
      </c>
      <c r="L208" s="206">
        <f t="shared" si="183"/>
        <v>0</v>
      </c>
      <c r="M208" s="217">
        <f>IF(F208="",0,IF(SUMIF('REPORTE GASTOS'!$C$6:$C$210,F208,'REPORTE GASTOS'!$G$6:$G$210)=0,'LISTA DE PRECIOS'!$H$3,SUMIF('REPORTE GASTOS'!$C$6:$C$210,F208,'REPORTE GASTOS'!$I$6:$I$210)/SUMIF('REPORTE GASTOS'!$C$6:$C$210,F208,'REPORTE GASTOS'!$G$6:$G$210)))</f>
        <v>0</v>
      </c>
      <c r="N208" s="12">
        <f t="shared" si="179"/>
        <v>0</v>
      </c>
      <c r="O208" s="43">
        <f t="shared" si="180"/>
        <v>0</v>
      </c>
      <c r="P208" s="70"/>
      <c r="R208" s="68" t="str">
        <f>IF(H208="","",VLOOKUP(H208,'DATOS CLIENTES'!B:F,5,FALSE))</f>
        <v/>
      </c>
      <c r="S208" s="68" t="str">
        <f t="shared" si="185"/>
        <v>031</v>
      </c>
      <c r="U208" s="69">
        <f t="shared" si="181"/>
        <v>0</v>
      </c>
      <c r="V208" s="69">
        <f t="shared" si="182"/>
        <v>0</v>
      </c>
      <c r="X208" s="68">
        <f t="shared" si="184"/>
        <v>74</v>
      </c>
      <c r="Y208" s="68" t="str">
        <f t="shared" si="186"/>
        <v/>
      </c>
      <c r="Z208" s="68" t="str">
        <f t="shared" si="187"/>
        <v/>
      </c>
      <c r="AA208" s="68" t="str">
        <f t="shared" si="188"/>
        <v/>
      </c>
      <c r="AB208" s="227" t="str">
        <f t="shared" si="189"/>
        <v/>
      </c>
      <c r="AC208" s="68" t="str">
        <f t="shared" si="190"/>
        <v/>
      </c>
      <c r="AD208" s="68" t="str">
        <f t="shared" si="191"/>
        <v/>
      </c>
      <c r="AE208" s="68" t="str">
        <f t="shared" si="192"/>
        <v/>
      </c>
      <c r="AF208" s="68" t="str">
        <f t="shared" si="193"/>
        <v/>
      </c>
      <c r="AG208" s="68" t="str">
        <f t="shared" si="194"/>
        <v/>
      </c>
    </row>
    <row r="209" spans="1:33" s="67" customFormat="1">
      <c r="A209" s="18" t="str">
        <f t="shared" si="175"/>
        <v/>
      </c>
      <c r="B209" s="219"/>
      <c r="C209" s="58"/>
      <c r="D209" s="44">
        <f t="shared" si="176"/>
        <v>31</v>
      </c>
      <c r="E209" s="59" t="str">
        <f t="shared" si="177"/>
        <v/>
      </c>
      <c r="F209" s="90" t="str">
        <f t="shared" si="178"/>
        <v/>
      </c>
      <c r="G209" s="190"/>
      <c r="H209" s="203"/>
      <c r="I209" s="191"/>
      <c r="J209" s="42"/>
      <c r="K209" s="39">
        <f>IF(I209="",0,VLOOKUP(I209,'LISTA DE PRECIOS'!A:F,IF(R209="CORO",4,5),FALSE))</f>
        <v>0</v>
      </c>
      <c r="L209" s="206">
        <f t="shared" si="183"/>
        <v>0</v>
      </c>
      <c r="M209" s="217">
        <f>IF(F209="",0,IF(SUMIF('REPORTE GASTOS'!$C$6:$C$210,F209,'REPORTE GASTOS'!$G$6:$G$210)=0,'LISTA DE PRECIOS'!$H$3,SUMIF('REPORTE GASTOS'!$C$6:$C$210,F209,'REPORTE GASTOS'!$I$6:$I$210)/SUMIF('REPORTE GASTOS'!$C$6:$C$210,F209,'REPORTE GASTOS'!$G$6:$G$210)))</f>
        <v>0</v>
      </c>
      <c r="N209" s="12">
        <f t="shared" si="179"/>
        <v>0</v>
      </c>
      <c r="O209" s="43">
        <f t="shared" si="180"/>
        <v>0</v>
      </c>
      <c r="P209" s="70"/>
      <c r="R209" s="68" t="str">
        <f>IF(H209="","",VLOOKUP(H209,'DATOS CLIENTES'!B:F,5,FALSE))</f>
        <v/>
      </c>
      <c r="S209" s="68" t="str">
        <f t="shared" si="185"/>
        <v>031</v>
      </c>
      <c r="U209" s="69">
        <f t="shared" si="181"/>
        <v>0</v>
      </c>
      <c r="V209" s="69">
        <f t="shared" si="182"/>
        <v>0</v>
      </c>
      <c r="X209" s="68">
        <f t="shared" si="184"/>
        <v>74</v>
      </c>
      <c r="Y209" s="68" t="str">
        <f t="shared" si="186"/>
        <v/>
      </c>
      <c r="Z209" s="68" t="str">
        <f t="shared" si="187"/>
        <v/>
      </c>
      <c r="AA209" s="68" t="str">
        <f t="shared" si="188"/>
        <v/>
      </c>
      <c r="AB209" s="227" t="str">
        <f t="shared" si="189"/>
        <v/>
      </c>
      <c r="AC209" s="68" t="str">
        <f t="shared" si="190"/>
        <v/>
      </c>
      <c r="AD209" s="68" t="str">
        <f t="shared" si="191"/>
        <v/>
      </c>
      <c r="AE209" s="68" t="str">
        <f t="shared" si="192"/>
        <v/>
      </c>
      <c r="AF209" s="68" t="str">
        <f t="shared" si="193"/>
        <v/>
      </c>
      <c r="AG209" s="68" t="str">
        <f t="shared" si="194"/>
        <v/>
      </c>
    </row>
    <row r="210" spans="1:33" s="67" customFormat="1">
      <c r="A210" s="18" t="str">
        <f t="shared" si="175"/>
        <v/>
      </c>
      <c r="B210" s="219"/>
      <c r="C210" s="58"/>
      <c r="D210" s="44">
        <f t="shared" si="176"/>
        <v>31</v>
      </c>
      <c r="E210" s="59" t="str">
        <f t="shared" si="177"/>
        <v/>
      </c>
      <c r="F210" s="90" t="str">
        <f t="shared" si="178"/>
        <v/>
      </c>
      <c r="G210" s="190"/>
      <c r="H210" s="203"/>
      <c r="I210" s="191"/>
      <c r="J210" s="42"/>
      <c r="K210" s="39">
        <f>IF(I210="",0,VLOOKUP(I210,'LISTA DE PRECIOS'!A:F,IF(R210="CORO",4,5),FALSE))</f>
        <v>0</v>
      </c>
      <c r="L210" s="206">
        <f t="shared" si="183"/>
        <v>0</v>
      </c>
      <c r="M210" s="217">
        <f>IF(F210="",0,IF(SUMIF('REPORTE GASTOS'!$C$6:$C$210,F210,'REPORTE GASTOS'!$G$6:$G$210)=0,'LISTA DE PRECIOS'!$H$3,SUMIF('REPORTE GASTOS'!$C$6:$C$210,F210,'REPORTE GASTOS'!$I$6:$I$210)/SUMIF('REPORTE GASTOS'!$C$6:$C$210,F210,'REPORTE GASTOS'!$G$6:$G$210)))</f>
        <v>0</v>
      </c>
      <c r="N210" s="12">
        <f t="shared" si="179"/>
        <v>0</v>
      </c>
      <c r="O210" s="43">
        <f t="shared" si="180"/>
        <v>0</v>
      </c>
      <c r="P210" s="70"/>
      <c r="R210" s="68" t="str">
        <f>IF(H210="","",VLOOKUP(H210,'DATOS CLIENTES'!B:F,5,FALSE))</f>
        <v/>
      </c>
      <c r="S210" s="68" t="str">
        <f t="shared" si="185"/>
        <v>031</v>
      </c>
      <c r="U210" s="69">
        <f t="shared" si="181"/>
        <v>0</v>
      </c>
      <c r="V210" s="69">
        <f t="shared" si="182"/>
        <v>0</v>
      </c>
      <c r="X210" s="68">
        <f t="shared" si="184"/>
        <v>74</v>
      </c>
      <c r="Y210" s="68" t="str">
        <f t="shared" si="186"/>
        <v/>
      </c>
      <c r="Z210" s="68" t="str">
        <f t="shared" si="187"/>
        <v/>
      </c>
      <c r="AA210" s="68" t="str">
        <f t="shared" si="188"/>
        <v/>
      </c>
      <c r="AB210" s="227" t="str">
        <f t="shared" si="189"/>
        <v/>
      </c>
      <c r="AC210" s="68" t="str">
        <f t="shared" si="190"/>
        <v/>
      </c>
      <c r="AD210" s="68" t="str">
        <f t="shared" si="191"/>
        <v/>
      </c>
      <c r="AE210" s="68" t="str">
        <f t="shared" si="192"/>
        <v/>
      </c>
      <c r="AF210" s="68" t="str">
        <f t="shared" si="193"/>
        <v/>
      </c>
      <c r="AG210" s="68" t="str">
        <f t="shared" si="194"/>
        <v/>
      </c>
    </row>
    <row r="211" spans="1:33" s="67" customFormat="1">
      <c r="A211" s="18" t="str">
        <f t="shared" si="175"/>
        <v/>
      </c>
      <c r="B211" s="219"/>
      <c r="C211" s="58"/>
      <c r="D211" s="44">
        <f t="shared" si="176"/>
        <v>31</v>
      </c>
      <c r="E211" s="59" t="str">
        <f t="shared" si="177"/>
        <v/>
      </c>
      <c r="F211" s="90" t="str">
        <f t="shared" si="178"/>
        <v/>
      </c>
      <c r="G211" s="190"/>
      <c r="H211" s="203"/>
      <c r="I211" s="191"/>
      <c r="J211" s="42"/>
      <c r="K211" s="39">
        <f>IF(I211="",0,VLOOKUP(I211,'LISTA DE PRECIOS'!A:F,IF(R211="CORO",4,5),FALSE))</f>
        <v>0</v>
      </c>
      <c r="L211" s="206">
        <f t="shared" si="183"/>
        <v>0</v>
      </c>
      <c r="M211" s="217">
        <f>IF(F211="",0,IF(SUMIF('REPORTE GASTOS'!$C$6:$C$210,F211,'REPORTE GASTOS'!$G$6:$G$210)=0,'LISTA DE PRECIOS'!$H$3,SUMIF('REPORTE GASTOS'!$C$6:$C$210,F211,'REPORTE GASTOS'!$I$6:$I$210)/SUMIF('REPORTE GASTOS'!$C$6:$C$210,F211,'REPORTE GASTOS'!$G$6:$G$210)))</f>
        <v>0</v>
      </c>
      <c r="N211" s="12">
        <f t="shared" si="179"/>
        <v>0</v>
      </c>
      <c r="O211" s="43">
        <f t="shared" si="180"/>
        <v>0</v>
      </c>
      <c r="P211" s="70"/>
      <c r="R211" s="68" t="str">
        <f>IF(H211="","",VLOOKUP(H211,'DATOS CLIENTES'!B:F,5,FALSE))</f>
        <v/>
      </c>
      <c r="S211" s="68" t="str">
        <f t="shared" si="185"/>
        <v>031</v>
      </c>
      <c r="U211" s="69">
        <f t="shared" si="181"/>
        <v>0</v>
      </c>
      <c r="V211" s="69">
        <f t="shared" si="182"/>
        <v>0</v>
      </c>
      <c r="X211" s="68">
        <f t="shared" si="184"/>
        <v>74</v>
      </c>
      <c r="Y211" s="68" t="str">
        <f t="shared" si="186"/>
        <v/>
      </c>
      <c r="Z211" s="68" t="str">
        <f t="shared" si="187"/>
        <v/>
      </c>
      <c r="AA211" s="68" t="str">
        <f t="shared" si="188"/>
        <v/>
      </c>
      <c r="AB211" s="227" t="str">
        <f t="shared" si="189"/>
        <v/>
      </c>
      <c r="AC211" s="68" t="str">
        <f t="shared" si="190"/>
        <v/>
      </c>
      <c r="AD211" s="68" t="str">
        <f t="shared" si="191"/>
        <v/>
      </c>
      <c r="AE211" s="68" t="str">
        <f t="shared" si="192"/>
        <v/>
      </c>
      <c r="AF211" s="68" t="str">
        <f t="shared" si="193"/>
        <v/>
      </c>
      <c r="AG211" s="68" t="str">
        <f t="shared" si="194"/>
        <v/>
      </c>
    </row>
    <row r="212" spans="1:33" s="67" customFormat="1">
      <c r="A212" s="18" t="str">
        <f t="shared" si="175"/>
        <v/>
      </c>
      <c r="B212" s="219"/>
      <c r="C212" s="58"/>
      <c r="D212" s="44">
        <f t="shared" si="176"/>
        <v>31</v>
      </c>
      <c r="E212" s="59" t="str">
        <f t="shared" si="177"/>
        <v/>
      </c>
      <c r="F212" s="90" t="str">
        <f t="shared" si="178"/>
        <v/>
      </c>
      <c r="G212" s="190"/>
      <c r="H212" s="203"/>
      <c r="I212" s="191"/>
      <c r="J212" s="42"/>
      <c r="K212" s="39">
        <f>IF(I212="",0,VLOOKUP(I212,'LISTA DE PRECIOS'!A:F,IF(R212="CORO",4,5),FALSE))</f>
        <v>0</v>
      </c>
      <c r="L212" s="206">
        <f t="shared" si="183"/>
        <v>0</v>
      </c>
      <c r="M212" s="217">
        <f>IF(F212="",0,IF(SUMIF('REPORTE GASTOS'!$C$6:$C$210,F212,'REPORTE GASTOS'!$G$6:$G$210)=0,'LISTA DE PRECIOS'!$H$3,SUMIF('REPORTE GASTOS'!$C$6:$C$210,F212,'REPORTE GASTOS'!$I$6:$I$210)/SUMIF('REPORTE GASTOS'!$C$6:$C$210,F212,'REPORTE GASTOS'!$G$6:$G$210)))</f>
        <v>0</v>
      </c>
      <c r="N212" s="12">
        <f t="shared" si="179"/>
        <v>0</v>
      </c>
      <c r="O212" s="43">
        <f t="shared" si="180"/>
        <v>0</v>
      </c>
      <c r="P212" s="70"/>
      <c r="R212" s="68" t="str">
        <f>IF(H212="","",VLOOKUP(H212,'DATOS CLIENTES'!B:F,5,FALSE))</f>
        <v/>
      </c>
      <c r="S212" s="68" t="str">
        <f t="shared" si="185"/>
        <v>031</v>
      </c>
      <c r="U212" s="69">
        <f t="shared" si="181"/>
        <v>0</v>
      </c>
      <c r="V212" s="69">
        <f t="shared" si="182"/>
        <v>0</v>
      </c>
      <c r="X212" s="68">
        <f t="shared" si="184"/>
        <v>74</v>
      </c>
      <c r="Y212" s="68" t="str">
        <f t="shared" si="186"/>
        <v/>
      </c>
      <c r="Z212" s="68" t="str">
        <f t="shared" si="187"/>
        <v/>
      </c>
      <c r="AA212" s="68" t="str">
        <f t="shared" si="188"/>
        <v/>
      </c>
      <c r="AB212" s="227" t="str">
        <f t="shared" si="189"/>
        <v/>
      </c>
      <c r="AC212" s="68" t="str">
        <f t="shared" si="190"/>
        <v/>
      </c>
      <c r="AD212" s="68" t="str">
        <f t="shared" si="191"/>
        <v/>
      </c>
      <c r="AE212" s="68" t="str">
        <f t="shared" si="192"/>
        <v/>
      </c>
      <c r="AF212" s="68" t="str">
        <f t="shared" si="193"/>
        <v/>
      </c>
      <c r="AG212" s="68" t="str">
        <f t="shared" si="194"/>
        <v/>
      </c>
    </row>
    <row r="213" spans="1:33" s="67" customFormat="1">
      <c r="A213" s="18" t="str">
        <f t="shared" si="175"/>
        <v/>
      </c>
      <c r="B213" s="219"/>
      <c r="C213" s="58"/>
      <c r="D213" s="44">
        <f t="shared" si="176"/>
        <v>31</v>
      </c>
      <c r="E213" s="59" t="str">
        <f t="shared" si="177"/>
        <v/>
      </c>
      <c r="F213" s="90" t="str">
        <f t="shared" si="178"/>
        <v/>
      </c>
      <c r="G213" s="190"/>
      <c r="H213" s="203"/>
      <c r="I213" s="191"/>
      <c r="J213" s="42"/>
      <c r="K213" s="39">
        <f>IF(I213="",0,VLOOKUP(I213,'LISTA DE PRECIOS'!A:F,IF(R213="CORO",4,5),FALSE))</f>
        <v>0</v>
      </c>
      <c r="L213" s="206">
        <f t="shared" si="183"/>
        <v>0</v>
      </c>
      <c r="M213" s="217">
        <f>IF(F213="",0,IF(SUMIF('REPORTE GASTOS'!$C$6:$C$210,F213,'REPORTE GASTOS'!$G$6:$G$210)=0,'LISTA DE PRECIOS'!$H$3,SUMIF('REPORTE GASTOS'!$C$6:$C$210,F213,'REPORTE GASTOS'!$I$6:$I$210)/SUMIF('REPORTE GASTOS'!$C$6:$C$210,F213,'REPORTE GASTOS'!$G$6:$G$210)))</f>
        <v>0</v>
      </c>
      <c r="N213" s="12">
        <f t="shared" si="179"/>
        <v>0</v>
      </c>
      <c r="O213" s="43">
        <f t="shared" si="180"/>
        <v>0</v>
      </c>
      <c r="P213" s="70"/>
      <c r="R213" s="68" t="str">
        <f>IF(H213="","",VLOOKUP(H213,'DATOS CLIENTES'!B:F,5,FALSE))</f>
        <v/>
      </c>
      <c r="S213" s="68" t="str">
        <f t="shared" si="185"/>
        <v>031</v>
      </c>
      <c r="U213" s="69">
        <f t="shared" si="181"/>
        <v>0</v>
      </c>
      <c r="V213" s="69">
        <f t="shared" si="182"/>
        <v>0</v>
      </c>
      <c r="X213" s="68">
        <f t="shared" si="184"/>
        <v>74</v>
      </c>
      <c r="Y213" s="68" t="str">
        <f t="shared" si="186"/>
        <v/>
      </c>
      <c r="Z213" s="68" t="str">
        <f t="shared" si="187"/>
        <v/>
      </c>
      <c r="AA213" s="68" t="str">
        <f t="shared" si="188"/>
        <v/>
      </c>
      <c r="AB213" s="227" t="str">
        <f t="shared" si="189"/>
        <v/>
      </c>
      <c r="AC213" s="68" t="str">
        <f t="shared" si="190"/>
        <v/>
      </c>
      <c r="AD213" s="68" t="str">
        <f t="shared" si="191"/>
        <v/>
      </c>
      <c r="AE213" s="68" t="str">
        <f t="shared" si="192"/>
        <v/>
      </c>
      <c r="AF213" s="68" t="str">
        <f t="shared" si="193"/>
        <v/>
      </c>
      <c r="AG213" s="68" t="str">
        <f t="shared" si="194"/>
        <v/>
      </c>
    </row>
    <row r="214" spans="1:33" s="67" customFormat="1">
      <c r="A214" s="18" t="str">
        <f t="shared" si="175"/>
        <v/>
      </c>
      <c r="B214" s="219"/>
      <c r="C214" s="58"/>
      <c r="D214" s="44">
        <f t="shared" si="176"/>
        <v>31</v>
      </c>
      <c r="E214" s="59" t="str">
        <f t="shared" si="177"/>
        <v/>
      </c>
      <c r="F214" s="90" t="str">
        <f t="shared" si="178"/>
        <v/>
      </c>
      <c r="G214" s="190"/>
      <c r="H214" s="203"/>
      <c r="I214" s="191"/>
      <c r="J214" s="42"/>
      <c r="K214" s="39">
        <f>IF(I214="",0,VLOOKUP(I214,'LISTA DE PRECIOS'!A:F,IF(R214="CORO",4,5),FALSE))</f>
        <v>0</v>
      </c>
      <c r="L214" s="206">
        <f t="shared" si="183"/>
        <v>0</v>
      </c>
      <c r="M214" s="217">
        <f>IF(F214="",0,IF(SUMIF('REPORTE GASTOS'!$C$6:$C$210,F214,'REPORTE GASTOS'!$G$6:$G$210)=0,'LISTA DE PRECIOS'!$H$3,SUMIF('REPORTE GASTOS'!$C$6:$C$210,F214,'REPORTE GASTOS'!$I$6:$I$210)/SUMIF('REPORTE GASTOS'!$C$6:$C$210,F214,'REPORTE GASTOS'!$G$6:$G$210)))</f>
        <v>0</v>
      </c>
      <c r="N214" s="12">
        <f t="shared" si="179"/>
        <v>0</v>
      </c>
      <c r="O214" s="43">
        <f t="shared" si="180"/>
        <v>0</v>
      </c>
      <c r="P214" s="70"/>
      <c r="R214" s="68" t="str">
        <f>IF(H214="","",VLOOKUP(H214,'DATOS CLIENTES'!B:F,5,FALSE))</f>
        <v/>
      </c>
      <c r="S214" s="68" t="str">
        <f t="shared" si="185"/>
        <v>031</v>
      </c>
      <c r="U214" s="69">
        <f t="shared" si="181"/>
        <v>0</v>
      </c>
      <c r="V214" s="69">
        <f t="shared" si="182"/>
        <v>0</v>
      </c>
      <c r="X214" s="68">
        <f t="shared" si="184"/>
        <v>74</v>
      </c>
      <c r="Y214" s="68" t="str">
        <f t="shared" si="186"/>
        <v/>
      </c>
      <c r="Z214" s="68" t="str">
        <f t="shared" si="187"/>
        <v/>
      </c>
      <c r="AA214" s="68" t="str">
        <f t="shared" si="188"/>
        <v/>
      </c>
      <c r="AB214" s="227" t="str">
        <f t="shared" si="189"/>
        <v/>
      </c>
      <c r="AC214" s="68" t="str">
        <f t="shared" si="190"/>
        <v/>
      </c>
      <c r="AD214" s="68" t="str">
        <f t="shared" si="191"/>
        <v/>
      </c>
      <c r="AE214" s="68" t="str">
        <f t="shared" si="192"/>
        <v/>
      </c>
      <c r="AF214" s="68" t="str">
        <f t="shared" si="193"/>
        <v/>
      </c>
      <c r="AG214" s="68" t="str">
        <f t="shared" si="194"/>
        <v/>
      </c>
    </row>
    <row r="215" spans="1:33" s="67" customFormat="1">
      <c r="A215" s="18" t="str">
        <f t="shared" si="175"/>
        <v/>
      </c>
      <c r="B215" s="219"/>
      <c r="C215" s="58"/>
      <c r="D215" s="44">
        <f t="shared" si="176"/>
        <v>31</v>
      </c>
      <c r="E215" s="59" t="str">
        <f t="shared" si="177"/>
        <v/>
      </c>
      <c r="F215" s="90" t="str">
        <f t="shared" si="178"/>
        <v/>
      </c>
      <c r="G215" s="190"/>
      <c r="H215" s="203"/>
      <c r="I215" s="191"/>
      <c r="J215" s="42"/>
      <c r="K215" s="39">
        <f>IF(I215="",0,VLOOKUP(I215,'LISTA DE PRECIOS'!A:F,IF(R215="CORO",4,5),FALSE))</f>
        <v>0</v>
      </c>
      <c r="L215" s="206">
        <f t="shared" si="183"/>
        <v>0</v>
      </c>
      <c r="M215" s="217">
        <f>IF(F215="",0,IF(SUMIF('REPORTE GASTOS'!$C$6:$C$210,F215,'REPORTE GASTOS'!$G$6:$G$210)=0,'LISTA DE PRECIOS'!$H$3,SUMIF('REPORTE GASTOS'!$C$6:$C$210,F215,'REPORTE GASTOS'!$I$6:$I$210)/SUMIF('REPORTE GASTOS'!$C$6:$C$210,F215,'REPORTE GASTOS'!$G$6:$G$210)))</f>
        <v>0</v>
      </c>
      <c r="N215" s="12">
        <f t="shared" si="179"/>
        <v>0</v>
      </c>
      <c r="O215" s="43">
        <f t="shared" si="180"/>
        <v>0</v>
      </c>
      <c r="P215" s="70"/>
      <c r="R215" s="68" t="str">
        <f>IF(H215="","",VLOOKUP(H215,'DATOS CLIENTES'!B:F,5,FALSE))</f>
        <v/>
      </c>
      <c r="S215" s="68" t="str">
        <f t="shared" si="185"/>
        <v>031</v>
      </c>
      <c r="U215" s="69">
        <f t="shared" si="181"/>
        <v>0</v>
      </c>
      <c r="V215" s="69">
        <f t="shared" si="182"/>
        <v>0</v>
      </c>
      <c r="X215" s="68">
        <f t="shared" si="184"/>
        <v>74</v>
      </c>
      <c r="Y215" s="68" t="str">
        <f t="shared" si="186"/>
        <v/>
      </c>
      <c r="Z215" s="68" t="str">
        <f t="shared" si="187"/>
        <v/>
      </c>
      <c r="AA215" s="68" t="str">
        <f t="shared" si="188"/>
        <v/>
      </c>
      <c r="AB215" s="227" t="str">
        <f t="shared" si="189"/>
        <v/>
      </c>
      <c r="AC215" s="68" t="str">
        <f t="shared" si="190"/>
        <v/>
      </c>
      <c r="AD215" s="68" t="str">
        <f t="shared" si="191"/>
        <v/>
      </c>
      <c r="AE215" s="68" t="str">
        <f t="shared" si="192"/>
        <v/>
      </c>
      <c r="AF215" s="68" t="str">
        <f t="shared" si="193"/>
        <v/>
      </c>
      <c r="AG215" s="68" t="str">
        <f t="shared" si="194"/>
        <v/>
      </c>
    </row>
    <row r="216" spans="1:33" s="67" customFormat="1">
      <c r="A216" s="18" t="str">
        <f t="shared" si="175"/>
        <v/>
      </c>
      <c r="B216" s="219"/>
      <c r="C216" s="58"/>
      <c r="D216" s="44">
        <f t="shared" si="176"/>
        <v>31</v>
      </c>
      <c r="E216" s="59" t="str">
        <f t="shared" si="177"/>
        <v/>
      </c>
      <c r="F216" s="90" t="str">
        <f t="shared" si="178"/>
        <v/>
      </c>
      <c r="G216" s="190"/>
      <c r="H216" s="203"/>
      <c r="I216" s="191"/>
      <c r="J216" s="42"/>
      <c r="K216" s="39">
        <f>IF(I216="",0,VLOOKUP(I216,'LISTA DE PRECIOS'!A:F,IF(R216="CORO",4,5),FALSE))</f>
        <v>0</v>
      </c>
      <c r="L216" s="206">
        <f t="shared" si="183"/>
        <v>0</v>
      </c>
      <c r="M216" s="217">
        <f>IF(F216="",0,IF(SUMIF('REPORTE GASTOS'!$C$6:$C$210,F216,'REPORTE GASTOS'!$G$6:$G$210)=0,'LISTA DE PRECIOS'!$H$3,SUMIF('REPORTE GASTOS'!$C$6:$C$210,F216,'REPORTE GASTOS'!$I$6:$I$210)/SUMIF('REPORTE GASTOS'!$C$6:$C$210,F216,'REPORTE GASTOS'!$G$6:$G$210)))</f>
        <v>0</v>
      </c>
      <c r="N216" s="12">
        <f t="shared" si="179"/>
        <v>0</v>
      </c>
      <c r="O216" s="43">
        <f t="shared" si="180"/>
        <v>0</v>
      </c>
      <c r="P216" s="70"/>
      <c r="R216" s="68" t="str">
        <f>IF(H216="","",VLOOKUP(H216,'DATOS CLIENTES'!B:F,5,FALSE))</f>
        <v/>
      </c>
      <c r="S216" s="68" t="str">
        <f t="shared" si="185"/>
        <v>031</v>
      </c>
      <c r="U216" s="69">
        <f t="shared" si="181"/>
        <v>0</v>
      </c>
      <c r="V216" s="69">
        <f t="shared" si="182"/>
        <v>0</v>
      </c>
      <c r="X216" s="68">
        <f t="shared" si="184"/>
        <v>74</v>
      </c>
      <c r="Y216" s="68" t="str">
        <f t="shared" si="186"/>
        <v/>
      </c>
      <c r="Z216" s="68" t="str">
        <f t="shared" si="187"/>
        <v/>
      </c>
      <c r="AA216" s="68" t="str">
        <f t="shared" si="188"/>
        <v/>
      </c>
      <c r="AB216" s="227" t="str">
        <f t="shared" si="189"/>
        <v/>
      </c>
      <c r="AC216" s="68" t="str">
        <f t="shared" si="190"/>
        <v/>
      </c>
      <c r="AD216" s="68" t="str">
        <f t="shared" si="191"/>
        <v/>
      </c>
      <c r="AE216" s="68" t="str">
        <f t="shared" si="192"/>
        <v/>
      </c>
      <c r="AF216" s="68" t="str">
        <f t="shared" si="193"/>
        <v/>
      </c>
      <c r="AG216" s="68" t="str">
        <f t="shared" si="194"/>
        <v/>
      </c>
    </row>
    <row r="217" spans="1:33" s="67" customFormat="1">
      <c r="A217" s="18" t="str">
        <f t="shared" si="175"/>
        <v/>
      </c>
      <c r="B217" s="219"/>
      <c r="C217" s="58"/>
      <c r="D217" s="44">
        <f t="shared" si="176"/>
        <v>31</v>
      </c>
      <c r="E217" s="59" t="str">
        <f t="shared" si="177"/>
        <v/>
      </c>
      <c r="F217" s="90" t="str">
        <f t="shared" si="178"/>
        <v/>
      </c>
      <c r="G217" s="190"/>
      <c r="H217" s="203"/>
      <c r="I217" s="191"/>
      <c r="J217" s="42"/>
      <c r="K217" s="39">
        <f>IF(I217="",0,VLOOKUP(I217,'LISTA DE PRECIOS'!A:F,IF(R217="CORO",4,5),FALSE))</f>
        <v>0</v>
      </c>
      <c r="L217" s="206">
        <f t="shared" si="183"/>
        <v>0</v>
      </c>
      <c r="M217" s="217">
        <f>IF(F217="",0,IF(SUMIF('REPORTE GASTOS'!$C$6:$C$210,F217,'REPORTE GASTOS'!$G$6:$G$210)=0,'LISTA DE PRECIOS'!$H$3,SUMIF('REPORTE GASTOS'!$C$6:$C$210,F217,'REPORTE GASTOS'!$I$6:$I$210)/SUMIF('REPORTE GASTOS'!$C$6:$C$210,F217,'REPORTE GASTOS'!$G$6:$G$210)))</f>
        <v>0</v>
      </c>
      <c r="N217" s="12">
        <f t="shared" si="179"/>
        <v>0</v>
      </c>
      <c r="O217" s="43">
        <f t="shared" si="180"/>
        <v>0</v>
      </c>
      <c r="P217" s="70"/>
      <c r="R217" s="68" t="str">
        <f>IF(H217="","",VLOOKUP(H217,'DATOS CLIENTES'!B:F,5,FALSE))</f>
        <v/>
      </c>
      <c r="S217" s="68" t="str">
        <f t="shared" si="185"/>
        <v>031</v>
      </c>
      <c r="U217" s="69">
        <f t="shared" si="181"/>
        <v>0</v>
      </c>
      <c r="V217" s="69">
        <f t="shared" si="182"/>
        <v>0</v>
      </c>
      <c r="X217" s="68">
        <f t="shared" si="184"/>
        <v>74</v>
      </c>
      <c r="Y217" s="68" t="str">
        <f t="shared" si="186"/>
        <v/>
      </c>
      <c r="Z217" s="68" t="str">
        <f t="shared" si="187"/>
        <v/>
      </c>
      <c r="AA217" s="68" t="str">
        <f t="shared" si="188"/>
        <v/>
      </c>
      <c r="AB217" s="227" t="str">
        <f t="shared" si="189"/>
        <v/>
      </c>
      <c r="AC217" s="68" t="str">
        <f t="shared" si="190"/>
        <v/>
      </c>
      <c r="AD217" s="68" t="str">
        <f t="shared" si="191"/>
        <v/>
      </c>
      <c r="AE217" s="68" t="str">
        <f t="shared" si="192"/>
        <v/>
      </c>
      <c r="AF217" s="68" t="str">
        <f t="shared" si="193"/>
        <v/>
      </c>
      <c r="AG217" s="68" t="str">
        <f t="shared" si="194"/>
        <v/>
      </c>
    </row>
    <row r="218" spans="1:33" s="67" customFormat="1">
      <c r="A218" s="18" t="str">
        <f t="shared" si="175"/>
        <v/>
      </c>
      <c r="B218" s="219"/>
      <c r="C218" s="58"/>
      <c r="D218" s="44">
        <f t="shared" si="176"/>
        <v>31</v>
      </c>
      <c r="E218" s="59" t="str">
        <f t="shared" si="177"/>
        <v/>
      </c>
      <c r="F218" s="90" t="str">
        <f t="shared" si="178"/>
        <v/>
      </c>
      <c r="G218" s="190"/>
      <c r="H218" s="203"/>
      <c r="I218" s="191"/>
      <c r="J218" s="42"/>
      <c r="K218" s="39">
        <f>IF(I218="",0,VLOOKUP(I218,'LISTA DE PRECIOS'!A:F,IF(R218="CORO",4,5),FALSE))</f>
        <v>0</v>
      </c>
      <c r="L218" s="206">
        <f t="shared" si="183"/>
        <v>0</v>
      </c>
      <c r="M218" s="217">
        <f>IF(F218="",0,IF(SUMIF('REPORTE GASTOS'!$C$6:$C$210,F218,'REPORTE GASTOS'!$G$6:$G$210)=0,'LISTA DE PRECIOS'!$H$3,SUMIF('REPORTE GASTOS'!$C$6:$C$210,F218,'REPORTE GASTOS'!$I$6:$I$210)/SUMIF('REPORTE GASTOS'!$C$6:$C$210,F218,'REPORTE GASTOS'!$G$6:$G$210)))</f>
        <v>0</v>
      </c>
      <c r="N218" s="12">
        <f t="shared" si="179"/>
        <v>0</v>
      </c>
      <c r="O218" s="43">
        <f t="shared" si="180"/>
        <v>0</v>
      </c>
      <c r="P218" s="70"/>
      <c r="R218" s="68" t="str">
        <f>IF(H218="","",VLOOKUP(H218,'DATOS CLIENTES'!B:F,5,FALSE))</f>
        <v/>
      </c>
      <c r="S218" s="68" t="str">
        <f t="shared" si="185"/>
        <v>031</v>
      </c>
      <c r="U218" s="69">
        <f t="shared" si="181"/>
        <v>0</v>
      </c>
      <c r="V218" s="69">
        <f t="shared" si="182"/>
        <v>0</v>
      </c>
      <c r="X218" s="68">
        <f t="shared" si="184"/>
        <v>74</v>
      </c>
      <c r="Y218" s="68" t="str">
        <f t="shared" si="186"/>
        <v/>
      </c>
      <c r="Z218" s="68" t="str">
        <f t="shared" si="187"/>
        <v/>
      </c>
      <c r="AA218" s="68" t="str">
        <f t="shared" si="188"/>
        <v/>
      </c>
      <c r="AB218" s="227" t="str">
        <f t="shared" si="189"/>
        <v/>
      </c>
      <c r="AC218" s="68" t="str">
        <f t="shared" si="190"/>
        <v/>
      </c>
      <c r="AD218" s="68" t="str">
        <f t="shared" si="191"/>
        <v/>
      </c>
      <c r="AE218" s="68" t="str">
        <f t="shared" si="192"/>
        <v/>
      </c>
      <c r="AF218" s="68" t="str">
        <f t="shared" si="193"/>
        <v/>
      </c>
      <c r="AG218" s="68" t="str">
        <f t="shared" si="194"/>
        <v/>
      </c>
    </row>
    <row r="219" spans="1:33" s="67" customFormat="1">
      <c r="A219" s="18" t="str">
        <f t="shared" si="175"/>
        <v/>
      </c>
      <c r="B219" s="219"/>
      <c r="C219" s="58"/>
      <c r="D219" s="44">
        <f t="shared" si="176"/>
        <v>31</v>
      </c>
      <c r="E219" s="59" t="str">
        <f t="shared" si="177"/>
        <v/>
      </c>
      <c r="F219" s="90" t="str">
        <f t="shared" si="178"/>
        <v/>
      </c>
      <c r="G219" s="190"/>
      <c r="H219" s="203"/>
      <c r="I219" s="191"/>
      <c r="J219" s="42"/>
      <c r="K219" s="39">
        <f>IF(I219="",0,VLOOKUP(I219,'LISTA DE PRECIOS'!A:F,IF(R219="CORO",4,5),FALSE))</f>
        <v>0</v>
      </c>
      <c r="L219" s="206">
        <f t="shared" si="183"/>
        <v>0</v>
      </c>
      <c r="M219" s="217">
        <f>IF(F219="",0,IF(SUMIF('REPORTE GASTOS'!$C$6:$C$210,F219,'REPORTE GASTOS'!$G$6:$G$210)=0,'LISTA DE PRECIOS'!$H$3,SUMIF('REPORTE GASTOS'!$C$6:$C$210,F219,'REPORTE GASTOS'!$I$6:$I$210)/SUMIF('REPORTE GASTOS'!$C$6:$C$210,F219,'REPORTE GASTOS'!$G$6:$G$210)))</f>
        <v>0</v>
      </c>
      <c r="N219" s="12">
        <f t="shared" si="179"/>
        <v>0</v>
      </c>
      <c r="O219" s="43">
        <f t="shared" si="180"/>
        <v>0</v>
      </c>
      <c r="P219" s="70"/>
      <c r="R219" s="68" t="str">
        <f>IF(H219="","",VLOOKUP(H219,'DATOS CLIENTES'!B:F,5,FALSE))</f>
        <v/>
      </c>
      <c r="S219" s="68" t="str">
        <f t="shared" si="185"/>
        <v>031</v>
      </c>
      <c r="U219" s="69">
        <f t="shared" si="181"/>
        <v>0</v>
      </c>
      <c r="V219" s="69">
        <f t="shared" si="182"/>
        <v>0</v>
      </c>
      <c r="X219" s="68">
        <f t="shared" si="184"/>
        <v>74</v>
      </c>
      <c r="Y219" s="68" t="str">
        <f t="shared" si="186"/>
        <v/>
      </c>
      <c r="Z219" s="68" t="str">
        <f t="shared" si="187"/>
        <v/>
      </c>
      <c r="AA219" s="68" t="str">
        <f t="shared" si="188"/>
        <v/>
      </c>
      <c r="AB219" s="227" t="str">
        <f t="shared" si="189"/>
        <v/>
      </c>
      <c r="AC219" s="68" t="str">
        <f t="shared" si="190"/>
        <v/>
      </c>
      <c r="AD219" s="68" t="str">
        <f t="shared" si="191"/>
        <v/>
      </c>
      <c r="AE219" s="68" t="str">
        <f t="shared" si="192"/>
        <v/>
      </c>
      <c r="AF219" s="68" t="str">
        <f t="shared" si="193"/>
        <v/>
      </c>
      <c r="AG219" s="68" t="str">
        <f t="shared" si="194"/>
        <v/>
      </c>
    </row>
    <row r="220" spans="1:33" s="67" customFormat="1">
      <c r="A220" s="18" t="str">
        <f t="shared" si="175"/>
        <v/>
      </c>
      <c r="B220" s="219"/>
      <c r="C220" s="58"/>
      <c r="D220" s="44">
        <f t="shared" si="176"/>
        <v>31</v>
      </c>
      <c r="E220" s="59" t="str">
        <f t="shared" si="177"/>
        <v/>
      </c>
      <c r="F220" s="90" t="str">
        <f t="shared" si="178"/>
        <v/>
      </c>
      <c r="G220" s="190"/>
      <c r="H220" s="203"/>
      <c r="I220" s="191"/>
      <c r="J220" s="42"/>
      <c r="K220" s="39">
        <f>IF(I220="",0,VLOOKUP(I220,'LISTA DE PRECIOS'!A:F,IF(R220="CORO",4,5),FALSE))</f>
        <v>0</v>
      </c>
      <c r="L220" s="206">
        <f t="shared" si="183"/>
        <v>0</v>
      </c>
      <c r="M220" s="217">
        <f>IF(F220="",0,IF(SUMIF('REPORTE GASTOS'!$C$6:$C$210,F220,'REPORTE GASTOS'!$G$6:$G$210)=0,'LISTA DE PRECIOS'!$H$3,SUMIF('REPORTE GASTOS'!$C$6:$C$210,F220,'REPORTE GASTOS'!$I$6:$I$210)/SUMIF('REPORTE GASTOS'!$C$6:$C$210,F220,'REPORTE GASTOS'!$G$6:$G$210)))</f>
        <v>0</v>
      </c>
      <c r="N220" s="12">
        <f t="shared" si="179"/>
        <v>0</v>
      </c>
      <c r="O220" s="43">
        <f t="shared" si="180"/>
        <v>0</v>
      </c>
      <c r="P220" s="70"/>
      <c r="R220" s="68" t="str">
        <f>IF(H220="","",VLOOKUP(H220,'DATOS CLIENTES'!B:F,5,FALSE))</f>
        <v/>
      </c>
      <c r="S220" s="68" t="str">
        <f t="shared" si="185"/>
        <v>031</v>
      </c>
      <c r="U220" s="69">
        <f t="shared" si="181"/>
        <v>0</v>
      </c>
      <c r="V220" s="69">
        <f t="shared" si="182"/>
        <v>0</v>
      </c>
      <c r="X220" s="68">
        <f t="shared" si="184"/>
        <v>74</v>
      </c>
      <c r="Y220" s="68" t="str">
        <f t="shared" si="186"/>
        <v/>
      </c>
      <c r="Z220" s="68" t="str">
        <f t="shared" si="187"/>
        <v/>
      </c>
      <c r="AA220" s="68" t="str">
        <f t="shared" si="188"/>
        <v/>
      </c>
      <c r="AB220" s="227" t="str">
        <f t="shared" si="189"/>
        <v/>
      </c>
      <c r="AC220" s="68" t="str">
        <f t="shared" si="190"/>
        <v/>
      </c>
      <c r="AD220" s="68" t="str">
        <f t="shared" si="191"/>
        <v/>
      </c>
      <c r="AE220" s="68" t="str">
        <f t="shared" si="192"/>
        <v/>
      </c>
      <c r="AF220" s="68" t="str">
        <f t="shared" si="193"/>
        <v/>
      </c>
      <c r="AG220" s="68" t="str">
        <f t="shared" si="194"/>
        <v/>
      </c>
    </row>
    <row r="221" spans="1:33" s="67" customFormat="1">
      <c r="A221" s="18" t="str">
        <f t="shared" si="175"/>
        <v/>
      </c>
      <c r="B221" s="219"/>
      <c r="C221" s="58"/>
      <c r="D221" s="44">
        <f t="shared" si="176"/>
        <v>31</v>
      </c>
      <c r="E221" s="59" t="str">
        <f t="shared" si="177"/>
        <v/>
      </c>
      <c r="F221" s="90" t="str">
        <f t="shared" si="178"/>
        <v/>
      </c>
      <c r="G221" s="190"/>
      <c r="H221" s="203"/>
      <c r="I221" s="191"/>
      <c r="J221" s="42"/>
      <c r="K221" s="39">
        <f>IF(I221="",0,VLOOKUP(I221,'LISTA DE PRECIOS'!A:F,IF(R221="CORO",4,5),FALSE))</f>
        <v>0</v>
      </c>
      <c r="L221" s="206">
        <f t="shared" si="183"/>
        <v>0</v>
      </c>
      <c r="M221" s="217">
        <f>IF(F221="",0,IF(SUMIF('REPORTE GASTOS'!$C$6:$C$210,F221,'REPORTE GASTOS'!$G$6:$G$210)=0,'LISTA DE PRECIOS'!$H$3,SUMIF('REPORTE GASTOS'!$C$6:$C$210,F221,'REPORTE GASTOS'!$I$6:$I$210)/SUMIF('REPORTE GASTOS'!$C$6:$C$210,F221,'REPORTE GASTOS'!$G$6:$G$210)))</f>
        <v>0</v>
      </c>
      <c r="N221" s="12">
        <f t="shared" si="179"/>
        <v>0</v>
      </c>
      <c r="O221" s="43">
        <f t="shared" si="180"/>
        <v>0</v>
      </c>
      <c r="P221" s="70"/>
      <c r="R221" s="68" t="str">
        <f>IF(H221="","",VLOOKUP(H221,'DATOS CLIENTES'!B:F,5,FALSE))</f>
        <v/>
      </c>
      <c r="S221" s="68" t="str">
        <f t="shared" si="185"/>
        <v>031</v>
      </c>
      <c r="U221" s="69">
        <f t="shared" si="181"/>
        <v>0</v>
      </c>
      <c r="V221" s="69">
        <f t="shared" si="182"/>
        <v>0</v>
      </c>
      <c r="X221" s="68">
        <f t="shared" si="184"/>
        <v>74</v>
      </c>
      <c r="Y221" s="68" t="str">
        <f t="shared" si="186"/>
        <v/>
      </c>
      <c r="Z221" s="68" t="str">
        <f t="shared" si="187"/>
        <v/>
      </c>
      <c r="AA221" s="68" t="str">
        <f t="shared" si="188"/>
        <v/>
      </c>
      <c r="AB221" s="227" t="str">
        <f t="shared" si="189"/>
        <v/>
      </c>
      <c r="AC221" s="68" t="str">
        <f t="shared" si="190"/>
        <v/>
      </c>
      <c r="AD221" s="68" t="str">
        <f t="shared" si="191"/>
        <v/>
      </c>
      <c r="AE221" s="68" t="str">
        <f t="shared" si="192"/>
        <v/>
      </c>
      <c r="AF221" s="68" t="str">
        <f t="shared" si="193"/>
        <v/>
      </c>
      <c r="AG221" s="68" t="str">
        <f t="shared" si="194"/>
        <v/>
      </c>
    </row>
    <row r="222" spans="1:33" s="67" customFormat="1">
      <c r="A222" s="18" t="str">
        <f t="shared" si="175"/>
        <v/>
      </c>
      <c r="B222" s="219"/>
      <c r="C222" s="58"/>
      <c r="D222" s="44">
        <f t="shared" si="176"/>
        <v>31</v>
      </c>
      <c r="E222" s="59" t="str">
        <f t="shared" si="177"/>
        <v/>
      </c>
      <c r="F222" s="90" t="str">
        <f t="shared" si="178"/>
        <v/>
      </c>
      <c r="G222" s="190"/>
      <c r="H222" s="203"/>
      <c r="I222" s="191"/>
      <c r="J222" s="42"/>
      <c r="K222" s="39">
        <f>IF(I222="",0,VLOOKUP(I222,'LISTA DE PRECIOS'!A:F,IF(R222="CORO",4,5),FALSE))</f>
        <v>0</v>
      </c>
      <c r="L222" s="206">
        <f t="shared" si="183"/>
        <v>0</v>
      </c>
      <c r="M222" s="217">
        <f>IF(F222="",0,IF(SUMIF('REPORTE GASTOS'!$C$6:$C$210,F222,'REPORTE GASTOS'!$G$6:$G$210)=0,'LISTA DE PRECIOS'!$H$3,SUMIF('REPORTE GASTOS'!$C$6:$C$210,F222,'REPORTE GASTOS'!$I$6:$I$210)/SUMIF('REPORTE GASTOS'!$C$6:$C$210,F222,'REPORTE GASTOS'!$G$6:$G$210)))</f>
        <v>0</v>
      </c>
      <c r="N222" s="12">
        <f t="shared" si="179"/>
        <v>0</v>
      </c>
      <c r="O222" s="43">
        <f t="shared" si="180"/>
        <v>0</v>
      </c>
      <c r="P222" s="70"/>
      <c r="R222" s="68" t="str">
        <f>IF(H222="","",VLOOKUP(H222,'DATOS CLIENTES'!B:F,5,FALSE))</f>
        <v/>
      </c>
      <c r="S222" s="68" t="str">
        <f t="shared" si="185"/>
        <v>031</v>
      </c>
      <c r="U222" s="69">
        <f t="shared" si="181"/>
        <v>0</v>
      </c>
      <c r="V222" s="69">
        <f t="shared" si="182"/>
        <v>0</v>
      </c>
      <c r="X222" s="68">
        <f t="shared" si="184"/>
        <v>74</v>
      </c>
      <c r="Y222" s="68" t="str">
        <f t="shared" si="186"/>
        <v/>
      </c>
      <c r="Z222" s="68" t="str">
        <f t="shared" si="187"/>
        <v/>
      </c>
      <c r="AA222" s="68" t="str">
        <f t="shared" si="188"/>
        <v/>
      </c>
      <c r="AB222" s="227" t="str">
        <f t="shared" si="189"/>
        <v/>
      </c>
      <c r="AC222" s="68" t="str">
        <f t="shared" si="190"/>
        <v/>
      </c>
      <c r="AD222" s="68" t="str">
        <f t="shared" si="191"/>
        <v/>
      </c>
      <c r="AE222" s="68" t="str">
        <f t="shared" si="192"/>
        <v/>
      </c>
      <c r="AF222" s="68" t="str">
        <f t="shared" si="193"/>
        <v/>
      </c>
      <c r="AG222" s="68" t="str">
        <f t="shared" si="194"/>
        <v/>
      </c>
    </row>
    <row r="223" spans="1:33" s="67" customFormat="1">
      <c r="A223" s="18" t="str">
        <f t="shared" si="175"/>
        <v/>
      </c>
      <c r="B223" s="219"/>
      <c r="C223" s="58"/>
      <c r="D223" s="44">
        <f t="shared" si="176"/>
        <v>31</v>
      </c>
      <c r="E223" s="59" t="str">
        <f t="shared" si="177"/>
        <v/>
      </c>
      <c r="F223" s="90" t="str">
        <f t="shared" si="178"/>
        <v/>
      </c>
      <c r="G223" s="190"/>
      <c r="H223" s="203"/>
      <c r="I223" s="191"/>
      <c r="J223" s="42"/>
      <c r="K223" s="39">
        <f>IF(I223="",0,VLOOKUP(I223,'LISTA DE PRECIOS'!A:F,IF(R223="CORO",4,5),FALSE))</f>
        <v>0</v>
      </c>
      <c r="L223" s="206">
        <f t="shared" si="183"/>
        <v>0</v>
      </c>
      <c r="M223" s="217">
        <f>IF(F223="",0,IF(SUMIF('REPORTE GASTOS'!$C$6:$C$210,F223,'REPORTE GASTOS'!$G$6:$G$210)=0,'LISTA DE PRECIOS'!$H$3,SUMIF('REPORTE GASTOS'!$C$6:$C$210,F223,'REPORTE GASTOS'!$I$6:$I$210)/SUMIF('REPORTE GASTOS'!$C$6:$C$210,F223,'REPORTE GASTOS'!$G$6:$G$210)))</f>
        <v>0</v>
      </c>
      <c r="N223" s="12">
        <f t="shared" si="179"/>
        <v>0</v>
      </c>
      <c r="O223" s="43">
        <f t="shared" si="180"/>
        <v>0</v>
      </c>
      <c r="P223" s="70"/>
      <c r="R223" s="68" t="str">
        <f>IF(H223="","",VLOOKUP(H223,'DATOS CLIENTES'!B:F,5,FALSE))</f>
        <v/>
      </c>
      <c r="S223" s="68" t="str">
        <f t="shared" si="185"/>
        <v>031</v>
      </c>
      <c r="U223" s="69">
        <f t="shared" si="181"/>
        <v>0</v>
      </c>
      <c r="V223" s="69">
        <f t="shared" si="182"/>
        <v>0</v>
      </c>
      <c r="X223" s="68">
        <f t="shared" si="184"/>
        <v>74</v>
      </c>
      <c r="Y223" s="68" t="str">
        <f t="shared" si="186"/>
        <v/>
      </c>
      <c r="Z223" s="68" t="str">
        <f t="shared" si="187"/>
        <v/>
      </c>
      <c r="AA223" s="68" t="str">
        <f t="shared" si="188"/>
        <v/>
      </c>
      <c r="AB223" s="227" t="str">
        <f t="shared" si="189"/>
        <v/>
      </c>
      <c r="AC223" s="68" t="str">
        <f t="shared" si="190"/>
        <v/>
      </c>
      <c r="AD223" s="68" t="str">
        <f t="shared" si="191"/>
        <v/>
      </c>
      <c r="AE223" s="68" t="str">
        <f t="shared" si="192"/>
        <v/>
      </c>
      <c r="AF223" s="68" t="str">
        <f t="shared" si="193"/>
        <v/>
      </c>
      <c r="AG223" s="68" t="str">
        <f t="shared" si="194"/>
        <v/>
      </c>
    </row>
    <row r="224" spans="1:33" s="67" customFormat="1">
      <c r="A224" s="18" t="str">
        <f t="shared" si="175"/>
        <v/>
      </c>
      <c r="B224" s="219"/>
      <c r="C224" s="58"/>
      <c r="D224" s="44">
        <f t="shared" si="176"/>
        <v>31</v>
      </c>
      <c r="E224" s="59" t="str">
        <f t="shared" si="177"/>
        <v/>
      </c>
      <c r="F224" s="90" t="str">
        <f t="shared" si="178"/>
        <v/>
      </c>
      <c r="G224" s="190"/>
      <c r="H224" s="203"/>
      <c r="I224" s="191"/>
      <c r="J224" s="42"/>
      <c r="K224" s="39">
        <f>IF(I224="",0,VLOOKUP(I224,'LISTA DE PRECIOS'!A:F,IF(R224="CORO",4,5),FALSE))</f>
        <v>0</v>
      </c>
      <c r="L224" s="206">
        <f t="shared" si="183"/>
        <v>0</v>
      </c>
      <c r="M224" s="217">
        <f>IF(F224="",0,IF(SUMIF('REPORTE GASTOS'!$C$6:$C$210,F224,'REPORTE GASTOS'!$G$6:$G$210)=0,'LISTA DE PRECIOS'!$H$3,SUMIF('REPORTE GASTOS'!$C$6:$C$210,F224,'REPORTE GASTOS'!$I$6:$I$210)/SUMIF('REPORTE GASTOS'!$C$6:$C$210,F224,'REPORTE GASTOS'!$G$6:$G$210)))</f>
        <v>0</v>
      </c>
      <c r="N224" s="12">
        <f t="shared" si="179"/>
        <v>0</v>
      </c>
      <c r="O224" s="43">
        <f t="shared" si="180"/>
        <v>0</v>
      </c>
      <c r="P224" s="70"/>
      <c r="R224" s="68" t="str">
        <f>IF(H224="","",VLOOKUP(H224,'DATOS CLIENTES'!B:F,5,FALSE))</f>
        <v/>
      </c>
      <c r="S224" s="68" t="str">
        <f t="shared" si="185"/>
        <v>031</v>
      </c>
      <c r="U224" s="69">
        <f t="shared" si="181"/>
        <v>0</v>
      </c>
      <c r="V224" s="69">
        <f t="shared" si="182"/>
        <v>0</v>
      </c>
      <c r="X224" s="68">
        <f t="shared" si="184"/>
        <v>74</v>
      </c>
      <c r="Y224" s="68" t="str">
        <f t="shared" si="186"/>
        <v/>
      </c>
      <c r="Z224" s="68" t="str">
        <f t="shared" si="187"/>
        <v/>
      </c>
      <c r="AA224" s="68" t="str">
        <f t="shared" si="188"/>
        <v/>
      </c>
      <c r="AB224" s="227" t="str">
        <f t="shared" si="189"/>
        <v/>
      </c>
      <c r="AC224" s="68" t="str">
        <f t="shared" si="190"/>
        <v/>
      </c>
      <c r="AD224" s="68" t="str">
        <f t="shared" si="191"/>
        <v/>
      </c>
      <c r="AE224" s="68" t="str">
        <f t="shared" si="192"/>
        <v/>
      </c>
      <c r="AF224" s="68" t="str">
        <f t="shared" si="193"/>
        <v/>
      </c>
      <c r="AG224" s="68" t="str">
        <f t="shared" si="194"/>
        <v/>
      </c>
    </row>
    <row r="225" spans="1:33" s="67" customFormat="1">
      <c r="A225" s="18" t="str">
        <f t="shared" si="175"/>
        <v/>
      </c>
      <c r="B225" s="219"/>
      <c r="C225" s="58"/>
      <c r="D225" s="44">
        <f t="shared" si="176"/>
        <v>31</v>
      </c>
      <c r="E225" s="59" t="str">
        <f t="shared" si="177"/>
        <v/>
      </c>
      <c r="F225" s="90" t="str">
        <f t="shared" si="178"/>
        <v/>
      </c>
      <c r="G225" s="190"/>
      <c r="H225" s="203"/>
      <c r="I225" s="191"/>
      <c r="J225" s="42"/>
      <c r="K225" s="39">
        <f>IF(I225="",0,VLOOKUP(I225,'LISTA DE PRECIOS'!A:F,IF(R225="CORO",4,5),FALSE))</f>
        <v>0</v>
      </c>
      <c r="L225" s="206">
        <f t="shared" si="183"/>
        <v>0</v>
      </c>
      <c r="M225" s="217">
        <f>IF(F225="",0,IF(SUMIF('REPORTE GASTOS'!$C$6:$C$210,F225,'REPORTE GASTOS'!$G$6:$G$210)=0,'LISTA DE PRECIOS'!$H$3,SUMIF('REPORTE GASTOS'!$C$6:$C$210,F225,'REPORTE GASTOS'!$I$6:$I$210)/SUMIF('REPORTE GASTOS'!$C$6:$C$210,F225,'REPORTE GASTOS'!$G$6:$G$210)))</f>
        <v>0</v>
      </c>
      <c r="N225" s="12">
        <f t="shared" si="179"/>
        <v>0</v>
      </c>
      <c r="O225" s="43">
        <f t="shared" si="180"/>
        <v>0</v>
      </c>
      <c r="P225" s="70"/>
      <c r="R225" s="68" t="str">
        <f>IF(H225="","",VLOOKUP(H225,'DATOS CLIENTES'!B:F,5,FALSE))</f>
        <v/>
      </c>
      <c r="S225" s="68" t="str">
        <f t="shared" si="185"/>
        <v>031</v>
      </c>
      <c r="U225" s="69">
        <f t="shared" si="181"/>
        <v>0</v>
      </c>
      <c r="V225" s="69">
        <f t="shared" si="182"/>
        <v>0</v>
      </c>
      <c r="X225" s="68">
        <f t="shared" si="184"/>
        <v>74</v>
      </c>
      <c r="Y225" s="68" t="str">
        <f t="shared" si="186"/>
        <v/>
      </c>
      <c r="Z225" s="68" t="str">
        <f t="shared" si="187"/>
        <v/>
      </c>
      <c r="AA225" s="68" t="str">
        <f t="shared" si="188"/>
        <v/>
      </c>
      <c r="AB225" s="227" t="str">
        <f t="shared" si="189"/>
        <v/>
      </c>
      <c r="AC225" s="68" t="str">
        <f t="shared" si="190"/>
        <v/>
      </c>
      <c r="AD225" s="68" t="str">
        <f t="shared" si="191"/>
        <v/>
      </c>
      <c r="AE225" s="68" t="str">
        <f t="shared" si="192"/>
        <v/>
      </c>
      <c r="AF225" s="68" t="str">
        <f t="shared" si="193"/>
        <v/>
      </c>
      <c r="AG225" s="68" t="str">
        <f t="shared" si="194"/>
        <v/>
      </c>
    </row>
    <row r="226" spans="1:33" s="67" customFormat="1">
      <c r="A226" s="18" t="str">
        <f t="shared" si="175"/>
        <v/>
      </c>
      <c r="B226" s="219"/>
      <c r="C226" s="58"/>
      <c r="D226" s="44">
        <f t="shared" si="176"/>
        <v>31</v>
      </c>
      <c r="E226" s="59" t="str">
        <f t="shared" si="177"/>
        <v/>
      </c>
      <c r="F226" s="90" t="str">
        <f t="shared" si="178"/>
        <v/>
      </c>
      <c r="G226" s="190"/>
      <c r="H226" s="203"/>
      <c r="I226" s="191"/>
      <c r="J226" s="42"/>
      <c r="K226" s="39">
        <f>IF(I226="",0,VLOOKUP(I226,'LISTA DE PRECIOS'!A:F,IF(R226="CORO",4,5),FALSE))</f>
        <v>0</v>
      </c>
      <c r="L226" s="206">
        <f t="shared" si="183"/>
        <v>0</v>
      </c>
      <c r="M226" s="217">
        <f>IF(F226="",0,IF(SUMIF('REPORTE GASTOS'!$C$6:$C$210,F226,'REPORTE GASTOS'!$G$6:$G$210)=0,'LISTA DE PRECIOS'!$H$3,SUMIF('REPORTE GASTOS'!$C$6:$C$210,F226,'REPORTE GASTOS'!$I$6:$I$210)/SUMIF('REPORTE GASTOS'!$C$6:$C$210,F226,'REPORTE GASTOS'!$G$6:$G$210)))</f>
        <v>0</v>
      </c>
      <c r="N226" s="12">
        <f t="shared" si="179"/>
        <v>0</v>
      </c>
      <c r="O226" s="43">
        <f t="shared" si="180"/>
        <v>0</v>
      </c>
      <c r="P226" s="70"/>
      <c r="R226" s="68" t="str">
        <f>IF(H226="","",VLOOKUP(H226,'DATOS CLIENTES'!B:F,5,FALSE))</f>
        <v/>
      </c>
      <c r="S226" s="68" t="str">
        <f t="shared" si="185"/>
        <v>031</v>
      </c>
      <c r="U226" s="69">
        <f t="shared" si="181"/>
        <v>0</v>
      </c>
      <c r="V226" s="69">
        <f t="shared" si="182"/>
        <v>0</v>
      </c>
      <c r="X226" s="68">
        <f t="shared" si="184"/>
        <v>74</v>
      </c>
      <c r="Y226" s="68" t="str">
        <f t="shared" si="186"/>
        <v/>
      </c>
      <c r="Z226" s="68" t="str">
        <f t="shared" si="187"/>
        <v/>
      </c>
      <c r="AA226" s="68" t="str">
        <f t="shared" si="188"/>
        <v/>
      </c>
      <c r="AB226" s="227" t="str">
        <f t="shared" si="189"/>
        <v/>
      </c>
      <c r="AC226" s="68" t="str">
        <f t="shared" si="190"/>
        <v/>
      </c>
      <c r="AD226" s="68" t="str">
        <f t="shared" si="191"/>
        <v/>
      </c>
      <c r="AE226" s="68" t="str">
        <f t="shared" si="192"/>
        <v/>
      </c>
      <c r="AF226" s="68" t="str">
        <f t="shared" si="193"/>
        <v/>
      </c>
      <c r="AG226" s="68" t="str">
        <f t="shared" si="194"/>
        <v/>
      </c>
    </row>
    <row r="227" spans="1:33" s="67" customFormat="1">
      <c r="A227" s="18" t="str">
        <f t="shared" si="175"/>
        <v/>
      </c>
      <c r="B227" s="219"/>
      <c r="C227" s="58"/>
      <c r="D227" s="44">
        <f t="shared" si="176"/>
        <v>31</v>
      </c>
      <c r="E227" s="59" t="str">
        <f t="shared" si="177"/>
        <v/>
      </c>
      <c r="F227" s="90" t="str">
        <f t="shared" si="178"/>
        <v/>
      </c>
      <c r="G227" s="190"/>
      <c r="H227" s="203"/>
      <c r="I227" s="191"/>
      <c r="J227" s="42"/>
      <c r="K227" s="39">
        <f>IF(I227="",0,VLOOKUP(I227,'LISTA DE PRECIOS'!A:F,IF(R227="CORO",4,5),FALSE))</f>
        <v>0</v>
      </c>
      <c r="L227" s="206">
        <f t="shared" si="183"/>
        <v>0</v>
      </c>
      <c r="M227" s="217">
        <f>IF(F227="",0,IF(SUMIF('REPORTE GASTOS'!$C$6:$C$210,F227,'REPORTE GASTOS'!$G$6:$G$210)=0,'LISTA DE PRECIOS'!$H$3,SUMIF('REPORTE GASTOS'!$C$6:$C$210,F227,'REPORTE GASTOS'!$I$6:$I$210)/SUMIF('REPORTE GASTOS'!$C$6:$C$210,F227,'REPORTE GASTOS'!$G$6:$G$210)))</f>
        <v>0</v>
      </c>
      <c r="N227" s="12">
        <f t="shared" si="179"/>
        <v>0</v>
      </c>
      <c r="O227" s="43">
        <f t="shared" si="180"/>
        <v>0</v>
      </c>
      <c r="P227" s="70"/>
      <c r="R227" s="68" t="str">
        <f>IF(H227="","",VLOOKUP(H227,'DATOS CLIENTES'!B:F,5,FALSE))</f>
        <v/>
      </c>
      <c r="S227" s="68" t="str">
        <f t="shared" si="185"/>
        <v>031</v>
      </c>
      <c r="U227" s="69">
        <f t="shared" si="181"/>
        <v>0</v>
      </c>
      <c r="V227" s="69">
        <f t="shared" si="182"/>
        <v>0</v>
      </c>
      <c r="X227" s="68">
        <f t="shared" si="184"/>
        <v>74</v>
      </c>
      <c r="Y227" s="68" t="str">
        <f t="shared" si="186"/>
        <v/>
      </c>
      <c r="Z227" s="68" t="str">
        <f t="shared" si="187"/>
        <v/>
      </c>
      <c r="AA227" s="68" t="str">
        <f t="shared" si="188"/>
        <v/>
      </c>
      <c r="AB227" s="227" t="str">
        <f t="shared" si="189"/>
        <v/>
      </c>
      <c r="AC227" s="68" t="str">
        <f t="shared" si="190"/>
        <v/>
      </c>
      <c r="AD227" s="68" t="str">
        <f t="shared" si="191"/>
        <v/>
      </c>
      <c r="AE227" s="68" t="str">
        <f t="shared" si="192"/>
        <v/>
      </c>
      <c r="AF227" s="68" t="str">
        <f t="shared" si="193"/>
        <v/>
      </c>
      <c r="AG227" s="68" t="str">
        <f t="shared" si="194"/>
        <v/>
      </c>
    </row>
    <row r="228" spans="1:33" s="67" customFormat="1">
      <c r="A228" s="18" t="str">
        <f t="shared" si="175"/>
        <v/>
      </c>
      <c r="B228" s="219"/>
      <c r="C228" s="58"/>
      <c r="D228" s="44">
        <f t="shared" si="176"/>
        <v>31</v>
      </c>
      <c r="E228" s="59" t="str">
        <f t="shared" si="177"/>
        <v/>
      </c>
      <c r="F228" s="90" t="str">
        <f t="shared" si="178"/>
        <v/>
      </c>
      <c r="G228" s="190"/>
      <c r="H228" s="203"/>
      <c r="I228" s="191"/>
      <c r="J228" s="42"/>
      <c r="K228" s="39">
        <f>IF(I228="",0,VLOOKUP(I228,'LISTA DE PRECIOS'!A:F,IF(R228="CORO",4,5),FALSE))</f>
        <v>0</v>
      </c>
      <c r="L228" s="206">
        <f t="shared" si="183"/>
        <v>0</v>
      </c>
      <c r="M228" s="217">
        <f>IF(F228="",0,IF(SUMIF('REPORTE GASTOS'!$C$6:$C$210,F228,'REPORTE GASTOS'!$G$6:$G$210)=0,'LISTA DE PRECIOS'!$H$3,SUMIF('REPORTE GASTOS'!$C$6:$C$210,F228,'REPORTE GASTOS'!$I$6:$I$210)/SUMIF('REPORTE GASTOS'!$C$6:$C$210,F228,'REPORTE GASTOS'!$G$6:$G$210)))</f>
        <v>0</v>
      </c>
      <c r="N228" s="12">
        <f t="shared" si="179"/>
        <v>0</v>
      </c>
      <c r="O228" s="43">
        <f t="shared" si="180"/>
        <v>0</v>
      </c>
      <c r="P228" s="70"/>
      <c r="R228" s="68" t="str">
        <f>IF(H228="","",VLOOKUP(H228,'DATOS CLIENTES'!B:F,5,FALSE))</f>
        <v/>
      </c>
      <c r="S228" s="68" t="str">
        <f t="shared" si="185"/>
        <v>031</v>
      </c>
      <c r="U228" s="69">
        <f t="shared" si="181"/>
        <v>0</v>
      </c>
      <c r="V228" s="69">
        <f t="shared" si="182"/>
        <v>0</v>
      </c>
      <c r="X228" s="68">
        <f t="shared" si="184"/>
        <v>74</v>
      </c>
      <c r="Y228" s="68" t="str">
        <f t="shared" si="186"/>
        <v/>
      </c>
      <c r="Z228" s="68" t="str">
        <f t="shared" si="187"/>
        <v/>
      </c>
      <c r="AA228" s="68" t="str">
        <f t="shared" si="188"/>
        <v/>
      </c>
      <c r="AB228" s="227" t="str">
        <f t="shared" si="189"/>
        <v/>
      </c>
      <c r="AC228" s="68" t="str">
        <f t="shared" si="190"/>
        <v/>
      </c>
      <c r="AD228" s="68" t="str">
        <f t="shared" si="191"/>
        <v/>
      </c>
      <c r="AE228" s="68" t="str">
        <f t="shared" si="192"/>
        <v/>
      </c>
      <c r="AF228" s="68" t="str">
        <f t="shared" si="193"/>
        <v/>
      </c>
      <c r="AG228" s="68" t="str">
        <f t="shared" si="194"/>
        <v/>
      </c>
    </row>
    <row r="229" spans="1:33" s="67" customFormat="1">
      <c r="A229" s="18" t="str">
        <f t="shared" si="175"/>
        <v/>
      </c>
      <c r="B229" s="219"/>
      <c r="C229" s="58"/>
      <c r="D229" s="44">
        <f t="shared" si="176"/>
        <v>31</v>
      </c>
      <c r="E229" s="59" t="str">
        <f t="shared" si="177"/>
        <v/>
      </c>
      <c r="F229" s="90" t="str">
        <f t="shared" si="178"/>
        <v/>
      </c>
      <c r="G229" s="190"/>
      <c r="H229" s="203"/>
      <c r="I229" s="191"/>
      <c r="J229" s="42"/>
      <c r="K229" s="39">
        <f>IF(I229="",0,VLOOKUP(I229,'LISTA DE PRECIOS'!A:F,IF(R229="CORO",4,5),FALSE))</f>
        <v>0</v>
      </c>
      <c r="L229" s="206">
        <f t="shared" si="183"/>
        <v>0</v>
      </c>
      <c r="M229" s="217">
        <f>IF(F229="",0,IF(SUMIF('REPORTE GASTOS'!$C$6:$C$210,F229,'REPORTE GASTOS'!$G$6:$G$210)=0,'LISTA DE PRECIOS'!$H$3,SUMIF('REPORTE GASTOS'!$C$6:$C$210,F229,'REPORTE GASTOS'!$I$6:$I$210)/SUMIF('REPORTE GASTOS'!$C$6:$C$210,F229,'REPORTE GASTOS'!$G$6:$G$210)))</f>
        <v>0</v>
      </c>
      <c r="N229" s="12">
        <f t="shared" si="179"/>
        <v>0</v>
      </c>
      <c r="O229" s="43">
        <f t="shared" si="180"/>
        <v>0</v>
      </c>
      <c r="P229" s="70"/>
      <c r="R229" s="68" t="str">
        <f>IF(H229="","",VLOOKUP(H229,'DATOS CLIENTES'!B:F,5,FALSE))</f>
        <v/>
      </c>
      <c r="S229" s="68" t="str">
        <f t="shared" si="185"/>
        <v>031</v>
      </c>
      <c r="U229" s="69">
        <f t="shared" si="181"/>
        <v>0</v>
      </c>
      <c r="V229" s="69">
        <f t="shared" si="182"/>
        <v>0</v>
      </c>
      <c r="X229" s="68">
        <f t="shared" si="184"/>
        <v>74</v>
      </c>
      <c r="Y229" s="68" t="str">
        <f t="shared" si="186"/>
        <v/>
      </c>
      <c r="Z229" s="68" t="str">
        <f t="shared" si="187"/>
        <v/>
      </c>
      <c r="AA229" s="68" t="str">
        <f t="shared" si="188"/>
        <v/>
      </c>
      <c r="AB229" s="227" t="str">
        <f t="shared" si="189"/>
        <v/>
      </c>
      <c r="AC229" s="68" t="str">
        <f t="shared" si="190"/>
        <v/>
      </c>
      <c r="AD229" s="68" t="str">
        <f t="shared" si="191"/>
        <v/>
      </c>
      <c r="AE229" s="68" t="str">
        <f t="shared" si="192"/>
        <v/>
      </c>
      <c r="AF229" s="68" t="str">
        <f t="shared" si="193"/>
        <v/>
      </c>
      <c r="AG229" s="68" t="str">
        <f t="shared" si="194"/>
        <v/>
      </c>
    </row>
    <row r="230" spans="1:33" s="67" customFormat="1">
      <c r="A230" s="18" t="str">
        <f t="shared" si="175"/>
        <v/>
      </c>
      <c r="B230" s="219"/>
      <c r="C230" s="58"/>
      <c r="D230" s="44">
        <f t="shared" si="176"/>
        <v>31</v>
      </c>
      <c r="E230" s="59" t="str">
        <f t="shared" si="177"/>
        <v/>
      </c>
      <c r="F230" s="90" t="str">
        <f t="shared" si="178"/>
        <v/>
      </c>
      <c r="G230" s="190"/>
      <c r="H230" s="203"/>
      <c r="I230" s="191"/>
      <c r="J230" s="42"/>
      <c r="K230" s="39">
        <f>IF(I230="",0,VLOOKUP(I230,'LISTA DE PRECIOS'!A:F,IF(R230="CORO",4,5),FALSE))</f>
        <v>0</v>
      </c>
      <c r="L230" s="206">
        <f t="shared" si="183"/>
        <v>0</v>
      </c>
      <c r="M230" s="217">
        <f>IF(F230="",0,IF(SUMIF('REPORTE GASTOS'!$C$6:$C$210,F230,'REPORTE GASTOS'!$G$6:$G$210)=0,'LISTA DE PRECIOS'!$H$3,SUMIF('REPORTE GASTOS'!$C$6:$C$210,F230,'REPORTE GASTOS'!$I$6:$I$210)/SUMIF('REPORTE GASTOS'!$C$6:$C$210,F230,'REPORTE GASTOS'!$G$6:$G$210)))</f>
        <v>0</v>
      </c>
      <c r="N230" s="12">
        <f t="shared" si="179"/>
        <v>0</v>
      </c>
      <c r="O230" s="43">
        <f t="shared" si="180"/>
        <v>0</v>
      </c>
      <c r="P230" s="70"/>
      <c r="R230" s="68" t="str">
        <f>IF(H230="","",VLOOKUP(H230,'DATOS CLIENTES'!B:F,5,FALSE))</f>
        <v/>
      </c>
      <c r="S230" s="68" t="str">
        <f t="shared" si="185"/>
        <v>031</v>
      </c>
      <c r="U230" s="69">
        <f t="shared" si="181"/>
        <v>0</v>
      </c>
      <c r="V230" s="69">
        <f t="shared" si="182"/>
        <v>0</v>
      </c>
      <c r="X230" s="68">
        <f t="shared" si="184"/>
        <v>74</v>
      </c>
      <c r="Y230" s="68" t="str">
        <f t="shared" si="186"/>
        <v/>
      </c>
      <c r="Z230" s="68" t="str">
        <f t="shared" si="187"/>
        <v/>
      </c>
      <c r="AA230" s="68" t="str">
        <f t="shared" si="188"/>
        <v/>
      </c>
      <c r="AB230" s="227" t="str">
        <f t="shared" si="189"/>
        <v/>
      </c>
      <c r="AC230" s="68" t="str">
        <f t="shared" si="190"/>
        <v/>
      </c>
      <c r="AD230" s="68" t="str">
        <f t="shared" si="191"/>
        <v/>
      </c>
      <c r="AE230" s="68" t="str">
        <f t="shared" si="192"/>
        <v/>
      </c>
      <c r="AF230" s="68" t="str">
        <f t="shared" si="193"/>
        <v/>
      </c>
      <c r="AG230" s="68" t="str">
        <f t="shared" si="194"/>
        <v/>
      </c>
    </row>
    <row r="231" spans="1:33" s="67" customFormat="1">
      <c r="A231" s="18" t="str">
        <f t="shared" si="175"/>
        <v/>
      </c>
      <c r="B231" s="219"/>
      <c r="C231" s="58"/>
      <c r="D231" s="44">
        <f t="shared" si="176"/>
        <v>31</v>
      </c>
      <c r="E231" s="59" t="str">
        <f t="shared" si="177"/>
        <v/>
      </c>
      <c r="F231" s="90" t="str">
        <f t="shared" si="178"/>
        <v/>
      </c>
      <c r="G231" s="190"/>
      <c r="H231" s="203"/>
      <c r="I231" s="191"/>
      <c r="J231" s="42"/>
      <c r="K231" s="39">
        <f>IF(I231="",0,VLOOKUP(I231,'LISTA DE PRECIOS'!A:F,IF(R231="CORO",4,5),FALSE))</f>
        <v>0</v>
      </c>
      <c r="L231" s="206">
        <f t="shared" si="183"/>
        <v>0</v>
      </c>
      <c r="M231" s="217">
        <f>IF(F231="",0,IF(SUMIF('REPORTE GASTOS'!$C$6:$C$210,F231,'REPORTE GASTOS'!$G$6:$G$210)=0,'LISTA DE PRECIOS'!$H$3,SUMIF('REPORTE GASTOS'!$C$6:$C$210,F231,'REPORTE GASTOS'!$I$6:$I$210)/SUMIF('REPORTE GASTOS'!$C$6:$C$210,F231,'REPORTE GASTOS'!$G$6:$G$210)))</f>
        <v>0</v>
      </c>
      <c r="N231" s="12">
        <f t="shared" si="179"/>
        <v>0</v>
      </c>
      <c r="O231" s="43">
        <f t="shared" si="180"/>
        <v>0</v>
      </c>
      <c r="P231" s="70"/>
      <c r="R231" s="68" t="str">
        <f>IF(H231="","",VLOOKUP(H231,'DATOS CLIENTES'!B:F,5,FALSE))</f>
        <v/>
      </c>
      <c r="S231" s="68" t="str">
        <f t="shared" si="185"/>
        <v>031</v>
      </c>
      <c r="U231" s="69">
        <f t="shared" si="181"/>
        <v>0</v>
      </c>
      <c r="V231" s="69">
        <f t="shared" si="182"/>
        <v>0</v>
      </c>
      <c r="X231" s="68">
        <f t="shared" si="184"/>
        <v>74</v>
      </c>
      <c r="Y231" s="68" t="str">
        <f t="shared" si="186"/>
        <v/>
      </c>
      <c r="Z231" s="68" t="str">
        <f t="shared" si="187"/>
        <v/>
      </c>
      <c r="AA231" s="68" t="str">
        <f t="shared" si="188"/>
        <v/>
      </c>
      <c r="AB231" s="227" t="str">
        <f t="shared" si="189"/>
        <v/>
      </c>
      <c r="AC231" s="68" t="str">
        <f t="shared" si="190"/>
        <v/>
      </c>
      <c r="AD231" s="68" t="str">
        <f t="shared" si="191"/>
        <v/>
      </c>
      <c r="AE231" s="68" t="str">
        <f t="shared" si="192"/>
        <v/>
      </c>
      <c r="AF231" s="68" t="str">
        <f t="shared" si="193"/>
        <v/>
      </c>
      <c r="AG231" s="68" t="str">
        <f t="shared" si="194"/>
        <v/>
      </c>
    </row>
    <row r="232" spans="1:33" s="67" customFormat="1">
      <c r="A232" s="18" t="str">
        <f t="shared" si="175"/>
        <v/>
      </c>
      <c r="B232" s="219"/>
      <c r="C232" s="58"/>
      <c r="D232" s="44">
        <f t="shared" si="176"/>
        <v>31</v>
      </c>
      <c r="E232" s="59" t="str">
        <f t="shared" si="177"/>
        <v/>
      </c>
      <c r="F232" s="90" t="str">
        <f t="shared" si="178"/>
        <v/>
      </c>
      <c r="G232" s="190"/>
      <c r="H232" s="203"/>
      <c r="I232" s="191"/>
      <c r="J232" s="42"/>
      <c r="K232" s="39">
        <f>IF(I232="",0,VLOOKUP(I232,'LISTA DE PRECIOS'!A:F,IF(R232="CORO",4,5),FALSE))</f>
        <v>0</v>
      </c>
      <c r="L232" s="206">
        <f t="shared" si="183"/>
        <v>0</v>
      </c>
      <c r="M232" s="217">
        <f>IF(F232="",0,IF(SUMIF('REPORTE GASTOS'!$C$6:$C$210,F232,'REPORTE GASTOS'!$G$6:$G$210)=0,'LISTA DE PRECIOS'!$H$3,SUMIF('REPORTE GASTOS'!$C$6:$C$210,F232,'REPORTE GASTOS'!$I$6:$I$210)/SUMIF('REPORTE GASTOS'!$C$6:$C$210,F232,'REPORTE GASTOS'!$G$6:$G$210)))</f>
        <v>0</v>
      </c>
      <c r="N232" s="12">
        <f t="shared" si="179"/>
        <v>0</v>
      </c>
      <c r="O232" s="43">
        <f t="shared" si="180"/>
        <v>0</v>
      </c>
      <c r="P232" s="70"/>
      <c r="R232" s="68" t="str">
        <f>IF(H232="","",VLOOKUP(H232,'DATOS CLIENTES'!B:F,5,FALSE))</f>
        <v/>
      </c>
      <c r="S232" s="68" t="str">
        <f t="shared" si="185"/>
        <v>031</v>
      </c>
      <c r="U232" s="69">
        <f t="shared" si="181"/>
        <v>0</v>
      </c>
      <c r="V232" s="69">
        <f t="shared" si="182"/>
        <v>0</v>
      </c>
      <c r="X232" s="68">
        <f t="shared" si="184"/>
        <v>74</v>
      </c>
      <c r="Y232" s="68" t="str">
        <f t="shared" si="186"/>
        <v/>
      </c>
      <c r="Z232" s="68" t="str">
        <f t="shared" si="187"/>
        <v/>
      </c>
      <c r="AA232" s="68" t="str">
        <f t="shared" si="188"/>
        <v/>
      </c>
      <c r="AB232" s="227" t="str">
        <f t="shared" si="189"/>
        <v/>
      </c>
      <c r="AC232" s="68" t="str">
        <f t="shared" si="190"/>
        <v/>
      </c>
      <c r="AD232" s="68" t="str">
        <f t="shared" si="191"/>
        <v/>
      </c>
      <c r="AE232" s="68" t="str">
        <f t="shared" si="192"/>
        <v/>
      </c>
      <c r="AF232" s="68" t="str">
        <f t="shared" si="193"/>
        <v/>
      </c>
      <c r="AG232" s="68" t="str">
        <f t="shared" si="194"/>
        <v/>
      </c>
    </row>
    <row r="233" spans="1:33" s="67" customFormat="1">
      <c r="A233" s="18" t="str">
        <f t="shared" si="175"/>
        <v/>
      </c>
      <c r="B233" s="219"/>
      <c r="C233" s="58"/>
      <c r="D233" s="44">
        <f t="shared" si="176"/>
        <v>31</v>
      </c>
      <c r="E233" s="59" t="str">
        <f t="shared" si="177"/>
        <v/>
      </c>
      <c r="F233" s="90" t="str">
        <f t="shared" si="178"/>
        <v/>
      </c>
      <c r="G233" s="190"/>
      <c r="H233" s="203"/>
      <c r="I233" s="191"/>
      <c r="J233" s="42"/>
      <c r="K233" s="39">
        <f>IF(I233="",0,VLOOKUP(I233,'LISTA DE PRECIOS'!A:F,IF(R233="CORO",4,5),FALSE))</f>
        <v>0</v>
      </c>
      <c r="L233" s="206">
        <f t="shared" si="183"/>
        <v>0</v>
      </c>
      <c r="M233" s="217">
        <f>IF(F233="",0,IF(SUMIF('REPORTE GASTOS'!$C$6:$C$210,F233,'REPORTE GASTOS'!$G$6:$G$210)=0,'LISTA DE PRECIOS'!$H$3,SUMIF('REPORTE GASTOS'!$C$6:$C$210,F233,'REPORTE GASTOS'!$I$6:$I$210)/SUMIF('REPORTE GASTOS'!$C$6:$C$210,F233,'REPORTE GASTOS'!$G$6:$G$210)))</f>
        <v>0</v>
      </c>
      <c r="N233" s="12">
        <f t="shared" si="179"/>
        <v>0</v>
      </c>
      <c r="O233" s="43">
        <f t="shared" si="180"/>
        <v>0</v>
      </c>
      <c r="P233" s="70"/>
      <c r="R233" s="68" t="str">
        <f>IF(H233="","",VLOOKUP(H233,'DATOS CLIENTES'!B:F,5,FALSE))</f>
        <v/>
      </c>
      <c r="S233" s="68" t="str">
        <f t="shared" si="185"/>
        <v>031</v>
      </c>
      <c r="U233" s="69">
        <f t="shared" si="181"/>
        <v>0</v>
      </c>
      <c r="V233" s="69">
        <f t="shared" si="182"/>
        <v>0</v>
      </c>
      <c r="X233" s="68">
        <f t="shared" si="184"/>
        <v>74</v>
      </c>
      <c r="Y233" s="68" t="str">
        <f t="shared" si="186"/>
        <v/>
      </c>
      <c r="Z233" s="68" t="str">
        <f t="shared" si="187"/>
        <v/>
      </c>
      <c r="AA233" s="68" t="str">
        <f t="shared" si="188"/>
        <v/>
      </c>
      <c r="AB233" s="227" t="str">
        <f t="shared" si="189"/>
        <v/>
      </c>
      <c r="AC233" s="68" t="str">
        <f t="shared" si="190"/>
        <v/>
      </c>
      <c r="AD233" s="68" t="str">
        <f t="shared" si="191"/>
        <v/>
      </c>
      <c r="AE233" s="68" t="str">
        <f t="shared" si="192"/>
        <v/>
      </c>
      <c r="AF233" s="68" t="str">
        <f t="shared" si="193"/>
        <v/>
      </c>
      <c r="AG233" s="68" t="str">
        <f t="shared" si="194"/>
        <v/>
      </c>
    </row>
    <row r="234" spans="1:33" s="67" customFormat="1">
      <c r="A234" s="18" t="str">
        <f t="shared" si="175"/>
        <v/>
      </c>
      <c r="B234" s="219"/>
      <c r="C234" s="58"/>
      <c r="D234" s="44">
        <f t="shared" si="176"/>
        <v>31</v>
      </c>
      <c r="E234" s="59" t="str">
        <f t="shared" si="177"/>
        <v/>
      </c>
      <c r="F234" s="90" t="str">
        <f t="shared" si="178"/>
        <v/>
      </c>
      <c r="G234" s="190"/>
      <c r="H234" s="203"/>
      <c r="I234" s="191"/>
      <c r="J234" s="42"/>
      <c r="K234" s="39">
        <f>IF(I234="",0,VLOOKUP(I234,'LISTA DE PRECIOS'!A:F,IF(R234="CORO",4,5),FALSE))</f>
        <v>0</v>
      </c>
      <c r="L234" s="206">
        <f t="shared" si="183"/>
        <v>0</v>
      </c>
      <c r="M234" s="217">
        <f>IF(F234="",0,IF(SUMIF('REPORTE GASTOS'!$C$6:$C$210,F234,'REPORTE GASTOS'!$G$6:$G$210)=0,'LISTA DE PRECIOS'!$H$3,SUMIF('REPORTE GASTOS'!$C$6:$C$210,F234,'REPORTE GASTOS'!$I$6:$I$210)/SUMIF('REPORTE GASTOS'!$C$6:$C$210,F234,'REPORTE GASTOS'!$G$6:$G$210)))</f>
        <v>0</v>
      </c>
      <c r="N234" s="12">
        <f t="shared" si="179"/>
        <v>0</v>
      </c>
      <c r="O234" s="43">
        <f t="shared" si="180"/>
        <v>0</v>
      </c>
      <c r="P234" s="70"/>
      <c r="R234" s="68" t="str">
        <f>IF(H234="","",VLOOKUP(H234,'DATOS CLIENTES'!B:F,5,FALSE))</f>
        <v/>
      </c>
      <c r="S234" s="68" t="str">
        <f t="shared" si="185"/>
        <v>031</v>
      </c>
      <c r="U234" s="69">
        <f t="shared" si="181"/>
        <v>0</v>
      </c>
      <c r="V234" s="69">
        <f t="shared" si="182"/>
        <v>0</v>
      </c>
      <c r="X234" s="68">
        <f t="shared" si="184"/>
        <v>74</v>
      </c>
      <c r="Y234" s="68" t="str">
        <f t="shared" si="186"/>
        <v/>
      </c>
      <c r="Z234" s="68" t="str">
        <f t="shared" si="187"/>
        <v/>
      </c>
      <c r="AA234" s="68" t="str">
        <f t="shared" si="188"/>
        <v/>
      </c>
      <c r="AB234" s="227" t="str">
        <f t="shared" si="189"/>
        <v/>
      </c>
      <c r="AC234" s="68" t="str">
        <f t="shared" si="190"/>
        <v/>
      </c>
      <c r="AD234" s="68" t="str">
        <f t="shared" si="191"/>
        <v/>
      </c>
      <c r="AE234" s="68" t="str">
        <f t="shared" si="192"/>
        <v/>
      </c>
      <c r="AF234" s="68" t="str">
        <f t="shared" si="193"/>
        <v/>
      </c>
      <c r="AG234" s="68" t="str">
        <f t="shared" si="194"/>
        <v/>
      </c>
    </row>
    <row r="235" spans="1:33" s="67" customFormat="1">
      <c r="A235" s="18" t="str">
        <f t="shared" si="175"/>
        <v/>
      </c>
      <c r="B235" s="219"/>
      <c r="C235" s="58"/>
      <c r="D235" s="44">
        <f t="shared" si="176"/>
        <v>31</v>
      </c>
      <c r="E235" s="59" t="str">
        <f t="shared" si="177"/>
        <v/>
      </c>
      <c r="F235" s="90" t="str">
        <f t="shared" si="178"/>
        <v/>
      </c>
      <c r="G235" s="190"/>
      <c r="H235" s="203"/>
      <c r="I235" s="191"/>
      <c r="J235" s="42"/>
      <c r="K235" s="39">
        <f>IF(I235="",0,VLOOKUP(I235,'LISTA DE PRECIOS'!A:F,IF(R235="CORO",4,5),FALSE))</f>
        <v>0</v>
      </c>
      <c r="L235" s="206">
        <f t="shared" si="183"/>
        <v>0</v>
      </c>
      <c r="M235" s="217">
        <f>IF(F235="",0,IF(SUMIF('REPORTE GASTOS'!$C$6:$C$210,F235,'REPORTE GASTOS'!$G$6:$G$210)=0,'LISTA DE PRECIOS'!$H$3,SUMIF('REPORTE GASTOS'!$C$6:$C$210,F235,'REPORTE GASTOS'!$I$6:$I$210)/SUMIF('REPORTE GASTOS'!$C$6:$C$210,F235,'REPORTE GASTOS'!$G$6:$G$210)))</f>
        <v>0</v>
      </c>
      <c r="N235" s="12">
        <f t="shared" si="179"/>
        <v>0</v>
      </c>
      <c r="O235" s="43">
        <f t="shared" si="180"/>
        <v>0</v>
      </c>
      <c r="P235" s="70"/>
      <c r="R235" s="68" t="str">
        <f>IF(H235="","",VLOOKUP(H235,'DATOS CLIENTES'!B:F,5,FALSE))</f>
        <v/>
      </c>
      <c r="S235" s="68" t="str">
        <f t="shared" si="185"/>
        <v>031</v>
      </c>
      <c r="U235" s="69">
        <f t="shared" si="181"/>
        <v>0</v>
      </c>
      <c r="V235" s="69">
        <f t="shared" si="182"/>
        <v>0</v>
      </c>
      <c r="X235" s="68">
        <f t="shared" si="184"/>
        <v>74</v>
      </c>
      <c r="Y235" s="68" t="str">
        <f t="shared" si="186"/>
        <v/>
      </c>
      <c r="Z235" s="68" t="str">
        <f t="shared" si="187"/>
        <v/>
      </c>
      <c r="AA235" s="68" t="str">
        <f t="shared" si="188"/>
        <v/>
      </c>
      <c r="AB235" s="227" t="str">
        <f t="shared" si="189"/>
        <v/>
      </c>
      <c r="AC235" s="68" t="str">
        <f t="shared" si="190"/>
        <v/>
      </c>
      <c r="AD235" s="68" t="str">
        <f t="shared" si="191"/>
        <v/>
      </c>
      <c r="AE235" s="68" t="str">
        <f t="shared" si="192"/>
        <v/>
      </c>
      <c r="AF235" s="68" t="str">
        <f t="shared" si="193"/>
        <v/>
      </c>
      <c r="AG235" s="68" t="str">
        <f t="shared" si="194"/>
        <v/>
      </c>
    </row>
    <row r="236" spans="1:33" s="67" customFormat="1">
      <c r="A236" s="18" t="str">
        <f t="shared" si="175"/>
        <v/>
      </c>
      <c r="B236" s="219"/>
      <c r="C236" s="58"/>
      <c r="D236" s="44">
        <f t="shared" si="176"/>
        <v>31</v>
      </c>
      <c r="E236" s="59" t="str">
        <f t="shared" si="177"/>
        <v/>
      </c>
      <c r="F236" s="90" t="str">
        <f t="shared" si="178"/>
        <v/>
      </c>
      <c r="G236" s="190"/>
      <c r="H236" s="203"/>
      <c r="I236" s="191"/>
      <c r="J236" s="42"/>
      <c r="K236" s="39">
        <f>IF(I236="",0,VLOOKUP(I236,'LISTA DE PRECIOS'!A:F,IF(R236="CORO",4,5),FALSE))</f>
        <v>0</v>
      </c>
      <c r="L236" s="206">
        <f t="shared" si="183"/>
        <v>0</v>
      </c>
      <c r="M236" s="217">
        <f>IF(F236="",0,IF(SUMIF('REPORTE GASTOS'!$C$6:$C$210,F236,'REPORTE GASTOS'!$G$6:$G$210)=0,'LISTA DE PRECIOS'!$H$3,SUMIF('REPORTE GASTOS'!$C$6:$C$210,F236,'REPORTE GASTOS'!$I$6:$I$210)/SUMIF('REPORTE GASTOS'!$C$6:$C$210,F236,'REPORTE GASTOS'!$G$6:$G$210)))</f>
        <v>0</v>
      </c>
      <c r="N236" s="12">
        <f t="shared" si="179"/>
        <v>0</v>
      </c>
      <c r="O236" s="43">
        <f t="shared" si="180"/>
        <v>0</v>
      </c>
      <c r="P236" s="70"/>
      <c r="R236" s="68" t="str">
        <f>IF(H236="","",VLOOKUP(H236,'DATOS CLIENTES'!B:F,5,FALSE))</f>
        <v/>
      </c>
      <c r="S236" s="68" t="str">
        <f t="shared" si="185"/>
        <v>031</v>
      </c>
      <c r="U236" s="69">
        <f t="shared" si="181"/>
        <v>0</v>
      </c>
      <c r="V236" s="69">
        <f t="shared" si="182"/>
        <v>0</v>
      </c>
      <c r="X236" s="68">
        <f t="shared" si="184"/>
        <v>74</v>
      </c>
      <c r="Y236" s="68" t="str">
        <f t="shared" si="186"/>
        <v/>
      </c>
      <c r="Z236" s="68" t="str">
        <f t="shared" si="187"/>
        <v/>
      </c>
      <c r="AA236" s="68" t="str">
        <f t="shared" si="188"/>
        <v/>
      </c>
      <c r="AB236" s="227" t="str">
        <f t="shared" si="189"/>
        <v/>
      </c>
      <c r="AC236" s="68" t="str">
        <f t="shared" si="190"/>
        <v/>
      </c>
      <c r="AD236" s="68" t="str">
        <f t="shared" si="191"/>
        <v/>
      </c>
      <c r="AE236" s="68" t="str">
        <f t="shared" si="192"/>
        <v/>
      </c>
      <c r="AF236" s="68" t="str">
        <f t="shared" si="193"/>
        <v/>
      </c>
      <c r="AG236" s="68" t="str">
        <f t="shared" si="194"/>
        <v/>
      </c>
    </row>
    <row r="237" spans="1:33" s="67" customFormat="1">
      <c r="A237" s="18" t="str">
        <f t="shared" si="175"/>
        <v/>
      </c>
      <c r="B237" s="219"/>
      <c r="C237" s="58"/>
      <c r="D237" s="44">
        <f t="shared" si="176"/>
        <v>31</v>
      </c>
      <c r="E237" s="59" t="str">
        <f t="shared" si="177"/>
        <v/>
      </c>
      <c r="F237" s="90" t="str">
        <f t="shared" si="178"/>
        <v/>
      </c>
      <c r="G237" s="190"/>
      <c r="H237" s="203"/>
      <c r="I237" s="191"/>
      <c r="J237" s="42"/>
      <c r="K237" s="39">
        <f>IF(I237="",0,VLOOKUP(I237,'LISTA DE PRECIOS'!A:F,IF(R237="CORO",4,5),FALSE))</f>
        <v>0</v>
      </c>
      <c r="L237" s="206">
        <f t="shared" si="183"/>
        <v>0</v>
      </c>
      <c r="M237" s="217">
        <f>IF(F237="",0,IF(SUMIF('REPORTE GASTOS'!$C$6:$C$210,F237,'REPORTE GASTOS'!$G$6:$G$210)=0,'LISTA DE PRECIOS'!$H$3,SUMIF('REPORTE GASTOS'!$C$6:$C$210,F237,'REPORTE GASTOS'!$I$6:$I$210)/SUMIF('REPORTE GASTOS'!$C$6:$C$210,F237,'REPORTE GASTOS'!$G$6:$G$210)))</f>
        <v>0</v>
      </c>
      <c r="N237" s="12">
        <f t="shared" si="179"/>
        <v>0</v>
      </c>
      <c r="O237" s="43">
        <f t="shared" si="180"/>
        <v>0</v>
      </c>
      <c r="P237" s="70"/>
      <c r="R237" s="68" t="str">
        <f>IF(H237="","",VLOOKUP(H237,'DATOS CLIENTES'!B:F,5,FALSE))</f>
        <v/>
      </c>
      <c r="S237" s="68" t="str">
        <f t="shared" si="185"/>
        <v>031</v>
      </c>
      <c r="U237" s="69">
        <f t="shared" si="181"/>
        <v>0</v>
      </c>
      <c r="V237" s="69">
        <f t="shared" si="182"/>
        <v>0</v>
      </c>
      <c r="X237" s="68">
        <f t="shared" si="184"/>
        <v>74</v>
      </c>
      <c r="Y237" s="68" t="str">
        <f t="shared" si="186"/>
        <v/>
      </c>
      <c r="Z237" s="68" t="str">
        <f t="shared" si="187"/>
        <v/>
      </c>
      <c r="AA237" s="68" t="str">
        <f t="shared" si="188"/>
        <v/>
      </c>
      <c r="AB237" s="227" t="str">
        <f t="shared" si="189"/>
        <v/>
      </c>
      <c r="AC237" s="68" t="str">
        <f t="shared" si="190"/>
        <v/>
      </c>
      <c r="AD237" s="68" t="str">
        <f t="shared" si="191"/>
        <v/>
      </c>
      <c r="AE237" s="68" t="str">
        <f t="shared" si="192"/>
        <v/>
      </c>
      <c r="AF237" s="68" t="str">
        <f t="shared" si="193"/>
        <v/>
      </c>
      <c r="AG237" s="68" t="str">
        <f t="shared" si="194"/>
        <v/>
      </c>
    </row>
    <row r="238" spans="1:33" s="67" customFormat="1">
      <c r="A238" s="18" t="str">
        <f t="shared" si="175"/>
        <v/>
      </c>
      <c r="B238" s="219"/>
      <c r="C238" s="58"/>
      <c r="D238" s="44">
        <f t="shared" si="176"/>
        <v>31</v>
      </c>
      <c r="E238" s="59" t="str">
        <f t="shared" si="177"/>
        <v/>
      </c>
      <c r="F238" s="90" t="str">
        <f t="shared" si="178"/>
        <v/>
      </c>
      <c r="G238" s="190"/>
      <c r="H238" s="203"/>
      <c r="I238" s="191"/>
      <c r="J238" s="42"/>
      <c r="K238" s="39">
        <f>IF(I238="",0,VLOOKUP(I238,'LISTA DE PRECIOS'!A:F,IF(R238="CORO",4,5),FALSE))</f>
        <v>0</v>
      </c>
      <c r="L238" s="206">
        <f t="shared" si="183"/>
        <v>0</v>
      </c>
      <c r="M238" s="217">
        <f>IF(F238="",0,IF(SUMIF('REPORTE GASTOS'!$C$6:$C$210,F238,'REPORTE GASTOS'!$G$6:$G$210)=0,'LISTA DE PRECIOS'!$H$3,SUMIF('REPORTE GASTOS'!$C$6:$C$210,F238,'REPORTE GASTOS'!$I$6:$I$210)/SUMIF('REPORTE GASTOS'!$C$6:$C$210,F238,'REPORTE GASTOS'!$G$6:$G$210)))</f>
        <v>0</v>
      </c>
      <c r="N238" s="12">
        <f t="shared" si="179"/>
        <v>0</v>
      </c>
      <c r="O238" s="43">
        <f t="shared" si="180"/>
        <v>0</v>
      </c>
      <c r="P238" s="70"/>
      <c r="R238" s="68" t="str">
        <f>IF(H238="","",VLOOKUP(H238,'DATOS CLIENTES'!B:F,5,FALSE))</f>
        <v/>
      </c>
      <c r="S238" s="68" t="str">
        <f t="shared" si="185"/>
        <v>031</v>
      </c>
      <c r="U238" s="69">
        <f t="shared" si="181"/>
        <v>0</v>
      </c>
      <c r="V238" s="69">
        <f t="shared" si="182"/>
        <v>0</v>
      </c>
      <c r="X238" s="68">
        <f t="shared" si="184"/>
        <v>74</v>
      </c>
      <c r="Y238" s="68" t="str">
        <f t="shared" si="186"/>
        <v/>
      </c>
      <c r="Z238" s="68" t="str">
        <f t="shared" si="187"/>
        <v/>
      </c>
      <c r="AA238" s="68" t="str">
        <f t="shared" si="188"/>
        <v/>
      </c>
      <c r="AB238" s="227" t="str">
        <f t="shared" si="189"/>
        <v/>
      </c>
      <c r="AC238" s="68" t="str">
        <f t="shared" si="190"/>
        <v/>
      </c>
      <c r="AD238" s="68" t="str">
        <f t="shared" si="191"/>
        <v/>
      </c>
      <c r="AE238" s="68" t="str">
        <f t="shared" si="192"/>
        <v/>
      </c>
      <c r="AF238" s="68" t="str">
        <f t="shared" si="193"/>
        <v/>
      </c>
      <c r="AG238" s="68" t="str">
        <f t="shared" si="194"/>
        <v/>
      </c>
    </row>
    <row r="239" spans="1:33" s="67" customFormat="1">
      <c r="A239" s="18" t="str">
        <f t="shared" si="175"/>
        <v/>
      </c>
      <c r="B239" s="219"/>
      <c r="C239" s="58"/>
      <c r="D239" s="44">
        <f t="shared" si="176"/>
        <v>31</v>
      </c>
      <c r="E239" s="59" t="str">
        <f t="shared" si="177"/>
        <v/>
      </c>
      <c r="F239" s="90" t="str">
        <f t="shared" si="178"/>
        <v/>
      </c>
      <c r="G239" s="190"/>
      <c r="H239" s="203"/>
      <c r="I239" s="191"/>
      <c r="J239" s="42"/>
      <c r="K239" s="39">
        <f>IF(I239="",0,VLOOKUP(I239,'LISTA DE PRECIOS'!A:F,IF(R239="CORO",4,5),FALSE))</f>
        <v>0</v>
      </c>
      <c r="L239" s="206">
        <f t="shared" si="183"/>
        <v>0</v>
      </c>
      <c r="M239" s="217">
        <f>IF(F239="",0,IF(SUMIF('REPORTE GASTOS'!$C$6:$C$210,F239,'REPORTE GASTOS'!$G$6:$G$210)=0,'LISTA DE PRECIOS'!$H$3,SUMIF('REPORTE GASTOS'!$C$6:$C$210,F239,'REPORTE GASTOS'!$I$6:$I$210)/SUMIF('REPORTE GASTOS'!$C$6:$C$210,F239,'REPORTE GASTOS'!$G$6:$G$210)))</f>
        <v>0</v>
      </c>
      <c r="N239" s="12">
        <f t="shared" si="179"/>
        <v>0</v>
      </c>
      <c r="O239" s="43">
        <f t="shared" si="180"/>
        <v>0</v>
      </c>
      <c r="P239" s="70"/>
      <c r="R239" s="68" t="str">
        <f>IF(H239="","",VLOOKUP(H239,'DATOS CLIENTES'!B:F,5,FALSE))</f>
        <v/>
      </c>
      <c r="S239" s="68" t="str">
        <f t="shared" si="185"/>
        <v>031</v>
      </c>
      <c r="U239" s="69">
        <f t="shared" si="181"/>
        <v>0</v>
      </c>
      <c r="V239" s="69">
        <f t="shared" si="182"/>
        <v>0</v>
      </c>
      <c r="X239" s="68">
        <f t="shared" si="184"/>
        <v>74</v>
      </c>
      <c r="Y239" s="68" t="str">
        <f t="shared" si="186"/>
        <v/>
      </c>
      <c r="Z239" s="68" t="str">
        <f t="shared" si="187"/>
        <v/>
      </c>
      <c r="AA239" s="68" t="str">
        <f t="shared" si="188"/>
        <v/>
      </c>
      <c r="AB239" s="227" t="str">
        <f t="shared" si="189"/>
        <v/>
      </c>
      <c r="AC239" s="68" t="str">
        <f t="shared" si="190"/>
        <v/>
      </c>
      <c r="AD239" s="68" t="str">
        <f t="shared" si="191"/>
        <v/>
      </c>
      <c r="AE239" s="68" t="str">
        <f t="shared" si="192"/>
        <v/>
      </c>
      <c r="AF239" s="68" t="str">
        <f t="shared" si="193"/>
        <v/>
      </c>
      <c r="AG239" s="68" t="str">
        <f t="shared" si="194"/>
        <v/>
      </c>
    </row>
    <row r="240" spans="1:33" s="67" customFormat="1">
      <c r="A240" s="18" t="str">
        <f t="shared" si="175"/>
        <v/>
      </c>
      <c r="B240" s="219"/>
      <c r="C240" s="58"/>
      <c r="D240" s="44">
        <f t="shared" si="176"/>
        <v>31</v>
      </c>
      <c r="E240" s="59" t="str">
        <f t="shared" si="177"/>
        <v/>
      </c>
      <c r="F240" s="90" t="str">
        <f t="shared" si="178"/>
        <v/>
      </c>
      <c r="G240" s="190"/>
      <c r="H240" s="203"/>
      <c r="I240" s="191"/>
      <c r="J240" s="42"/>
      <c r="K240" s="39">
        <f>IF(I240="",0,VLOOKUP(I240,'LISTA DE PRECIOS'!A:F,IF(R240="CORO",4,5),FALSE))</f>
        <v>0</v>
      </c>
      <c r="L240" s="206">
        <f t="shared" si="183"/>
        <v>0</v>
      </c>
      <c r="M240" s="217">
        <f>IF(F240="",0,IF(SUMIF('REPORTE GASTOS'!$C$6:$C$210,F240,'REPORTE GASTOS'!$G$6:$G$210)=0,'LISTA DE PRECIOS'!$H$3,SUMIF('REPORTE GASTOS'!$C$6:$C$210,F240,'REPORTE GASTOS'!$I$6:$I$210)/SUMIF('REPORTE GASTOS'!$C$6:$C$210,F240,'REPORTE GASTOS'!$G$6:$G$210)))</f>
        <v>0</v>
      </c>
      <c r="N240" s="12">
        <f t="shared" si="179"/>
        <v>0</v>
      </c>
      <c r="O240" s="43">
        <f t="shared" si="180"/>
        <v>0</v>
      </c>
      <c r="P240" s="70"/>
      <c r="R240" s="68" t="str">
        <f>IF(H240="","",VLOOKUP(H240,'DATOS CLIENTES'!B:F,5,FALSE))</f>
        <v/>
      </c>
      <c r="S240" s="68" t="str">
        <f t="shared" si="185"/>
        <v>031</v>
      </c>
      <c r="U240" s="69">
        <f t="shared" si="181"/>
        <v>0</v>
      </c>
      <c r="V240" s="69">
        <f t="shared" si="182"/>
        <v>0</v>
      </c>
      <c r="X240" s="68">
        <f t="shared" si="184"/>
        <v>74</v>
      </c>
      <c r="Y240" s="68" t="str">
        <f t="shared" si="186"/>
        <v/>
      </c>
      <c r="Z240" s="68" t="str">
        <f t="shared" si="187"/>
        <v/>
      </c>
      <c r="AA240" s="68" t="str">
        <f t="shared" si="188"/>
        <v/>
      </c>
      <c r="AB240" s="227" t="str">
        <f t="shared" si="189"/>
        <v/>
      </c>
      <c r="AC240" s="68" t="str">
        <f t="shared" si="190"/>
        <v/>
      </c>
      <c r="AD240" s="68" t="str">
        <f t="shared" si="191"/>
        <v/>
      </c>
      <c r="AE240" s="68" t="str">
        <f t="shared" si="192"/>
        <v/>
      </c>
      <c r="AF240" s="68" t="str">
        <f t="shared" si="193"/>
        <v/>
      </c>
      <c r="AG240" s="68" t="str">
        <f t="shared" si="194"/>
        <v/>
      </c>
    </row>
    <row r="241" spans="1:33" s="67" customFormat="1">
      <c r="A241" s="18" t="str">
        <f t="shared" si="175"/>
        <v/>
      </c>
      <c r="B241" s="219"/>
      <c r="C241" s="58"/>
      <c r="D241" s="44">
        <f t="shared" si="176"/>
        <v>31</v>
      </c>
      <c r="E241" s="59" t="str">
        <f t="shared" si="177"/>
        <v/>
      </c>
      <c r="F241" s="90" t="str">
        <f t="shared" si="178"/>
        <v/>
      </c>
      <c r="G241" s="190"/>
      <c r="H241" s="203"/>
      <c r="I241" s="191"/>
      <c r="J241" s="42"/>
      <c r="K241" s="39">
        <f>IF(I241="",0,VLOOKUP(I241,'LISTA DE PRECIOS'!A:F,IF(R241="CORO",4,5),FALSE))</f>
        <v>0</v>
      </c>
      <c r="L241" s="206">
        <f t="shared" si="183"/>
        <v>0</v>
      </c>
      <c r="M241" s="217">
        <f>IF(F241="",0,IF(SUMIF('REPORTE GASTOS'!$C$6:$C$210,F241,'REPORTE GASTOS'!$G$6:$G$210)=0,'LISTA DE PRECIOS'!$H$3,SUMIF('REPORTE GASTOS'!$C$6:$C$210,F241,'REPORTE GASTOS'!$I$6:$I$210)/SUMIF('REPORTE GASTOS'!$C$6:$C$210,F241,'REPORTE GASTOS'!$G$6:$G$210)))</f>
        <v>0</v>
      </c>
      <c r="N241" s="12">
        <f t="shared" si="179"/>
        <v>0</v>
      </c>
      <c r="O241" s="43">
        <f t="shared" si="180"/>
        <v>0</v>
      </c>
      <c r="P241" s="70"/>
      <c r="R241" s="68" t="str">
        <f>IF(H241="","",VLOOKUP(H241,'DATOS CLIENTES'!B:F,5,FALSE))</f>
        <v/>
      </c>
      <c r="S241" s="68" t="str">
        <f t="shared" si="185"/>
        <v>031</v>
      </c>
      <c r="U241" s="69">
        <f t="shared" si="181"/>
        <v>0</v>
      </c>
      <c r="V241" s="69">
        <f t="shared" si="182"/>
        <v>0</v>
      </c>
      <c r="X241" s="68">
        <f t="shared" si="184"/>
        <v>74</v>
      </c>
      <c r="Y241" s="68" t="str">
        <f t="shared" si="186"/>
        <v/>
      </c>
      <c r="Z241" s="68" t="str">
        <f t="shared" si="187"/>
        <v/>
      </c>
      <c r="AA241" s="68" t="str">
        <f t="shared" si="188"/>
        <v/>
      </c>
      <c r="AB241" s="227" t="str">
        <f t="shared" si="189"/>
        <v/>
      </c>
      <c r="AC241" s="68" t="str">
        <f t="shared" si="190"/>
        <v/>
      </c>
      <c r="AD241" s="68" t="str">
        <f t="shared" si="191"/>
        <v/>
      </c>
      <c r="AE241" s="68" t="str">
        <f t="shared" si="192"/>
        <v/>
      </c>
      <c r="AF241" s="68" t="str">
        <f t="shared" si="193"/>
        <v/>
      </c>
      <c r="AG241" s="68" t="str">
        <f t="shared" si="194"/>
        <v/>
      </c>
    </row>
    <row r="242" spans="1:33" s="67" customFormat="1">
      <c r="A242" s="18" t="str">
        <f t="shared" si="175"/>
        <v/>
      </c>
      <c r="B242" s="219"/>
      <c r="C242" s="58"/>
      <c r="D242" s="44">
        <f t="shared" si="176"/>
        <v>31</v>
      </c>
      <c r="E242" s="59" t="str">
        <f t="shared" si="177"/>
        <v/>
      </c>
      <c r="F242" s="90" t="str">
        <f t="shared" si="178"/>
        <v/>
      </c>
      <c r="G242" s="190"/>
      <c r="H242" s="203"/>
      <c r="I242" s="191"/>
      <c r="J242" s="42"/>
      <c r="K242" s="39">
        <f>IF(I242="",0,VLOOKUP(I242,'LISTA DE PRECIOS'!A:F,IF(R242="CORO",4,5),FALSE))</f>
        <v>0</v>
      </c>
      <c r="L242" s="206">
        <f t="shared" si="183"/>
        <v>0</v>
      </c>
      <c r="M242" s="217">
        <f>IF(F242="",0,IF(SUMIF('REPORTE GASTOS'!$C$6:$C$210,F242,'REPORTE GASTOS'!$G$6:$G$210)=0,'LISTA DE PRECIOS'!$H$3,SUMIF('REPORTE GASTOS'!$C$6:$C$210,F242,'REPORTE GASTOS'!$I$6:$I$210)/SUMIF('REPORTE GASTOS'!$C$6:$C$210,F242,'REPORTE GASTOS'!$G$6:$G$210)))</f>
        <v>0</v>
      </c>
      <c r="N242" s="12">
        <f t="shared" si="179"/>
        <v>0</v>
      </c>
      <c r="O242" s="43">
        <f t="shared" si="180"/>
        <v>0</v>
      </c>
      <c r="P242" s="70"/>
      <c r="R242" s="68" t="str">
        <f>IF(H242="","",VLOOKUP(H242,'DATOS CLIENTES'!B:F,5,FALSE))</f>
        <v/>
      </c>
      <c r="S242" s="68" t="str">
        <f t="shared" si="185"/>
        <v>031</v>
      </c>
      <c r="U242" s="69">
        <f t="shared" si="181"/>
        <v>0</v>
      </c>
      <c r="V242" s="69">
        <f t="shared" si="182"/>
        <v>0</v>
      </c>
      <c r="X242" s="68">
        <f t="shared" si="184"/>
        <v>74</v>
      </c>
      <c r="Y242" s="68" t="str">
        <f t="shared" si="186"/>
        <v/>
      </c>
      <c r="Z242" s="68" t="str">
        <f t="shared" si="187"/>
        <v/>
      </c>
      <c r="AA242" s="68" t="str">
        <f t="shared" si="188"/>
        <v/>
      </c>
      <c r="AB242" s="227" t="str">
        <f t="shared" si="189"/>
        <v/>
      </c>
      <c r="AC242" s="68" t="str">
        <f t="shared" si="190"/>
        <v/>
      </c>
      <c r="AD242" s="68" t="str">
        <f t="shared" si="191"/>
        <v/>
      </c>
      <c r="AE242" s="68" t="str">
        <f t="shared" si="192"/>
        <v/>
      </c>
      <c r="AF242" s="68" t="str">
        <f t="shared" si="193"/>
        <v/>
      </c>
      <c r="AG242" s="68" t="str">
        <f t="shared" si="194"/>
        <v/>
      </c>
    </row>
    <row r="243" spans="1:33" s="67" customFormat="1">
      <c r="A243" s="18" t="str">
        <f t="shared" si="175"/>
        <v/>
      </c>
      <c r="B243" s="219"/>
      <c r="C243" s="58"/>
      <c r="D243" s="44">
        <f t="shared" si="176"/>
        <v>31</v>
      </c>
      <c r="E243" s="59" t="str">
        <f t="shared" si="177"/>
        <v/>
      </c>
      <c r="F243" s="90" t="str">
        <f t="shared" si="178"/>
        <v/>
      </c>
      <c r="G243" s="190"/>
      <c r="H243" s="203"/>
      <c r="I243" s="191"/>
      <c r="J243" s="42"/>
      <c r="K243" s="39">
        <f>IF(I243="",0,VLOOKUP(I243,'LISTA DE PRECIOS'!A:F,IF(R243="CORO",4,5),FALSE))</f>
        <v>0</v>
      </c>
      <c r="L243" s="206">
        <f t="shared" si="183"/>
        <v>0</v>
      </c>
      <c r="M243" s="217">
        <f>IF(F243="",0,IF(SUMIF('REPORTE GASTOS'!$C$6:$C$210,F243,'REPORTE GASTOS'!$G$6:$G$210)=0,'LISTA DE PRECIOS'!$H$3,SUMIF('REPORTE GASTOS'!$C$6:$C$210,F243,'REPORTE GASTOS'!$I$6:$I$210)/SUMIF('REPORTE GASTOS'!$C$6:$C$210,F243,'REPORTE GASTOS'!$G$6:$G$210)))</f>
        <v>0</v>
      </c>
      <c r="N243" s="12">
        <f t="shared" si="179"/>
        <v>0</v>
      </c>
      <c r="O243" s="43">
        <f t="shared" si="180"/>
        <v>0</v>
      </c>
      <c r="P243" s="70"/>
      <c r="R243" s="68" t="str">
        <f>IF(H243="","",VLOOKUP(H243,'DATOS CLIENTES'!B:F,5,FALSE))</f>
        <v/>
      </c>
      <c r="S243" s="68" t="str">
        <f t="shared" si="185"/>
        <v>031</v>
      </c>
      <c r="U243" s="69">
        <f t="shared" si="181"/>
        <v>0</v>
      </c>
      <c r="V243" s="69">
        <f t="shared" si="182"/>
        <v>0</v>
      </c>
      <c r="X243" s="68">
        <f t="shared" si="184"/>
        <v>74</v>
      </c>
      <c r="Y243" s="68" t="str">
        <f t="shared" si="186"/>
        <v/>
      </c>
      <c r="Z243" s="68" t="str">
        <f t="shared" si="187"/>
        <v/>
      </c>
      <c r="AA243" s="68" t="str">
        <f t="shared" si="188"/>
        <v/>
      </c>
      <c r="AB243" s="227" t="str">
        <f t="shared" si="189"/>
        <v/>
      </c>
      <c r="AC243" s="68" t="str">
        <f t="shared" si="190"/>
        <v/>
      </c>
      <c r="AD243" s="68" t="str">
        <f t="shared" si="191"/>
        <v/>
      </c>
      <c r="AE243" s="68" t="str">
        <f t="shared" si="192"/>
        <v/>
      </c>
      <c r="AF243" s="68" t="str">
        <f t="shared" si="193"/>
        <v/>
      </c>
      <c r="AG243" s="68" t="str">
        <f t="shared" si="194"/>
        <v/>
      </c>
    </row>
    <row r="244" spans="1:33" s="67" customFormat="1">
      <c r="A244" s="18" t="str">
        <f t="shared" si="175"/>
        <v/>
      </c>
      <c r="B244" s="219"/>
      <c r="C244" s="58"/>
      <c r="D244" s="44">
        <f t="shared" si="176"/>
        <v>31</v>
      </c>
      <c r="E244" s="59" t="str">
        <f t="shared" si="177"/>
        <v/>
      </c>
      <c r="F244" s="90" t="str">
        <f t="shared" si="178"/>
        <v/>
      </c>
      <c r="G244" s="190"/>
      <c r="H244" s="203"/>
      <c r="I244" s="191"/>
      <c r="J244" s="42"/>
      <c r="K244" s="39">
        <f>IF(I244="",0,VLOOKUP(I244,'LISTA DE PRECIOS'!A:F,IF(R244="CORO",4,5),FALSE))</f>
        <v>0</v>
      </c>
      <c r="L244" s="206">
        <f t="shared" si="183"/>
        <v>0</v>
      </c>
      <c r="M244" s="217">
        <f>IF(F244="",0,IF(SUMIF('REPORTE GASTOS'!$C$6:$C$210,F244,'REPORTE GASTOS'!$G$6:$G$210)=0,'LISTA DE PRECIOS'!$H$3,SUMIF('REPORTE GASTOS'!$C$6:$C$210,F244,'REPORTE GASTOS'!$I$6:$I$210)/SUMIF('REPORTE GASTOS'!$C$6:$C$210,F244,'REPORTE GASTOS'!$G$6:$G$210)))</f>
        <v>0</v>
      </c>
      <c r="N244" s="12">
        <f t="shared" si="179"/>
        <v>0</v>
      </c>
      <c r="O244" s="43">
        <f t="shared" si="180"/>
        <v>0</v>
      </c>
      <c r="P244" s="70"/>
      <c r="R244" s="68" t="str">
        <f>IF(H244="","",VLOOKUP(H244,'DATOS CLIENTES'!B:F,5,FALSE))</f>
        <v/>
      </c>
      <c r="S244" s="68" t="str">
        <f t="shared" si="185"/>
        <v>031</v>
      </c>
      <c r="U244" s="69">
        <f t="shared" si="181"/>
        <v>0</v>
      </c>
      <c r="V244" s="69">
        <f t="shared" si="182"/>
        <v>0</v>
      </c>
      <c r="X244" s="68">
        <f t="shared" si="184"/>
        <v>74</v>
      </c>
      <c r="Y244" s="68" t="str">
        <f t="shared" si="186"/>
        <v/>
      </c>
      <c r="Z244" s="68" t="str">
        <f t="shared" si="187"/>
        <v/>
      </c>
      <c r="AA244" s="68" t="str">
        <f t="shared" si="188"/>
        <v/>
      </c>
      <c r="AB244" s="227" t="str">
        <f t="shared" si="189"/>
        <v/>
      </c>
      <c r="AC244" s="68" t="str">
        <f t="shared" si="190"/>
        <v/>
      </c>
      <c r="AD244" s="68" t="str">
        <f t="shared" si="191"/>
        <v/>
      </c>
      <c r="AE244" s="68" t="str">
        <f t="shared" si="192"/>
        <v/>
      </c>
      <c r="AF244" s="68" t="str">
        <f t="shared" si="193"/>
        <v/>
      </c>
      <c r="AG244" s="68" t="str">
        <f t="shared" si="194"/>
        <v/>
      </c>
    </row>
    <row r="245" spans="1:33" s="67" customFormat="1">
      <c r="A245" s="18" t="str">
        <f t="shared" si="175"/>
        <v/>
      </c>
      <c r="B245" s="219"/>
      <c r="C245" s="58"/>
      <c r="D245" s="44">
        <f t="shared" si="176"/>
        <v>31</v>
      </c>
      <c r="E245" s="59" t="str">
        <f t="shared" si="177"/>
        <v/>
      </c>
      <c r="F245" s="90" t="str">
        <f t="shared" si="178"/>
        <v/>
      </c>
      <c r="G245" s="190"/>
      <c r="H245" s="203"/>
      <c r="I245" s="191"/>
      <c r="J245" s="42"/>
      <c r="K245" s="39">
        <f>IF(I245="",0,VLOOKUP(I245,'LISTA DE PRECIOS'!A:F,IF(R245="CORO",4,5),FALSE))</f>
        <v>0</v>
      </c>
      <c r="L245" s="206">
        <f t="shared" si="183"/>
        <v>0</v>
      </c>
      <c r="M245" s="217">
        <f>IF(F245="",0,IF(SUMIF('REPORTE GASTOS'!$C$6:$C$210,F245,'REPORTE GASTOS'!$G$6:$G$210)=0,'LISTA DE PRECIOS'!$H$3,SUMIF('REPORTE GASTOS'!$C$6:$C$210,F245,'REPORTE GASTOS'!$I$6:$I$210)/SUMIF('REPORTE GASTOS'!$C$6:$C$210,F245,'REPORTE GASTOS'!$G$6:$G$210)))</f>
        <v>0</v>
      </c>
      <c r="N245" s="12">
        <f t="shared" si="179"/>
        <v>0</v>
      </c>
      <c r="O245" s="43">
        <f t="shared" si="180"/>
        <v>0</v>
      </c>
      <c r="P245" s="70"/>
      <c r="R245" s="68" t="str">
        <f>IF(H245="","",VLOOKUP(H245,'DATOS CLIENTES'!B:F,5,FALSE))</f>
        <v/>
      </c>
      <c r="S245" s="68" t="str">
        <f t="shared" si="185"/>
        <v>031</v>
      </c>
      <c r="U245" s="69">
        <f t="shared" si="181"/>
        <v>0</v>
      </c>
      <c r="V245" s="69">
        <f t="shared" si="182"/>
        <v>0</v>
      </c>
      <c r="X245" s="68">
        <f t="shared" si="184"/>
        <v>74</v>
      </c>
      <c r="Y245" s="68" t="str">
        <f t="shared" si="186"/>
        <v/>
      </c>
      <c r="Z245" s="68" t="str">
        <f t="shared" si="187"/>
        <v/>
      </c>
      <c r="AA245" s="68" t="str">
        <f t="shared" si="188"/>
        <v/>
      </c>
      <c r="AB245" s="227" t="str">
        <f t="shared" si="189"/>
        <v/>
      </c>
      <c r="AC245" s="68" t="str">
        <f t="shared" si="190"/>
        <v/>
      </c>
      <c r="AD245" s="68" t="str">
        <f t="shared" si="191"/>
        <v/>
      </c>
      <c r="AE245" s="68" t="str">
        <f t="shared" si="192"/>
        <v/>
      </c>
      <c r="AF245" s="68" t="str">
        <f t="shared" si="193"/>
        <v/>
      </c>
      <c r="AG245" s="68" t="str">
        <f t="shared" si="194"/>
        <v/>
      </c>
    </row>
    <row r="246" spans="1:33" s="67" customFormat="1">
      <c r="A246" s="18" t="str">
        <f t="shared" si="175"/>
        <v/>
      </c>
      <c r="B246" s="219"/>
      <c r="C246" s="58"/>
      <c r="D246" s="44">
        <f t="shared" si="176"/>
        <v>31</v>
      </c>
      <c r="E246" s="59" t="str">
        <f t="shared" si="177"/>
        <v/>
      </c>
      <c r="F246" s="90" t="str">
        <f t="shared" si="178"/>
        <v/>
      </c>
      <c r="G246" s="190"/>
      <c r="H246" s="203"/>
      <c r="I246" s="191"/>
      <c r="J246" s="42"/>
      <c r="K246" s="39">
        <f>IF(I246="",0,VLOOKUP(I246,'LISTA DE PRECIOS'!A:F,IF(R246="CORO",4,5),FALSE))</f>
        <v>0</v>
      </c>
      <c r="L246" s="206">
        <f t="shared" si="183"/>
        <v>0</v>
      </c>
      <c r="M246" s="217">
        <f>IF(F246="",0,IF(SUMIF('REPORTE GASTOS'!$C$6:$C$210,F246,'REPORTE GASTOS'!$G$6:$G$210)=0,'LISTA DE PRECIOS'!$H$3,SUMIF('REPORTE GASTOS'!$C$6:$C$210,F246,'REPORTE GASTOS'!$I$6:$I$210)/SUMIF('REPORTE GASTOS'!$C$6:$C$210,F246,'REPORTE GASTOS'!$G$6:$G$210)))</f>
        <v>0</v>
      </c>
      <c r="N246" s="12">
        <f t="shared" si="179"/>
        <v>0</v>
      </c>
      <c r="O246" s="43">
        <f t="shared" si="180"/>
        <v>0</v>
      </c>
      <c r="P246" s="70"/>
      <c r="R246" s="68" t="str">
        <f>IF(H246="","",VLOOKUP(H246,'DATOS CLIENTES'!B:F,5,FALSE))</f>
        <v/>
      </c>
      <c r="S246" s="68" t="str">
        <f t="shared" si="185"/>
        <v>031</v>
      </c>
      <c r="U246" s="69">
        <f t="shared" si="181"/>
        <v>0</v>
      </c>
      <c r="V246" s="69">
        <f t="shared" si="182"/>
        <v>0</v>
      </c>
      <c r="X246" s="68">
        <f t="shared" si="184"/>
        <v>74</v>
      </c>
      <c r="Y246" s="68" t="str">
        <f t="shared" si="186"/>
        <v/>
      </c>
      <c r="Z246" s="68" t="str">
        <f t="shared" si="187"/>
        <v/>
      </c>
      <c r="AA246" s="68" t="str">
        <f t="shared" si="188"/>
        <v/>
      </c>
      <c r="AB246" s="227" t="str">
        <f t="shared" si="189"/>
        <v/>
      </c>
      <c r="AC246" s="68" t="str">
        <f t="shared" si="190"/>
        <v/>
      </c>
      <c r="AD246" s="68" t="str">
        <f t="shared" si="191"/>
        <v/>
      </c>
      <c r="AE246" s="68" t="str">
        <f t="shared" si="192"/>
        <v/>
      </c>
      <c r="AF246" s="68" t="str">
        <f t="shared" si="193"/>
        <v/>
      </c>
      <c r="AG246" s="68" t="str">
        <f t="shared" si="194"/>
        <v/>
      </c>
    </row>
    <row r="247" spans="1:33" s="67" customFormat="1">
      <c r="A247" s="18" t="str">
        <f t="shared" si="175"/>
        <v/>
      </c>
      <c r="B247" s="219"/>
      <c r="C247" s="58"/>
      <c r="D247" s="44">
        <f t="shared" si="176"/>
        <v>31</v>
      </c>
      <c r="E247" s="59" t="str">
        <f t="shared" si="177"/>
        <v/>
      </c>
      <c r="F247" s="90" t="str">
        <f t="shared" si="178"/>
        <v/>
      </c>
      <c r="G247" s="190"/>
      <c r="H247" s="203"/>
      <c r="I247" s="191"/>
      <c r="J247" s="42"/>
      <c r="K247" s="39">
        <f>IF(I247="",0,VLOOKUP(I247,'LISTA DE PRECIOS'!A:F,IF(R247="CORO",4,5),FALSE))</f>
        <v>0</v>
      </c>
      <c r="L247" s="206">
        <f t="shared" si="183"/>
        <v>0</v>
      </c>
      <c r="M247" s="217">
        <f>IF(F247="",0,IF(SUMIF('REPORTE GASTOS'!$C$6:$C$210,F247,'REPORTE GASTOS'!$G$6:$G$210)=0,'LISTA DE PRECIOS'!$H$3,SUMIF('REPORTE GASTOS'!$C$6:$C$210,F247,'REPORTE GASTOS'!$I$6:$I$210)/SUMIF('REPORTE GASTOS'!$C$6:$C$210,F247,'REPORTE GASTOS'!$G$6:$G$210)))</f>
        <v>0</v>
      </c>
      <c r="N247" s="12">
        <f t="shared" si="179"/>
        <v>0</v>
      </c>
      <c r="O247" s="43">
        <f t="shared" si="180"/>
        <v>0</v>
      </c>
      <c r="P247" s="70"/>
      <c r="R247" s="68" t="str">
        <f>IF(H247="","",VLOOKUP(H247,'DATOS CLIENTES'!B:F,5,FALSE))</f>
        <v/>
      </c>
      <c r="S247" s="68" t="str">
        <f t="shared" si="185"/>
        <v>031</v>
      </c>
      <c r="U247" s="69">
        <f t="shared" si="181"/>
        <v>0</v>
      </c>
      <c r="V247" s="69">
        <f t="shared" si="182"/>
        <v>0</v>
      </c>
      <c r="X247" s="68">
        <f t="shared" si="184"/>
        <v>74</v>
      </c>
      <c r="Y247" s="68" t="str">
        <f t="shared" si="186"/>
        <v/>
      </c>
      <c r="Z247" s="68" t="str">
        <f t="shared" si="187"/>
        <v/>
      </c>
      <c r="AA247" s="68" t="str">
        <f t="shared" si="188"/>
        <v/>
      </c>
      <c r="AB247" s="227" t="str">
        <f t="shared" si="189"/>
        <v/>
      </c>
      <c r="AC247" s="68" t="str">
        <f t="shared" si="190"/>
        <v/>
      </c>
      <c r="AD247" s="68" t="str">
        <f t="shared" si="191"/>
        <v/>
      </c>
      <c r="AE247" s="68" t="str">
        <f t="shared" si="192"/>
        <v/>
      </c>
      <c r="AF247" s="68" t="str">
        <f t="shared" si="193"/>
        <v/>
      </c>
      <c r="AG247" s="68" t="str">
        <f t="shared" si="194"/>
        <v/>
      </c>
    </row>
    <row r="248" spans="1:33" s="67" customFormat="1">
      <c r="A248" s="18" t="str">
        <f t="shared" si="175"/>
        <v/>
      </c>
      <c r="B248" s="219"/>
      <c r="C248" s="58"/>
      <c r="D248" s="44">
        <f t="shared" si="176"/>
        <v>31</v>
      </c>
      <c r="E248" s="59" t="str">
        <f t="shared" si="177"/>
        <v/>
      </c>
      <c r="F248" s="90" t="str">
        <f t="shared" si="178"/>
        <v/>
      </c>
      <c r="G248" s="190"/>
      <c r="H248" s="203"/>
      <c r="I248" s="191"/>
      <c r="J248" s="42"/>
      <c r="K248" s="39">
        <f>IF(I248="",0,VLOOKUP(I248,'LISTA DE PRECIOS'!A:F,IF(R248="CORO",4,5),FALSE))</f>
        <v>0</v>
      </c>
      <c r="L248" s="206">
        <f t="shared" si="183"/>
        <v>0</v>
      </c>
      <c r="M248" s="217">
        <f>IF(F248="",0,IF(SUMIF('REPORTE GASTOS'!$C$6:$C$210,F248,'REPORTE GASTOS'!$G$6:$G$210)=0,'LISTA DE PRECIOS'!$H$3,SUMIF('REPORTE GASTOS'!$C$6:$C$210,F248,'REPORTE GASTOS'!$I$6:$I$210)/SUMIF('REPORTE GASTOS'!$C$6:$C$210,F248,'REPORTE GASTOS'!$G$6:$G$210)))</f>
        <v>0</v>
      </c>
      <c r="N248" s="12">
        <f t="shared" si="179"/>
        <v>0</v>
      </c>
      <c r="O248" s="43">
        <f t="shared" si="180"/>
        <v>0</v>
      </c>
      <c r="P248" s="70"/>
      <c r="R248" s="68" t="str">
        <f>IF(H248="","",VLOOKUP(H248,'DATOS CLIENTES'!B:F,5,FALSE))</f>
        <v/>
      </c>
      <c r="S248" s="68" t="str">
        <f t="shared" si="185"/>
        <v>031</v>
      </c>
      <c r="U248" s="69">
        <f t="shared" si="181"/>
        <v>0</v>
      </c>
      <c r="V248" s="69">
        <f t="shared" si="182"/>
        <v>0</v>
      </c>
      <c r="X248" s="68">
        <f t="shared" si="184"/>
        <v>74</v>
      </c>
      <c r="Y248" s="68" t="str">
        <f t="shared" si="186"/>
        <v/>
      </c>
      <c r="Z248" s="68" t="str">
        <f t="shared" si="187"/>
        <v/>
      </c>
      <c r="AA248" s="68" t="str">
        <f t="shared" si="188"/>
        <v/>
      </c>
      <c r="AB248" s="227" t="str">
        <f t="shared" si="189"/>
        <v/>
      </c>
      <c r="AC248" s="68" t="str">
        <f t="shared" si="190"/>
        <v/>
      </c>
      <c r="AD248" s="68" t="str">
        <f t="shared" si="191"/>
        <v/>
      </c>
      <c r="AE248" s="68" t="str">
        <f t="shared" si="192"/>
        <v/>
      </c>
      <c r="AF248" s="68" t="str">
        <f t="shared" si="193"/>
        <v/>
      </c>
      <c r="AG248" s="68" t="str">
        <f t="shared" si="194"/>
        <v/>
      </c>
    </row>
    <row r="249" spans="1:33" s="67" customFormat="1">
      <c r="A249" s="18" t="str">
        <f t="shared" si="175"/>
        <v/>
      </c>
      <c r="B249" s="219"/>
      <c r="C249" s="58"/>
      <c r="D249" s="44">
        <f t="shared" si="176"/>
        <v>31</v>
      </c>
      <c r="E249" s="59" t="str">
        <f t="shared" si="177"/>
        <v/>
      </c>
      <c r="F249" s="90" t="str">
        <f t="shared" si="178"/>
        <v/>
      </c>
      <c r="G249" s="190"/>
      <c r="H249" s="203"/>
      <c r="I249" s="191"/>
      <c r="J249" s="42"/>
      <c r="K249" s="39">
        <f>IF(I249="",0,VLOOKUP(I249,'LISTA DE PRECIOS'!A:F,IF(R249="CORO",4,5),FALSE))</f>
        <v>0</v>
      </c>
      <c r="L249" s="206">
        <f t="shared" si="183"/>
        <v>0</v>
      </c>
      <c r="M249" s="217">
        <f>IF(F249="",0,IF(SUMIF('REPORTE GASTOS'!$C$6:$C$210,F249,'REPORTE GASTOS'!$G$6:$G$210)=0,'LISTA DE PRECIOS'!$H$3,SUMIF('REPORTE GASTOS'!$C$6:$C$210,F249,'REPORTE GASTOS'!$I$6:$I$210)/SUMIF('REPORTE GASTOS'!$C$6:$C$210,F249,'REPORTE GASTOS'!$G$6:$G$210)))</f>
        <v>0</v>
      </c>
      <c r="N249" s="12">
        <f t="shared" si="179"/>
        <v>0</v>
      </c>
      <c r="O249" s="43">
        <f t="shared" si="180"/>
        <v>0</v>
      </c>
      <c r="P249" s="70"/>
      <c r="R249" s="68" t="str">
        <f>IF(H249="","",VLOOKUP(H249,'DATOS CLIENTES'!B:F,5,FALSE))</f>
        <v/>
      </c>
      <c r="S249" s="68" t="str">
        <f t="shared" si="185"/>
        <v>031</v>
      </c>
      <c r="U249" s="69">
        <f t="shared" si="181"/>
        <v>0</v>
      </c>
      <c r="V249" s="69">
        <f t="shared" si="182"/>
        <v>0</v>
      </c>
      <c r="X249" s="68">
        <f t="shared" si="184"/>
        <v>74</v>
      </c>
      <c r="Y249" s="68" t="str">
        <f t="shared" si="186"/>
        <v/>
      </c>
      <c r="Z249" s="68" t="str">
        <f t="shared" si="187"/>
        <v/>
      </c>
      <c r="AA249" s="68" t="str">
        <f t="shared" si="188"/>
        <v/>
      </c>
      <c r="AB249" s="227" t="str">
        <f t="shared" si="189"/>
        <v/>
      </c>
      <c r="AC249" s="68" t="str">
        <f t="shared" si="190"/>
        <v/>
      </c>
      <c r="AD249" s="68" t="str">
        <f t="shared" si="191"/>
        <v/>
      </c>
      <c r="AE249" s="68" t="str">
        <f t="shared" si="192"/>
        <v/>
      </c>
      <c r="AF249" s="68" t="str">
        <f t="shared" si="193"/>
        <v/>
      </c>
      <c r="AG249" s="68" t="str">
        <f t="shared" si="194"/>
        <v/>
      </c>
    </row>
    <row r="250" spans="1:33" s="86" customFormat="1">
      <c r="A250" s="18" t="str">
        <f>CONCATENATE(E250,F250)</f>
        <v/>
      </c>
      <c r="B250" s="219"/>
      <c r="C250" s="58"/>
      <c r="D250" s="44">
        <f t="shared" si="176"/>
        <v>31</v>
      </c>
      <c r="E250" s="59" t="str">
        <f t="shared" si="177"/>
        <v/>
      </c>
      <c r="F250" s="90" t="str">
        <f t="shared" si="178"/>
        <v/>
      </c>
      <c r="G250" s="190"/>
      <c r="H250" s="203"/>
      <c r="I250" s="191"/>
      <c r="J250" s="42"/>
      <c r="K250" s="39">
        <f>IF(I250="",0,VLOOKUP(I250,'LISTA DE PRECIOS'!A:F,IF(R250="CORO",4,5),FALSE))</f>
        <v>0</v>
      </c>
      <c r="L250" s="206">
        <f t="shared" si="183"/>
        <v>0</v>
      </c>
      <c r="M250" s="217">
        <f>IF(F250="",0,IF(SUMIF('REPORTE GASTOS'!$C$6:$C$210,F250,'REPORTE GASTOS'!$G$6:$G$210)=0,'LISTA DE PRECIOS'!$H$3,SUMIF('REPORTE GASTOS'!$C$6:$C$210,F250,'REPORTE GASTOS'!$I$6:$I$210)/SUMIF('REPORTE GASTOS'!$C$6:$C$210,F250,'REPORTE GASTOS'!$G$6:$G$210)))</f>
        <v>0</v>
      </c>
      <c r="N250" s="12">
        <f t="shared" si="179"/>
        <v>0</v>
      </c>
      <c r="O250" s="43">
        <f t="shared" si="180"/>
        <v>0</v>
      </c>
      <c r="P250" s="70"/>
      <c r="R250" s="68" t="str">
        <f>IF(H250="","",VLOOKUP(H250,'DATOS CLIENTES'!B:F,5,FALSE))</f>
        <v/>
      </c>
      <c r="S250" s="68" t="str">
        <f t="shared" si="185"/>
        <v>031</v>
      </c>
      <c r="U250" s="69">
        <f t="shared" si="181"/>
        <v>0</v>
      </c>
      <c r="V250" s="69">
        <f t="shared" si="182"/>
        <v>0</v>
      </c>
      <c r="X250" s="68">
        <f t="shared" si="184"/>
        <v>74</v>
      </c>
      <c r="Y250" s="68" t="str">
        <f t="shared" si="186"/>
        <v/>
      </c>
      <c r="Z250" s="68" t="str">
        <f t="shared" si="187"/>
        <v/>
      </c>
      <c r="AA250" s="68" t="str">
        <f t="shared" si="188"/>
        <v/>
      </c>
      <c r="AB250" s="227" t="str">
        <f t="shared" si="189"/>
        <v/>
      </c>
      <c r="AC250" s="68" t="str">
        <f t="shared" si="190"/>
        <v/>
      </c>
      <c r="AD250" s="68" t="str">
        <f t="shared" si="191"/>
        <v/>
      </c>
      <c r="AE250" s="68" t="str">
        <f t="shared" si="192"/>
        <v/>
      </c>
      <c r="AF250" s="68" t="str">
        <f t="shared" si="193"/>
        <v/>
      </c>
      <c r="AG250" s="68" t="str">
        <f t="shared" si="194"/>
        <v/>
      </c>
    </row>
    <row r="251" spans="1:33">
      <c r="B251" s="60"/>
      <c r="C251" s="60"/>
      <c r="D251" s="60"/>
      <c r="E251" s="60"/>
      <c r="F251" s="61"/>
      <c r="G251" s="61"/>
      <c r="H251" s="61"/>
      <c r="I251" s="61"/>
      <c r="J251" s="61"/>
      <c r="K251" s="61"/>
      <c r="L251" s="62">
        <f>SUM(L7:L250)</f>
        <v>3571.9999999999995</v>
      </c>
      <c r="M251" s="86"/>
      <c r="N251" s="86"/>
      <c r="O251" s="62">
        <f>SUM(O7:O250)</f>
        <v>16382.260339099525</v>
      </c>
    </row>
    <row r="253" spans="1:33">
      <c r="A253" s="74" t="str">
        <f>CONCATENATE(E253,F253)</f>
        <v/>
      </c>
      <c r="D253" s="74">
        <f>IF(OR(H253="",AND(H253=H252,G253=G252)),D252,D252+1)</f>
        <v>0</v>
      </c>
      <c r="E253" s="74" t="str">
        <f>IF(F253="","",IF(OR(F253=0,F253=F252),E252+1,1))</f>
        <v/>
      </c>
      <c r="F253" s="74" t="str">
        <f>IF(G253="","",CONCATENATE("SFC-",IF(LEN(MONTH($G$4))=1,CONCATENATE("0",MONTH($G$4)),MONTH($G$4)),RIGHT(YEAR($G$4),2),"-",S253))</f>
        <v/>
      </c>
      <c r="G253" s="74"/>
      <c r="H253" s="74"/>
      <c r="I253" s="74"/>
      <c r="J253" s="74"/>
      <c r="K253" s="74">
        <f>IF(I253="",0,VLOOKUP(I253,'LISTA DE PRECIOS'!A:F,IF(R253="CORO",4,5),FALSE))</f>
        <v>0</v>
      </c>
      <c r="L253" s="74">
        <f>ROUND(K253*J253,2)</f>
        <v>0</v>
      </c>
      <c r="M253" s="74">
        <f>IF(F253="",0,IF(SUMIF('REPORTE GASTOS'!$C$6:$C$210,F253,'REPORTE GASTOS'!$G$6:$G$210)=0,'LISTA DE PRECIOS'!$H$3,SUMIF('REPORTE GASTOS'!$C$6:$C$210,F253,'REPORTE GASTOS'!$I$6:$I$210)/SUMIF('REPORTE GASTOS'!$C$6:$C$210,F253,'REPORTE GASTOS'!$G$6:$G$210)))</f>
        <v>0</v>
      </c>
      <c r="N253" s="74">
        <f>M253*K253</f>
        <v>0</v>
      </c>
      <c r="O253" s="74">
        <f>N253*J253</f>
        <v>0</v>
      </c>
    </row>
    <row r="1048576" spans="2:3">
      <c r="B1048576" s="86"/>
      <c r="C1048576" s="86"/>
    </row>
  </sheetData>
  <autoFilter ref="B6:O251"/>
  <sortState ref="B7:O80">
    <sortCondition ref="F7:F80"/>
  </sortState>
  <customSheetViews>
    <customSheetView guid="{9C7DF5E1-0B31-456B-8B95-9E84EC8BB2AA}" showGridLines="0" showAutoFilter="1" hiddenColumns="1" topLeftCell="B1">
      <pane xSplit="9" ySplit="6" topLeftCell="K49" activePane="bottomRight" state="frozen"/>
      <selection pane="bottomRight" activeCell="C58" sqref="C58"/>
      <pageMargins left="0.7" right="0.7" top="0.75" bottom="0.75" header="0.3" footer="0.3"/>
      <pageSetup orientation="portrait" r:id="rId1"/>
      <autoFilter ref="A6:T102"/>
    </customSheetView>
    <customSheetView guid="{2EDA8CC3-84EB-4F05-BF1F-BD8B14370E50}" showGridLines="0" showAutoFilter="1" hiddenColumns="1" topLeftCell="B1">
      <pane xSplit="9" ySplit="6" topLeftCell="K52" activePane="bottomRight" state="frozen"/>
      <selection pane="bottomRight" activeCell="G56" sqref="G56"/>
      <pageMargins left="0.7" right="0.7" top="0.75" bottom="0.75" header="0.3" footer="0.3"/>
      <pageSetup orientation="portrait" r:id="rId2"/>
      <autoFilter ref="A6:T102"/>
    </customSheetView>
  </customSheetViews>
  <phoneticPr fontId="34" type="noConversion"/>
  <dataValidations disablePrompts="1" count="2">
    <dataValidation type="list" allowBlank="1" showInputMessage="1" showErrorMessage="1" sqref="B7:B250">
      <formula1>"CHS,ML,SFACT"</formula1>
    </dataValidation>
    <dataValidation type="list" allowBlank="1" showInputMessage="1" showErrorMessage="1" sqref="C7:C250">
      <formula1>"FREDDY J. CH,FREDDY R. CH,JAVIER J. CH,CHS"</formula1>
    </dataValidation>
  </dataValidations>
  <pageMargins left="0.7" right="0.7" top="0.75" bottom="0.75" header="0.3" footer="0.3"/>
  <pageSetup orientation="portrait" r:id="rId3"/>
  <drawing r:id="rId4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FACTURAS!$N$4:$N$100</xm:f>
          </x14:formula1>
          <xm:sqref>I7:I250</xm:sqref>
        </x14:dataValidation>
        <x14:dataValidation type="list" allowBlank="1" showInputMessage="1" showErrorMessage="1">
          <x14:formula1>
            <xm:f>'DATOS CLIENTES'!$B$5:$B$244</xm:f>
          </x14:formula1>
          <xm:sqref>H7:H250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>
    <tabColor rgb="FF00B0F0"/>
  </sheetPr>
  <dimension ref="A1:L203"/>
  <sheetViews>
    <sheetView showGridLines="0" zoomScale="80" zoomScaleNormal="80" workbookViewId="0">
      <pane ySplit="6" topLeftCell="A7" activePane="bottomLeft" state="frozen"/>
      <selection activeCell="B5" sqref="B5"/>
      <selection pane="bottomLeft" activeCell="C7" sqref="C7"/>
    </sheetView>
  </sheetViews>
  <sheetFormatPr baseColWidth="10" defaultRowHeight="15"/>
  <cols>
    <col min="1" max="1" width="3.7109375" customWidth="1"/>
    <col min="2" max="2" width="13.7109375" customWidth="1"/>
    <col min="3" max="3" width="45.7109375" customWidth="1"/>
    <col min="4" max="4" width="12.7109375" customWidth="1"/>
    <col min="5" max="7" width="15.7109375" customWidth="1"/>
    <col min="8" max="10" width="17.7109375" customWidth="1"/>
    <col min="11" max="11" width="4.7109375" customWidth="1"/>
    <col min="12" max="12" width="14.5703125" bestFit="1" customWidth="1"/>
  </cols>
  <sheetData>
    <row r="1" spans="1:12" ht="80.099999999999994" customHeight="1">
      <c r="B1" s="49"/>
      <c r="C1" s="49"/>
      <c r="D1" s="49"/>
      <c r="E1" s="49"/>
      <c r="F1" s="49"/>
      <c r="G1" s="49"/>
      <c r="H1" s="49"/>
      <c r="I1" s="49"/>
      <c r="J1" s="49"/>
    </row>
    <row r="2" spans="1:12" ht="24.95" customHeight="1">
      <c r="B2" s="65" t="s">
        <v>462</v>
      </c>
      <c r="C2" s="65"/>
      <c r="D2" s="65"/>
      <c r="E2" s="65"/>
      <c r="F2" s="65"/>
      <c r="G2" s="65"/>
      <c r="H2" s="65"/>
      <c r="I2" s="65"/>
      <c r="J2" s="65"/>
    </row>
    <row r="3" spans="1:12" ht="24.95" customHeight="1"/>
    <row r="4" spans="1:12" ht="18.75">
      <c r="B4" s="34" t="s">
        <v>457</v>
      </c>
      <c r="C4" s="35">
        <f>'RELACION VTAS - CHS'!G4</f>
        <v>44593</v>
      </c>
      <c r="E4" s="22"/>
      <c r="F4" s="22"/>
      <c r="G4" s="24" t="s">
        <v>1112</v>
      </c>
      <c r="H4" s="67"/>
    </row>
    <row r="5" spans="1:12" ht="24.95" customHeight="1">
      <c r="F5" s="11"/>
      <c r="G5" s="11">
        <f>SUM(G7:G201)</f>
        <v>1265.07</v>
      </c>
      <c r="H5" s="268"/>
    </row>
    <row r="6" spans="1:12" ht="30">
      <c r="B6" s="36" t="s">
        <v>454</v>
      </c>
      <c r="C6" s="36" t="s">
        <v>452</v>
      </c>
      <c r="D6" s="36" t="s">
        <v>417</v>
      </c>
      <c r="E6" s="32" t="s">
        <v>956</v>
      </c>
      <c r="F6" s="32" t="s">
        <v>958</v>
      </c>
      <c r="G6" s="36" t="s">
        <v>959</v>
      </c>
      <c r="H6" s="32" t="s">
        <v>957</v>
      </c>
      <c r="I6" s="32" t="s">
        <v>960</v>
      </c>
      <c r="J6" s="36" t="s">
        <v>961</v>
      </c>
      <c r="K6" t="s">
        <v>418</v>
      </c>
    </row>
    <row r="7" spans="1:12">
      <c r="A7" s="41"/>
      <c r="B7" s="242" t="s">
        <v>1184</v>
      </c>
      <c r="C7" s="243" t="s">
        <v>1164</v>
      </c>
      <c r="D7" s="244">
        <v>44519</v>
      </c>
      <c r="E7" s="235">
        <v>45.89</v>
      </c>
      <c r="F7" s="236">
        <f>SUMIF('REPORTE GASTOS'!C:C,COBRANZA!B7,'REPORTE GASTOS'!G:G)</f>
        <v>0</v>
      </c>
      <c r="G7" s="224">
        <f t="shared" ref="G7:G12" si="0">E7-F7</f>
        <v>45.89</v>
      </c>
      <c r="H7" s="237">
        <v>234.03899999999999</v>
      </c>
      <c r="I7" s="238">
        <f>SUMIF('REPORTE GASTOS'!C:C,COBRANZA!B7,'REPORTE GASTOS'!I:I)</f>
        <v>0</v>
      </c>
      <c r="J7" s="224">
        <f t="shared" ref="J7:J12" si="1">H7-I7</f>
        <v>234.03899999999999</v>
      </c>
      <c r="K7" s="66"/>
    </row>
    <row r="8" spans="1:12" hidden="1">
      <c r="A8" s="41"/>
      <c r="B8" s="245" t="s">
        <v>1224</v>
      </c>
      <c r="C8" s="243" t="s">
        <v>1207</v>
      </c>
      <c r="D8" s="244">
        <v>44571</v>
      </c>
      <c r="E8" s="235">
        <v>11.200000000000001</v>
      </c>
      <c r="F8" s="236">
        <f>SUMIF('REPORTE GASTOS'!C:C,COBRANZA!B8,'REPORTE GASTOS'!G:G)</f>
        <v>11.2</v>
      </c>
      <c r="G8" s="224">
        <f t="shared" si="0"/>
        <v>0</v>
      </c>
      <c r="H8" s="237">
        <v>57.12</v>
      </c>
      <c r="I8" s="238">
        <f>SUMIF('REPORTE GASTOS'!C:C,COBRANZA!B8,'REPORTE GASTOS'!I:I)</f>
        <v>51.519999999999996</v>
      </c>
      <c r="J8" s="224">
        <f t="shared" si="1"/>
        <v>5.6000000000000014</v>
      </c>
      <c r="K8" s="66"/>
      <c r="L8" s="86"/>
    </row>
    <row r="9" spans="1:12">
      <c r="A9" s="41"/>
      <c r="B9" s="245" t="s">
        <v>1225</v>
      </c>
      <c r="C9" s="243" t="s">
        <v>978</v>
      </c>
      <c r="D9" s="244">
        <v>44580</v>
      </c>
      <c r="E9" s="235">
        <v>164.1</v>
      </c>
      <c r="F9" s="236">
        <f>SUMIF('REPORTE GASTOS'!C:C,COBRANZA!B9,'REPORTE GASTOS'!G:G)</f>
        <v>100</v>
      </c>
      <c r="G9" s="224">
        <f t="shared" si="0"/>
        <v>64.099999999999994</v>
      </c>
      <c r="H9" s="237">
        <v>836.91</v>
      </c>
      <c r="I9" s="238">
        <f>SUMIF('REPORTE GASTOS'!C:C,COBRANZA!B9,'REPORTE GASTOS'!I:I)</f>
        <v>450</v>
      </c>
      <c r="J9" s="224">
        <f t="shared" si="1"/>
        <v>386.90999999999997</v>
      </c>
      <c r="K9" s="66"/>
      <c r="L9" s="86"/>
    </row>
    <row r="10" spans="1:12" hidden="1">
      <c r="A10" s="41"/>
      <c r="B10" s="246" t="s">
        <v>1210</v>
      </c>
      <c r="C10" s="243" t="s">
        <v>237</v>
      </c>
      <c r="D10" s="244">
        <v>44582</v>
      </c>
      <c r="E10" s="235">
        <v>24.899999999999991</v>
      </c>
      <c r="F10" s="236">
        <f>SUMIF('REPORTE GASTOS'!C:C,COBRANZA!B10,'REPORTE GASTOS'!G:G)</f>
        <v>24.9</v>
      </c>
      <c r="G10" s="224">
        <f t="shared" si="0"/>
        <v>0</v>
      </c>
      <c r="H10" s="237">
        <v>123.50399999999998</v>
      </c>
      <c r="I10" s="238">
        <f>SUMIF('REPORTE GASTOS'!C:C,COBRANZA!B10,'REPORTE GASTOS'!I:I)</f>
        <v>114.53999999999999</v>
      </c>
      <c r="J10" s="224">
        <f t="shared" si="1"/>
        <v>8.9639999999999844</v>
      </c>
      <c r="K10" s="66"/>
      <c r="L10" s="86"/>
    </row>
    <row r="11" spans="1:12" hidden="1">
      <c r="A11" s="41"/>
      <c r="B11" s="246" t="s">
        <v>1226</v>
      </c>
      <c r="C11" s="243" t="s">
        <v>850</v>
      </c>
      <c r="D11" s="244">
        <v>44582</v>
      </c>
      <c r="E11" s="235">
        <v>218.24</v>
      </c>
      <c r="F11" s="236">
        <f>SUMIF('REPORTE GASTOS'!C:C,COBRANZA!B11,'REPORTE GASTOS'!G:G)</f>
        <v>218.24</v>
      </c>
      <c r="G11" s="224">
        <f t="shared" si="0"/>
        <v>0</v>
      </c>
      <c r="H11" s="237">
        <v>1113.0239999999999</v>
      </c>
      <c r="I11" s="238">
        <f>SUMIF('REPORTE GASTOS'!C:C,COBRANZA!B11,'REPORTE GASTOS'!I:I)</f>
        <v>988.25599999999997</v>
      </c>
      <c r="J11" s="224">
        <f t="shared" si="1"/>
        <v>124.76799999999992</v>
      </c>
      <c r="K11" s="66"/>
      <c r="L11" s="86"/>
    </row>
    <row r="12" spans="1:12" hidden="1">
      <c r="A12" s="41"/>
      <c r="B12" s="246" t="s">
        <v>1227</v>
      </c>
      <c r="C12" s="243" t="s">
        <v>28</v>
      </c>
      <c r="D12" s="244">
        <v>44582</v>
      </c>
      <c r="E12" s="235">
        <v>51.15</v>
      </c>
      <c r="F12" s="236">
        <f>SUMIF('REPORTE GASTOS'!C:C,COBRANZA!B12,'REPORTE GASTOS'!G:G)</f>
        <v>51.15</v>
      </c>
      <c r="G12" s="224">
        <f t="shared" si="0"/>
        <v>0</v>
      </c>
      <c r="H12" s="237">
        <v>260.86500000000001</v>
      </c>
      <c r="I12" s="238">
        <f>SUMIF('REPORTE GASTOS'!C:C,COBRANZA!B12,'REPORTE GASTOS'!I:I)</f>
        <v>228.12899999999999</v>
      </c>
      <c r="J12" s="224">
        <f t="shared" si="1"/>
        <v>32.736000000000018</v>
      </c>
      <c r="K12" s="66"/>
      <c r="L12" s="86"/>
    </row>
    <row r="13" spans="1:12" hidden="1">
      <c r="A13" s="41"/>
      <c r="B13" s="242" t="s">
        <v>1228</v>
      </c>
      <c r="C13" s="243" t="s">
        <v>1217</v>
      </c>
      <c r="D13" s="244">
        <v>44583</v>
      </c>
      <c r="E13" s="235">
        <v>34.78</v>
      </c>
      <c r="F13" s="236">
        <f>SUMIF('REPORTE GASTOS'!C:C,COBRANZA!B13,'REPORTE GASTOS'!G:G)</f>
        <v>34.78</v>
      </c>
      <c r="G13" s="224">
        <f t="shared" ref="G13" si="2">E13-F13</f>
        <v>0</v>
      </c>
      <c r="H13" s="237">
        <v>177.37799999999999</v>
      </c>
      <c r="I13" s="238">
        <f>SUMIF('REPORTE GASTOS'!C:C,COBRANZA!B13,'REPORTE GASTOS'!I:I)</f>
        <v>159.988</v>
      </c>
      <c r="J13" s="224">
        <f t="shared" ref="J13" si="3">H13-I13</f>
        <v>17.389999999999986</v>
      </c>
      <c r="K13" s="66"/>
      <c r="L13" s="86"/>
    </row>
    <row r="14" spans="1:12" hidden="1">
      <c r="A14" s="41"/>
      <c r="B14" s="245" t="s">
        <v>1229</v>
      </c>
      <c r="C14" s="243" t="s">
        <v>237</v>
      </c>
      <c r="D14" s="244">
        <v>44585</v>
      </c>
      <c r="E14" s="235">
        <v>116.30000000000001</v>
      </c>
      <c r="F14" s="236">
        <f>SUMIF('REPORTE GASTOS'!C:C,COBRANZA!B14,'REPORTE GASTOS'!G:G)</f>
        <v>116.3</v>
      </c>
      <c r="G14" s="224">
        <f t="shared" ref="G14:G77" si="4">E14-F14</f>
        <v>0</v>
      </c>
      <c r="H14" s="237">
        <v>593.13</v>
      </c>
      <c r="I14" s="238">
        <f>SUMIF('REPORTE GASTOS'!C:C,COBRANZA!B14,'REPORTE GASTOS'!I:I)</f>
        <v>534.98</v>
      </c>
      <c r="J14" s="224">
        <f t="shared" ref="J14:J77" si="5">H14-I14</f>
        <v>58.149999999999977</v>
      </c>
      <c r="K14" s="66"/>
      <c r="L14" s="86"/>
    </row>
    <row r="15" spans="1:12" hidden="1">
      <c r="A15" s="41"/>
      <c r="B15" s="245" t="s">
        <v>1230</v>
      </c>
      <c r="C15" s="243" t="s">
        <v>1069</v>
      </c>
      <c r="D15" s="244">
        <v>44585</v>
      </c>
      <c r="E15" s="235">
        <v>73.92</v>
      </c>
      <c r="F15" s="236">
        <f>SUMIF('REPORTE GASTOS'!C:C,COBRANZA!B15,'REPORTE GASTOS'!G:G)</f>
        <v>73.92</v>
      </c>
      <c r="G15" s="224">
        <f t="shared" si="4"/>
        <v>0</v>
      </c>
      <c r="H15" s="237">
        <v>376.99199999999996</v>
      </c>
      <c r="I15" s="238">
        <f>SUMIF('REPORTE GASTOS'!C:C,COBRANZA!B15,'REPORTE GASTOS'!I:I)</f>
        <v>340.03199999999998</v>
      </c>
      <c r="J15" s="224">
        <f t="shared" si="5"/>
        <v>36.95999999999998</v>
      </c>
      <c r="K15" s="66"/>
      <c r="L15" s="86"/>
    </row>
    <row r="16" spans="1:12" hidden="1">
      <c r="A16" s="41"/>
      <c r="B16" s="246" t="s">
        <v>1231</v>
      </c>
      <c r="C16" s="243" t="s">
        <v>301</v>
      </c>
      <c r="D16" s="244">
        <v>44585</v>
      </c>
      <c r="E16" s="235">
        <v>89.600000000000009</v>
      </c>
      <c r="F16" s="236">
        <f>SUMIF('REPORTE GASTOS'!C:C,COBRANZA!B16,'REPORTE GASTOS'!G:G)</f>
        <v>89.6</v>
      </c>
      <c r="G16" s="224">
        <f t="shared" si="4"/>
        <v>0</v>
      </c>
      <c r="H16" s="237">
        <v>456.96</v>
      </c>
      <c r="I16" s="238">
        <f>SUMIF('REPORTE GASTOS'!C:C,COBRANZA!B16,'REPORTE GASTOS'!I:I)</f>
        <v>412.15999999999997</v>
      </c>
      <c r="J16" s="224">
        <f t="shared" si="5"/>
        <v>44.800000000000011</v>
      </c>
      <c r="K16" s="66"/>
    </row>
    <row r="17" spans="1:12" hidden="1">
      <c r="A17" s="41"/>
      <c r="B17" s="246" t="s">
        <v>1232</v>
      </c>
      <c r="C17" s="243" t="s">
        <v>1096</v>
      </c>
      <c r="D17" s="244">
        <v>44592</v>
      </c>
      <c r="E17" s="235">
        <v>149.38</v>
      </c>
      <c r="F17" s="236">
        <f>SUMIF('REPORTE GASTOS'!C:C,COBRANZA!B17,'REPORTE GASTOS'!G:G)</f>
        <v>149.38</v>
      </c>
      <c r="G17" s="224">
        <f t="shared" si="4"/>
        <v>0</v>
      </c>
      <c r="H17" s="237">
        <v>761.83799999999997</v>
      </c>
      <c r="I17" s="238">
        <f>SUMIF('REPORTE GASTOS'!C:C,COBRANZA!B17,'REPORTE GASTOS'!I:I)</f>
        <v>663.27200000000005</v>
      </c>
      <c r="J17" s="224">
        <f t="shared" si="5"/>
        <v>98.565999999999917</v>
      </c>
      <c r="K17" s="66"/>
    </row>
    <row r="18" spans="1:12" hidden="1">
      <c r="A18" s="41"/>
      <c r="B18" s="246" t="s">
        <v>1233</v>
      </c>
      <c r="C18" s="243" t="s">
        <v>1059</v>
      </c>
      <c r="D18" s="244">
        <v>44592</v>
      </c>
      <c r="E18" s="235">
        <v>32.400000000000006</v>
      </c>
      <c r="F18" s="236">
        <f>SUMIF('REPORTE GASTOS'!C:C,COBRANZA!B18,'REPORTE GASTOS'!G:G)</f>
        <v>32.4</v>
      </c>
      <c r="G18" s="224">
        <f t="shared" si="4"/>
        <v>0</v>
      </c>
      <c r="H18" s="237">
        <v>165.24</v>
      </c>
      <c r="I18" s="238">
        <f>SUMIF('REPORTE GASTOS'!C:C,COBRANZA!B18,'REPORTE GASTOS'!I:I)</f>
        <v>142.56</v>
      </c>
      <c r="J18" s="224">
        <f t="shared" si="5"/>
        <v>22.680000000000007</v>
      </c>
      <c r="K18" s="66"/>
    </row>
    <row r="19" spans="1:12" hidden="1">
      <c r="A19" s="41"/>
      <c r="B19" s="246" t="s">
        <v>1234</v>
      </c>
      <c r="C19" s="243" t="s">
        <v>977</v>
      </c>
      <c r="D19" s="244">
        <v>44594</v>
      </c>
      <c r="E19" s="235">
        <v>103.2</v>
      </c>
      <c r="F19" s="236">
        <f>SUMIF('REPORTE GASTOS'!C:C,COBRANZA!B19,'REPORTE GASTOS'!G:G)</f>
        <v>103.2</v>
      </c>
      <c r="G19" s="224">
        <f t="shared" si="4"/>
        <v>0</v>
      </c>
      <c r="H19" s="237">
        <v>526.31999999999994</v>
      </c>
      <c r="I19" s="238">
        <f>SUMIF('REPORTE GASTOS'!C:C,COBRANZA!B19,'REPORTE GASTOS'!I:I)</f>
        <v>454.08000000000004</v>
      </c>
      <c r="J19" s="224">
        <f t="shared" si="5"/>
        <v>72.239999999999895</v>
      </c>
      <c r="K19" s="66"/>
    </row>
    <row r="20" spans="1:12" hidden="1">
      <c r="A20" s="41">
        <v>1</v>
      </c>
      <c r="B20" s="28" t="str">
        <f>IF(ISERROR(VLOOKUP(A20,'RELACION VTAS - CHS'!D:F,3,FALSE))=FALSE,VLOOKUP(A20,'RELACION VTAS - CHS'!D:F,3,FALSE),"")</f>
        <v>SFC-0222-001</v>
      </c>
      <c r="C20" s="203" t="str">
        <f>IF(B20="","",VLOOKUP(B20,'RELACION VTAS - CHS'!F:H,3,FALSE))</f>
        <v>JAVI FONSECA</v>
      </c>
      <c r="D20" s="56">
        <f>IF(B20="","",VLOOKUP(B20,'RELACION VTAS - CHS'!F:H,2,FALSE))</f>
        <v>44595</v>
      </c>
      <c r="E20" s="223">
        <f>IF(ISERROR(VLOOKUP($B20,'RELACION VTAS - CHS'!$F$7:$V$250,16,FALSE))=FALSE,VLOOKUP($B20,'RELACION VTAS - CHS'!$F$7:$V$250,16,FALSE),0)</f>
        <v>24.56</v>
      </c>
      <c r="F20" s="223">
        <f>SUMIF('REPORTE GASTOS'!C:C,COBRANZA!B20,'REPORTE GASTOS'!G:G)</f>
        <v>24.56</v>
      </c>
      <c r="G20" s="224">
        <f t="shared" si="4"/>
        <v>0</v>
      </c>
      <c r="H20" s="222">
        <f>IF(ISERROR(VLOOKUP($B20,'RELACION VTAS - CHS'!$F$7:$V$250,16,FALSE))=FALSE,VLOOKUP($B20,'RELACION VTAS - CHS'!$F$7:$V$250,17,FALSE),0)</f>
        <v>112.97600000000001</v>
      </c>
      <c r="I20" s="217">
        <f>SUMIF('REPORTE GASTOS'!C:C,COBRANZA!B20,'REPORTE GASTOS'!I:I)</f>
        <v>112.976</v>
      </c>
      <c r="J20" s="224">
        <f t="shared" si="5"/>
        <v>0</v>
      </c>
      <c r="K20" s="66"/>
    </row>
    <row r="21" spans="1:12" hidden="1">
      <c r="A21" s="41">
        <v>2</v>
      </c>
      <c r="B21" s="28" t="str">
        <f>IF(ISERROR(VLOOKUP(A21,'RELACION VTAS - CHS'!D:F,3,FALSE))=FALSE,VLOOKUP(A21,'RELACION VTAS - CHS'!D:F,3,FALSE),"")</f>
        <v>SFC-0222-002</v>
      </c>
      <c r="C21" s="203" t="str">
        <f>IF(B21="","",VLOOKUP(B21,'RELACION VTAS - CHS'!F:H,3,FALSE))</f>
        <v>ANIEL CALDERON</v>
      </c>
      <c r="D21" s="56">
        <f>IF(B21="","",VLOOKUP(B21,'RELACION VTAS - CHS'!F:H,2,FALSE))</f>
        <v>44596</v>
      </c>
      <c r="E21" s="223">
        <f>IF(ISERROR(VLOOKUP($B21,'RELACION VTAS - CHS'!$F$7:$V$250,16,FALSE))=FALSE,VLOOKUP($B21,'RELACION VTAS - CHS'!$F$7:$V$250,16,FALSE),0)</f>
        <v>4.4800000000000004</v>
      </c>
      <c r="F21" s="223">
        <f>SUMIF('REPORTE GASTOS'!C:C,COBRANZA!B21,'REPORTE GASTOS'!G:G)</f>
        <v>4.4800000000000004</v>
      </c>
      <c r="G21" s="224">
        <f t="shared" si="4"/>
        <v>0</v>
      </c>
      <c r="H21" s="222">
        <f>IF(ISERROR(VLOOKUP($B21,'RELACION VTAS - CHS'!$F$7:$V$250,16,FALSE))=FALSE,VLOOKUP($B21,'RELACION VTAS - CHS'!$F$7:$V$250,17,FALSE),0)</f>
        <v>20.608000000000001</v>
      </c>
      <c r="I21" s="217">
        <f>SUMIF('REPORTE GASTOS'!C:C,COBRANZA!B21,'REPORTE GASTOS'!I:I)</f>
        <v>20.608000000000001</v>
      </c>
      <c r="J21" s="224">
        <f t="shared" si="5"/>
        <v>0</v>
      </c>
      <c r="K21" s="66"/>
    </row>
    <row r="22" spans="1:12" hidden="1">
      <c r="A22" s="41">
        <v>3</v>
      </c>
      <c r="B22" s="28" t="str">
        <f>IF(ISERROR(VLOOKUP(A22,'RELACION VTAS - CHS'!D:F,3,FALSE))=FALSE,VLOOKUP(A22,'RELACION VTAS - CHS'!D:F,3,FALSE),"")</f>
        <v>SFC-0222-003</v>
      </c>
      <c r="C22" s="203" t="str">
        <f>IF(B22="","",VLOOKUP(B22,'RELACION VTAS - CHS'!F:H,3,FALSE))</f>
        <v>INVERSIONES Y SERVICIOS TOTALES, C.A.</v>
      </c>
      <c r="D22" s="56">
        <f>IF(B22="","",VLOOKUP(B22,'RELACION VTAS - CHS'!F:H,2,FALSE))</f>
        <v>44596</v>
      </c>
      <c r="E22" s="223">
        <f>IF(ISERROR(VLOOKUP($B22,'RELACION VTAS - CHS'!$F$7:$V$250,16,FALSE))=FALSE,VLOOKUP($B22,'RELACION VTAS - CHS'!$F$7:$V$250,16,FALSE),0)</f>
        <v>156</v>
      </c>
      <c r="F22" s="223">
        <f>SUMIF('REPORTE GASTOS'!C:C,COBRANZA!B22,'REPORTE GASTOS'!G:G)</f>
        <v>156</v>
      </c>
      <c r="G22" s="224">
        <f t="shared" si="4"/>
        <v>0</v>
      </c>
      <c r="H22" s="222">
        <f>IF(ISERROR(VLOOKUP($B22,'RELACION VTAS - CHS'!$F$7:$V$250,16,FALSE))=FALSE,VLOOKUP($B22,'RELACION VTAS - CHS'!$F$7:$V$250,17,FALSE),0)</f>
        <v>717.59999999999991</v>
      </c>
      <c r="I22" s="217">
        <f>SUMIF('REPORTE GASTOS'!C:C,COBRANZA!B22,'REPORTE GASTOS'!I:I)</f>
        <v>717.59999999999991</v>
      </c>
      <c r="J22" s="224">
        <f t="shared" si="5"/>
        <v>0</v>
      </c>
      <c r="K22" s="66"/>
    </row>
    <row r="23" spans="1:12">
      <c r="A23" s="41">
        <v>4</v>
      </c>
      <c r="B23" s="28" t="str">
        <f>IF(ISERROR(VLOOKUP(A23,'RELACION VTAS - CHS'!D:F,3,FALSE))=FALSE,VLOOKUP(A23,'RELACION VTAS - CHS'!D:F,3,FALSE),"")</f>
        <v>SFC-0222-004</v>
      </c>
      <c r="C23" s="203" t="str">
        <f>IF(B23="","",VLOOKUP(B23,'RELACION VTAS - CHS'!F:H,3,FALSE))</f>
        <v>DISTRIBUIDORA DISMACONR, C.A.</v>
      </c>
      <c r="D23" s="56">
        <f>IF(B23="","",VLOOKUP(B23,'RELACION VTAS - CHS'!F:H,2,FALSE))</f>
        <v>44597</v>
      </c>
      <c r="E23" s="223">
        <f>IF(ISERROR(VLOOKUP($B23,'RELACION VTAS - CHS'!$F$7:$V$250,16,FALSE))=FALSE,VLOOKUP($B23,'RELACION VTAS - CHS'!$F$7:$V$250,16,FALSE),0)</f>
        <v>95.199999999999989</v>
      </c>
      <c r="F23" s="223">
        <f>SUMIF('REPORTE GASTOS'!C:C,COBRANZA!B23,'REPORTE GASTOS'!G:G)</f>
        <v>0</v>
      </c>
      <c r="G23" s="224">
        <f t="shared" si="4"/>
        <v>95.199999999999989</v>
      </c>
      <c r="H23" s="222">
        <f>IF(ISERROR(VLOOKUP($B23,'RELACION VTAS - CHS'!$F$7:$V$250,16,FALSE))=FALSE,VLOOKUP($B23,'RELACION VTAS - CHS'!$F$7:$V$250,17,FALSE),0)</f>
        <v>485.52</v>
      </c>
      <c r="I23" s="217">
        <f>SUMIF('REPORTE GASTOS'!C:C,COBRANZA!B23,'REPORTE GASTOS'!I:I)</f>
        <v>0</v>
      </c>
      <c r="J23" s="224">
        <f t="shared" si="5"/>
        <v>485.52</v>
      </c>
      <c r="K23" s="66"/>
    </row>
    <row r="24" spans="1:12" hidden="1">
      <c r="A24" s="41">
        <v>5</v>
      </c>
      <c r="B24" s="28" t="str">
        <f>IF(ISERROR(VLOOKUP(A24,'RELACION VTAS - CHS'!D:F,3,FALSE))=FALSE,VLOOKUP(A24,'RELACION VTAS - CHS'!D:F,3,FALSE),"")</f>
        <v>SFC-0222-005</v>
      </c>
      <c r="C24" s="203" t="str">
        <f>IF(B24="","",VLOOKUP(B24,'RELACION VTAS - CHS'!F:H,3,FALSE))</f>
        <v>JAVI EFREN CHIRINOS</v>
      </c>
      <c r="D24" s="56">
        <f>IF(B24="","",VLOOKUP(B24,'RELACION VTAS - CHS'!F:H,2,FALSE))</f>
        <v>44599</v>
      </c>
      <c r="E24" s="223">
        <f>IF(ISERROR(VLOOKUP($B24,'RELACION VTAS - CHS'!$F$7:$V$250,16,FALSE))=FALSE,VLOOKUP($B24,'RELACION VTAS - CHS'!$F$7:$V$250,16,FALSE),0)</f>
        <v>102.2</v>
      </c>
      <c r="F24" s="223">
        <f>SUMIF('REPORTE GASTOS'!C:C,COBRANZA!B24,'REPORTE GASTOS'!G:G)</f>
        <v>102.2</v>
      </c>
      <c r="G24" s="224">
        <f t="shared" si="4"/>
        <v>0</v>
      </c>
      <c r="H24" s="222">
        <f>IF(ISERROR(VLOOKUP($B24,'RELACION VTAS - CHS'!$F$7:$V$250,16,FALSE))=FALSE,VLOOKUP($B24,'RELACION VTAS - CHS'!$F$7:$V$250,17,FALSE),0)</f>
        <v>457.9</v>
      </c>
      <c r="I24" s="217">
        <f>SUMIF('REPORTE GASTOS'!C:C,COBRANZA!B24,'REPORTE GASTOS'!I:I)</f>
        <v>457.9</v>
      </c>
      <c r="J24" s="224">
        <f t="shared" si="5"/>
        <v>0</v>
      </c>
      <c r="K24" s="66"/>
    </row>
    <row r="25" spans="1:12" hidden="1">
      <c r="A25" s="41">
        <v>6</v>
      </c>
      <c r="B25" s="28" t="str">
        <f>IF(ISERROR(VLOOKUP(A25,'RELACION VTAS - CHS'!D:F,3,FALSE))=FALSE,VLOOKUP(A25,'RELACION VTAS - CHS'!D:F,3,FALSE),"")</f>
        <v>SFC-0222-006</v>
      </c>
      <c r="C25" s="203" t="str">
        <f>IF(B25="","",VLOOKUP(B25,'RELACION VTAS - CHS'!F:H,3,FALSE))</f>
        <v>XIOMARA DEL CARMEN YOBERA</v>
      </c>
      <c r="D25" s="56">
        <f>IF(B25="","",VLOOKUP(B25,'RELACION VTAS - CHS'!F:H,2,FALSE))</f>
        <v>44600</v>
      </c>
      <c r="E25" s="223">
        <f>IF(ISERROR(VLOOKUP($B25,'RELACION VTAS - CHS'!$F$7:$V$250,16,FALSE))=FALSE,VLOOKUP($B25,'RELACION VTAS - CHS'!$F$7:$V$250,16,FALSE),0)</f>
        <v>285.60000000000002</v>
      </c>
      <c r="F25" s="223">
        <f>SUMIF('REPORTE GASTOS'!C:C,COBRANZA!B25,'REPORTE GASTOS'!G:G)</f>
        <v>285.60000000000002</v>
      </c>
      <c r="G25" s="224">
        <f t="shared" si="4"/>
        <v>0</v>
      </c>
      <c r="H25" s="222">
        <f>IF(ISERROR(VLOOKUP($B25,'RELACION VTAS - CHS'!$F$7:$V$250,16,FALSE))=FALSE,VLOOKUP($B25,'RELACION VTAS - CHS'!$F$7:$V$250,17,FALSE),0)</f>
        <v>1313.76</v>
      </c>
      <c r="I25" s="217">
        <f>SUMIF('REPORTE GASTOS'!C:C,COBRANZA!B25,'REPORTE GASTOS'!I:I)</f>
        <v>1313.76</v>
      </c>
      <c r="J25" s="224">
        <f t="shared" si="5"/>
        <v>0</v>
      </c>
      <c r="K25" s="66"/>
    </row>
    <row r="26" spans="1:12">
      <c r="A26" s="41">
        <v>7</v>
      </c>
      <c r="B26" s="28" t="str">
        <f>IF(ISERROR(VLOOKUP(A26,'RELACION VTAS - CHS'!D:F,3,FALSE))=FALSE,VLOOKUP(A26,'RELACION VTAS - CHS'!D:F,3,FALSE),"")</f>
        <v>SFC-0222-007</v>
      </c>
      <c r="C26" s="203" t="str">
        <f>IF(B26="","",VLOOKUP(B26,'RELACION VTAS - CHS'!F:H,3,FALSE))</f>
        <v>FERRE CERAMICAS FALCON, C.A.</v>
      </c>
      <c r="D26" s="56">
        <f>IF(B26="","",VLOOKUP(B26,'RELACION VTAS - CHS'!F:H,2,FALSE))</f>
        <v>44600</v>
      </c>
      <c r="E26" s="223">
        <f>IF(ISERROR(VLOOKUP($B26,'RELACION VTAS - CHS'!$F$7:$V$250,16,FALSE))=FALSE,VLOOKUP($B26,'RELACION VTAS - CHS'!$F$7:$V$250,16,FALSE),0)</f>
        <v>83.8</v>
      </c>
      <c r="F26" s="223">
        <f>SUMIF('REPORTE GASTOS'!C:C,COBRANZA!B26,'REPORTE GASTOS'!G:G)</f>
        <v>40</v>
      </c>
      <c r="G26" s="224">
        <f t="shared" si="4"/>
        <v>43.8</v>
      </c>
      <c r="H26" s="222">
        <f>IF(ISERROR(VLOOKUP($B26,'RELACION VTAS - CHS'!$F$7:$V$250,16,FALSE))=FALSE,VLOOKUP($B26,'RELACION VTAS - CHS'!$F$7:$V$250,17,FALSE),0)</f>
        <v>368.72000000000008</v>
      </c>
      <c r="I26" s="217">
        <f>SUMIF('REPORTE GASTOS'!C:C,COBRANZA!B26,'REPORTE GASTOS'!I:I)</f>
        <v>176</v>
      </c>
      <c r="J26" s="224">
        <f t="shared" si="5"/>
        <v>192.72000000000008</v>
      </c>
      <c r="K26" s="66"/>
    </row>
    <row r="27" spans="1:12" hidden="1">
      <c r="A27" s="41">
        <v>8</v>
      </c>
      <c r="B27" s="28" t="str">
        <f>IF(ISERROR(VLOOKUP(A27,'RELACION VTAS - CHS'!D:F,3,FALSE))=FALSE,VLOOKUP(A27,'RELACION VTAS - CHS'!D:F,3,FALSE),"")</f>
        <v>SFC-0222-008</v>
      </c>
      <c r="C27" s="203" t="str">
        <f>IF(B27="","",VLOOKUP(B27,'RELACION VTAS - CHS'!F:H,3,FALSE))</f>
        <v>ALCIDES CAMACHO</v>
      </c>
      <c r="D27" s="56">
        <f>IF(B27="","",VLOOKUP(B27,'RELACION VTAS - CHS'!F:H,2,FALSE))</f>
        <v>44600</v>
      </c>
      <c r="E27" s="223">
        <f>IF(ISERROR(VLOOKUP($B27,'RELACION VTAS - CHS'!$F$7:$V$250,16,FALSE))=FALSE,VLOOKUP($B27,'RELACION VTAS - CHS'!$F$7:$V$250,16,FALSE),0)</f>
        <v>54</v>
      </c>
      <c r="F27" s="223">
        <f>SUMIF('REPORTE GASTOS'!C:C,COBRANZA!B27,'REPORTE GASTOS'!G:G)</f>
        <v>54</v>
      </c>
      <c r="G27" s="224">
        <f t="shared" si="4"/>
        <v>0</v>
      </c>
      <c r="H27" s="222">
        <f>IF(ISERROR(VLOOKUP($B27,'RELACION VTAS - CHS'!$F$7:$V$250,16,FALSE))=FALSE,VLOOKUP($B27,'RELACION VTAS - CHS'!$F$7:$V$250,17,FALSE),0)</f>
        <v>248.16000000000003</v>
      </c>
      <c r="I27" s="217">
        <f>SUMIF('REPORTE GASTOS'!C:C,COBRANZA!B27,'REPORTE GASTOS'!I:I)</f>
        <v>248.16</v>
      </c>
      <c r="J27" s="224">
        <f t="shared" si="5"/>
        <v>0</v>
      </c>
      <c r="K27" s="66"/>
    </row>
    <row r="28" spans="1:12" hidden="1">
      <c r="A28" s="41">
        <v>9</v>
      </c>
      <c r="B28" s="28" t="str">
        <f>IF(ISERROR(VLOOKUP(A28,'RELACION VTAS - CHS'!D:F,3,FALSE))=FALSE,VLOOKUP(A28,'RELACION VTAS - CHS'!D:F,3,FALSE),"")</f>
        <v>SFC-0222-009</v>
      </c>
      <c r="C28" s="203" t="str">
        <f>IF(B28="","",VLOOKUP(B28,'RELACION VTAS - CHS'!F:H,3,FALSE))</f>
        <v>INVERSIONES Y SERVICIOS TOTALES, C.A.</v>
      </c>
      <c r="D28" s="56">
        <f>IF(B28="","",VLOOKUP(B28,'RELACION VTAS - CHS'!F:H,2,FALSE))</f>
        <v>44602</v>
      </c>
      <c r="E28" s="223">
        <f>IF(ISERROR(VLOOKUP($B28,'RELACION VTAS - CHS'!$F$7:$V$250,16,FALSE))=FALSE,VLOOKUP($B28,'RELACION VTAS - CHS'!$F$7:$V$250,16,FALSE),0)</f>
        <v>148.82</v>
      </c>
      <c r="F28" s="223">
        <f>SUMIF('REPORTE GASTOS'!C:C,COBRANZA!B28,'REPORTE GASTOS'!G:G)</f>
        <v>148.82</v>
      </c>
      <c r="G28" s="224">
        <f t="shared" si="4"/>
        <v>0</v>
      </c>
      <c r="H28" s="222">
        <f>IF(ISERROR(VLOOKUP($B28,'RELACION VTAS - CHS'!$F$7:$V$250,16,FALSE))=FALSE,VLOOKUP($B28,'RELACION VTAS - CHS'!$F$7:$V$250,17,FALSE),0)</f>
        <v>684.57200000000012</v>
      </c>
      <c r="I28" s="217">
        <f>SUMIF('REPORTE GASTOS'!C:C,COBRANZA!B28,'REPORTE GASTOS'!I:I)</f>
        <v>684.572</v>
      </c>
      <c r="J28" s="224">
        <f t="shared" si="5"/>
        <v>0</v>
      </c>
      <c r="K28" s="66"/>
      <c r="L28" s="268"/>
    </row>
    <row r="29" spans="1:12" hidden="1">
      <c r="A29" s="41">
        <v>10</v>
      </c>
      <c r="B29" s="28" t="str">
        <f>IF(ISERROR(VLOOKUP(A29,'RELACION VTAS - CHS'!D:F,3,FALSE))=FALSE,VLOOKUP(A29,'RELACION VTAS - CHS'!D:F,3,FALSE),"")</f>
        <v>SFC-0222-010</v>
      </c>
      <c r="C29" s="203" t="str">
        <f>IF(B29="","",VLOOKUP(B29,'RELACION VTAS - CHS'!F:H,3,FALSE))</f>
        <v>FERRETERIA ALEXANDER JESUS COLINA MATOS</v>
      </c>
      <c r="D29" s="56">
        <f>IF(B29="","",VLOOKUP(B29,'RELACION VTAS - CHS'!F:H,2,FALSE))</f>
        <v>44602</v>
      </c>
      <c r="E29" s="223">
        <f>IF(ISERROR(VLOOKUP($B29,'RELACION VTAS - CHS'!$F$7:$V$250,16,FALSE))=FALSE,VLOOKUP($B29,'RELACION VTAS - CHS'!$F$7:$V$250,16,FALSE),0)</f>
        <v>132.4</v>
      </c>
      <c r="F29" s="223">
        <f>SUMIF('REPORTE GASTOS'!C:C,COBRANZA!B29,'REPORTE GASTOS'!G:G)</f>
        <v>132.4</v>
      </c>
      <c r="G29" s="224">
        <f t="shared" si="4"/>
        <v>0</v>
      </c>
      <c r="H29" s="222">
        <f>IF(ISERROR(VLOOKUP($B29,'RELACION VTAS - CHS'!$F$7:$V$250,16,FALSE))=FALSE,VLOOKUP($B29,'RELACION VTAS - CHS'!$F$7:$V$250,17,FALSE),0)</f>
        <v>607.71600000000001</v>
      </c>
      <c r="I29" s="217">
        <f>SUMIF('REPORTE GASTOS'!C:C,COBRANZA!B29,'REPORTE GASTOS'!I:I)</f>
        <v>607.71599999999989</v>
      </c>
      <c r="J29" s="224">
        <f t="shared" si="5"/>
        <v>0</v>
      </c>
      <c r="K29" s="66"/>
    </row>
    <row r="30" spans="1:12" hidden="1">
      <c r="A30" s="41">
        <v>11</v>
      </c>
      <c r="B30" s="28" t="str">
        <f>IF(ISERROR(VLOOKUP(A30,'RELACION VTAS - CHS'!D:F,3,FALSE))=FALSE,VLOOKUP(A30,'RELACION VTAS - CHS'!D:F,3,FALSE),"")</f>
        <v>SFC-0222-011</v>
      </c>
      <c r="C30" s="203" t="str">
        <f>IF(B30="","",VLOOKUP(B30,'RELACION VTAS - CHS'!F:H,3,FALSE))</f>
        <v>INVERSIONES Y SERVICIOS TOTALES, C.A.</v>
      </c>
      <c r="D30" s="56">
        <f>IF(B30="","",VLOOKUP(B30,'RELACION VTAS - CHS'!F:H,2,FALSE))</f>
        <v>44603</v>
      </c>
      <c r="E30" s="223">
        <f>IF(ISERROR(VLOOKUP($B30,'RELACION VTAS - CHS'!$F$7:$V$250,16,FALSE))=FALSE,VLOOKUP($B30,'RELACION VTAS - CHS'!$F$7:$V$250,16,FALSE),0)</f>
        <v>78.87</v>
      </c>
      <c r="F30" s="223">
        <f>SUMIF('REPORTE GASTOS'!C:C,COBRANZA!B30,'REPORTE GASTOS'!G:G)</f>
        <v>78.87</v>
      </c>
      <c r="G30" s="224">
        <f t="shared" si="4"/>
        <v>0</v>
      </c>
      <c r="H30" s="222">
        <f>IF(ISERROR(VLOOKUP($B30,'RELACION VTAS - CHS'!$F$7:$V$250,16,FALSE))=FALSE,VLOOKUP($B30,'RELACION VTAS - CHS'!$F$7:$V$250,17,FALSE),0)</f>
        <v>351.7602</v>
      </c>
      <c r="I30" s="217">
        <f>SUMIF('REPORTE GASTOS'!C:C,COBRANZA!B30,'REPORTE GASTOS'!I:I)</f>
        <v>351.7602</v>
      </c>
      <c r="J30" s="224">
        <f t="shared" si="5"/>
        <v>0</v>
      </c>
      <c r="K30" s="66"/>
    </row>
    <row r="31" spans="1:12" hidden="1">
      <c r="A31" s="41">
        <v>12</v>
      </c>
      <c r="B31" s="28" t="str">
        <f>IF(ISERROR(VLOOKUP(A31,'RELACION VTAS - CHS'!D:F,3,FALSE))=FALSE,VLOOKUP(A31,'RELACION VTAS - CHS'!D:F,3,FALSE),"")</f>
        <v>SFC-0222-012</v>
      </c>
      <c r="C31" s="203" t="str">
        <f>IF(B31="","",VLOOKUP(B31,'RELACION VTAS - CHS'!F:H,3,FALSE))</f>
        <v>FERRETERIA MONTE ALTO F.E., C.A.</v>
      </c>
      <c r="D31" s="56">
        <f>IF(B31="","",VLOOKUP(B31,'RELACION VTAS - CHS'!F:H,2,FALSE))</f>
        <v>44606</v>
      </c>
      <c r="E31" s="223">
        <f>IF(ISERROR(VLOOKUP($B31,'RELACION VTAS - CHS'!$F$7:$V$250,16,FALSE))=FALSE,VLOOKUP($B31,'RELACION VTAS - CHS'!$F$7:$V$250,16,FALSE),0)</f>
        <v>43.07</v>
      </c>
      <c r="F31" s="223">
        <f>SUMIF('REPORTE GASTOS'!C:C,COBRANZA!B31,'REPORTE GASTOS'!G:G)</f>
        <v>43.07</v>
      </c>
      <c r="G31" s="224">
        <f t="shared" si="4"/>
        <v>0</v>
      </c>
      <c r="H31" s="222">
        <f>IF(ISERROR(VLOOKUP($B31,'RELACION VTAS - CHS'!$F$7:$V$250,16,FALSE))=FALSE,VLOOKUP($B31,'RELACION VTAS - CHS'!$F$7:$V$250,17,FALSE),0)</f>
        <v>192.09219999999999</v>
      </c>
      <c r="I31" s="217">
        <f>SUMIF('REPORTE GASTOS'!C:C,COBRANZA!B31,'REPORTE GASTOS'!I:I)</f>
        <v>197.69129999999998</v>
      </c>
      <c r="J31" s="224">
        <f t="shared" si="5"/>
        <v>-5.5990999999999929</v>
      </c>
      <c r="K31" s="66"/>
    </row>
    <row r="32" spans="1:12">
      <c r="A32" s="41">
        <v>13</v>
      </c>
      <c r="B32" s="28" t="str">
        <f>IF(ISERROR(VLOOKUP(A32,'RELACION VTAS - CHS'!D:F,3,FALSE))=FALSE,VLOOKUP(A32,'RELACION VTAS - CHS'!D:F,3,FALSE),"")</f>
        <v>SFC-0222-013</v>
      </c>
      <c r="C32" s="203" t="str">
        <f>IF(B32="","",VLOOKUP(B32,'RELACION VTAS - CHS'!F:H,3,FALSE))</f>
        <v>INVERSIONES FONSECA BLOCKS, C.A.</v>
      </c>
      <c r="D32" s="56">
        <f>IF(B32="","",VLOOKUP(B32,'RELACION VTAS - CHS'!F:H,2,FALSE))</f>
        <v>44606</v>
      </c>
      <c r="E32" s="223">
        <f>IF(ISERROR(VLOOKUP($B32,'RELACION VTAS - CHS'!$F$7:$V$250,16,FALSE))=FALSE,VLOOKUP($B32,'RELACION VTAS - CHS'!$F$7:$V$250,16,FALSE),0)</f>
        <v>128.85</v>
      </c>
      <c r="F32" s="223">
        <f>SUMIF('REPORTE GASTOS'!C:C,COBRANZA!B32,'REPORTE GASTOS'!G:G)</f>
        <v>48.85</v>
      </c>
      <c r="G32" s="224">
        <f t="shared" si="4"/>
        <v>80</v>
      </c>
      <c r="H32" s="222">
        <f>IF(ISERROR(VLOOKUP($B32,'RELACION VTAS - CHS'!$F$7:$V$250,16,FALSE))=FALSE,VLOOKUP($B32,'RELACION VTAS - CHS'!$F$7:$V$250,17,FALSE),0)</f>
        <v>570.29999999999995</v>
      </c>
      <c r="I32" s="217">
        <f>SUMIF('REPORTE GASTOS'!C:C,COBRANZA!B32,'REPORTE GASTOS'!I:I)</f>
        <v>214.94000000000003</v>
      </c>
      <c r="J32" s="224">
        <f t="shared" si="5"/>
        <v>355.3599999999999</v>
      </c>
      <c r="K32" s="66"/>
      <c r="L32" s="273"/>
    </row>
    <row r="33" spans="1:12" ht="15" customHeight="1">
      <c r="A33" s="41">
        <v>14</v>
      </c>
      <c r="B33" s="28" t="str">
        <f>IF(ISERROR(VLOOKUP(A33,'RELACION VTAS - CHS'!D:F,3,FALSE))=FALSE,VLOOKUP(A33,'RELACION VTAS - CHS'!D:F,3,FALSE),"")</f>
        <v>SFC-0222-014</v>
      </c>
      <c r="C33" s="203" t="str">
        <f>IF(B33="","",VLOOKUP(B33,'RELACION VTAS - CHS'!F:H,3,FALSE))</f>
        <v>FERRE PINTURAS FORNE, C.A.</v>
      </c>
      <c r="D33" s="56">
        <f>IF(B33="","",VLOOKUP(B33,'RELACION VTAS - CHS'!F:H,2,FALSE))</f>
        <v>44607</v>
      </c>
      <c r="E33" s="223">
        <f>IF(ISERROR(VLOOKUP($B33,'RELACION VTAS - CHS'!$F$7:$V$250,16,FALSE))=FALSE,VLOOKUP($B33,'RELACION VTAS - CHS'!$F$7:$V$250,16,FALSE),0)</f>
        <v>56</v>
      </c>
      <c r="F33" s="223">
        <f>SUMIF('REPORTE GASTOS'!C:C,COBRANZA!B33,'REPORTE GASTOS'!G:G)</f>
        <v>0</v>
      </c>
      <c r="G33" s="224">
        <f t="shared" si="4"/>
        <v>56</v>
      </c>
      <c r="H33" s="222">
        <f>IF(ISERROR(VLOOKUP($B33,'RELACION VTAS - CHS'!$F$7:$V$250,16,FALSE))=FALSE,VLOOKUP($B33,'RELACION VTAS - CHS'!$F$7:$V$250,17,FALSE),0)</f>
        <v>285.59999999999997</v>
      </c>
      <c r="I33" s="217">
        <f>SUMIF('REPORTE GASTOS'!C:C,COBRANZA!B33,'REPORTE GASTOS'!I:I)</f>
        <v>0</v>
      </c>
      <c r="J33" s="224">
        <f t="shared" si="5"/>
        <v>285.59999999999997</v>
      </c>
      <c r="K33" s="66"/>
    </row>
    <row r="34" spans="1:12" hidden="1">
      <c r="A34" s="41">
        <v>15</v>
      </c>
      <c r="B34" s="28" t="str">
        <f>IF(ISERROR(VLOOKUP(A34,'RELACION VTAS - CHS'!D:F,3,FALSE))=FALSE,VLOOKUP(A34,'RELACION VTAS - CHS'!D:F,3,FALSE),"")</f>
        <v>SFC-0222-015</v>
      </c>
      <c r="C34" s="203" t="str">
        <f>IF(B34="","",VLOOKUP(B34,'RELACION VTAS - CHS'!F:H,3,FALSE))</f>
        <v>FERRETERIA FORNE H, C.A.</v>
      </c>
      <c r="D34" s="56">
        <f>IF(B34="","",VLOOKUP(B34,'RELACION VTAS - CHS'!F:H,2,FALSE))</f>
        <v>44607</v>
      </c>
      <c r="E34" s="223">
        <f>IF(ISERROR(VLOOKUP($B34,'RELACION VTAS - CHS'!$F$7:$V$250,16,FALSE))=FALSE,VLOOKUP($B34,'RELACION VTAS - CHS'!$F$7:$V$250,16,FALSE),0)</f>
        <v>122.56</v>
      </c>
      <c r="F34" s="223">
        <f>SUMIF('REPORTE GASTOS'!C:C,COBRANZA!B34,'REPORTE GASTOS'!G:G)</f>
        <v>122.56</v>
      </c>
      <c r="G34" s="224">
        <f t="shared" si="4"/>
        <v>0</v>
      </c>
      <c r="H34" s="222">
        <f>IF(ISERROR(VLOOKUP($B34,'RELACION VTAS - CHS'!$F$7:$V$250,16,FALSE))=FALSE,VLOOKUP($B34,'RELACION VTAS - CHS'!$F$7:$V$250,17,FALSE),0)</f>
        <v>546.60645</v>
      </c>
      <c r="I34" s="217">
        <f>SUMIF('REPORTE GASTOS'!C:C,COBRANZA!B34,'REPORTE GASTOS'!I:I)</f>
        <v>546.61760000000004</v>
      </c>
      <c r="J34" s="224">
        <f t="shared" si="5"/>
        <v>-1.1150000000043292E-2</v>
      </c>
      <c r="K34" s="66"/>
    </row>
    <row r="35" spans="1:12" hidden="1">
      <c r="A35" s="41">
        <v>16</v>
      </c>
      <c r="B35" s="28" t="str">
        <f>IF(ISERROR(VLOOKUP(A35,'RELACION VTAS - CHS'!D:F,3,FALSE))=FALSE,VLOOKUP(A35,'RELACION VTAS - CHS'!D:F,3,FALSE),"")</f>
        <v>SFC-0222-016</v>
      </c>
      <c r="C35" s="203" t="str">
        <f>IF(B35="","",VLOOKUP(B35,'RELACION VTAS - CHS'!F:H,3,FALSE))</f>
        <v>YALISBETH ACOSTA</v>
      </c>
      <c r="D35" s="56">
        <f>IF(B35="","",VLOOKUP(B35,'RELACION VTAS - CHS'!F:H,2,FALSE))</f>
        <v>44607</v>
      </c>
      <c r="E35" s="223">
        <f>IF(ISERROR(VLOOKUP($B35,'RELACION VTAS - CHS'!$F$7:$V$250,16,FALSE))=FALSE,VLOOKUP($B35,'RELACION VTAS - CHS'!$F$7:$V$250,16,FALSE),0)</f>
        <v>21.6</v>
      </c>
      <c r="F35" s="223">
        <f>SUMIF('REPORTE GASTOS'!C:C,COBRANZA!B35,'REPORTE GASTOS'!G:G)</f>
        <v>21.6</v>
      </c>
      <c r="G35" s="224">
        <f t="shared" si="4"/>
        <v>0</v>
      </c>
      <c r="H35" s="222">
        <f>IF(ISERROR(VLOOKUP($B35,'RELACION VTAS - CHS'!$F$7:$V$250,16,FALSE))=FALSE,VLOOKUP($B35,'RELACION VTAS - CHS'!$F$7:$V$250,17,FALSE),0)</f>
        <v>96.335999999999999</v>
      </c>
      <c r="I35" s="217">
        <f>SUMIF('REPORTE GASTOS'!C:C,COBRANZA!B35,'REPORTE GASTOS'!I:I)</f>
        <v>95.04</v>
      </c>
      <c r="J35" s="224">
        <f t="shared" si="5"/>
        <v>1.2959999999999923</v>
      </c>
      <c r="K35" s="66"/>
    </row>
    <row r="36" spans="1:12" hidden="1">
      <c r="A36" s="41">
        <v>17</v>
      </c>
      <c r="B36" s="28" t="str">
        <f>IF(ISERROR(VLOOKUP(A36,'RELACION VTAS - CHS'!D:F,3,FALSE))=FALSE,VLOOKUP(A36,'RELACION VTAS - CHS'!D:F,3,FALSE),"")</f>
        <v>SFC-0222-017</v>
      </c>
      <c r="C36" s="203" t="str">
        <f>IF(B36="","",VLOOKUP(B36,'RELACION VTAS - CHS'!F:H,3,FALSE))</f>
        <v>BLOQUERA CARORA, C.A</v>
      </c>
      <c r="D36" s="56">
        <f>IF(B36="","",VLOOKUP(B36,'RELACION VTAS - CHS'!F:H,2,FALSE))</f>
        <v>44610</v>
      </c>
      <c r="E36" s="223">
        <f>IF(ISERROR(VLOOKUP($B36,'RELACION VTAS - CHS'!$F$7:$V$250,16,FALSE))=FALSE,VLOOKUP($B36,'RELACION VTAS - CHS'!$F$7:$V$250,16,FALSE),0)</f>
        <v>27</v>
      </c>
      <c r="F36" s="223">
        <f>SUMIF('REPORTE GASTOS'!C:C,COBRANZA!B36,'REPORTE GASTOS'!G:G)</f>
        <v>27</v>
      </c>
      <c r="G36" s="224">
        <f t="shared" si="4"/>
        <v>0</v>
      </c>
      <c r="H36" s="222">
        <f>IF(ISERROR(VLOOKUP($B36,'RELACION VTAS - CHS'!$F$7:$V$250,16,FALSE))=FALSE,VLOOKUP($B36,'RELACION VTAS - CHS'!$F$7:$V$250,17,FALSE),0)</f>
        <v>120.42</v>
      </c>
      <c r="I36" s="217">
        <f>SUMIF('REPORTE GASTOS'!C:C,COBRANZA!B36,'REPORTE GASTOS'!I:I)</f>
        <v>118.80000000000001</v>
      </c>
      <c r="J36" s="224">
        <f t="shared" si="5"/>
        <v>1.6199999999999903</v>
      </c>
      <c r="K36" s="66"/>
      <c r="L36" s="268"/>
    </row>
    <row r="37" spans="1:12">
      <c r="A37" s="41">
        <v>18</v>
      </c>
      <c r="B37" s="28" t="str">
        <f>IF(ISERROR(VLOOKUP(A37,'RELACION VTAS - CHS'!D:F,3,FALSE))=FALSE,VLOOKUP(A37,'RELACION VTAS - CHS'!D:F,3,FALSE),"")</f>
        <v>SFC-0222-018</v>
      </c>
      <c r="C37" s="203" t="str">
        <f>IF(B37="","",VLOOKUP(B37,'RELACION VTAS - CHS'!F:H,3,FALSE))</f>
        <v>FERRETERIA MONTE ALTO F.E., C.A.</v>
      </c>
      <c r="D37" s="56">
        <f>IF(B37="","",VLOOKUP(B37,'RELACION VTAS - CHS'!F:H,2,FALSE))</f>
        <v>44610</v>
      </c>
      <c r="E37" s="223">
        <f>IF(ISERROR(VLOOKUP($B37,'RELACION VTAS - CHS'!$F$7:$V$250,16,FALSE))=FALSE,VLOOKUP($B37,'RELACION VTAS - CHS'!$F$7:$V$250,16,FALSE),0)</f>
        <v>98.44</v>
      </c>
      <c r="F37" s="223">
        <f>SUMIF('REPORTE GASTOS'!C:C,COBRANZA!B37,'REPORTE GASTOS'!G:G)</f>
        <v>0</v>
      </c>
      <c r="G37" s="224">
        <f t="shared" si="4"/>
        <v>98.44</v>
      </c>
      <c r="H37" s="222">
        <f>IF(ISERROR(VLOOKUP($B37,'RELACION VTAS - CHS'!$F$7:$V$250,16,FALSE))=FALSE,VLOOKUP($B37,'RELACION VTAS - CHS'!$F$7:$V$250,17,FALSE),0)</f>
        <v>433.13600000000008</v>
      </c>
      <c r="I37" s="217">
        <f>SUMIF('REPORTE GASTOS'!C:C,COBRANZA!B37,'REPORTE GASTOS'!I:I)</f>
        <v>0</v>
      </c>
      <c r="J37" s="224">
        <f t="shared" si="5"/>
        <v>433.13600000000008</v>
      </c>
      <c r="K37" s="66"/>
    </row>
    <row r="38" spans="1:12" hidden="1">
      <c r="A38" s="41">
        <v>19</v>
      </c>
      <c r="B38" s="29" t="str">
        <f>IF(ISERROR(VLOOKUP(A38,'RELACION VTAS - CHS'!D:F,3,FALSE))=FALSE,VLOOKUP(A38,'RELACION VTAS - CHS'!D:F,3,FALSE),"")</f>
        <v>SFC-0222-019</v>
      </c>
      <c r="C38" s="191" t="str">
        <f>IF(B38="","",VLOOKUP(B38,'RELACION VTAS - CHS'!F:H,3,FALSE))</f>
        <v>COSEIMPA CORO, C. A.</v>
      </c>
      <c r="D38" s="56">
        <f>IF(B38="","",VLOOKUP(B38,'RELACION VTAS - CHS'!F:H,2,FALSE))</f>
        <v>44610</v>
      </c>
      <c r="E38" s="223">
        <f>IF(ISERROR(VLOOKUP($B38,'RELACION VTAS - CHS'!$F$7:$V$250,16,FALSE))=FALSE,VLOOKUP($B38,'RELACION VTAS - CHS'!$F$7:$V$250,16,FALSE),0)</f>
        <v>693.14</v>
      </c>
      <c r="F38" s="223">
        <f>SUMIF('REPORTE GASTOS'!C:C,COBRANZA!B38,'REPORTE GASTOS'!G:G)</f>
        <v>693.14</v>
      </c>
      <c r="G38" s="224">
        <f t="shared" si="4"/>
        <v>0</v>
      </c>
      <c r="H38" s="222">
        <f>IF(ISERROR(VLOOKUP($B38,'RELACION VTAS - CHS'!$F$7:$V$250,16,FALSE))=FALSE,VLOOKUP($B38,'RELACION VTAS - CHS'!$F$7:$V$250,17,FALSE),0)</f>
        <v>3049.8160000000007</v>
      </c>
      <c r="I38" s="217">
        <f>SUMIF('REPORTE GASTOS'!C:C,COBRANZA!B38,'REPORTE GASTOS'!I:I)</f>
        <v>3049.8160000000003</v>
      </c>
      <c r="J38" s="224">
        <f t="shared" si="5"/>
        <v>0</v>
      </c>
      <c r="K38" s="66"/>
    </row>
    <row r="39" spans="1:12">
      <c r="A39" s="41">
        <v>20</v>
      </c>
      <c r="B39" s="28" t="str">
        <f>IF(ISERROR(VLOOKUP(A39,'RELACION VTAS - CHS'!D:F,3,FALSE))=FALSE,VLOOKUP(A39,'RELACION VTAS - CHS'!D:F,3,FALSE),"")</f>
        <v>SFC-0222-020</v>
      </c>
      <c r="C39" s="203" t="str">
        <f>IF(B39="","",VLOOKUP(B39,'RELACION VTAS - CHS'!F:H,3,FALSE))</f>
        <v>INVERSIONES FRANERC, C.A.</v>
      </c>
      <c r="D39" s="56">
        <f>IF(B39="","",VLOOKUP(B39,'RELACION VTAS - CHS'!F:H,2,FALSE))</f>
        <v>44610</v>
      </c>
      <c r="E39" s="223">
        <f>IF(ISERROR(VLOOKUP($B39,'RELACION VTAS - CHS'!$F$7:$V$250,16,FALSE))=FALSE,VLOOKUP($B39,'RELACION VTAS - CHS'!$F$7:$V$250,16,FALSE),0)</f>
        <v>485.85</v>
      </c>
      <c r="F39" s="223">
        <f>SUMIF('REPORTE GASTOS'!C:C,COBRANZA!B39,'REPORTE GASTOS'!G:G)</f>
        <v>0</v>
      </c>
      <c r="G39" s="224">
        <f t="shared" si="4"/>
        <v>485.85</v>
      </c>
      <c r="H39" s="222">
        <f>IF(ISERROR(VLOOKUP($B39,'RELACION VTAS - CHS'!$F$7:$V$250,16,FALSE))=FALSE,VLOOKUP($B39,'RELACION VTAS - CHS'!$F$7:$V$250,17,FALSE),0)</f>
        <v>2273.4349999999999</v>
      </c>
      <c r="I39" s="217">
        <f>SUMIF('REPORTE GASTOS'!C:C,COBRANZA!B39,'REPORTE GASTOS'!I:I)</f>
        <v>0</v>
      </c>
      <c r="J39" s="224">
        <f t="shared" si="5"/>
        <v>2273.4349999999999</v>
      </c>
      <c r="K39" s="66"/>
    </row>
    <row r="40" spans="1:12" ht="30">
      <c r="A40" s="41">
        <v>21</v>
      </c>
      <c r="B40" s="28" t="str">
        <f>IF(ISERROR(VLOOKUP(A40,'RELACION VTAS - CHS'!D:F,3,FALSE))=FALSE,VLOOKUP(A40,'RELACION VTAS - CHS'!D:F,3,FALSE),"")</f>
        <v>SFC-0222-021</v>
      </c>
      <c r="C40" s="191" t="str">
        <f>IF(B40="","",VLOOKUP(B40,'RELACION VTAS - CHS'!F:H,3,FALSE))</f>
        <v>ENYERBERTH FORNELINO FERRETERIA FORNE E, F.P.</v>
      </c>
      <c r="D40" s="56">
        <f>IF(B40="","",VLOOKUP(B40,'RELACION VTAS - CHS'!F:H,2,FALSE))</f>
        <v>44610</v>
      </c>
      <c r="E40" s="223">
        <f>IF(ISERROR(VLOOKUP($B40,'RELACION VTAS - CHS'!$F$7:$V$250,16,FALSE))=FALSE,VLOOKUP($B40,'RELACION VTAS - CHS'!$F$7:$V$250,16,FALSE),0)</f>
        <v>97.509999999999991</v>
      </c>
      <c r="F40" s="223">
        <f>SUMIF('REPORTE GASTOS'!C:C,COBRANZA!B40,'REPORTE GASTOS'!G:G)</f>
        <v>0</v>
      </c>
      <c r="G40" s="224">
        <f t="shared" si="4"/>
        <v>97.509999999999991</v>
      </c>
      <c r="H40" s="222">
        <f>IF(ISERROR(VLOOKUP($B40,'RELACION VTAS - CHS'!$F$7:$V$250,16,FALSE))=FALSE,VLOOKUP($B40,'RELACION VTAS - CHS'!$F$7:$V$250,17,FALSE),0)</f>
        <v>497.30099999999999</v>
      </c>
      <c r="I40" s="217">
        <f>SUMIF('REPORTE GASTOS'!C:C,COBRANZA!B40,'REPORTE GASTOS'!I:I)</f>
        <v>0</v>
      </c>
      <c r="J40" s="224">
        <f t="shared" si="5"/>
        <v>497.30099999999999</v>
      </c>
      <c r="K40" s="66"/>
      <c r="L40" s="268"/>
    </row>
    <row r="41" spans="1:12">
      <c r="A41" s="41">
        <v>22</v>
      </c>
      <c r="B41" s="28" t="str">
        <f>IF(ISERROR(VLOOKUP(A41,'RELACION VTAS - CHS'!D:F,3,FALSE))=FALSE,VLOOKUP(A41,'RELACION VTAS - CHS'!D:F,3,FALSE),"")</f>
        <v>SFC-0222-022</v>
      </c>
      <c r="C41" s="191" t="str">
        <f>IF(B41="","",VLOOKUP(B41,'RELACION VTAS - CHS'!F:H,3,FALSE))</f>
        <v>JAVI EFREN CHIRINOS</v>
      </c>
      <c r="D41" s="56">
        <f>IF(B41="","",VLOOKUP(B41,'RELACION VTAS - CHS'!F:H,2,FALSE))</f>
        <v>44610</v>
      </c>
      <c r="E41" s="223">
        <f>IF(ISERROR(VLOOKUP($B41,'RELACION VTAS - CHS'!$F$7:$V$250,16,FALSE))=FALSE,VLOOKUP($B41,'RELACION VTAS - CHS'!$F$7:$V$250,16,FALSE),0)</f>
        <v>78.759999999999991</v>
      </c>
      <c r="F41" s="223">
        <f>SUMIF('REPORTE GASTOS'!C:C,COBRANZA!B41,'REPORTE GASTOS'!G:G)</f>
        <v>33.76</v>
      </c>
      <c r="G41" s="224">
        <f t="shared" si="4"/>
        <v>44.999999999999993</v>
      </c>
      <c r="H41" s="222">
        <f>IF(ISERROR(VLOOKUP($B41,'RELACION VTAS - CHS'!$F$7:$V$250,16,FALSE))=FALSE,VLOOKUP($B41,'RELACION VTAS - CHS'!$F$7:$V$250,17,FALSE),0)</f>
        <v>358.61928909952616</v>
      </c>
      <c r="I41" s="217">
        <f>SUMIF('REPORTE GASTOS'!C:C,COBRANZA!B41,'REPORTE GASTOS'!I:I)</f>
        <v>153.72</v>
      </c>
      <c r="J41" s="224">
        <f t="shared" si="5"/>
        <v>204.89928909952616</v>
      </c>
      <c r="K41" s="66"/>
    </row>
    <row r="42" spans="1:12" ht="13.5" hidden="1" customHeight="1">
      <c r="A42" s="41">
        <v>23</v>
      </c>
      <c r="B42" s="28" t="str">
        <f>IF(ISERROR(VLOOKUP(A42,'RELACION VTAS - CHS'!D:F,3,FALSE))=FALSE,VLOOKUP(A42,'RELACION VTAS - CHS'!D:F,3,FALSE),"")</f>
        <v>SFC-0222-023</v>
      </c>
      <c r="C42" s="191" t="str">
        <f>IF(B42="","",VLOOKUP(B42,'RELACION VTAS - CHS'!F:H,3,FALSE))</f>
        <v>INVERSIONES Y SERVICIOS TOTALES, C.A.</v>
      </c>
      <c r="D42" s="56">
        <f>IF(B42="","",VLOOKUP(B42,'RELACION VTAS - CHS'!F:H,2,FALSE))</f>
        <v>44613</v>
      </c>
      <c r="E42" s="223">
        <f>IF(ISERROR(VLOOKUP($B42,'RELACION VTAS - CHS'!$F$7:$V$250,16,FALSE))=FALSE,VLOOKUP($B42,'RELACION VTAS - CHS'!$F$7:$V$250,16,FALSE),0)</f>
        <v>56</v>
      </c>
      <c r="F42" s="223">
        <f>SUMIF('REPORTE GASTOS'!C:C,COBRANZA!B42,'REPORTE GASTOS'!G:G)</f>
        <v>56.000000000000007</v>
      </c>
      <c r="G42" s="224">
        <f t="shared" si="4"/>
        <v>0</v>
      </c>
      <c r="H42" s="222">
        <f>IF(ISERROR(VLOOKUP($B42,'RELACION VTAS - CHS'!$F$7:$V$250,16,FALSE))=FALSE,VLOOKUP($B42,'RELACION VTAS - CHS'!$F$7:$V$250,17,FALSE),0)</f>
        <v>257.04000000000002</v>
      </c>
      <c r="I42" s="217">
        <f>SUMIF('REPORTE GASTOS'!C:C,COBRANZA!B42,'REPORTE GASTOS'!I:I)</f>
        <v>257.04000000000002</v>
      </c>
      <c r="J42" s="224">
        <f t="shared" si="5"/>
        <v>0</v>
      </c>
      <c r="K42" s="66"/>
    </row>
    <row r="43" spans="1:12" hidden="1">
      <c r="A43" s="41">
        <v>24</v>
      </c>
      <c r="B43" s="28" t="str">
        <f>IF(ISERROR(VLOOKUP(A43,'RELACION VTAS - CHS'!D:F,3,FALSE))=FALSE,VLOOKUP(A43,'RELACION VTAS - CHS'!D:F,3,FALSE),"")</f>
        <v>SFC-0222-024</v>
      </c>
      <c r="C43" s="191" t="str">
        <f>IF(B43="","",VLOOKUP(B43,'RELACION VTAS - CHS'!F:H,3,FALSE))</f>
        <v>FERRETERIA PEPINO, S.A.</v>
      </c>
      <c r="D43" s="56">
        <f>IF(B43="","",VLOOKUP(B43,'RELACION VTAS - CHS'!F:H,2,FALSE))</f>
        <v>44613</v>
      </c>
      <c r="E43" s="223">
        <f>IF(ISERROR(VLOOKUP($B43,'RELACION VTAS - CHS'!$F$7:$V$250,16,FALSE))=FALSE,VLOOKUP($B43,'RELACION VTAS - CHS'!$F$7:$V$250,16,FALSE),0)</f>
        <v>23.9</v>
      </c>
      <c r="F43" s="223">
        <f>SUMIF('REPORTE GASTOS'!C:C,COBRANZA!B43,'REPORTE GASTOS'!G:G)</f>
        <v>23.9</v>
      </c>
      <c r="G43" s="224">
        <f t="shared" si="4"/>
        <v>0</v>
      </c>
      <c r="H43" s="222">
        <f>IF(ISERROR(VLOOKUP($B43,'RELACION VTAS - CHS'!$F$7:$V$250,16,FALSE))=FALSE,VLOOKUP($B43,'RELACION VTAS - CHS'!$F$7:$V$250,17,FALSE),0)</f>
        <v>105.16000000000003</v>
      </c>
      <c r="I43" s="217">
        <f>SUMIF('REPORTE GASTOS'!C:C,COBRANZA!B43,'REPORTE GASTOS'!I:I)</f>
        <v>105.16</v>
      </c>
      <c r="J43" s="224">
        <f t="shared" si="5"/>
        <v>0</v>
      </c>
      <c r="K43" s="66"/>
    </row>
    <row r="44" spans="1:12" hidden="1">
      <c r="A44" s="41">
        <v>25</v>
      </c>
      <c r="B44" s="28" t="str">
        <f>IF(ISERROR(VLOOKUP(A44,'RELACION VTAS - CHS'!D:F,3,FALSE))=FALSE,VLOOKUP(A44,'RELACION VTAS - CHS'!D:F,3,FALSE),"")</f>
        <v>SFC-0222-025</v>
      </c>
      <c r="C44" s="191" t="str">
        <f>IF(B44="","",VLOOKUP(B44,'RELACION VTAS - CHS'!F:H,3,FALSE))</f>
        <v>OSWALDO MARTINEZ</v>
      </c>
      <c r="D44" s="56">
        <f>IF(B44="","",VLOOKUP(B44,'RELACION VTAS - CHS'!F:H,2,FALSE))</f>
        <v>44615</v>
      </c>
      <c r="E44" s="223">
        <f>IF(ISERROR(VLOOKUP($B44,'RELACION VTAS - CHS'!$F$7:$V$250,16,FALSE))=FALSE,VLOOKUP($B44,'RELACION VTAS - CHS'!$F$7:$V$250,16,FALSE),0)</f>
        <v>41.95</v>
      </c>
      <c r="F44" s="223">
        <f>SUMIF('REPORTE GASTOS'!C:C,COBRANZA!B44,'REPORTE GASTOS'!G:G)</f>
        <v>41.95</v>
      </c>
      <c r="G44" s="224">
        <f t="shared" si="4"/>
        <v>0</v>
      </c>
      <c r="H44" s="222">
        <f>IF(ISERROR(VLOOKUP($B44,'RELACION VTAS - CHS'!$F$7:$V$250,16,FALSE))=FALSE,VLOOKUP($B44,'RELACION VTAS - CHS'!$F$7:$V$250,17,FALSE),0)</f>
        <v>184.58000000000004</v>
      </c>
      <c r="I44" s="217">
        <f>SUMIF('REPORTE GASTOS'!C:C,COBRANZA!B44,'REPORTE GASTOS'!I:I)</f>
        <v>184.58</v>
      </c>
      <c r="J44" s="224">
        <f t="shared" si="5"/>
        <v>0</v>
      </c>
      <c r="K44" s="66"/>
    </row>
    <row r="45" spans="1:12" hidden="1">
      <c r="A45" s="41">
        <v>26</v>
      </c>
      <c r="B45" s="28" t="str">
        <f>IF(ISERROR(VLOOKUP(A45,'RELACION VTAS - CHS'!D:F,3,FALSE))=FALSE,VLOOKUP(A45,'RELACION VTAS - CHS'!D:F,3,FALSE),"")</f>
        <v>SFC-0222-026</v>
      </c>
      <c r="C45" s="191" t="str">
        <f>IF(B45="","",VLOOKUP(B45,'RELACION VTAS - CHS'!F:H,3,FALSE))</f>
        <v>CARMEN MOLINA</v>
      </c>
      <c r="D45" s="56">
        <f>IF(B45="","",VLOOKUP(B45,'RELACION VTAS - CHS'!F:H,2,FALSE))</f>
        <v>44615</v>
      </c>
      <c r="E45" s="223">
        <f>IF(ISERROR(VLOOKUP($B45,'RELACION VTAS - CHS'!$F$7:$V$250,16,FALSE))=FALSE,VLOOKUP($B45,'RELACION VTAS - CHS'!$F$7:$V$250,16,FALSE),0)</f>
        <v>75.599999999999994</v>
      </c>
      <c r="F45" s="223">
        <f>SUMIF('REPORTE GASTOS'!C:C,COBRANZA!B45,'REPORTE GASTOS'!G:G)</f>
        <v>75.599999999999994</v>
      </c>
      <c r="G45" s="224">
        <f t="shared" si="4"/>
        <v>0</v>
      </c>
      <c r="H45" s="222">
        <f>IF(ISERROR(VLOOKUP($B45,'RELACION VTAS - CHS'!$F$7:$V$250,16,FALSE))=FALSE,VLOOKUP($B45,'RELACION VTAS - CHS'!$F$7:$V$250,17,FALSE),0)</f>
        <v>332.6400000000001</v>
      </c>
      <c r="I45" s="217">
        <f>SUMIF('REPORTE GASTOS'!C:C,COBRANZA!B45,'REPORTE GASTOS'!I:I)</f>
        <v>332.64</v>
      </c>
      <c r="J45" s="224">
        <f t="shared" si="5"/>
        <v>0</v>
      </c>
      <c r="K45" s="66"/>
    </row>
    <row r="46" spans="1:12" hidden="1">
      <c r="A46" s="41">
        <v>27</v>
      </c>
      <c r="B46" s="28" t="str">
        <f>IF(ISERROR(VLOOKUP(A46,'RELACION VTAS - CHS'!D:F,3,FALSE))=FALSE,VLOOKUP(A46,'RELACION VTAS - CHS'!D:F,3,FALSE),"")</f>
        <v>SFC-0222-027</v>
      </c>
      <c r="C46" s="191" t="str">
        <f>IF(B46="","",VLOOKUP(B46,'RELACION VTAS - CHS'!F:H,3,FALSE))</f>
        <v>RAY  PEREZ</v>
      </c>
      <c r="D46" s="56">
        <f>IF(B46="","",VLOOKUP(B46,'RELACION VTAS - CHS'!F:H,2,FALSE))</f>
        <v>44615</v>
      </c>
      <c r="E46" s="223">
        <f>IF(ISERROR(VLOOKUP($B46,'RELACION VTAS - CHS'!$F$7:$V$250,16,FALSE))=FALSE,VLOOKUP($B46,'RELACION VTAS - CHS'!$F$7:$V$250,16,FALSE),0)</f>
        <v>8.3800000000000008</v>
      </c>
      <c r="F46" s="223">
        <f>SUMIF('REPORTE GASTOS'!C:C,COBRANZA!B46,'REPORTE GASTOS'!G:G)</f>
        <v>8.379999999999999</v>
      </c>
      <c r="G46" s="224">
        <f t="shared" si="4"/>
        <v>0</v>
      </c>
      <c r="H46" s="222">
        <f>IF(ISERROR(VLOOKUP($B46,'RELACION VTAS - CHS'!$F$7:$V$250,16,FALSE))=FALSE,VLOOKUP($B46,'RELACION VTAS - CHS'!$F$7:$V$250,17,FALSE),0)</f>
        <v>36.872000000000007</v>
      </c>
      <c r="I46" s="217">
        <f>SUMIF('REPORTE GASTOS'!C:C,COBRANZA!B46,'REPORTE GASTOS'!I:I)</f>
        <v>36.872</v>
      </c>
      <c r="J46" s="224">
        <f t="shared" si="5"/>
        <v>0</v>
      </c>
      <c r="K46" s="66"/>
    </row>
    <row r="47" spans="1:12">
      <c r="A47" s="41">
        <v>28</v>
      </c>
      <c r="B47" s="28" t="str">
        <f>IF(ISERROR(VLOOKUP(A47,'RELACION VTAS - CHS'!D:F,3,FALSE))=FALSE,VLOOKUP(A47,'RELACION VTAS - CHS'!D:F,3,FALSE),"")</f>
        <v>SFC-0222-028</v>
      </c>
      <c r="C47" s="191" t="str">
        <f>IF(B47="","",VLOOKUP(B47,'RELACION VTAS - CHS'!F:H,3,FALSE))</f>
        <v>FERRETERIA MONTE ALTO F.E., C.A.</v>
      </c>
      <c r="D47" s="56">
        <f>IF(B47="","",VLOOKUP(B47,'RELACION VTAS - CHS'!F:H,2,FALSE))</f>
        <v>44617</v>
      </c>
      <c r="E47" s="223">
        <f>IF(ISERROR(VLOOKUP($B47,'RELACION VTAS - CHS'!$F$7:$V$250,16,FALSE))=FALSE,VLOOKUP($B47,'RELACION VTAS - CHS'!$F$7:$V$250,16,FALSE),0)</f>
        <v>12.4</v>
      </c>
      <c r="F47" s="223">
        <f>SUMIF('REPORTE GASTOS'!C:C,COBRANZA!B47,'REPORTE GASTOS'!G:G)</f>
        <v>0</v>
      </c>
      <c r="G47" s="224">
        <f t="shared" si="4"/>
        <v>12.4</v>
      </c>
      <c r="H47" s="222">
        <f>IF(ISERROR(VLOOKUP($B47,'RELACION VTAS - CHS'!$F$7:$V$250,16,FALSE))=FALSE,VLOOKUP($B47,'RELACION VTAS - CHS'!$F$7:$V$250,17,FALSE),0)</f>
        <v>63.240000000000009</v>
      </c>
      <c r="I47" s="217">
        <f>SUMIF('REPORTE GASTOS'!C:C,COBRANZA!B47,'REPORTE GASTOS'!I:I)</f>
        <v>0</v>
      </c>
      <c r="J47" s="224">
        <f t="shared" si="5"/>
        <v>63.240000000000009</v>
      </c>
      <c r="K47" s="66"/>
    </row>
    <row r="48" spans="1:12" hidden="1">
      <c r="A48" s="41">
        <v>29</v>
      </c>
      <c r="B48" s="77" t="str">
        <f>IF(ISERROR(VLOOKUP(A48,'RELACION VTAS - CHS'!D:F,3,FALSE))=FALSE,VLOOKUP(A48,'RELACION VTAS - CHS'!D:F,3,FALSE),"")</f>
        <v>SFC-0222-029</v>
      </c>
      <c r="C48" s="191" t="str">
        <f>IF(B48="","",VLOOKUP(B48,'RELACION VTAS - CHS'!F:H,3,FALSE))</f>
        <v>INVERSIONES Y SERVICIOS TOTALES, C.A.</v>
      </c>
      <c r="D48" s="56">
        <f>IF(B48="","",VLOOKUP(B48,'RELACION VTAS - CHS'!F:H,2,FALSE))</f>
        <v>44617</v>
      </c>
      <c r="E48" s="223">
        <f>IF(ISERROR(VLOOKUP($B48,'RELACION VTAS - CHS'!$F$7:$V$250,16,FALSE))=FALSE,VLOOKUP($B48,'RELACION VTAS - CHS'!$F$7:$V$250,16,FALSE),0)</f>
        <v>194.18</v>
      </c>
      <c r="F48" s="223">
        <f>SUMIF('REPORTE GASTOS'!C:C,COBRANZA!B48,'REPORTE GASTOS'!G:G)</f>
        <v>194.18</v>
      </c>
      <c r="G48" s="224">
        <f t="shared" si="4"/>
        <v>0</v>
      </c>
      <c r="H48" s="222">
        <f>IF(ISERROR(VLOOKUP($B48,'RELACION VTAS - CHS'!$F$7:$V$250,16,FALSE))=FALSE,VLOOKUP($B48,'RELACION VTAS - CHS'!$F$7:$V$250,17,FALSE),0)</f>
        <v>891.28620000000001</v>
      </c>
      <c r="I48" s="217">
        <f>SUMIF('REPORTE GASTOS'!C:C,COBRANZA!B48,'REPORTE GASTOS'!I:I)</f>
        <v>891.28620000000001</v>
      </c>
      <c r="J48" s="224">
        <f t="shared" si="5"/>
        <v>0</v>
      </c>
      <c r="K48" s="66"/>
    </row>
    <row r="49" spans="1:11">
      <c r="A49" s="41">
        <v>30</v>
      </c>
      <c r="B49" s="77" t="str">
        <f>IF(ISERROR(VLOOKUP(A49,'RELACION VTAS - CHS'!D:F,3,FALSE))=FALSE,VLOOKUP(A49,'RELACION VTAS - CHS'!D:F,3,FALSE),"")</f>
        <v>SFC-0222-030</v>
      </c>
      <c r="C49" s="191" t="str">
        <f>IF(B49="","",VLOOKUP(B49,'RELACION VTAS - CHS'!F:H,3,FALSE))</f>
        <v>JAVI EFREN CHIRINOS</v>
      </c>
      <c r="D49" s="56">
        <f>IF(B49="","",VLOOKUP(B49,'RELACION VTAS - CHS'!F:H,2,FALSE))</f>
        <v>44617</v>
      </c>
      <c r="E49" s="223">
        <f>IF(ISERROR(VLOOKUP($B49,'RELACION VTAS - CHS'!$F$7:$V$250,16,FALSE))=FALSE,VLOOKUP($B49,'RELACION VTAS - CHS'!$F$7:$V$250,16,FALSE),0)</f>
        <v>65.820000000000007</v>
      </c>
      <c r="F49" s="223">
        <f>SUMIF('REPORTE GASTOS'!C:C,COBRANZA!B49,'REPORTE GASTOS'!G:G)</f>
        <v>0</v>
      </c>
      <c r="G49" s="224">
        <f t="shared" si="4"/>
        <v>65.820000000000007</v>
      </c>
      <c r="H49" s="222">
        <f>IF(ISERROR(VLOOKUP($B49,'RELACION VTAS - CHS'!$F$7:$V$250,16,FALSE))=FALSE,VLOOKUP($B49,'RELACION VTAS - CHS'!$F$7:$V$250,17,FALSE),0)</f>
        <v>335.68200000000002</v>
      </c>
      <c r="I49" s="217">
        <f>SUMIF('REPORTE GASTOS'!C:C,COBRANZA!B49,'REPORTE GASTOS'!I:I)</f>
        <v>0</v>
      </c>
      <c r="J49" s="224">
        <f t="shared" si="5"/>
        <v>335.68200000000002</v>
      </c>
      <c r="K49" s="66"/>
    </row>
    <row r="50" spans="1:11">
      <c r="A50" s="41">
        <v>31</v>
      </c>
      <c r="B50" s="77" t="str">
        <f>IF(ISERROR(VLOOKUP(A50,'RELACION VTAS - CHS'!D:F,3,FALSE))=FALSE,VLOOKUP(A50,'RELACION VTAS - CHS'!D:F,3,FALSE),"")</f>
        <v>SFC-0222-031</v>
      </c>
      <c r="C50" s="191" t="str">
        <f>IF(B50="","",VLOOKUP(B50,'RELACION VTAS - CHS'!F:H,3,FALSE))</f>
        <v>INVERSIONES FERRECASA ATA, C.A.</v>
      </c>
      <c r="D50" s="56">
        <f>IF(B50="","",VLOOKUP(B50,'RELACION VTAS - CHS'!F:H,2,FALSE))</f>
        <v>44617</v>
      </c>
      <c r="E50" s="223">
        <f>IF(ISERROR(VLOOKUP($B50,'RELACION VTAS - CHS'!$F$7:$V$250,16,FALSE))=FALSE,VLOOKUP($B50,'RELACION VTAS - CHS'!$F$7:$V$250,16,FALSE),0)</f>
        <v>75.06</v>
      </c>
      <c r="F50" s="223">
        <f>SUMIF('REPORTE GASTOS'!C:C,COBRANZA!B50,'REPORTE GASTOS'!G:G)</f>
        <v>0</v>
      </c>
      <c r="G50" s="224">
        <f t="shared" si="4"/>
        <v>75.06</v>
      </c>
      <c r="H50" s="222">
        <f>IF(ISERROR(VLOOKUP($B50,'RELACION VTAS - CHS'!$F$7:$V$250,16,FALSE))=FALSE,VLOOKUP($B50,'RELACION VTAS - CHS'!$F$7:$V$250,17,FALSE),0)</f>
        <v>382.80599999999987</v>
      </c>
      <c r="I50" s="217">
        <f>SUMIF('REPORTE GASTOS'!C:C,COBRANZA!B50,'REPORTE GASTOS'!I:I)</f>
        <v>0</v>
      </c>
      <c r="J50" s="224">
        <f t="shared" si="5"/>
        <v>382.80599999999987</v>
      </c>
      <c r="K50" s="66"/>
    </row>
    <row r="51" spans="1:11" hidden="1">
      <c r="A51" s="41">
        <v>32</v>
      </c>
      <c r="B51" s="77" t="str">
        <f>IF(ISERROR(VLOOKUP(A51,'RELACION VTAS - CHS'!D:F,3,FALSE))=FALSE,VLOOKUP(A51,'RELACION VTAS - CHS'!D:F,3,FALSE),"")</f>
        <v/>
      </c>
      <c r="C51" s="191" t="str">
        <f>IF(B51="","",VLOOKUP(B51,'RELACION VTAS - CHS'!F:H,3,FALSE))</f>
        <v/>
      </c>
      <c r="D51" s="56" t="str">
        <f>IF(B51="","",VLOOKUP(B51,'RELACION VTAS - CHS'!F:H,2,FALSE))</f>
        <v/>
      </c>
      <c r="E51" s="223">
        <f>IF(ISERROR(VLOOKUP($B51,'RELACION VTAS - CHS'!$F$7:$V$250,16,FALSE))=FALSE,VLOOKUP($B51,'RELACION VTAS - CHS'!$F$7:$V$250,16,FALSE),0)</f>
        <v>0</v>
      </c>
      <c r="F51" s="223">
        <f>SUMIF('REPORTE GASTOS'!C:C,COBRANZA!B51,'REPORTE GASTOS'!G:G)</f>
        <v>0</v>
      </c>
      <c r="G51" s="224">
        <f t="shared" si="4"/>
        <v>0</v>
      </c>
      <c r="H51" s="222">
        <f>IF(ISERROR(VLOOKUP($B51,'RELACION VTAS - CHS'!$F$7:$V$250,16,FALSE))=FALSE,VLOOKUP($B51,'RELACION VTAS - CHS'!$F$7:$V$250,17,FALSE),0)</f>
        <v>0</v>
      </c>
      <c r="I51" s="217">
        <f>SUMIF('REPORTE GASTOS'!C:C,COBRANZA!B51,'REPORTE GASTOS'!I:I)</f>
        <v>0</v>
      </c>
      <c r="J51" s="224">
        <f t="shared" si="5"/>
        <v>0</v>
      </c>
      <c r="K51" s="66"/>
    </row>
    <row r="52" spans="1:11" hidden="1">
      <c r="A52" s="41">
        <v>33</v>
      </c>
      <c r="B52" s="77" t="str">
        <f>IF(ISERROR(VLOOKUP(A52,'RELACION VTAS - CHS'!D:F,3,FALSE))=FALSE,VLOOKUP(A52,'RELACION VTAS - CHS'!D:F,3,FALSE),"")</f>
        <v/>
      </c>
      <c r="C52" s="191" t="str">
        <f>IF(B52="","",VLOOKUP(B52,'RELACION VTAS - CHS'!F:H,3,FALSE))</f>
        <v/>
      </c>
      <c r="D52" s="56" t="str">
        <f>IF(B52="","",VLOOKUP(B52,'RELACION VTAS - CHS'!F:H,2,FALSE))</f>
        <v/>
      </c>
      <c r="E52" s="223">
        <f>IF(ISERROR(VLOOKUP($B52,'RELACION VTAS - CHS'!$F$7:$V$250,16,FALSE))=FALSE,VLOOKUP($B52,'RELACION VTAS - CHS'!$F$7:$V$250,16,FALSE),0)</f>
        <v>0</v>
      </c>
      <c r="F52" s="223">
        <f>SUMIF('REPORTE GASTOS'!C:C,COBRANZA!B52,'REPORTE GASTOS'!G:G)</f>
        <v>0</v>
      </c>
      <c r="G52" s="224">
        <f t="shared" si="4"/>
        <v>0</v>
      </c>
      <c r="H52" s="222">
        <f>IF(ISERROR(VLOOKUP($B52,'RELACION VTAS - CHS'!$F$7:$V$250,16,FALSE))=FALSE,VLOOKUP($B52,'RELACION VTAS - CHS'!$F$7:$V$250,17,FALSE),0)</f>
        <v>0</v>
      </c>
      <c r="I52" s="217">
        <f>SUMIF('REPORTE GASTOS'!C:C,COBRANZA!B52,'REPORTE GASTOS'!I:I)</f>
        <v>0</v>
      </c>
      <c r="J52" s="224">
        <f t="shared" si="5"/>
        <v>0</v>
      </c>
      <c r="K52" s="66"/>
    </row>
    <row r="53" spans="1:11" hidden="1">
      <c r="A53" s="41">
        <v>34</v>
      </c>
      <c r="B53" s="77" t="str">
        <f>IF(ISERROR(VLOOKUP(A53,'RELACION VTAS - CHS'!D:F,3,FALSE))=FALSE,VLOOKUP(A53,'RELACION VTAS - CHS'!D:F,3,FALSE),"")</f>
        <v/>
      </c>
      <c r="C53" s="191" t="str">
        <f>IF(B53="","",VLOOKUP(B53,'RELACION VTAS - CHS'!F:H,3,FALSE))</f>
        <v/>
      </c>
      <c r="D53" s="56" t="str">
        <f>IF(B53="","",VLOOKUP(B53,'RELACION VTAS - CHS'!F:H,2,FALSE))</f>
        <v/>
      </c>
      <c r="E53" s="223">
        <f>IF(ISERROR(VLOOKUP($B53,'RELACION VTAS - CHS'!$F$7:$V$250,16,FALSE))=FALSE,VLOOKUP($B53,'RELACION VTAS - CHS'!$F$7:$V$250,16,FALSE),0)</f>
        <v>0</v>
      </c>
      <c r="F53" s="223">
        <f>SUMIF('REPORTE GASTOS'!C:C,COBRANZA!B53,'REPORTE GASTOS'!G:G)</f>
        <v>0</v>
      </c>
      <c r="G53" s="224">
        <f t="shared" si="4"/>
        <v>0</v>
      </c>
      <c r="H53" s="222">
        <f>IF(ISERROR(VLOOKUP($B53,'RELACION VTAS - CHS'!$F$7:$V$250,16,FALSE))=FALSE,VLOOKUP($B53,'RELACION VTAS - CHS'!$F$7:$V$250,17,FALSE),0)</f>
        <v>0</v>
      </c>
      <c r="I53" s="217">
        <f>SUMIF('REPORTE GASTOS'!C:C,COBRANZA!B53,'REPORTE GASTOS'!I:I)</f>
        <v>0</v>
      </c>
      <c r="J53" s="224">
        <f t="shared" si="5"/>
        <v>0</v>
      </c>
      <c r="K53" s="66"/>
    </row>
    <row r="54" spans="1:11" hidden="1">
      <c r="A54" s="41">
        <v>35</v>
      </c>
      <c r="B54" s="77" t="str">
        <f>IF(ISERROR(VLOOKUP(A54,'RELACION VTAS - CHS'!D:F,3,FALSE))=FALSE,VLOOKUP(A54,'RELACION VTAS - CHS'!D:F,3,FALSE),"")</f>
        <v/>
      </c>
      <c r="C54" s="191" t="str">
        <f>IF(B54="","",VLOOKUP(B54,'RELACION VTAS - CHS'!F:H,3,FALSE))</f>
        <v/>
      </c>
      <c r="D54" s="56" t="str">
        <f>IF(B54="","",VLOOKUP(B54,'RELACION VTAS - CHS'!F:H,2,FALSE))</f>
        <v/>
      </c>
      <c r="E54" s="223">
        <f>IF(ISERROR(VLOOKUP($B54,'RELACION VTAS - CHS'!$F$7:$V$250,16,FALSE))=FALSE,VLOOKUP($B54,'RELACION VTAS - CHS'!$F$7:$V$250,16,FALSE),0)</f>
        <v>0</v>
      </c>
      <c r="F54" s="223">
        <f>SUMIF('REPORTE GASTOS'!C:C,COBRANZA!B54,'REPORTE GASTOS'!G:G)</f>
        <v>0</v>
      </c>
      <c r="G54" s="224">
        <f t="shared" si="4"/>
        <v>0</v>
      </c>
      <c r="H54" s="222">
        <f>IF(ISERROR(VLOOKUP($B54,'RELACION VTAS - CHS'!$F$7:$V$250,16,FALSE))=FALSE,VLOOKUP($B54,'RELACION VTAS - CHS'!$F$7:$V$250,17,FALSE),0)</f>
        <v>0</v>
      </c>
      <c r="I54" s="217">
        <f>SUMIF('REPORTE GASTOS'!C:C,COBRANZA!B54,'REPORTE GASTOS'!I:I)</f>
        <v>0</v>
      </c>
      <c r="J54" s="224">
        <f t="shared" si="5"/>
        <v>0</v>
      </c>
      <c r="K54" s="66"/>
    </row>
    <row r="55" spans="1:11" hidden="1">
      <c r="A55" s="41">
        <v>36</v>
      </c>
      <c r="B55" s="77" t="str">
        <f>IF(ISERROR(VLOOKUP(A55,'RELACION VTAS - CHS'!D:F,3,FALSE))=FALSE,VLOOKUP(A55,'RELACION VTAS - CHS'!D:F,3,FALSE),"")</f>
        <v/>
      </c>
      <c r="C55" s="191" t="str">
        <f>IF(B55="","",VLOOKUP(B55,'RELACION VTAS - CHS'!F:H,3,FALSE))</f>
        <v/>
      </c>
      <c r="D55" s="56" t="str">
        <f>IF(B55="","",VLOOKUP(B55,'RELACION VTAS - CHS'!F:H,2,FALSE))</f>
        <v/>
      </c>
      <c r="E55" s="223">
        <f>IF(ISERROR(VLOOKUP($B55,'RELACION VTAS - CHS'!$F$7:$V$250,16,FALSE))=FALSE,VLOOKUP($B55,'RELACION VTAS - CHS'!$F$7:$V$250,16,FALSE),0)</f>
        <v>0</v>
      </c>
      <c r="F55" s="223">
        <f>SUMIF('REPORTE GASTOS'!C:C,COBRANZA!B55,'REPORTE GASTOS'!G:G)</f>
        <v>0</v>
      </c>
      <c r="G55" s="224">
        <f t="shared" si="4"/>
        <v>0</v>
      </c>
      <c r="H55" s="222">
        <f>IF(ISERROR(VLOOKUP($B55,'RELACION VTAS - CHS'!$F$7:$V$250,16,FALSE))=FALSE,VLOOKUP($B55,'RELACION VTAS - CHS'!$F$7:$V$250,17,FALSE),0)</f>
        <v>0</v>
      </c>
      <c r="I55" s="217">
        <f>SUMIF('REPORTE GASTOS'!C:C,COBRANZA!B55,'REPORTE GASTOS'!I:I)</f>
        <v>0</v>
      </c>
      <c r="J55" s="224">
        <f t="shared" si="5"/>
        <v>0</v>
      </c>
      <c r="K55" s="66"/>
    </row>
    <row r="56" spans="1:11" hidden="1">
      <c r="A56" s="41">
        <v>37</v>
      </c>
      <c r="B56" s="77" t="str">
        <f>IF(ISERROR(VLOOKUP(A56,'RELACION VTAS - CHS'!D:F,3,FALSE))=FALSE,VLOOKUP(A56,'RELACION VTAS - CHS'!D:F,3,FALSE),"")</f>
        <v/>
      </c>
      <c r="C56" s="191" t="str">
        <f>IF(B56="","",VLOOKUP(B56,'RELACION VTAS - CHS'!F:H,3,FALSE))</f>
        <v/>
      </c>
      <c r="D56" s="56" t="str">
        <f>IF(B56="","",VLOOKUP(B56,'RELACION VTAS - CHS'!F:H,2,FALSE))</f>
        <v/>
      </c>
      <c r="E56" s="223">
        <f>IF(ISERROR(VLOOKUP($B56,'RELACION VTAS - CHS'!$F$7:$V$250,16,FALSE))=FALSE,VLOOKUP($B56,'RELACION VTAS - CHS'!$F$7:$V$250,16,FALSE),0)</f>
        <v>0</v>
      </c>
      <c r="F56" s="223">
        <f>SUMIF('REPORTE GASTOS'!C:C,COBRANZA!B56,'REPORTE GASTOS'!G:G)</f>
        <v>0</v>
      </c>
      <c r="G56" s="224">
        <f t="shared" si="4"/>
        <v>0</v>
      </c>
      <c r="H56" s="222">
        <f>IF(ISERROR(VLOOKUP($B56,'RELACION VTAS - CHS'!$F$7:$V$250,16,FALSE))=FALSE,VLOOKUP($B56,'RELACION VTAS - CHS'!$F$7:$V$250,17,FALSE),0)</f>
        <v>0</v>
      </c>
      <c r="I56" s="217">
        <f>SUMIF('REPORTE GASTOS'!C:C,COBRANZA!B56,'REPORTE GASTOS'!I:I)</f>
        <v>0</v>
      </c>
      <c r="J56" s="224">
        <f t="shared" si="5"/>
        <v>0</v>
      </c>
      <c r="K56" s="66"/>
    </row>
    <row r="57" spans="1:11" hidden="1">
      <c r="A57" s="41">
        <v>38</v>
      </c>
      <c r="B57" s="77" t="str">
        <f>IF(ISERROR(VLOOKUP(A57,'RELACION VTAS - CHS'!D:F,3,FALSE))=FALSE,VLOOKUP(A57,'RELACION VTAS - CHS'!D:F,3,FALSE),"")</f>
        <v/>
      </c>
      <c r="C57" s="191" t="str">
        <f>IF(B57="","",VLOOKUP(B57,'RELACION VTAS - CHS'!F:H,3,FALSE))</f>
        <v/>
      </c>
      <c r="D57" s="56" t="str">
        <f>IF(B57="","",VLOOKUP(B57,'RELACION VTAS - CHS'!F:H,2,FALSE))</f>
        <v/>
      </c>
      <c r="E57" s="223">
        <f>IF(ISERROR(VLOOKUP($B57,'RELACION VTAS - CHS'!$F$7:$V$250,16,FALSE))=FALSE,VLOOKUP($B57,'RELACION VTAS - CHS'!$F$7:$V$250,16,FALSE),0)</f>
        <v>0</v>
      </c>
      <c r="F57" s="223">
        <f>SUMIF('REPORTE GASTOS'!C:C,COBRANZA!B57,'REPORTE GASTOS'!G:G)</f>
        <v>0</v>
      </c>
      <c r="G57" s="224">
        <f t="shared" si="4"/>
        <v>0</v>
      </c>
      <c r="H57" s="222">
        <f>IF(ISERROR(VLOOKUP($B57,'RELACION VTAS - CHS'!$F$7:$V$250,16,FALSE))=FALSE,VLOOKUP($B57,'RELACION VTAS - CHS'!$F$7:$V$250,17,FALSE),0)</f>
        <v>0</v>
      </c>
      <c r="I57" s="217">
        <f>SUMIF('REPORTE GASTOS'!C:C,COBRANZA!B57,'REPORTE GASTOS'!I:I)</f>
        <v>0</v>
      </c>
      <c r="J57" s="224">
        <f t="shared" si="5"/>
        <v>0</v>
      </c>
      <c r="K57" s="66"/>
    </row>
    <row r="58" spans="1:11" hidden="1">
      <c r="A58" s="41">
        <v>39</v>
      </c>
      <c r="B58" s="77" t="str">
        <f>IF(ISERROR(VLOOKUP(A58,'RELACION VTAS - CHS'!D:F,3,FALSE))=FALSE,VLOOKUP(A58,'RELACION VTAS - CHS'!D:F,3,FALSE),"")</f>
        <v/>
      </c>
      <c r="C58" s="191" t="str">
        <f>IF(B58="","",VLOOKUP(B58,'RELACION VTAS - CHS'!F:H,3,FALSE))</f>
        <v/>
      </c>
      <c r="D58" s="56" t="str">
        <f>IF(B58="","",VLOOKUP(B58,'RELACION VTAS - CHS'!F:H,2,FALSE))</f>
        <v/>
      </c>
      <c r="E58" s="223">
        <f>IF(ISERROR(VLOOKUP($B58,'RELACION VTAS - CHS'!$F$7:$V$250,16,FALSE))=FALSE,VLOOKUP($B58,'RELACION VTAS - CHS'!$F$7:$V$250,16,FALSE),0)</f>
        <v>0</v>
      </c>
      <c r="F58" s="223">
        <f>SUMIF('REPORTE GASTOS'!C:C,COBRANZA!B58,'REPORTE GASTOS'!G:G)</f>
        <v>0</v>
      </c>
      <c r="G58" s="224">
        <f t="shared" si="4"/>
        <v>0</v>
      </c>
      <c r="H58" s="222">
        <f>IF(ISERROR(VLOOKUP($B58,'RELACION VTAS - CHS'!$F$7:$V$250,16,FALSE))=FALSE,VLOOKUP($B58,'RELACION VTAS - CHS'!$F$7:$V$250,17,FALSE),0)</f>
        <v>0</v>
      </c>
      <c r="I58" s="217">
        <f>SUMIF('REPORTE GASTOS'!C:C,COBRANZA!B58,'REPORTE GASTOS'!I:I)</f>
        <v>0</v>
      </c>
      <c r="J58" s="224">
        <f t="shared" si="5"/>
        <v>0</v>
      </c>
      <c r="K58" s="66"/>
    </row>
    <row r="59" spans="1:11" hidden="1">
      <c r="A59" s="41">
        <v>40</v>
      </c>
      <c r="B59" s="77" t="str">
        <f>IF(ISERROR(VLOOKUP(A59,'RELACION VTAS - CHS'!D:F,3,FALSE))=FALSE,VLOOKUP(A59,'RELACION VTAS - CHS'!D:F,3,FALSE),"")</f>
        <v/>
      </c>
      <c r="C59" s="241" t="str">
        <f>IF(B59="","",VLOOKUP(B59,'RELACION VTAS - CHS'!F:H,3,FALSE))</f>
        <v/>
      </c>
      <c r="D59" s="56" t="str">
        <f>IF(B59="","",VLOOKUP(B59,'RELACION VTAS - CHS'!F:H,2,FALSE))</f>
        <v/>
      </c>
      <c r="E59" s="223">
        <f>IF(ISERROR(VLOOKUP($B59,'RELACION VTAS - CHS'!$F$7:$V$250,16,FALSE))=FALSE,VLOOKUP($B59,'RELACION VTAS - CHS'!$F$7:$V$250,16,FALSE),0)</f>
        <v>0</v>
      </c>
      <c r="F59" s="223">
        <f>SUMIF('REPORTE GASTOS'!C:C,COBRANZA!B59,'REPORTE GASTOS'!G:G)</f>
        <v>0</v>
      </c>
      <c r="G59" s="224">
        <f t="shared" si="4"/>
        <v>0</v>
      </c>
      <c r="H59" s="222">
        <f>IF(ISERROR(VLOOKUP($B59,'RELACION VTAS - CHS'!$F$7:$V$250,16,FALSE))=FALSE,VLOOKUP($B59,'RELACION VTAS - CHS'!$F$7:$V$250,17,FALSE),0)</f>
        <v>0</v>
      </c>
      <c r="I59" s="217">
        <f>SUMIF('REPORTE GASTOS'!C:C,COBRANZA!B59,'REPORTE GASTOS'!I:I)</f>
        <v>0</v>
      </c>
      <c r="J59" s="224">
        <f t="shared" si="5"/>
        <v>0</v>
      </c>
      <c r="K59" s="66"/>
    </row>
    <row r="60" spans="1:11" hidden="1">
      <c r="A60" s="41">
        <v>41</v>
      </c>
      <c r="B60" s="77" t="str">
        <f>IF(ISERROR(VLOOKUP(A60,'RELACION VTAS - CHS'!D:F,3,FALSE))=FALSE,VLOOKUP(A60,'RELACION VTAS - CHS'!D:F,3,FALSE),"")</f>
        <v/>
      </c>
      <c r="C60" s="241" t="str">
        <f>IF(B60="","",VLOOKUP(B60,'RELACION VTAS - CHS'!F:H,3,FALSE))</f>
        <v/>
      </c>
      <c r="D60" s="56" t="str">
        <f>IF(B60="","",VLOOKUP(B60,'RELACION VTAS - CHS'!F:H,2,FALSE))</f>
        <v/>
      </c>
      <c r="E60" s="223">
        <f>IF(ISERROR(VLOOKUP($B60,'RELACION VTAS - CHS'!$F$7:$V$250,16,FALSE))=FALSE,VLOOKUP($B60,'RELACION VTAS - CHS'!$F$7:$V$250,16,FALSE),0)</f>
        <v>0</v>
      </c>
      <c r="F60" s="223">
        <f>SUMIF('REPORTE GASTOS'!C:C,COBRANZA!B60,'REPORTE GASTOS'!G:G)</f>
        <v>0</v>
      </c>
      <c r="G60" s="224">
        <f t="shared" si="4"/>
        <v>0</v>
      </c>
      <c r="H60" s="222">
        <f>IF(ISERROR(VLOOKUP($B60,'RELACION VTAS - CHS'!$F$7:$V$250,16,FALSE))=FALSE,VLOOKUP($B60,'RELACION VTAS - CHS'!$F$7:$V$250,17,FALSE),0)</f>
        <v>0</v>
      </c>
      <c r="I60" s="217">
        <f>SUMIF('REPORTE GASTOS'!C:C,COBRANZA!B60,'REPORTE GASTOS'!I:I)</f>
        <v>0</v>
      </c>
      <c r="J60" s="224">
        <f t="shared" si="5"/>
        <v>0</v>
      </c>
      <c r="K60" s="66"/>
    </row>
    <row r="61" spans="1:11" hidden="1">
      <c r="A61" s="41">
        <v>42</v>
      </c>
      <c r="B61" s="77" t="str">
        <f>IF(ISERROR(VLOOKUP(A61,'RELACION VTAS - CHS'!D:F,3,FALSE))=FALSE,VLOOKUP(A61,'RELACION VTAS - CHS'!D:F,3,FALSE),"")</f>
        <v/>
      </c>
      <c r="C61" s="241" t="str">
        <f>IF(B61="","",VLOOKUP(B61,'RELACION VTAS - CHS'!F:H,3,FALSE))</f>
        <v/>
      </c>
      <c r="D61" s="56" t="str">
        <f>IF(B61="","",VLOOKUP(B61,'RELACION VTAS - CHS'!F:H,2,FALSE))</f>
        <v/>
      </c>
      <c r="E61" s="223">
        <f>IF(ISERROR(VLOOKUP($B61,'RELACION VTAS - CHS'!$F$7:$V$250,16,FALSE))=FALSE,VLOOKUP($B61,'RELACION VTAS - CHS'!$F$7:$V$250,16,FALSE),0)</f>
        <v>0</v>
      </c>
      <c r="F61" s="223">
        <f>SUMIF('REPORTE GASTOS'!C:C,COBRANZA!B61,'REPORTE GASTOS'!G:G)</f>
        <v>0</v>
      </c>
      <c r="G61" s="224">
        <f t="shared" si="4"/>
        <v>0</v>
      </c>
      <c r="H61" s="222">
        <f>IF(ISERROR(VLOOKUP($B61,'RELACION VTAS - CHS'!$F$7:$V$250,16,FALSE))=FALSE,VLOOKUP($B61,'RELACION VTAS - CHS'!$F$7:$V$250,17,FALSE),0)</f>
        <v>0</v>
      </c>
      <c r="I61" s="217">
        <f>SUMIF('REPORTE GASTOS'!C:C,COBRANZA!B61,'REPORTE GASTOS'!I:I)</f>
        <v>0</v>
      </c>
      <c r="J61" s="224">
        <f t="shared" si="5"/>
        <v>0</v>
      </c>
      <c r="K61" s="66"/>
    </row>
    <row r="62" spans="1:11" hidden="1">
      <c r="A62" s="41">
        <v>43</v>
      </c>
      <c r="B62" s="77" t="str">
        <f>IF(ISERROR(VLOOKUP(A62,'RELACION VTAS - CHS'!D:F,3,FALSE))=FALSE,VLOOKUP(A62,'RELACION VTAS - CHS'!D:F,3,FALSE),"")</f>
        <v/>
      </c>
      <c r="C62" s="241" t="str">
        <f>IF(B62="","",VLOOKUP(B62,'RELACION VTAS - CHS'!F:H,3,FALSE))</f>
        <v/>
      </c>
      <c r="D62" s="56" t="str">
        <f>IF(B62="","",VLOOKUP(B62,'RELACION VTAS - CHS'!F:H,2,FALSE))</f>
        <v/>
      </c>
      <c r="E62" s="223">
        <f>IF(ISERROR(VLOOKUP($B62,'RELACION VTAS - CHS'!$F$7:$V$250,16,FALSE))=FALSE,VLOOKUP($B62,'RELACION VTAS - CHS'!$F$7:$V$250,16,FALSE),0)</f>
        <v>0</v>
      </c>
      <c r="F62" s="223">
        <f>SUMIF('REPORTE GASTOS'!C:C,COBRANZA!B62,'REPORTE GASTOS'!G:G)</f>
        <v>0</v>
      </c>
      <c r="G62" s="224">
        <f t="shared" si="4"/>
        <v>0</v>
      </c>
      <c r="H62" s="222">
        <f>IF(ISERROR(VLOOKUP($B62,'RELACION VTAS - CHS'!$F$7:$V$250,16,FALSE))=FALSE,VLOOKUP($B62,'RELACION VTAS - CHS'!$F$7:$V$250,17,FALSE),0)</f>
        <v>0</v>
      </c>
      <c r="I62" s="217">
        <f>SUMIF('REPORTE GASTOS'!C:C,COBRANZA!B62,'REPORTE GASTOS'!I:I)</f>
        <v>0</v>
      </c>
      <c r="J62" s="224">
        <f t="shared" si="5"/>
        <v>0</v>
      </c>
      <c r="K62" s="66"/>
    </row>
    <row r="63" spans="1:11" hidden="1">
      <c r="A63" s="41">
        <v>44</v>
      </c>
      <c r="B63" s="77" t="str">
        <f>IF(ISERROR(VLOOKUP(A63,'RELACION VTAS - CHS'!D:F,3,FALSE))=FALSE,VLOOKUP(A63,'RELACION VTAS - CHS'!D:F,3,FALSE),"")</f>
        <v/>
      </c>
      <c r="C63" s="241" t="str">
        <f>IF(B63="","",VLOOKUP(B63,'RELACION VTAS - CHS'!F:H,3,FALSE))</f>
        <v/>
      </c>
      <c r="D63" s="56" t="str">
        <f>IF(B63="","",VLOOKUP(B63,'RELACION VTAS - CHS'!F:H,2,FALSE))</f>
        <v/>
      </c>
      <c r="E63" s="223">
        <f>IF(ISERROR(VLOOKUP($B63,'RELACION VTAS - CHS'!$F$7:$V$250,16,FALSE))=FALSE,VLOOKUP($B63,'RELACION VTAS - CHS'!$F$7:$V$250,16,FALSE),0)</f>
        <v>0</v>
      </c>
      <c r="F63" s="223">
        <f>SUMIF('REPORTE GASTOS'!C:C,COBRANZA!B63,'REPORTE GASTOS'!G:G)</f>
        <v>0</v>
      </c>
      <c r="G63" s="224">
        <f t="shared" si="4"/>
        <v>0</v>
      </c>
      <c r="H63" s="222">
        <f>IF(ISERROR(VLOOKUP($B63,'RELACION VTAS - CHS'!$F$7:$V$250,16,FALSE))=FALSE,VLOOKUP($B63,'RELACION VTAS - CHS'!$F$7:$V$250,17,FALSE),0)</f>
        <v>0</v>
      </c>
      <c r="I63" s="217">
        <f>SUMIF('REPORTE GASTOS'!C:C,COBRANZA!B63,'REPORTE GASTOS'!I:I)</f>
        <v>0</v>
      </c>
      <c r="J63" s="224">
        <f t="shared" si="5"/>
        <v>0</v>
      </c>
      <c r="K63" s="66"/>
    </row>
    <row r="64" spans="1:11" hidden="1">
      <c r="A64" s="41">
        <v>45</v>
      </c>
      <c r="B64" s="77" t="str">
        <f>IF(ISERROR(VLOOKUP(A64,'RELACION VTAS - CHS'!D:F,3,FALSE))=FALSE,VLOOKUP(A64,'RELACION VTAS - CHS'!D:F,3,FALSE),"")</f>
        <v/>
      </c>
      <c r="C64" s="241" t="str">
        <f>IF(B64="","",VLOOKUP(B64,'RELACION VTAS - CHS'!F:H,3,FALSE))</f>
        <v/>
      </c>
      <c r="D64" s="56" t="str">
        <f>IF(B64="","",VLOOKUP(B64,'RELACION VTAS - CHS'!F:H,2,FALSE))</f>
        <v/>
      </c>
      <c r="E64" s="223">
        <f>IF(ISERROR(VLOOKUP($B64,'RELACION VTAS - CHS'!$F$7:$V$250,16,FALSE))=FALSE,VLOOKUP($B64,'RELACION VTAS - CHS'!$F$7:$V$250,16,FALSE),0)</f>
        <v>0</v>
      </c>
      <c r="F64" s="223">
        <f>SUMIF('REPORTE GASTOS'!C:C,COBRANZA!B64,'REPORTE GASTOS'!G:G)</f>
        <v>0</v>
      </c>
      <c r="G64" s="224">
        <f t="shared" si="4"/>
        <v>0</v>
      </c>
      <c r="H64" s="222">
        <f>IF(ISERROR(VLOOKUP($B64,'RELACION VTAS - CHS'!$F$7:$V$250,16,FALSE))=FALSE,VLOOKUP($B64,'RELACION VTAS - CHS'!$F$7:$V$250,17,FALSE),0)</f>
        <v>0</v>
      </c>
      <c r="I64" s="217">
        <f>SUMIF('REPORTE GASTOS'!C:C,COBRANZA!B64,'REPORTE GASTOS'!I:I)</f>
        <v>0</v>
      </c>
      <c r="J64" s="224">
        <f t="shared" si="5"/>
        <v>0</v>
      </c>
      <c r="K64" s="66"/>
    </row>
    <row r="65" spans="1:11" hidden="1">
      <c r="A65" s="41">
        <v>46</v>
      </c>
      <c r="B65" s="77" t="str">
        <f>IF(ISERROR(VLOOKUP(A65,'RELACION VTAS - CHS'!D:F,3,FALSE))=FALSE,VLOOKUP(A65,'RELACION VTAS - CHS'!D:F,3,FALSE),"")</f>
        <v/>
      </c>
      <c r="C65" s="241" t="str">
        <f>IF(B65="","",VLOOKUP(B65,'RELACION VTAS - CHS'!F:H,3,FALSE))</f>
        <v/>
      </c>
      <c r="D65" s="56" t="str">
        <f>IF(B65="","",VLOOKUP(B65,'RELACION VTAS - CHS'!F:H,2,FALSE))</f>
        <v/>
      </c>
      <c r="E65" s="223">
        <f>IF(ISERROR(VLOOKUP($B65,'RELACION VTAS - CHS'!$F$7:$V$250,16,FALSE))=FALSE,VLOOKUP($B65,'RELACION VTAS - CHS'!$F$7:$V$250,16,FALSE),0)</f>
        <v>0</v>
      </c>
      <c r="F65" s="223">
        <f>SUMIF('REPORTE GASTOS'!C:C,COBRANZA!B65,'REPORTE GASTOS'!G:G)</f>
        <v>0</v>
      </c>
      <c r="G65" s="224">
        <f t="shared" si="4"/>
        <v>0</v>
      </c>
      <c r="H65" s="222">
        <f>IF(ISERROR(VLOOKUP($B65,'RELACION VTAS - CHS'!$F$7:$V$250,16,FALSE))=FALSE,VLOOKUP($B65,'RELACION VTAS - CHS'!$F$7:$V$250,17,FALSE),0)</f>
        <v>0</v>
      </c>
      <c r="I65" s="217">
        <f>SUMIF('REPORTE GASTOS'!C:C,COBRANZA!B65,'REPORTE GASTOS'!I:I)</f>
        <v>0</v>
      </c>
      <c r="J65" s="224">
        <f t="shared" si="5"/>
        <v>0</v>
      </c>
      <c r="K65" s="66"/>
    </row>
    <row r="66" spans="1:11" hidden="1">
      <c r="A66" s="41">
        <v>47</v>
      </c>
      <c r="B66" s="77" t="str">
        <f>IF(ISERROR(VLOOKUP(A66,'RELACION VTAS - CHS'!D:F,3,FALSE))=FALSE,VLOOKUP(A66,'RELACION VTAS - CHS'!D:F,3,FALSE),"")</f>
        <v/>
      </c>
      <c r="C66" s="241" t="str">
        <f>IF(B66="","",VLOOKUP(B66,'RELACION VTAS - CHS'!F:H,3,FALSE))</f>
        <v/>
      </c>
      <c r="D66" s="56" t="str">
        <f>IF(B66="","",VLOOKUP(B66,'RELACION VTAS - CHS'!F:H,2,FALSE))</f>
        <v/>
      </c>
      <c r="E66" s="223">
        <f>IF(ISERROR(VLOOKUP($B66,'RELACION VTAS - CHS'!$F$7:$V$250,16,FALSE))=FALSE,VLOOKUP($B66,'RELACION VTAS - CHS'!$F$7:$V$250,16,FALSE),0)</f>
        <v>0</v>
      </c>
      <c r="F66" s="223">
        <f>SUMIF('REPORTE GASTOS'!C:C,COBRANZA!B66,'REPORTE GASTOS'!G:G)</f>
        <v>0</v>
      </c>
      <c r="G66" s="224">
        <f t="shared" si="4"/>
        <v>0</v>
      </c>
      <c r="H66" s="222">
        <f>IF(ISERROR(VLOOKUP($B66,'RELACION VTAS - CHS'!$F$7:$V$250,16,FALSE))=FALSE,VLOOKUP($B66,'RELACION VTAS - CHS'!$F$7:$V$250,17,FALSE),0)</f>
        <v>0</v>
      </c>
      <c r="I66" s="217">
        <f>SUMIF('REPORTE GASTOS'!C:C,COBRANZA!B66,'REPORTE GASTOS'!I:I)</f>
        <v>0</v>
      </c>
      <c r="J66" s="224">
        <f t="shared" si="5"/>
        <v>0</v>
      </c>
      <c r="K66" s="66"/>
    </row>
    <row r="67" spans="1:11" hidden="1">
      <c r="A67" s="41">
        <v>48</v>
      </c>
      <c r="B67" s="28" t="str">
        <f>IF(ISERROR(VLOOKUP(A67,'RELACION VTAS - CHS'!D:F,3,FALSE))=FALSE,VLOOKUP(A67,'RELACION VTAS - CHS'!D:F,3,FALSE),"")</f>
        <v/>
      </c>
      <c r="C67" s="203" t="str">
        <f>IF(B67="","",VLOOKUP(B67,'RELACION VTAS - CHS'!F:H,3,FALSE))</f>
        <v/>
      </c>
      <c r="D67" s="56" t="str">
        <f>IF(B67="","",VLOOKUP(B67,'RELACION VTAS - CHS'!F:H,2,FALSE))</f>
        <v/>
      </c>
      <c r="E67" s="223">
        <f>IF(ISERROR(VLOOKUP($B67,'RELACION VTAS - CHS'!$F$7:$V$250,16,FALSE))=FALSE,VLOOKUP($B67,'RELACION VTAS - CHS'!$F$7:$V$250,16,FALSE),0)</f>
        <v>0</v>
      </c>
      <c r="F67" s="223">
        <f>SUMIF('REPORTE GASTOS'!C:C,COBRANZA!B67,'REPORTE GASTOS'!G:G)</f>
        <v>0</v>
      </c>
      <c r="G67" s="224">
        <f t="shared" si="4"/>
        <v>0</v>
      </c>
      <c r="H67" s="222">
        <f>IF(ISERROR(VLOOKUP($B67,'RELACION VTAS - CHS'!$F$7:$V$250,16,FALSE))=FALSE,VLOOKUP($B67,'RELACION VTAS - CHS'!$F$7:$V$250,17,FALSE),0)</f>
        <v>0</v>
      </c>
      <c r="I67" s="217">
        <f>SUMIF('REPORTE GASTOS'!C:C,COBRANZA!B67,'REPORTE GASTOS'!I:I)</f>
        <v>0</v>
      </c>
      <c r="J67" s="224">
        <f t="shared" si="5"/>
        <v>0</v>
      </c>
      <c r="K67" s="66"/>
    </row>
    <row r="68" spans="1:11" hidden="1">
      <c r="A68" s="41">
        <v>49</v>
      </c>
      <c r="B68" s="77" t="str">
        <f>IF(ISERROR(VLOOKUP(A68,'RELACION VTAS - CHS'!D:F,3,FALSE))=FALSE,VLOOKUP(A68,'RELACION VTAS - CHS'!D:F,3,FALSE),"")</f>
        <v/>
      </c>
      <c r="C68" s="241" t="str">
        <f>IF(B68="","",VLOOKUP(B68,'RELACION VTAS - CHS'!F:H,3,FALSE))</f>
        <v/>
      </c>
      <c r="D68" s="56" t="str">
        <f>IF(B68="","",VLOOKUP(B68,'RELACION VTAS - CHS'!F:H,2,FALSE))</f>
        <v/>
      </c>
      <c r="E68" s="223">
        <f>IF(ISERROR(VLOOKUP($B68,'RELACION VTAS - CHS'!$F$7:$V$250,16,FALSE))=FALSE,VLOOKUP($B68,'RELACION VTAS - CHS'!$F$7:$V$250,16,FALSE),0)</f>
        <v>0</v>
      </c>
      <c r="F68" s="223">
        <f>SUMIF('REPORTE GASTOS'!C:C,COBRANZA!B68,'REPORTE GASTOS'!G:G)</f>
        <v>0</v>
      </c>
      <c r="G68" s="224">
        <f t="shared" si="4"/>
        <v>0</v>
      </c>
      <c r="H68" s="222">
        <f>IF(ISERROR(VLOOKUP($B68,'RELACION VTAS - CHS'!$F$7:$V$250,16,FALSE))=FALSE,VLOOKUP($B68,'RELACION VTAS - CHS'!$F$7:$V$250,17,FALSE),0)</f>
        <v>0</v>
      </c>
      <c r="I68" s="217">
        <f>SUMIF('REPORTE GASTOS'!C:C,COBRANZA!B68,'REPORTE GASTOS'!I:I)</f>
        <v>0</v>
      </c>
      <c r="J68" s="224">
        <f t="shared" si="5"/>
        <v>0</v>
      </c>
      <c r="K68" s="66"/>
    </row>
    <row r="69" spans="1:11" hidden="1">
      <c r="A69" s="41">
        <v>50</v>
      </c>
      <c r="B69" s="77" t="str">
        <f>IF(ISERROR(VLOOKUP(A69,'RELACION VTAS - CHS'!D:F,3,FALSE))=FALSE,VLOOKUP(A69,'RELACION VTAS - CHS'!D:F,3,FALSE),"")</f>
        <v/>
      </c>
      <c r="C69" s="241" t="str">
        <f>IF(B69="","",VLOOKUP(B69,'RELACION VTAS - CHS'!F:H,3,FALSE))</f>
        <v/>
      </c>
      <c r="D69" s="56" t="str">
        <f>IF(B69="","",VLOOKUP(B69,'RELACION VTAS - CHS'!F:H,2,FALSE))</f>
        <v/>
      </c>
      <c r="E69" s="223">
        <f>IF(ISERROR(VLOOKUP($B69,'RELACION VTAS - CHS'!$F$7:$V$250,16,FALSE))=FALSE,VLOOKUP($B69,'RELACION VTAS - CHS'!$F$7:$V$250,16,FALSE),0)</f>
        <v>0</v>
      </c>
      <c r="F69" s="223">
        <f>SUMIF('REPORTE GASTOS'!C:C,COBRANZA!B69,'REPORTE GASTOS'!G:G)</f>
        <v>0</v>
      </c>
      <c r="G69" s="224">
        <f t="shared" si="4"/>
        <v>0</v>
      </c>
      <c r="H69" s="222">
        <f>IF(ISERROR(VLOOKUP($B69,'RELACION VTAS - CHS'!$F$7:$V$250,16,FALSE))=FALSE,VLOOKUP($B69,'RELACION VTAS - CHS'!$F$7:$V$250,17,FALSE),0)</f>
        <v>0</v>
      </c>
      <c r="I69" s="217">
        <f>SUMIF('REPORTE GASTOS'!C:C,COBRANZA!B69,'REPORTE GASTOS'!I:I)</f>
        <v>0</v>
      </c>
      <c r="J69" s="224">
        <f t="shared" si="5"/>
        <v>0</v>
      </c>
      <c r="K69" s="66"/>
    </row>
    <row r="70" spans="1:11" hidden="1">
      <c r="A70" s="41">
        <v>51</v>
      </c>
      <c r="B70" s="77" t="str">
        <f>IF(ISERROR(VLOOKUP(A70,'RELACION VTAS - CHS'!D:F,3,FALSE))=FALSE,VLOOKUP(A70,'RELACION VTAS - CHS'!D:F,3,FALSE),"")</f>
        <v/>
      </c>
      <c r="C70" s="241" t="str">
        <f>IF(B70="","",VLOOKUP(B70,'RELACION VTAS - CHS'!F:H,3,FALSE))</f>
        <v/>
      </c>
      <c r="D70" s="56" t="str">
        <f>IF(B70="","",VLOOKUP(B70,'RELACION VTAS - CHS'!F:H,2,FALSE))</f>
        <v/>
      </c>
      <c r="E70" s="223">
        <f>IF(ISERROR(VLOOKUP($B70,'RELACION VTAS - CHS'!$F$7:$V$250,16,FALSE))=FALSE,VLOOKUP($B70,'RELACION VTAS - CHS'!$F$7:$V$250,16,FALSE),0)</f>
        <v>0</v>
      </c>
      <c r="F70" s="223">
        <f>SUMIF('REPORTE GASTOS'!C:C,COBRANZA!B70,'REPORTE GASTOS'!G:G)</f>
        <v>0</v>
      </c>
      <c r="G70" s="224">
        <f t="shared" si="4"/>
        <v>0</v>
      </c>
      <c r="H70" s="222">
        <f>IF(ISERROR(VLOOKUP($B70,'RELACION VTAS - CHS'!$F$7:$V$250,16,FALSE))=FALSE,VLOOKUP($B70,'RELACION VTAS - CHS'!$F$7:$V$250,17,FALSE),0)</f>
        <v>0</v>
      </c>
      <c r="I70" s="217">
        <f>SUMIF('REPORTE GASTOS'!C:C,COBRANZA!B70,'REPORTE GASTOS'!I:I)</f>
        <v>0</v>
      </c>
      <c r="J70" s="224">
        <f t="shared" si="5"/>
        <v>0</v>
      </c>
      <c r="K70" s="66"/>
    </row>
    <row r="71" spans="1:11" hidden="1">
      <c r="A71" s="41">
        <v>52</v>
      </c>
      <c r="B71" s="77" t="str">
        <f>IF(ISERROR(VLOOKUP(A71,'RELACION VTAS - CHS'!D:F,3,FALSE))=FALSE,VLOOKUP(A71,'RELACION VTAS - CHS'!D:F,3,FALSE),"")</f>
        <v/>
      </c>
      <c r="C71" s="241" t="str">
        <f>IF(B71="","",VLOOKUP(B71,'RELACION VTAS - CHS'!F:H,3,FALSE))</f>
        <v/>
      </c>
      <c r="D71" s="56" t="str">
        <f>IF(B71="","",VLOOKUP(B71,'RELACION VTAS - CHS'!F:H,2,FALSE))</f>
        <v/>
      </c>
      <c r="E71" s="223">
        <f>IF(ISERROR(VLOOKUP($B71,'RELACION VTAS - CHS'!$F$7:$V$250,16,FALSE))=FALSE,VLOOKUP($B71,'RELACION VTAS - CHS'!$F$7:$V$250,16,FALSE),0)</f>
        <v>0</v>
      </c>
      <c r="F71" s="223">
        <f>SUMIF('REPORTE GASTOS'!C:C,COBRANZA!B71,'REPORTE GASTOS'!G:G)</f>
        <v>0</v>
      </c>
      <c r="G71" s="224">
        <f t="shared" si="4"/>
        <v>0</v>
      </c>
      <c r="H71" s="222">
        <f>IF(ISERROR(VLOOKUP($B71,'RELACION VTAS - CHS'!$F$7:$V$250,16,FALSE))=FALSE,VLOOKUP($B71,'RELACION VTAS - CHS'!$F$7:$V$250,17,FALSE),0)</f>
        <v>0</v>
      </c>
      <c r="I71" s="217">
        <f>SUMIF('REPORTE GASTOS'!C:C,COBRANZA!B71,'REPORTE GASTOS'!I:I)</f>
        <v>0</v>
      </c>
      <c r="J71" s="224">
        <f t="shared" si="5"/>
        <v>0</v>
      </c>
      <c r="K71" s="66"/>
    </row>
    <row r="72" spans="1:11" hidden="1">
      <c r="A72" s="41">
        <v>53</v>
      </c>
      <c r="B72" s="77" t="str">
        <f>IF(ISERROR(VLOOKUP(A72,'RELACION VTAS - CHS'!D:F,3,FALSE))=FALSE,VLOOKUP(A72,'RELACION VTAS - CHS'!D:F,3,FALSE),"")</f>
        <v/>
      </c>
      <c r="C72" s="241" t="str">
        <f>IF(B72="","",VLOOKUP(B72,'RELACION VTAS - CHS'!F:H,3,FALSE))</f>
        <v/>
      </c>
      <c r="D72" s="56" t="str">
        <f>IF(B72="","",VLOOKUP(B72,'RELACION VTAS - CHS'!F:H,2,FALSE))</f>
        <v/>
      </c>
      <c r="E72" s="223">
        <f>IF(ISERROR(VLOOKUP($B72,'RELACION VTAS - CHS'!$F$7:$V$250,16,FALSE))=FALSE,VLOOKUP($B72,'RELACION VTAS - CHS'!$F$7:$V$250,16,FALSE),0)</f>
        <v>0</v>
      </c>
      <c r="F72" s="223">
        <f>SUMIF('REPORTE GASTOS'!C:C,COBRANZA!B72,'REPORTE GASTOS'!G:G)</f>
        <v>0</v>
      </c>
      <c r="G72" s="224">
        <f t="shared" si="4"/>
        <v>0</v>
      </c>
      <c r="H72" s="222">
        <f>IF(ISERROR(VLOOKUP($B72,'RELACION VTAS - CHS'!$F$7:$V$250,16,FALSE))=FALSE,VLOOKUP($B72,'RELACION VTAS - CHS'!$F$7:$V$250,17,FALSE),0)</f>
        <v>0</v>
      </c>
      <c r="I72" s="217">
        <f>SUMIF('REPORTE GASTOS'!C:C,COBRANZA!B72,'REPORTE GASTOS'!I:I)</f>
        <v>0</v>
      </c>
      <c r="J72" s="224">
        <f t="shared" si="5"/>
        <v>0</v>
      </c>
      <c r="K72" s="66"/>
    </row>
    <row r="73" spans="1:11" hidden="1">
      <c r="A73" s="41">
        <v>54</v>
      </c>
      <c r="B73" s="77" t="str">
        <f>IF(ISERROR(VLOOKUP(A73,'RELACION VTAS - CHS'!D:F,3,FALSE))=FALSE,VLOOKUP(A73,'RELACION VTAS - CHS'!D:F,3,FALSE),"")</f>
        <v/>
      </c>
      <c r="C73" s="241" t="str">
        <f>IF(B73="","",VLOOKUP(B73,'RELACION VTAS - CHS'!F:H,3,FALSE))</f>
        <v/>
      </c>
      <c r="D73" s="56" t="str">
        <f>IF(B73="","",VLOOKUP(B73,'RELACION VTAS - CHS'!F:H,2,FALSE))</f>
        <v/>
      </c>
      <c r="E73" s="223">
        <f>IF(ISERROR(VLOOKUP($B73,'RELACION VTAS - CHS'!$F$7:$V$250,16,FALSE))=FALSE,VLOOKUP($B73,'RELACION VTAS - CHS'!$F$7:$V$250,16,FALSE),0)</f>
        <v>0</v>
      </c>
      <c r="F73" s="223">
        <f>SUMIF('REPORTE GASTOS'!C:C,COBRANZA!B73,'REPORTE GASTOS'!G:G)</f>
        <v>0</v>
      </c>
      <c r="G73" s="224">
        <f t="shared" si="4"/>
        <v>0</v>
      </c>
      <c r="H73" s="222">
        <f>IF(ISERROR(VLOOKUP($B73,'RELACION VTAS - CHS'!$F$7:$V$250,16,FALSE))=FALSE,VLOOKUP($B73,'RELACION VTAS - CHS'!$F$7:$V$250,17,FALSE),0)</f>
        <v>0</v>
      </c>
      <c r="I73" s="217">
        <f>SUMIF('REPORTE GASTOS'!C:C,COBRANZA!B73,'REPORTE GASTOS'!I:I)</f>
        <v>0</v>
      </c>
      <c r="J73" s="224">
        <f t="shared" si="5"/>
        <v>0</v>
      </c>
      <c r="K73" s="66"/>
    </row>
    <row r="74" spans="1:11" hidden="1">
      <c r="A74" s="41">
        <v>55</v>
      </c>
      <c r="B74" s="77" t="str">
        <f>IF(ISERROR(VLOOKUP(A74,'RELACION VTAS - CHS'!D:F,3,FALSE))=FALSE,VLOOKUP(A74,'RELACION VTAS - CHS'!D:F,3,FALSE),"")</f>
        <v/>
      </c>
      <c r="C74" s="241" t="str">
        <f>IF(B74="","",VLOOKUP(B74,'RELACION VTAS - CHS'!F:H,3,FALSE))</f>
        <v/>
      </c>
      <c r="D74" s="56" t="str">
        <f>IF(B74="","",VLOOKUP(B74,'RELACION VTAS - CHS'!F:H,2,FALSE))</f>
        <v/>
      </c>
      <c r="E74" s="223">
        <f>IF(ISERROR(VLOOKUP($B74,'RELACION VTAS - CHS'!$F$7:$V$250,16,FALSE))=FALSE,VLOOKUP($B74,'RELACION VTAS - CHS'!$F$7:$V$250,16,FALSE),0)</f>
        <v>0</v>
      </c>
      <c r="F74" s="223">
        <f>SUMIF('REPORTE GASTOS'!C:C,COBRANZA!B74,'REPORTE GASTOS'!G:G)</f>
        <v>0</v>
      </c>
      <c r="G74" s="224">
        <f t="shared" si="4"/>
        <v>0</v>
      </c>
      <c r="H74" s="222">
        <f>IF(ISERROR(VLOOKUP($B74,'RELACION VTAS - CHS'!$F$7:$V$250,16,FALSE))=FALSE,VLOOKUP($B74,'RELACION VTAS - CHS'!$F$7:$V$250,17,FALSE),0)</f>
        <v>0</v>
      </c>
      <c r="I74" s="217">
        <f>SUMIF('REPORTE GASTOS'!C:C,COBRANZA!B74,'REPORTE GASTOS'!I:I)</f>
        <v>0</v>
      </c>
      <c r="J74" s="224">
        <f t="shared" si="5"/>
        <v>0</v>
      </c>
      <c r="K74" s="66"/>
    </row>
    <row r="75" spans="1:11" hidden="1">
      <c r="A75" s="41">
        <v>56</v>
      </c>
      <c r="B75" s="77" t="str">
        <f>IF(ISERROR(VLOOKUP(A75,'RELACION VTAS - CHS'!D:F,3,FALSE))=FALSE,VLOOKUP(A75,'RELACION VTAS - CHS'!D:F,3,FALSE),"")</f>
        <v/>
      </c>
      <c r="C75" s="241" t="str">
        <f>IF(B75="","",VLOOKUP(B75,'RELACION VTAS - CHS'!F:H,3,FALSE))</f>
        <v/>
      </c>
      <c r="D75" s="56" t="str">
        <f>IF(B75="","",VLOOKUP(B75,'RELACION VTAS - CHS'!F:H,2,FALSE))</f>
        <v/>
      </c>
      <c r="E75" s="223">
        <f>IF(ISERROR(VLOOKUP($B75,'RELACION VTAS - CHS'!$F$7:$V$250,16,FALSE))=FALSE,VLOOKUP($B75,'RELACION VTAS - CHS'!$F$7:$V$250,16,FALSE),0)</f>
        <v>0</v>
      </c>
      <c r="F75" s="223">
        <f>SUMIF('REPORTE GASTOS'!C:C,COBRANZA!B75,'REPORTE GASTOS'!G:G)</f>
        <v>0</v>
      </c>
      <c r="G75" s="224">
        <f t="shared" si="4"/>
        <v>0</v>
      </c>
      <c r="H75" s="222">
        <f>IF(ISERROR(VLOOKUP($B75,'RELACION VTAS - CHS'!$F$7:$V$250,16,FALSE))=FALSE,VLOOKUP($B75,'RELACION VTAS - CHS'!$F$7:$V$250,17,FALSE),0)</f>
        <v>0</v>
      </c>
      <c r="I75" s="217">
        <f>SUMIF('REPORTE GASTOS'!C:C,COBRANZA!B75,'REPORTE GASTOS'!I:I)</f>
        <v>0</v>
      </c>
      <c r="J75" s="224">
        <f t="shared" si="5"/>
        <v>0</v>
      </c>
      <c r="K75" s="66"/>
    </row>
    <row r="76" spans="1:11" hidden="1">
      <c r="A76" s="41">
        <v>57</v>
      </c>
      <c r="B76" s="77" t="str">
        <f>IF(ISERROR(VLOOKUP(A76,'RELACION VTAS - CHS'!D:F,3,FALSE))=FALSE,VLOOKUP(A76,'RELACION VTAS - CHS'!D:F,3,FALSE),"")</f>
        <v/>
      </c>
      <c r="C76" s="241" t="str">
        <f>IF(B76="","",VLOOKUP(B76,'RELACION VTAS - CHS'!F:H,3,FALSE))</f>
        <v/>
      </c>
      <c r="D76" s="56" t="str">
        <f>IF(B76="","",VLOOKUP(B76,'RELACION VTAS - CHS'!F:H,2,FALSE))</f>
        <v/>
      </c>
      <c r="E76" s="223">
        <f>IF(ISERROR(VLOOKUP($B76,'RELACION VTAS - CHS'!$F$7:$V$250,16,FALSE))=FALSE,VLOOKUP($B76,'RELACION VTAS - CHS'!$F$7:$V$250,16,FALSE),0)</f>
        <v>0</v>
      </c>
      <c r="F76" s="223">
        <f>SUMIF('REPORTE GASTOS'!C:C,COBRANZA!B76,'REPORTE GASTOS'!G:G)</f>
        <v>0</v>
      </c>
      <c r="G76" s="224">
        <f t="shared" si="4"/>
        <v>0</v>
      </c>
      <c r="H76" s="222">
        <f>IF(ISERROR(VLOOKUP($B76,'RELACION VTAS - CHS'!$F$7:$V$250,16,FALSE))=FALSE,VLOOKUP($B76,'RELACION VTAS - CHS'!$F$7:$V$250,17,FALSE),0)</f>
        <v>0</v>
      </c>
      <c r="I76" s="217">
        <f>SUMIF('REPORTE GASTOS'!C:C,COBRANZA!B76,'REPORTE GASTOS'!I:I)</f>
        <v>0</v>
      </c>
      <c r="J76" s="224">
        <f t="shared" si="5"/>
        <v>0</v>
      </c>
      <c r="K76" s="66"/>
    </row>
    <row r="77" spans="1:11" hidden="1">
      <c r="A77" s="41">
        <v>58</v>
      </c>
      <c r="B77" s="77" t="str">
        <f>IF(ISERROR(VLOOKUP(A77,'RELACION VTAS - CHS'!D:F,3,FALSE))=FALSE,VLOOKUP(A77,'RELACION VTAS - CHS'!D:F,3,FALSE),"")</f>
        <v/>
      </c>
      <c r="C77" s="241" t="str">
        <f>IF(B77="","",VLOOKUP(B77,'RELACION VTAS - CHS'!F:H,3,FALSE))</f>
        <v/>
      </c>
      <c r="D77" s="56" t="str">
        <f>IF(B77="","",VLOOKUP(B77,'RELACION VTAS - CHS'!F:H,2,FALSE))</f>
        <v/>
      </c>
      <c r="E77" s="223">
        <f>IF(ISERROR(VLOOKUP($B77,'RELACION VTAS - CHS'!$F$7:$V$250,16,FALSE))=FALSE,VLOOKUP($B77,'RELACION VTAS - CHS'!$F$7:$V$250,16,FALSE),0)</f>
        <v>0</v>
      </c>
      <c r="F77" s="223">
        <f>SUMIF('REPORTE GASTOS'!C:C,COBRANZA!B77,'REPORTE GASTOS'!G:G)</f>
        <v>0</v>
      </c>
      <c r="G77" s="224">
        <f t="shared" si="4"/>
        <v>0</v>
      </c>
      <c r="H77" s="222">
        <f>IF(ISERROR(VLOOKUP($B77,'RELACION VTAS - CHS'!$F$7:$V$250,16,FALSE))=FALSE,VLOOKUP($B77,'RELACION VTAS - CHS'!$F$7:$V$250,17,FALSE),0)</f>
        <v>0</v>
      </c>
      <c r="I77" s="217">
        <f>SUMIF('REPORTE GASTOS'!C:C,COBRANZA!B77,'REPORTE GASTOS'!I:I)</f>
        <v>0</v>
      </c>
      <c r="J77" s="224">
        <f t="shared" si="5"/>
        <v>0</v>
      </c>
      <c r="K77" s="66"/>
    </row>
    <row r="78" spans="1:11" hidden="1">
      <c r="A78" s="41">
        <v>59</v>
      </c>
      <c r="B78" s="77" t="str">
        <f>IF(ISERROR(VLOOKUP(A78,'RELACION VTAS - CHS'!D:F,3,FALSE))=FALSE,VLOOKUP(A78,'RELACION VTAS - CHS'!D:F,3,FALSE),"")</f>
        <v/>
      </c>
      <c r="C78" s="241" t="str">
        <f>IF(B78="","",VLOOKUP(B78,'RELACION VTAS - CHS'!F:H,3,FALSE))</f>
        <v/>
      </c>
      <c r="D78" s="56" t="str">
        <f>IF(B78="","",VLOOKUP(B78,'RELACION VTAS - CHS'!F:H,2,FALSE))</f>
        <v/>
      </c>
      <c r="E78" s="223">
        <f>IF(ISERROR(VLOOKUP($B78,'RELACION VTAS - CHS'!$F$7:$V$250,16,FALSE))=FALSE,VLOOKUP($B78,'RELACION VTAS - CHS'!$F$7:$V$250,16,FALSE),0)</f>
        <v>0</v>
      </c>
      <c r="F78" s="223">
        <f>SUMIF('REPORTE GASTOS'!C:C,COBRANZA!B78,'REPORTE GASTOS'!G:G)</f>
        <v>0</v>
      </c>
      <c r="G78" s="224">
        <f t="shared" ref="G78:G141" si="6">E78-F78</f>
        <v>0</v>
      </c>
      <c r="H78" s="222">
        <f>IF(ISERROR(VLOOKUP($B78,'RELACION VTAS - CHS'!$F$7:$V$250,16,FALSE))=FALSE,VLOOKUP($B78,'RELACION VTAS - CHS'!$F$7:$V$250,17,FALSE),0)</f>
        <v>0</v>
      </c>
      <c r="I78" s="217">
        <f>SUMIF('REPORTE GASTOS'!C:C,COBRANZA!B78,'REPORTE GASTOS'!I:I)</f>
        <v>0</v>
      </c>
      <c r="J78" s="224">
        <f t="shared" ref="J78:J141" si="7">H78-I78</f>
        <v>0</v>
      </c>
      <c r="K78" s="66"/>
    </row>
    <row r="79" spans="1:11" hidden="1">
      <c r="A79" s="41">
        <v>60</v>
      </c>
      <c r="B79" s="77" t="str">
        <f>IF(ISERROR(VLOOKUP(A79,'RELACION VTAS - CHS'!D:F,3,FALSE))=FALSE,VLOOKUP(A79,'RELACION VTAS - CHS'!D:F,3,FALSE),"")</f>
        <v/>
      </c>
      <c r="C79" s="241" t="str">
        <f>IF(B79="","",VLOOKUP(B79,'RELACION VTAS - CHS'!F:H,3,FALSE))</f>
        <v/>
      </c>
      <c r="D79" s="56" t="str">
        <f>IF(B79="","",VLOOKUP(B79,'RELACION VTAS - CHS'!F:H,2,FALSE))</f>
        <v/>
      </c>
      <c r="E79" s="223">
        <f>IF(ISERROR(VLOOKUP($B79,'RELACION VTAS - CHS'!$F$7:$V$250,16,FALSE))=FALSE,VLOOKUP($B79,'RELACION VTAS - CHS'!$F$7:$V$250,16,FALSE),0)</f>
        <v>0</v>
      </c>
      <c r="F79" s="223">
        <f>SUMIF('REPORTE GASTOS'!C:C,COBRANZA!B79,'REPORTE GASTOS'!G:G)</f>
        <v>0</v>
      </c>
      <c r="G79" s="224">
        <f t="shared" si="6"/>
        <v>0</v>
      </c>
      <c r="H79" s="222">
        <f>IF(ISERROR(VLOOKUP($B79,'RELACION VTAS - CHS'!$F$7:$V$250,16,FALSE))=FALSE,VLOOKUP($B79,'RELACION VTAS - CHS'!$F$7:$V$250,17,FALSE),0)</f>
        <v>0</v>
      </c>
      <c r="I79" s="217">
        <f>SUMIF('REPORTE GASTOS'!C:C,COBRANZA!B79,'REPORTE GASTOS'!I:I)</f>
        <v>0</v>
      </c>
      <c r="J79" s="224">
        <f t="shared" si="7"/>
        <v>0</v>
      </c>
      <c r="K79" s="66"/>
    </row>
    <row r="80" spans="1:11" hidden="1">
      <c r="A80" s="41">
        <v>61</v>
      </c>
      <c r="B80" s="77" t="str">
        <f>IF(ISERROR(VLOOKUP(A80,'RELACION VTAS - CHS'!D:F,3,FALSE))=FALSE,VLOOKUP(A80,'RELACION VTAS - CHS'!D:F,3,FALSE),"")</f>
        <v/>
      </c>
      <c r="C80" s="241" t="str">
        <f>IF(B80="","",VLOOKUP(B80,'RELACION VTAS - CHS'!F:H,3,FALSE))</f>
        <v/>
      </c>
      <c r="D80" s="56" t="str">
        <f>IF(B80="","",VLOOKUP(B80,'RELACION VTAS - CHS'!F:H,2,FALSE))</f>
        <v/>
      </c>
      <c r="E80" s="223">
        <f>IF(ISERROR(VLOOKUP($B80,'RELACION VTAS - CHS'!$F$7:$V$250,16,FALSE))=FALSE,VLOOKUP($B80,'RELACION VTAS - CHS'!$F$7:$V$250,16,FALSE),0)</f>
        <v>0</v>
      </c>
      <c r="F80" s="223">
        <f>SUMIF('REPORTE GASTOS'!C:C,COBRANZA!B80,'REPORTE GASTOS'!G:G)</f>
        <v>0</v>
      </c>
      <c r="G80" s="224">
        <f t="shared" si="6"/>
        <v>0</v>
      </c>
      <c r="H80" s="222">
        <f>IF(ISERROR(VLOOKUP($B80,'RELACION VTAS - CHS'!$F$7:$V$250,16,FALSE))=FALSE,VLOOKUP($B80,'RELACION VTAS - CHS'!$F$7:$V$250,17,FALSE),0)</f>
        <v>0</v>
      </c>
      <c r="I80" s="217">
        <f>SUMIF('REPORTE GASTOS'!C:C,COBRANZA!B80,'REPORTE GASTOS'!I:I)</f>
        <v>0</v>
      </c>
      <c r="J80" s="224">
        <f t="shared" si="7"/>
        <v>0</v>
      </c>
      <c r="K80" s="66"/>
    </row>
    <row r="81" spans="1:11" hidden="1">
      <c r="A81" s="41">
        <v>62</v>
      </c>
      <c r="B81" s="77" t="str">
        <f>IF(ISERROR(VLOOKUP(A81,'RELACION VTAS - CHS'!D:F,3,FALSE))=FALSE,VLOOKUP(A81,'RELACION VTAS - CHS'!D:F,3,FALSE),"")</f>
        <v/>
      </c>
      <c r="C81" s="241" t="str">
        <f>IF(B81="","",VLOOKUP(B81,'RELACION VTAS - CHS'!F:H,3,FALSE))</f>
        <v/>
      </c>
      <c r="D81" s="56" t="str">
        <f>IF(B81="","",VLOOKUP(B81,'RELACION VTAS - CHS'!F:H,2,FALSE))</f>
        <v/>
      </c>
      <c r="E81" s="223">
        <f>IF(ISERROR(VLOOKUP($B81,'RELACION VTAS - CHS'!$F$7:$V$250,16,FALSE))=FALSE,VLOOKUP($B81,'RELACION VTAS - CHS'!$F$7:$V$250,16,FALSE),0)</f>
        <v>0</v>
      </c>
      <c r="F81" s="223">
        <f>SUMIF('REPORTE GASTOS'!C:C,COBRANZA!B81,'REPORTE GASTOS'!G:G)</f>
        <v>0</v>
      </c>
      <c r="G81" s="224">
        <f t="shared" si="6"/>
        <v>0</v>
      </c>
      <c r="H81" s="222">
        <f>IF(ISERROR(VLOOKUP($B81,'RELACION VTAS - CHS'!$F$7:$V$250,16,FALSE))=FALSE,VLOOKUP($B81,'RELACION VTAS - CHS'!$F$7:$V$250,17,FALSE),0)</f>
        <v>0</v>
      </c>
      <c r="I81" s="217">
        <f>SUMIF('REPORTE GASTOS'!C:C,COBRANZA!B81,'REPORTE GASTOS'!I:I)</f>
        <v>0</v>
      </c>
      <c r="J81" s="224">
        <f t="shared" si="7"/>
        <v>0</v>
      </c>
      <c r="K81" s="66"/>
    </row>
    <row r="82" spans="1:11" hidden="1">
      <c r="A82" s="41">
        <v>63</v>
      </c>
      <c r="B82" s="77" t="str">
        <f>IF(ISERROR(VLOOKUP(A82,'RELACION VTAS - CHS'!D:F,3,FALSE))=FALSE,VLOOKUP(A82,'RELACION VTAS - CHS'!D:F,3,FALSE),"")</f>
        <v/>
      </c>
      <c r="C82" s="241" t="str">
        <f>IF(B82="","",VLOOKUP(B82,'RELACION VTAS - CHS'!F:H,3,FALSE))</f>
        <v/>
      </c>
      <c r="D82" s="56" t="str">
        <f>IF(B82="","",VLOOKUP(B82,'RELACION VTAS - CHS'!F:H,2,FALSE))</f>
        <v/>
      </c>
      <c r="E82" s="223">
        <f>IF(ISERROR(VLOOKUP($B82,'RELACION VTAS - CHS'!$F$7:$V$250,16,FALSE))=FALSE,VLOOKUP($B82,'RELACION VTAS - CHS'!$F$7:$V$250,16,FALSE),0)</f>
        <v>0</v>
      </c>
      <c r="F82" s="223">
        <f>SUMIF('REPORTE GASTOS'!C:C,COBRANZA!B82,'REPORTE GASTOS'!G:G)</f>
        <v>0</v>
      </c>
      <c r="G82" s="224">
        <f t="shared" si="6"/>
        <v>0</v>
      </c>
      <c r="H82" s="222">
        <f>IF(ISERROR(VLOOKUP($B82,'RELACION VTAS - CHS'!$F$7:$V$250,16,FALSE))=FALSE,VLOOKUP($B82,'RELACION VTAS - CHS'!$F$7:$V$250,17,FALSE),0)</f>
        <v>0</v>
      </c>
      <c r="I82" s="217">
        <f>SUMIF('REPORTE GASTOS'!C:C,COBRANZA!B82,'REPORTE GASTOS'!I:I)</f>
        <v>0</v>
      </c>
      <c r="J82" s="224">
        <f t="shared" si="7"/>
        <v>0</v>
      </c>
      <c r="K82" s="66"/>
    </row>
    <row r="83" spans="1:11" hidden="1">
      <c r="A83" s="41">
        <v>64</v>
      </c>
      <c r="B83" s="77" t="str">
        <f>IF(ISERROR(VLOOKUP(A83,'RELACION VTAS - CHS'!D:F,3,FALSE))=FALSE,VLOOKUP(A83,'RELACION VTAS - CHS'!D:F,3,FALSE),"")</f>
        <v/>
      </c>
      <c r="C83" s="241" t="str">
        <f>IF(B83="","",VLOOKUP(B83,'RELACION VTAS - CHS'!F:H,3,FALSE))</f>
        <v/>
      </c>
      <c r="D83" s="56" t="str">
        <f>IF(B83="","",VLOOKUP(B83,'RELACION VTAS - CHS'!F:H,2,FALSE))</f>
        <v/>
      </c>
      <c r="E83" s="223">
        <f>IF(ISERROR(VLOOKUP($B83,'RELACION VTAS - CHS'!$F$7:$V$250,16,FALSE))=FALSE,VLOOKUP($B83,'RELACION VTAS - CHS'!$F$7:$V$250,16,FALSE),0)</f>
        <v>0</v>
      </c>
      <c r="F83" s="223">
        <f>SUMIF('REPORTE GASTOS'!C:C,COBRANZA!B83,'REPORTE GASTOS'!G:G)</f>
        <v>0</v>
      </c>
      <c r="G83" s="224">
        <f t="shared" si="6"/>
        <v>0</v>
      </c>
      <c r="H83" s="222">
        <f>IF(ISERROR(VLOOKUP($B83,'RELACION VTAS - CHS'!$F$7:$V$250,16,FALSE))=FALSE,VLOOKUP($B83,'RELACION VTAS - CHS'!$F$7:$V$250,17,FALSE),0)</f>
        <v>0</v>
      </c>
      <c r="I83" s="217">
        <f>SUMIF('REPORTE GASTOS'!C:C,COBRANZA!B83,'REPORTE GASTOS'!I:I)</f>
        <v>0</v>
      </c>
      <c r="J83" s="224">
        <f t="shared" si="7"/>
        <v>0</v>
      </c>
      <c r="K83" s="66"/>
    </row>
    <row r="84" spans="1:11" hidden="1">
      <c r="A84" s="41">
        <v>65</v>
      </c>
      <c r="B84" s="77" t="str">
        <f>IF(ISERROR(VLOOKUP(A84,'RELACION VTAS - CHS'!D:F,3,FALSE))=FALSE,VLOOKUP(A84,'RELACION VTAS - CHS'!D:F,3,FALSE),"")</f>
        <v/>
      </c>
      <c r="C84" s="241" t="str">
        <f>IF(B84="","",VLOOKUP(B84,'RELACION VTAS - CHS'!F:H,3,FALSE))</f>
        <v/>
      </c>
      <c r="D84" s="56" t="str">
        <f>IF(B84="","",VLOOKUP(B84,'RELACION VTAS - CHS'!F:H,2,FALSE))</f>
        <v/>
      </c>
      <c r="E84" s="223">
        <f>IF(ISERROR(VLOOKUP($B84,'RELACION VTAS - CHS'!$F$7:$V$250,16,FALSE))=FALSE,VLOOKUP($B84,'RELACION VTAS - CHS'!$F$7:$V$250,16,FALSE),0)</f>
        <v>0</v>
      </c>
      <c r="F84" s="223">
        <f>SUMIF('REPORTE GASTOS'!C:C,COBRANZA!B84,'REPORTE GASTOS'!G:G)</f>
        <v>0</v>
      </c>
      <c r="G84" s="224">
        <f t="shared" si="6"/>
        <v>0</v>
      </c>
      <c r="H84" s="222">
        <f>IF(ISERROR(VLOOKUP($B84,'RELACION VTAS - CHS'!$F$7:$V$250,16,FALSE))=FALSE,VLOOKUP($B84,'RELACION VTAS - CHS'!$F$7:$V$250,17,FALSE),0)</f>
        <v>0</v>
      </c>
      <c r="I84" s="217">
        <f>SUMIF('REPORTE GASTOS'!C:C,COBRANZA!B84,'REPORTE GASTOS'!I:I)</f>
        <v>0</v>
      </c>
      <c r="J84" s="224">
        <f t="shared" si="7"/>
        <v>0</v>
      </c>
      <c r="K84" s="66"/>
    </row>
    <row r="85" spans="1:11" hidden="1">
      <c r="A85" s="41">
        <v>66</v>
      </c>
      <c r="B85" s="77" t="str">
        <f>IF(ISERROR(VLOOKUP(A85,'RELACION VTAS - CHS'!D:F,3,FALSE))=FALSE,VLOOKUP(A85,'RELACION VTAS - CHS'!D:F,3,FALSE),"")</f>
        <v/>
      </c>
      <c r="C85" s="241" t="str">
        <f>IF(B85="","",VLOOKUP(B85,'RELACION VTAS - CHS'!F:H,3,FALSE))</f>
        <v/>
      </c>
      <c r="D85" s="56" t="str">
        <f>IF(B85="","",VLOOKUP(B85,'RELACION VTAS - CHS'!F:H,2,FALSE))</f>
        <v/>
      </c>
      <c r="E85" s="223">
        <f>IF(ISERROR(VLOOKUP($B85,'RELACION VTAS - CHS'!$F$7:$V$250,16,FALSE))=FALSE,VLOOKUP($B85,'RELACION VTAS - CHS'!$F$7:$V$250,16,FALSE),0)</f>
        <v>0</v>
      </c>
      <c r="F85" s="223">
        <f>SUMIF('REPORTE GASTOS'!C:C,COBRANZA!B85,'REPORTE GASTOS'!G:G)</f>
        <v>0</v>
      </c>
      <c r="G85" s="224">
        <f t="shared" si="6"/>
        <v>0</v>
      </c>
      <c r="H85" s="222">
        <f>IF(ISERROR(VLOOKUP($B85,'RELACION VTAS - CHS'!$F$7:$V$250,16,FALSE))=FALSE,VLOOKUP($B85,'RELACION VTAS - CHS'!$F$7:$V$250,17,FALSE),0)</f>
        <v>0</v>
      </c>
      <c r="I85" s="217">
        <f>SUMIF('REPORTE GASTOS'!C:C,COBRANZA!B85,'REPORTE GASTOS'!I:I)</f>
        <v>0</v>
      </c>
      <c r="J85" s="224">
        <f t="shared" si="7"/>
        <v>0</v>
      </c>
      <c r="K85" s="66"/>
    </row>
    <row r="86" spans="1:11" hidden="1">
      <c r="A86" s="41">
        <v>67</v>
      </c>
      <c r="B86" s="77" t="str">
        <f>IF(ISERROR(VLOOKUP(A86,'RELACION VTAS - CHS'!D:F,3,FALSE))=FALSE,VLOOKUP(A86,'RELACION VTAS - CHS'!D:F,3,FALSE),"")</f>
        <v/>
      </c>
      <c r="C86" s="241" t="str">
        <f>IF(B86="","",VLOOKUP(B86,'RELACION VTAS - CHS'!F:H,3,FALSE))</f>
        <v/>
      </c>
      <c r="D86" s="56" t="str">
        <f>IF(B86="","",VLOOKUP(B86,'RELACION VTAS - CHS'!F:H,2,FALSE))</f>
        <v/>
      </c>
      <c r="E86" s="223">
        <f>IF(ISERROR(VLOOKUP($B86,'RELACION VTAS - CHS'!$F$7:$V$250,16,FALSE))=FALSE,VLOOKUP($B86,'RELACION VTAS - CHS'!$F$7:$V$250,16,FALSE),0)</f>
        <v>0</v>
      </c>
      <c r="F86" s="223">
        <f>SUMIF('REPORTE GASTOS'!C:C,COBRANZA!B86,'REPORTE GASTOS'!G:G)</f>
        <v>0</v>
      </c>
      <c r="G86" s="224">
        <f t="shared" si="6"/>
        <v>0</v>
      </c>
      <c r="H86" s="222">
        <f>IF(ISERROR(VLOOKUP($B86,'RELACION VTAS - CHS'!$F$7:$V$250,16,FALSE))=FALSE,VLOOKUP($B86,'RELACION VTAS - CHS'!$F$7:$V$250,17,FALSE),0)</f>
        <v>0</v>
      </c>
      <c r="I86" s="217">
        <f>SUMIF('REPORTE GASTOS'!C:C,COBRANZA!B86,'REPORTE GASTOS'!I:I)</f>
        <v>0</v>
      </c>
      <c r="J86" s="224">
        <f t="shared" si="7"/>
        <v>0</v>
      </c>
      <c r="K86" s="66"/>
    </row>
    <row r="87" spans="1:11" hidden="1">
      <c r="A87" s="41">
        <v>68</v>
      </c>
      <c r="B87" s="77" t="str">
        <f>IF(ISERROR(VLOOKUP(A87,'RELACION VTAS - CHS'!D:F,3,FALSE))=FALSE,VLOOKUP(A87,'RELACION VTAS - CHS'!D:F,3,FALSE),"")</f>
        <v/>
      </c>
      <c r="C87" s="241" t="str">
        <f>IF(B87="","",VLOOKUP(B87,'RELACION VTAS - CHS'!F:H,3,FALSE))</f>
        <v/>
      </c>
      <c r="D87" s="56" t="str">
        <f>IF(B87="","",VLOOKUP(B87,'RELACION VTAS - CHS'!F:H,2,FALSE))</f>
        <v/>
      </c>
      <c r="E87" s="223">
        <f>IF(ISERROR(VLOOKUP($B87,'RELACION VTAS - CHS'!$F$7:$V$250,16,FALSE))=FALSE,VLOOKUP($B87,'RELACION VTAS - CHS'!$F$7:$V$250,16,FALSE),0)</f>
        <v>0</v>
      </c>
      <c r="F87" s="223">
        <f>SUMIF('REPORTE GASTOS'!C:C,COBRANZA!B87,'REPORTE GASTOS'!G:G)</f>
        <v>0</v>
      </c>
      <c r="G87" s="224">
        <f t="shared" si="6"/>
        <v>0</v>
      </c>
      <c r="H87" s="222">
        <f>IF(ISERROR(VLOOKUP($B87,'RELACION VTAS - CHS'!$F$7:$V$250,16,FALSE))=FALSE,VLOOKUP($B87,'RELACION VTAS - CHS'!$F$7:$V$250,17,FALSE),0)</f>
        <v>0</v>
      </c>
      <c r="I87" s="217">
        <f>SUMIF('REPORTE GASTOS'!C:C,COBRANZA!B87,'REPORTE GASTOS'!I:I)</f>
        <v>0</v>
      </c>
      <c r="J87" s="224">
        <f t="shared" si="7"/>
        <v>0</v>
      </c>
      <c r="K87" s="66"/>
    </row>
    <row r="88" spans="1:11" hidden="1">
      <c r="A88" s="41">
        <v>69</v>
      </c>
      <c r="B88" s="77" t="str">
        <f>IF(ISERROR(VLOOKUP(A88,'RELACION VTAS - CHS'!D:F,3,FALSE))=FALSE,VLOOKUP(A88,'RELACION VTAS - CHS'!D:F,3,FALSE),"")</f>
        <v/>
      </c>
      <c r="C88" s="241" t="str">
        <f>IF(B88="","",VLOOKUP(B88,'RELACION VTAS - CHS'!F:H,3,FALSE))</f>
        <v/>
      </c>
      <c r="D88" s="56" t="str">
        <f>IF(B88="","",VLOOKUP(B88,'RELACION VTAS - CHS'!F:H,2,FALSE))</f>
        <v/>
      </c>
      <c r="E88" s="223">
        <f>IF(ISERROR(VLOOKUP($B88,'RELACION VTAS - CHS'!$F$7:$V$250,16,FALSE))=FALSE,VLOOKUP($B88,'RELACION VTAS - CHS'!$F$7:$V$250,16,FALSE),0)</f>
        <v>0</v>
      </c>
      <c r="F88" s="223">
        <f>SUMIF('REPORTE GASTOS'!C:C,COBRANZA!B88,'REPORTE GASTOS'!G:G)</f>
        <v>0</v>
      </c>
      <c r="G88" s="224">
        <f t="shared" si="6"/>
        <v>0</v>
      </c>
      <c r="H88" s="222">
        <f>IF(ISERROR(VLOOKUP($B88,'RELACION VTAS - CHS'!$F$7:$V$250,16,FALSE))=FALSE,VLOOKUP($B88,'RELACION VTAS - CHS'!$F$7:$V$250,17,FALSE),0)</f>
        <v>0</v>
      </c>
      <c r="I88" s="217">
        <f>SUMIF('REPORTE GASTOS'!C:C,COBRANZA!B88,'REPORTE GASTOS'!I:I)</f>
        <v>0</v>
      </c>
      <c r="J88" s="224">
        <f t="shared" si="7"/>
        <v>0</v>
      </c>
      <c r="K88" s="66"/>
    </row>
    <row r="89" spans="1:11" hidden="1">
      <c r="A89" s="41">
        <v>70</v>
      </c>
      <c r="B89" s="77" t="str">
        <f>IF(ISERROR(VLOOKUP(A89,'RELACION VTAS - CHS'!D:F,3,FALSE))=FALSE,VLOOKUP(A89,'RELACION VTAS - CHS'!D:F,3,FALSE),"")</f>
        <v/>
      </c>
      <c r="C89" s="241" t="str">
        <f>IF(B89="","",VLOOKUP(B89,'RELACION VTAS - CHS'!F:H,3,FALSE))</f>
        <v/>
      </c>
      <c r="D89" s="56" t="str">
        <f>IF(B89="","",VLOOKUP(B89,'RELACION VTAS - CHS'!F:H,2,FALSE))</f>
        <v/>
      </c>
      <c r="E89" s="223">
        <f>IF(ISERROR(VLOOKUP($B89,'RELACION VTAS - CHS'!$F$7:$V$250,16,FALSE))=FALSE,VLOOKUP($B89,'RELACION VTAS - CHS'!$F$7:$V$250,16,FALSE),0)</f>
        <v>0</v>
      </c>
      <c r="F89" s="223">
        <f>SUMIF('REPORTE GASTOS'!C:C,COBRANZA!B89,'REPORTE GASTOS'!G:G)</f>
        <v>0</v>
      </c>
      <c r="G89" s="224">
        <f t="shared" si="6"/>
        <v>0</v>
      </c>
      <c r="H89" s="222">
        <f>IF(ISERROR(VLOOKUP($B89,'RELACION VTAS - CHS'!$F$7:$V$250,16,FALSE))=FALSE,VLOOKUP($B89,'RELACION VTAS - CHS'!$F$7:$V$250,17,FALSE),0)</f>
        <v>0</v>
      </c>
      <c r="I89" s="217">
        <f>SUMIF('REPORTE GASTOS'!C:C,COBRANZA!B89,'REPORTE GASTOS'!I:I)</f>
        <v>0</v>
      </c>
      <c r="J89" s="224">
        <f t="shared" si="7"/>
        <v>0</v>
      </c>
      <c r="K89" s="66"/>
    </row>
    <row r="90" spans="1:11" hidden="1">
      <c r="A90" s="41">
        <v>71</v>
      </c>
      <c r="B90" s="77" t="str">
        <f>IF(ISERROR(VLOOKUP(A90,'RELACION VTAS - CHS'!D:F,3,FALSE))=FALSE,VLOOKUP(A90,'RELACION VTAS - CHS'!D:F,3,FALSE),"")</f>
        <v/>
      </c>
      <c r="C90" s="241" t="str">
        <f>IF(B90="","",VLOOKUP(B90,'RELACION VTAS - CHS'!F:H,3,FALSE))</f>
        <v/>
      </c>
      <c r="D90" s="56" t="str">
        <f>IF(B90="","",VLOOKUP(B90,'RELACION VTAS - CHS'!F:H,2,FALSE))</f>
        <v/>
      </c>
      <c r="E90" s="223">
        <f>IF(ISERROR(VLOOKUP($B90,'RELACION VTAS - CHS'!$F$7:$V$250,16,FALSE))=FALSE,VLOOKUP($B90,'RELACION VTAS - CHS'!$F$7:$V$250,16,FALSE),0)</f>
        <v>0</v>
      </c>
      <c r="F90" s="223">
        <f>SUMIF('REPORTE GASTOS'!C:C,COBRANZA!B90,'REPORTE GASTOS'!G:G)</f>
        <v>0</v>
      </c>
      <c r="G90" s="224">
        <f t="shared" si="6"/>
        <v>0</v>
      </c>
      <c r="H90" s="222">
        <f>IF(ISERROR(VLOOKUP($B90,'RELACION VTAS - CHS'!$F$7:$V$250,16,FALSE))=FALSE,VLOOKUP($B90,'RELACION VTAS - CHS'!$F$7:$V$250,17,FALSE),0)</f>
        <v>0</v>
      </c>
      <c r="I90" s="217">
        <f>SUMIF('REPORTE GASTOS'!C:C,COBRANZA!B90,'REPORTE GASTOS'!I:I)</f>
        <v>0</v>
      </c>
      <c r="J90" s="224">
        <f t="shared" si="7"/>
        <v>0</v>
      </c>
      <c r="K90" s="66"/>
    </row>
    <row r="91" spans="1:11" hidden="1">
      <c r="A91" s="41">
        <v>72</v>
      </c>
      <c r="B91" s="77" t="str">
        <f>IF(ISERROR(VLOOKUP(A91,'RELACION VTAS - CHS'!D:F,3,FALSE))=FALSE,VLOOKUP(A91,'RELACION VTAS - CHS'!D:F,3,FALSE),"")</f>
        <v/>
      </c>
      <c r="C91" s="241" t="str">
        <f>IF(B91="","",VLOOKUP(B91,'RELACION VTAS - CHS'!F:H,3,FALSE))</f>
        <v/>
      </c>
      <c r="D91" s="56" t="str">
        <f>IF(B91="","",VLOOKUP(B91,'RELACION VTAS - CHS'!F:H,2,FALSE))</f>
        <v/>
      </c>
      <c r="E91" s="223">
        <f>IF(ISERROR(VLOOKUP($B91,'RELACION VTAS - CHS'!$F$7:$V$250,16,FALSE))=FALSE,VLOOKUP($B91,'RELACION VTAS - CHS'!$F$7:$V$250,16,FALSE),0)</f>
        <v>0</v>
      </c>
      <c r="F91" s="223">
        <f>SUMIF('REPORTE GASTOS'!C:C,COBRANZA!B91,'REPORTE GASTOS'!G:G)</f>
        <v>0</v>
      </c>
      <c r="G91" s="224">
        <f t="shared" si="6"/>
        <v>0</v>
      </c>
      <c r="H91" s="222">
        <f>IF(ISERROR(VLOOKUP($B91,'RELACION VTAS - CHS'!$F$7:$V$250,16,FALSE))=FALSE,VLOOKUP($B91,'RELACION VTAS - CHS'!$F$7:$V$250,17,FALSE),0)</f>
        <v>0</v>
      </c>
      <c r="I91" s="217">
        <f>SUMIF('REPORTE GASTOS'!C:C,COBRANZA!B91,'REPORTE GASTOS'!I:I)</f>
        <v>0</v>
      </c>
      <c r="J91" s="224">
        <f t="shared" si="7"/>
        <v>0</v>
      </c>
      <c r="K91" s="66"/>
    </row>
    <row r="92" spans="1:11" hidden="1">
      <c r="A92" s="41">
        <v>73</v>
      </c>
      <c r="B92" s="77" t="str">
        <f>IF(ISERROR(VLOOKUP(A92,'RELACION VTAS - CHS'!D:F,3,FALSE))=FALSE,VLOOKUP(A92,'RELACION VTAS - CHS'!D:F,3,FALSE),"")</f>
        <v/>
      </c>
      <c r="C92" s="241" t="str">
        <f>IF(B92="","",VLOOKUP(B92,'RELACION VTAS - CHS'!F:H,3,FALSE))</f>
        <v/>
      </c>
      <c r="D92" s="56" t="str">
        <f>IF(B92="","",VLOOKUP(B92,'RELACION VTAS - CHS'!F:H,2,FALSE))</f>
        <v/>
      </c>
      <c r="E92" s="223">
        <f>IF(ISERROR(VLOOKUP($B92,'RELACION VTAS - CHS'!$F$7:$V$250,16,FALSE))=FALSE,VLOOKUP($B92,'RELACION VTAS - CHS'!$F$7:$V$250,16,FALSE),0)</f>
        <v>0</v>
      </c>
      <c r="F92" s="223">
        <f>SUMIF('REPORTE GASTOS'!C:C,COBRANZA!B92,'REPORTE GASTOS'!G:G)</f>
        <v>0</v>
      </c>
      <c r="G92" s="224">
        <f t="shared" si="6"/>
        <v>0</v>
      </c>
      <c r="H92" s="222">
        <f>IF(ISERROR(VLOOKUP($B92,'RELACION VTAS - CHS'!$F$7:$V$250,16,FALSE))=FALSE,VLOOKUP($B92,'RELACION VTAS - CHS'!$F$7:$V$250,17,FALSE),0)</f>
        <v>0</v>
      </c>
      <c r="I92" s="217">
        <f>SUMIF('REPORTE GASTOS'!C:C,COBRANZA!B92,'REPORTE GASTOS'!I:I)</f>
        <v>0</v>
      </c>
      <c r="J92" s="224">
        <f t="shared" si="7"/>
        <v>0</v>
      </c>
      <c r="K92" s="66"/>
    </row>
    <row r="93" spans="1:11" hidden="1">
      <c r="A93" s="41">
        <v>74</v>
      </c>
      <c r="B93" s="77" t="str">
        <f>IF(ISERROR(VLOOKUP(A93,'RELACION VTAS - CHS'!D:F,3,FALSE))=FALSE,VLOOKUP(A93,'RELACION VTAS - CHS'!D:F,3,FALSE),"")</f>
        <v/>
      </c>
      <c r="C93" s="241" t="str">
        <f>IF(B93="","",VLOOKUP(B93,'RELACION VTAS - CHS'!F:H,3,FALSE))</f>
        <v/>
      </c>
      <c r="D93" s="56" t="str">
        <f>IF(B93="","",VLOOKUP(B93,'RELACION VTAS - CHS'!F:H,2,FALSE))</f>
        <v/>
      </c>
      <c r="E93" s="223">
        <f>IF(ISERROR(VLOOKUP($B93,'RELACION VTAS - CHS'!$F$7:$V$250,16,FALSE))=FALSE,VLOOKUP($B93,'RELACION VTAS - CHS'!$F$7:$V$250,16,FALSE),0)</f>
        <v>0</v>
      </c>
      <c r="F93" s="223">
        <f>SUMIF('REPORTE GASTOS'!C:C,COBRANZA!B93,'REPORTE GASTOS'!G:G)</f>
        <v>0</v>
      </c>
      <c r="G93" s="224">
        <f t="shared" si="6"/>
        <v>0</v>
      </c>
      <c r="H93" s="222">
        <f>IF(ISERROR(VLOOKUP($B93,'RELACION VTAS - CHS'!$F$7:$V$250,16,FALSE))=FALSE,VLOOKUP($B93,'RELACION VTAS - CHS'!$F$7:$V$250,17,FALSE),0)</f>
        <v>0</v>
      </c>
      <c r="I93" s="217">
        <f>SUMIF('REPORTE GASTOS'!C:C,COBRANZA!B93,'REPORTE GASTOS'!I:I)</f>
        <v>0</v>
      </c>
      <c r="J93" s="224">
        <f t="shared" si="7"/>
        <v>0</v>
      </c>
      <c r="K93" s="66"/>
    </row>
    <row r="94" spans="1:11" hidden="1">
      <c r="A94" s="41">
        <v>75</v>
      </c>
      <c r="B94" s="77" t="str">
        <f>IF(ISERROR(VLOOKUP(A94,'RELACION VTAS - CHS'!D:F,3,FALSE))=FALSE,VLOOKUP(A94,'RELACION VTAS - CHS'!D:F,3,FALSE),"")</f>
        <v/>
      </c>
      <c r="C94" s="241" t="str">
        <f>IF(B94="","",VLOOKUP(B94,'RELACION VTAS - CHS'!F:H,3,FALSE))</f>
        <v/>
      </c>
      <c r="D94" s="56" t="str">
        <f>IF(B94="","",VLOOKUP(B94,'RELACION VTAS - CHS'!F:H,2,FALSE))</f>
        <v/>
      </c>
      <c r="E94" s="223">
        <f>IF(ISERROR(VLOOKUP($B94,'RELACION VTAS - CHS'!$F$7:$V$250,16,FALSE))=FALSE,VLOOKUP($B94,'RELACION VTAS - CHS'!$F$7:$V$250,16,FALSE),0)</f>
        <v>0</v>
      </c>
      <c r="F94" s="223">
        <f>SUMIF('REPORTE GASTOS'!C:C,COBRANZA!B94,'REPORTE GASTOS'!G:G)</f>
        <v>0</v>
      </c>
      <c r="G94" s="224">
        <f t="shared" si="6"/>
        <v>0</v>
      </c>
      <c r="H94" s="222">
        <f>IF(ISERROR(VLOOKUP($B94,'RELACION VTAS - CHS'!$F$7:$V$250,16,FALSE))=FALSE,VLOOKUP($B94,'RELACION VTAS - CHS'!$F$7:$V$250,17,FALSE),0)</f>
        <v>0</v>
      </c>
      <c r="I94" s="217">
        <f>SUMIF('REPORTE GASTOS'!C:C,COBRANZA!B94,'REPORTE GASTOS'!I:I)</f>
        <v>0</v>
      </c>
      <c r="J94" s="224">
        <f t="shared" si="7"/>
        <v>0</v>
      </c>
      <c r="K94" s="66"/>
    </row>
    <row r="95" spans="1:11" hidden="1">
      <c r="A95" s="41">
        <v>76</v>
      </c>
      <c r="B95" s="77" t="str">
        <f>IF(ISERROR(VLOOKUP(A95,'RELACION VTAS - CHS'!D:F,3,FALSE))=FALSE,VLOOKUP(A95,'RELACION VTAS - CHS'!D:F,3,FALSE),"")</f>
        <v/>
      </c>
      <c r="C95" s="241" t="str">
        <f>IF(B95="","",VLOOKUP(B95,'RELACION VTAS - CHS'!F:H,3,FALSE))</f>
        <v/>
      </c>
      <c r="D95" s="56" t="str">
        <f>IF(B95="","",VLOOKUP(B95,'RELACION VTAS - CHS'!F:H,2,FALSE))</f>
        <v/>
      </c>
      <c r="E95" s="223">
        <f>IF(ISERROR(VLOOKUP($B95,'RELACION VTAS - CHS'!$F$7:$V$250,16,FALSE))=FALSE,VLOOKUP($B95,'RELACION VTAS - CHS'!$F$7:$V$250,16,FALSE),0)</f>
        <v>0</v>
      </c>
      <c r="F95" s="223">
        <f>SUMIF('REPORTE GASTOS'!C:C,COBRANZA!B95,'REPORTE GASTOS'!G:G)</f>
        <v>0</v>
      </c>
      <c r="G95" s="224">
        <f t="shared" si="6"/>
        <v>0</v>
      </c>
      <c r="H95" s="222">
        <f>IF(ISERROR(VLOOKUP($B95,'RELACION VTAS - CHS'!$F$7:$V$250,16,FALSE))=FALSE,VLOOKUP($B95,'RELACION VTAS - CHS'!$F$7:$V$250,17,FALSE),0)</f>
        <v>0</v>
      </c>
      <c r="I95" s="217">
        <f>SUMIF('REPORTE GASTOS'!C:C,COBRANZA!B95,'REPORTE GASTOS'!I:I)</f>
        <v>0</v>
      </c>
      <c r="J95" s="224">
        <f t="shared" si="7"/>
        <v>0</v>
      </c>
      <c r="K95" s="66"/>
    </row>
    <row r="96" spans="1:11" hidden="1">
      <c r="A96" s="41">
        <v>77</v>
      </c>
      <c r="B96" s="77" t="str">
        <f>IF(ISERROR(VLOOKUP(A96,'RELACION VTAS - CHS'!D:F,3,FALSE))=FALSE,VLOOKUP(A96,'RELACION VTAS - CHS'!D:F,3,FALSE),"")</f>
        <v/>
      </c>
      <c r="C96" s="241" t="str">
        <f>IF(B96="","",VLOOKUP(B96,'RELACION VTAS - CHS'!F:H,3,FALSE))</f>
        <v/>
      </c>
      <c r="D96" s="56" t="str">
        <f>IF(B96="","",VLOOKUP(B96,'RELACION VTAS - CHS'!F:H,2,FALSE))</f>
        <v/>
      </c>
      <c r="E96" s="223">
        <f>IF(ISERROR(VLOOKUP($B96,'RELACION VTAS - CHS'!$F$7:$V$250,16,FALSE))=FALSE,VLOOKUP($B96,'RELACION VTAS - CHS'!$F$7:$V$250,16,FALSE),0)</f>
        <v>0</v>
      </c>
      <c r="F96" s="223">
        <f>SUMIF('REPORTE GASTOS'!C:C,COBRANZA!B96,'REPORTE GASTOS'!G:G)</f>
        <v>0</v>
      </c>
      <c r="G96" s="224">
        <f t="shared" si="6"/>
        <v>0</v>
      </c>
      <c r="H96" s="222">
        <f>IF(ISERROR(VLOOKUP($B96,'RELACION VTAS - CHS'!$F$7:$V$250,16,FALSE))=FALSE,VLOOKUP($B96,'RELACION VTAS - CHS'!$F$7:$V$250,17,FALSE),0)</f>
        <v>0</v>
      </c>
      <c r="I96" s="217">
        <f>SUMIF('REPORTE GASTOS'!C:C,COBRANZA!B96,'REPORTE GASTOS'!I:I)</f>
        <v>0</v>
      </c>
      <c r="J96" s="224">
        <f t="shared" si="7"/>
        <v>0</v>
      </c>
      <c r="K96" s="66"/>
    </row>
    <row r="97" spans="1:11" hidden="1">
      <c r="A97" s="41">
        <v>78</v>
      </c>
      <c r="B97" s="77" t="str">
        <f>IF(ISERROR(VLOOKUP(A97,'RELACION VTAS - CHS'!D:F,3,FALSE))=FALSE,VLOOKUP(A97,'RELACION VTAS - CHS'!D:F,3,FALSE),"")</f>
        <v/>
      </c>
      <c r="C97" s="241" t="str">
        <f>IF(B97="","",VLOOKUP(B97,'RELACION VTAS - CHS'!F:H,3,FALSE))</f>
        <v/>
      </c>
      <c r="D97" s="56" t="str">
        <f>IF(B97="","",VLOOKUP(B97,'RELACION VTAS - CHS'!F:H,2,FALSE))</f>
        <v/>
      </c>
      <c r="E97" s="223">
        <f>IF(ISERROR(VLOOKUP($B97,'RELACION VTAS - CHS'!$F$7:$V$250,16,FALSE))=FALSE,VLOOKUP($B97,'RELACION VTAS - CHS'!$F$7:$V$250,16,FALSE),0)</f>
        <v>0</v>
      </c>
      <c r="F97" s="223">
        <f>SUMIF('REPORTE GASTOS'!C:C,COBRANZA!B97,'REPORTE GASTOS'!G:G)</f>
        <v>0</v>
      </c>
      <c r="G97" s="224">
        <f t="shared" si="6"/>
        <v>0</v>
      </c>
      <c r="H97" s="222">
        <f>IF(ISERROR(VLOOKUP($B97,'RELACION VTAS - CHS'!$F$7:$V$250,16,FALSE))=FALSE,VLOOKUP($B97,'RELACION VTAS - CHS'!$F$7:$V$250,17,FALSE),0)</f>
        <v>0</v>
      </c>
      <c r="I97" s="217">
        <f>SUMIF('REPORTE GASTOS'!C:C,COBRANZA!B97,'REPORTE GASTOS'!I:I)</f>
        <v>0</v>
      </c>
      <c r="J97" s="224">
        <f t="shared" si="7"/>
        <v>0</v>
      </c>
      <c r="K97" s="66"/>
    </row>
    <row r="98" spans="1:11" hidden="1">
      <c r="A98" s="41">
        <v>79</v>
      </c>
      <c r="B98" s="77" t="str">
        <f>IF(ISERROR(VLOOKUP(A98,'RELACION VTAS - CHS'!D:F,3,FALSE))=FALSE,VLOOKUP(A98,'RELACION VTAS - CHS'!D:F,3,FALSE),"")</f>
        <v/>
      </c>
      <c r="C98" s="241" t="str">
        <f>IF(B98="","",VLOOKUP(B98,'RELACION VTAS - CHS'!F:H,3,FALSE))</f>
        <v/>
      </c>
      <c r="D98" s="56" t="str">
        <f>IF(B98="","",VLOOKUP(B98,'RELACION VTAS - CHS'!F:H,2,FALSE))</f>
        <v/>
      </c>
      <c r="E98" s="223">
        <f>IF(ISERROR(VLOOKUP($B98,'RELACION VTAS - CHS'!$F$7:$V$250,16,FALSE))=FALSE,VLOOKUP($B98,'RELACION VTAS - CHS'!$F$7:$V$250,16,FALSE),0)</f>
        <v>0</v>
      </c>
      <c r="F98" s="223">
        <f>SUMIF('REPORTE GASTOS'!C:C,COBRANZA!B98,'REPORTE GASTOS'!G:G)</f>
        <v>0</v>
      </c>
      <c r="G98" s="224">
        <f t="shared" si="6"/>
        <v>0</v>
      </c>
      <c r="H98" s="222">
        <f>IF(ISERROR(VLOOKUP($B98,'RELACION VTAS - CHS'!$F$7:$V$250,16,FALSE))=FALSE,VLOOKUP($B98,'RELACION VTAS - CHS'!$F$7:$V$250,17,FALSE),0)</f>
        <v>0</v>
      </c>
      <c r="I98" s="217">
        <f>SUMIF('REPORTE GASTOS'!C:C,COBRANZA!B98,'REPORTE GASTOS'!I:I)</f>
        <v>0</v>
      </c>
      <c r="J98" s="224">
        <f t="shared" si="7"/>
        <v>0</v>
      </c>
      <c r="K98" s="66"/>
    </row>
    <row r="99" spans="1:11" hidden="1">
      <c r="A99" s="41">
        <v>80</v>
      </c>
      <c r="B99" s="77" t="str">
        <f>IF(ISERROR(VLOOKUP(A99,'RELACION VTAS - CHS'!D:F,3,FALSE))=FALSE,VLOOKUP(A99,'RELACION VTAS - CHS'!D:F,3,FALSE),"")</f>
        <v/>
      </c>
      <c r="C99" s="241" t="str">
        <f>IF(B99="","",VLOOKUP(B99,'RELACION VTAS - CHS'!F:H,3,FALSE))</f>
        <v/>
      </c>
      <c r="D99" s="56" t="str">
        <f>IF(B99="","",VLOOKUP(B99,'RELACION VTAS - CHS'!F:H,2,FALSE))</f>
        <v/>
      </c>
      <c r="E99" s="223">
        <f>IF(ISERROR(VLOOKUP($B99,'RELACION VTAS - CHS'!$F$7:$V$250,16,FALSE))=FALSE,VLOOKUP($B99,'RELACION VTAS - CHS'!$F$7:$V$250,16,FALSE),0)</f>
        <v>0</v>
      </c>
      <c r="F99" s="223">
        <f>SUMIF('REPORTE GASTOS'!C:C,COBRANZA!B99,'REPORTE GASTOS'!G:G)</f>
        <v>0</v>
      </c>
      <c r="G99" s="224">
        <f t="shared" si="6"/>
        <v>0</v>
      </c>
      <c r="H99" s="222">
        <f>IF(ISERROR(VLOOKUP($B99,'RELACION VTAS - CHS'!$F$7:$V$250,16,FALSE))=FALSE,VLOOKUP($B99,'RELACION VTAS - CHS'!$F$7:$V$250,17,FALSE),0)</f>
        <v>0</v>
      </c>
      <c r="I99" s="217">
        <f>SUMIF('REPORTE GASTOS'!C:C,COBRANZA!B99,'REPORTE GASTOS'!I:I)</f>
        <v>0</v>
      </c>
      <c r="J99" s="224">
        <f t="shared" si="7"/>
        <v>0</v>
      </c>
      <c r="K99" s="66"/>
    </row>
    <row r="100" spans="1:11" hidden="1">
      <c r="A100" s="41">
        <v>81</v>
      </c>
      <c r="B100" s="77" t="str">
        <f>IF(ISERROR(VLOOKUP(A100,'RELACION VTAS - CHS'!D:F,3,FALSE))=FALSE,VLOOKUP(A100,'RELACION VTAS - CHS'!D:F,3,FALSE),"")</f>
        <v/>
      </c>
      <c r="C100" s="241" t="str">
        <f>IF(B100="","",VLOOKUP(B100,'RELACION VTAS - CHS'!F:H,3,FALSE))</f>
        <v/>
      </c>
      <c r="D100" s="56" t="str">
        <f>IF(B100="","",VLOOKUP(B100,'RELACION VTAS - CHS'!F:H,2,FALSE))</f>
        <v/>
      </c>
      <c r="E100" s="223">
        <f>IF(ISERROR(VLOOKUP($B100,'RELACION VTAS - CHS'!$F$7:$V$250,16,FALSE))=FALSE,VLOOKUP($B100,'RELACION VTAS - CHS'!$F$7:$V$250,16,FALSE),0)</f>
        <v>0</v>
      </c>
      <c r="F100" s="223">
        <f>SUMIF('REPORTE GASTOS'!C:C,COBRANZA!B100,'REPORTE GASTOS'!G:G)</f>
        <v>0</v>
      </c>
      <c r="G100" s="224">
        <f t="shared" si="6"/>
        <v>0</v>
      </c>
      <c r="H100" s="222">
        <f>IF(ISERROR(VLOOKUP($B100,'RELACION VTAS - CHS'!$F$7:$V$250,16,FALSE))=FALSE,VLOOKUP($B100,'RELACION VTAS - CHS'!$F$7:$V$250,17,FALSE),0)</f>
        <v>0</v>
      </c>
      <c r="I100" s="217">
        <f>SUMIF('REPORTE GASTOS'!C:C,COBRANZA!B100,'REPORTE GASTOS'!I:I)</f>
        <v>0</v>
      </c>
      <c r="J100" s="224">
        <f t="shared" si="7"/>
        <v>0</v>
      </c>
      <c r="K100" s="66"/>
    </row>
    <row r="101" spans="1:11" s="86" customFormat="1" hidden="1">
      <c r="A101" s="41">
        <v>82</v>
      </c>
      <c r="B101" s="77" t="str">
        <f>IF(ISERROR(VLOOKUP(A101,'RELACION VTAS - CHS'!D:F,3,FALSE))=FALSE,VLOOKUP(A101,'RELACION VTAS - CHS'!D:F,3,FALSE),"")</f>
        <v/>
      </c>
      <c r="C101" s="241" t="str">
        <f>IF(B101="","",VLOOKUP(B101,'RELACION VTAS - CHS'!F:H,3,FALSE))</f>
        <v/>
      </c>
      <c r="D101" s="56" t="str">
        <f>IF(B101="","",VLOOKUP(B101,'RELACION VTAS - CHS'!F:H,2,FALSE))</f>
        <v/>
      </c>
      <c r="E101" s="223">
        <f>IF(ISERROR(VLOOKUP($B101,'RELACION VTAS - CHS'!$F$7:$V$250,16,FALSE))=FALSE,VLOOKUP($B101,'RELACION VTAS - CHS'!$F$7:$V$250,16,FALSE),0)</f>
        <v>0</v>
      </c>
      <c r="F101" s="223">
        <f>SUMIF('REPORTE GASTOS'!C:C,COBRANZA!B101,'REPORTE GASTOS'!G:G)</f>
        <v>0</v>
      </c>
      <c r="G101" s="224">
        <f t="shared" si="6"/>
        <v>0</v>
      </c>
      <c r="H101" s="222">
        <f>IF(ISERROR(VLOOKUP($B101,'RELACION VTAS - CHS'!$F$7:$V$250,16,FALSE))=FALSE,VLOOKUP($B101,'RELACION VTAS - CHS'!$F$7:$V$250,17,FALSE),0)</f>
        <v>0</v>
      </c>
      <c r="I101" s="217">
        <f>SUMIF('REPORTE GASTOS'!C:C,COBRANZA!B101,'REPORTE GASTOS'!I:I)</f>
        <v>0</v>
      </c>
      <c r="J101" s="224">
        <f t="shared" si="7"/>
        <v>0</v>
      </c>
      <c r="K101" s="66"/>
    </row>
    <row r="102" spans="1:11" s="86" customFormat="1" hidden="1">
      <c r="A102" s="41">
        <v>83</v>
      </c>
      <c r="B102" s="77" t="str">
        <f>IF(ISERROR(VLOOKUP(A102,'RELACION VTAS - CHS'!D:F,3,FALSE))=FALSE,VLOOKUP(A102,'RELACION VTAS - CHS'!D:F,3,FALSE),"")</f>
        <v/>
      </c>
      <c r="C102" s="241" t="str">
        <f>IF(B102="","",VLOOKUP(B102,'RELACION VTAS - CHS'!F:H,3,FALSE))</f>
        <v/>
      </c>
      <c r="D102" s="56" t="str">
        <f>IF(B102="","",VLOOKUP(B102,'RELACION VTAS - CHS'!F:H,2,FALSE))</f>
        <v/>
      </c>
      <c r="E102" s="223">
        <f>IF(ISERROR(VLOOKUP($B102,'RELACION VTAS - CHS'!$F$7:$V$250,16,FALSE))=FALSE,VLOOKUP($B102,'RELACION VTAS - CHS'!$F$7:$V$250,16,FALSE),0)</f>
        <v>0</v>
      </c>
      <c r="F102" s="223">
        <f>SUMIF('REPORTE GASTOS'!C:C,COBRANZA!B102,'REPORTE GASTOS'!G:G)</f>
        <v>0</v>
      </c>
      <c r="G102" s="224">
        <f t="shared" si="6"/>
        <v>0</v>
      </c>
      <c r="H102" s="222">
        <f>IF(ISERROR(VLOOKUP($B102,'RELACION VTAS - CHS'!$F$7:$V$250,16,FALSE))=FALSE,VLOOKUP($B102,'RELACION VTAS - CHS'!$F$7:$V$250,17,FALSE),0)</f>
        <v>0</v>
      </c>
      <c r="I102" s="217">
        <f>SUMIF('REPORTE GASTOS'!C:C,COBRANZA!B102,'REPORTE GASTOS'!I:I)</f>
        <v>0</v>
      </c>
      <c r="J102" s="224">
        <f t="shared" si="7"/>
        <v>0</v>
      </c>
      <c r="K102" s="66"/>
    </row>
    <row r="103" spans="1:11" s="86" customFormat="1" hidden="1">
      <c r="A103" s="41">
        <v>84</v>
      </c>
      <c r="B103" s="77" t="str">
        <f>IF(ISERROR(VLOOKUP(A103,'RELACION VTAS - CHS'!D:F,3,FALSE))=FALSE,VLOOKUP(A103,'RELACION VTAS - CHS'!D:F,3,FALSE),"")</f>
        <v/>
      </c>
      <c r="C103" s="241" t="str">
        <f>IF(B103="","",VLOOKUP(B103,'RELACION VTAS - CHS'!F:H,3,FALSE))</f>
        <v/>
      </c>
      <c r="D103" s="56" t="str">
        <f>IF(B103="","",VLOOKUP(B103,'RELACION VTAS - CHS'!F:H,2,FALSE))</f>
        <v/>
      </c>
      <c r="E103" s="223">
        <f>IF(ISERROR(VLOOKUP($B103,'RELACION VTAS - CHS'!$F$7:$V$250,16,FALSE))=FALSE,VLOOKUP($B103,'RELACION VTAS - CHS'!$F$7:$V$250,16,FALSE),0)</f>
        <v>0</v>
      </c>
      <c r="F103" s="223">
        <f>SUMIF('REPORTE GASTOS'!C:C,COBRANZA!B103,'REPORTE GASTOS'!G:G)</f>
        <v>0</v>
      </c>
      <c r="G103" s="224">
        <f t="shared" si="6"/>
        <v>0</v>
      </c>
      <c r="H103" s="222">
        <f>IF(ISERROR(VLOOKUP($B103,'RELACION VTAS - CHS'!$F$7:$V$250,16,FALSE))=FALSE,VLOOKUP($B103,'RELACION VTAS - CHS'!$F$7:$V$250,17,FALSE),0)</f>
        <v>0</v>
      </c>
      <c r="I103" s="217">
        <f>SUMIF('REPORTE GASTOS'!C:C,COBRANZA!B103,'REPORTE GASTOS'!I:I)</f>
        <v>0</v>
      </c>
      <c r="J103" s="224">
        <f t="shared" si="7"/>
        <v>0</v>
      </c>
      <c r="K103" s="66"/>
    </row>
    <row r="104" spans="1:11" s="86" customFormat="1" hidden="1">
      <c r="A104" s="41">
        <v>85</v>
      </c>
      <c r="B104" s="77" t="str">
        <f>IF(ISERROR(VLOOKUP(A104,'RELACION VTAS - CHS'!D:F,3,FALSE))=FALSE,VLOOKUP(A104,'RELACION VTAS - CHS'!D:F,3,FALSE),"")</f>
        <v/>
      </c>
      <c r="C104" s="241" t="str">
        <f>IF(B104="","",VLOOKUP(B104,'RELACION VTAS - CHS'!F:H,3,FALSE))</f>
        <v/>
      </c>
      <c r="D104" s="56" t="str">
        <f>IF(B104="","",VLOOKUP(B104,'RELACION VTAS - CHS'!F:H,2,FALSE))</f>
        <v/>
      </c>
      <c r="E104" s="223">
        <f>IF(ISERROR(VLOOKUP($B104,'RELACION VTAS - CHS'!$F$7:$V$250,16,FALSE))=FALSE,VLOOKUP($B104,'RELACION VTAS - CHS'!$F$7:$V$250,16,FALSE),0)</f>
        <v>0</v>
      </c>
      <c r="F104" s="223">
        <f>SUMIF('REPORTE GASTOS'!C:C,COBRANZA!B104,'REPORTE GASTOS'!G:G)</f>
        <v>0</v>
      </c>
      <c r="G104" s="224">
        <f t="shared" si="6"/>
        <v>0</v>
      </c>
      <c r="H104" s="222">
        <f>IF(ISERROR(VLOOKUP($B104,'RELACION VTAS - CHS'!$F$7:$V$250,16,FALSE))=FALSE,VLOOKUP($B104,'RELACION VTAS - CHS'!$F$7:$V$250,17,FALSE),0)</f>
        <v>0</v>
      </c>
      <c r="I104" s="217">
        <f>SUMIF('REPORTE GASTOS'!C:C,COBRANZA!B104,'REPORTE GASTOS'!I:I)</f>
        <v>0</v>
      </c>
      <c r="J104" s="224">
        <f t="shared" si="7"/>
        <v>0</v>
      </c>
      <c r="K104" s="66"/>
    </row>
    <row r="105" spans="1:11" s="86" customFormat="1" hidden="1">
      <c r="A105" s="41">
        <v>86</v>
      </c>
      <c r="B105" s="77" t="str">
        <f>IF(ISERROR(VLOOKUP(A105,'RELACION VTAS - CHS'!D:F,3,FALSE))=FALSE,VLOOKUP(A105,'RELACION VTAS - CHS'!D:F,3,FALSE),"")</f>
        <v/>
      </c>
      <c r="C105" s="241" t="str">
        <f>IF(B105="","",VLOOKUP(B105,'RELACION VTAS - CHS'!F:H,3,FALSE))</f>
        <v/>
      </c>
      <c r="D105" s="56" t="str">
        <f>IF(B105="","",VLOOKUP(B105,'RELACION VTAS - CHS'!F:H,2,FALSE))</f>
        <v/>
      </c>
      <c r="E105" s="223">
        <f>IF(ISERROR(VLOOKUP($B105,'RELACION VTAS - CHS'!$F$7:$V$250,16,FALSE))=FALSE,VLOOKUP($B105,'RELACION VTAS - CHS'!$F$7:$V$250,16,FALSE),0)</f>
        <v>0</v>
      </c>
      <c r="F105" s="223">
        <f>SUMIF('REPORTE GASTOS'!C:C,COBRANZA!B105,'REPORTE GASTOS'!G:G)</f>
        <v>0</v>
      </c>
      <c r="G105" s="224">
        <f t="shared" si="6"/>
        <v>0</v>
      </c>
      <c r="H105" s="222">
        <f>IF(ISERROR(VLOOKUP($B105,'RELACION VTAS - CHS'!$F$7:$V$250,16,FALSE))=FALSE,VLOOKUP($B105,'RELACION VTAS - CHS'!$F$7:$V$250,17,FALSE),0)</f>
        <v>0</v>
      </c>
      <c r="I105" s="217">
        <f>SUMIF('REPORTE GASTOS'!C:C,COBRANZA!B105,'REPORTE GASTOS'!I:I)</f>
        <v>0</v>
      </c>
      <c r="J105" s="224">
        <f t="shared" si="7"/>
        <v>0</v>
      </c>
      <c r="K105" s="66"/>
    </row>
    <row r="106" spans="1:11" s="86" customFormat="1" hidden="1">
      <c r="A106" s="41">
        <v>87</v>
      </c>
      <c r="B106" s="77" t="str">
        <f>IF(ISERROR(VLOOKUP(A106,'RELACION VTAS - CHS'!D:F,3,FALSE))=FALSE,VLOOKUP(A106,'RELACION VTAS - CHS'!D:F,3,FALSE),"")</f>
        <v/>
      </c>
      <c r="C106" s="241" t="str">
        <f>IF(B106="","",VLOOKUP(B106,'RELACION VTAS - CHS'!F:H,3,FALSE))</f>
        <v/>
      </c>
      <c r="D106" s="56" t="str">
        <f>IF(B106="","",VLOOKUP(B106,'RELACION VTAS - CHS'!F:H,2,FALSE))</f>
        <v/>
      </c>
      <c r="E106" s="223">
        <f>IF(ISERROR(VLOOKUP($B106,'RELACION VTAS - CHS'!$F$7:$V$250,16,FALSE))=FALSE,VLOOKUP($B106,'RELACION VTAS - CHS'!$F$7:$V$250,16,FALSE),0)</f>
        <v>0</v>
      </c>
      <c r="F106" s="223">
        <f>SUMIF('REPORTE GASTOS'!C:C,COBRANZA!B106,'REPORTE GASTOS'!G:G)</f>
        <v>0</v>
      </c>
      <c r="G106" s="224">
        <f t="shared" si="6"/>
        <v>0</v>
      </c>
      <c r="H106" s="222">
        <f>IF(ISERROR(VLOOKUP($B106,'RELACION VTAS - CHS'!$F$7:$V$250,16,FALSE))=FALSE,VLOOKUP($B106,'RELACION VTAS - CHS'!$F$7:$V$250,17,FALSE),0)</f>
        <v>0</v>
      </c>
      <c r="I106" s="217">
        <f>SUMIF('REPORTE GASTOS'!C:C,COBRANZA!B106,'REPORTE GASTOS'!I:I)</f>
        <v>0</v>
      </c>
      <c r="J106" s="224">
        <f t="shared" si="7"/>
        <v>0</v>
      </c>
      <c r="K106" s="66"/>
    </row>
    <row r="107" spans="1:11" s="86" customFormat="1" hidden="1">
      <c r="A107" s="41">
        <v>88</v>
      </c>
      <c r="B107" s="77" t="str">
        <f>IF(ISERROR(VLOOKUP(A107,'RELACION VTAS - CHS'!D:F,3,FALSE))=FALSE,VLOOKUP(A107,'RELACION VTAS - CHS'!D:F,3,FALSE),"")</f>
        <v/>
      </c>
      <c r="C107" s="241" t="str">
        <f>IF(B107="","",VLOOKUP(B107,'RELACION VTAS - CHS'!F:H,3,FALSE))</f>
        <v/>
      </c>
      <c r="D107" s="56" t="str">
        <f>IF(B107="","",VLOOKUP(B107,'RELACION VTAS - CHS'!F:H,2,FALSE))</f>
        <v/>
      </c>
      <c r="E107" s="223">
        <f>IF(ISERROR(VLOOKUP($B107,'RELACION VTAS - CHS'!$F$7:$V$250,16,FALSE))=FALSE,VLOOKUP($B107,'RELACION VTAS - CHS'!$F$7:$V$250,16,FALSE),0)</f>
        <v>0</v>
      </c>
      <c r="F107" s="223">
        <f>SUMIF('REPORTE GASTOS'!C:C,COBRANZA!B107,'REPORTE GASTOS'!G:G)</f>
        <v>0</v>
      </c>
      <c r="G107" s="224">
        <f t="shared" si="6"/>
        <v>0</v>
      </c>
      <c r="H107" s="222">
        <f>IF(ISERROR(VLOOKUP($B107,'RELACION VTAS - CHS'!$F$7:$V$250,16,FALSE))=FALSE,VLOOKUP($B107,'RELACION VTAS - CHS'!$F$7:$V$250,17,FALSE),0)</f>
        <v>0</v>
      </c>
      <c r="I107" s="217">
        <f>SUMIF('REPORTE GASTOS'!C:C,COBRANZA!B107,'REPORTE GASTOS'!I:I)</f>
        <v>0</v>
      </c>
      <c r="J107" s="224">
        <f t="shared" si="7"/>
        <v>0</v>
      </c>
      <c r="K107" s="66"/>
    </row>
    <row r="108" spans="1:11" s="86" customFormat="1" hidden="1">
      <c r="A108" s="41">
        <v>89</v>
      </c>
      <c r="B108" s="77" t="str">
        <f>IF(ISERROR(VLOOKUP(A108,'RELACION VTAS - CHS'!D:F,3,FALSE))=FALSE,VLOOKUP(A108,'RELACION VTAS - CHS'!D:F,3,FALSE),"")</f>
        <v/>
      </c>
      <c r="C108" s="241" t="str">
        <f>IF(B108="","",VLOOKUP(B108,'RELACION VTAS - CHS'!F:H,3,FALSE))</f>
        <v/>
      </c>
      <c r="D108" s="56" t="str">
        <f>IF(B108="","",VLOOKUP(B108,'RELACION VTAS - CHS'!F:H,2,FALSE))</f>
        <v/>
      </c>
      <c r="E108" s="223">
        <f>IF(ISERROR(VLOOKUP($B108,'RELACION VTAS - CHS'!$F$7:$V$250,16,FALSE))=FALSE,VLOOKUP($B108,'RELACION VTAS - CHS'!$F$7:$V$250,16,FALSE),0)</f>
        <v>0</v>
      </c>
      <c r="F108" s="223">
        <f>SUMIF('REPORTE GASTOS'!C:C,COBRANZA!B108,'REPORTE GASTOS'!G:G)</f>
        <v>0</v>
      </c>
      <c r="G108" s="224">
        <f t="shared" si="6"/>
        <v>0</v>
      </c>
      <c r="H108" s="222">
        <f>IF(ISERROR(VLOOKUP($B108,'RELACION VTAS - CHS'!$F$7:$V$250,16,FALSE))=FALSE,VLOOKUP($B108,'RELACION VTAS - CHS'!$F$7:$V$250,17,FALSE),0)</f>
        <v>0</v>
      </c>
      <c r="I108" s="217">
        <f>SUMIF('REPORTE GASTOS'!C:C,COBRANZA!B108,'REPORTE GASTOS'!I:I)</f>
        <v>0</v>
      </c>
      <c r="J108" s="224">
        <f t="shared" si="7"/>
        <v>0</v>
      </c>
      <c r="K108" s="66"/>
    </row>
    <row r="109" spans="1:11" s="86" customFormat="1" hidden="1">
      <c r="A109" s="41">
        <v>90</v>
      </c>
      <c r="B109" s="77" t="str">
        <f>IF(ISERROR(VLOOKUP(A109,'RELACION VTAS - CHS'!D:F,3,FALSE))=FALSE,VLOOKUP(A109,'RELACION VTAS - CHS'!D:F,3,FALSE),"")</f>
        <v/>
      </c>
      <c r="C109" s="241" t="str">
        <f>IF(B109="","",VLOOKUP(B109,'RELACION VTAS - CHS'!F:H,3,FALSE))</f>
        <v/>
      </c>
      <c r="D109" s="56" t="str">
        <f>IF(B109="","",VLOOKUP(B109,'RELACION VTAS - CHS'!F:H,2,FALSE))</f>
        <v/>
      </c>
      <c r="E109" s="223">
        <f>IF(ISERROR(VLOOKUP($B109,'RELACION VTAS - CHS'!$F$7:$V$250,16,FALSE))=FALSE,VLOOKUP($B109,'RELACION VTAS - CHS'!$F$7:$V$250,16,FALSE),0)</f>
        <v>0</v>
      </c>
      <c r="F109" s="223">
        <f>SUMIF('REPORTE GASTOS'!C:C,COBRANZA!B109,'REPORTE GASTOS'!G:G)</f>
        <v>0</v>
      </c>
      <c r="G109" s="224">
        <f t="shared" si="6"/>
        <v>0</v>
      </c>
      <c r="H109" s="222">
        <f>IF(ISERROR(VLOOKUP($B109,'RELACION VTAS - CHS'!$F$7:$V$250,16,FALSE))=FALSE,VLOOKUP($B109,'RELACION VTAS - CHS'!$F$7:$V$250,17,FALSE),0)</f>
        <v>0</v>
      </c>
      <c r="I109" s="217">
        <f>SUMIF('REPORTE GASTOS'!C:C,COBRANZA!B109,'REPORTE GASTOS'!I:I)</f>
        <v>0</v>
      </c>
      <c r="J109" s="224">
        <f t="shared" si="7"/>
        <v>0</v>
      </c>
      <c r="K109" s="66"/>
    </row>
    <row r="110" spans="1:11" s="86" customFormat="1" hidden="1">
      <c r="A110" s="41">
        <v>91</v>
      </c>
      <c r="B110" s="77" t="str">
        <f>IF(ISERROR(VLOOKUP(A110,'RELACION VTAS - CHS'!D:F,3,FALSE))=FALSE,VLOOKUP(A110,'RELACION VTAS - CHS'!D:F,3,FALSE),"")</f>
        <v/>
      </c>
      <c r="C110" s="241" t="str">
        <f>IF(B110="","",VLOOKUP(B110,'RELACION VTAS - CHS'!F:H,3,FALSE))</f>
        <v/>
      </c>
      <c r="D110" s="56" t="str">
        <f>IF(B110="","",VLOOKUP(B110,'RELACION VTAS - CHS'!F:H,2,FALSE))</f>
        <v/>
      </c>
      <c r="E110" s="223">
        <f>IF(ISERROR(VLOOKUP($B110,'RELACION VTAS - CHS'!$F$7:$V$250,16,FALSE))=FALSE,VLOOKUP($B110,'RELACION VTAS - CHS'!$F$7:$V$250,16,FALSE),0)</f>
        <v>0</v>
      </c>
      <c r="F110" s="223">
        <f>SUMIF('REPORTE GASTOS'!C:C,COBRANZA!B110,'REPORTE GASTOS'!G:G)</f>
        <v>0</v>
      </c>
      <c r="G110" s="224">
        <f t="shared" si="6"/>
        <v>0</v>
      </c>
      <c r="H110" s="222">
        <f>IF(ISERROR(VLOOKUP($B110,'RELACION VTAS - CHS'!$F$7:$V$250,16,FALSE))=FALSE,VLOOKUP($B110,'RELACION VTAS - CHS'!$F$7:$V$250,17,FALSE),0)</f>
        <v>0</v>
      </c>
      <c r="I110" s="217">
        <f>SUMIF('REPORTE GASTOS'!C:C,COBRANZA!B110,'REPORTE GASTOS'!I:I)</f>
        <v>0</v>
      </c>
      <c r="J110" s="224">
        <f t="shared" si="7"/>
        <v>0</v>
      </c>
      <c r="K110" s="66"/>
    </row>
    <row r="111" spans="1:11" s="86" customFormat="1" hidden="1">
      <c r="A111" s="41">
        <v>92</v>
      </c>
      <c r="B111" s="77" t="str">
        <f>IF(ISERROR(VLOOKUP(A111,'RELACION VTAS - CHS'!D:F,3,FALSE))=FALSE,VLOOKUP(A111,'RELACION VTAS - CHS'!D:F,3,FALSE),"")</f>
        <v/>
      </c>
      <c r="C111" s="241" t="str">
        <f>IF(B111="","",VLOOKUP(B111,'RELACION VTAS - CHS'!F:H,3,FALSE))</f>
        <v/>
      </c>
      <c r="D111" s="56" t="str">
        <f>IF(B111="","",VLOOKUP(B111,'RELACION VTAS - CHS'!F:H,2,FALSE))</f>
        <v/>
      </c>
      <c r="E111" s="223">
        <f>IF(ISERROR(VLOOKUP($B111,'RELACION VTAS - CHS'!$F$7:$V$250,16,FALSE))=FALSE,VLOOKUP($B111,'RELACION VTAS - CHS'!$F$7:$V$250,16,FALSE),0)</f>
        <v>0</v>
      </c>
      <c r="F111" s="223">
        <f>SUMIF('REPORTE GASTOS'!C:C,COBRANZA!B111,'REPORTE GASTOS'!G:G)</f>
        <v>0</v>
      </c>
      <c r="G111" s="224">
        <f t="shared" si="6"/>
        <v>0</v>
      </c>
      <c r="H111" s="222">
        <f>IF(ISERROR(VLOOKUP($B111,'RELACION VTAS - CHS'!$F$7:$V$250,16,FALSE))=FALSE,VLOOKUP($B111,'RELACION VTAS - CHS'!$F$7:$V$250,17,FALSE),0)</f>
        <v>0</v>
      </c>
      <c r="I111" s="217">
        <f>SUMIF('REPORTE GASTOS'!C:C,COBRANZA!B111,'REPORTE GASTOS'!I:I)</f>
        <v>0</v>
      </c>
      <c r="J111" s="224">
        <f t="shared" si="7"/>
        <v>0</v>
      </c>
      <c r="K111" s="66"/>
    </row>
    <row r="112" spans="1:11" s="86" customFormat="1" hidden="1">
      <c r="A112" s="41">
        <v>93</v>
      </c>
      <c r="B112" s="77" t="str">
        <f>IF(ISERROR(VLOOKUP(A112,'RELACION VTAS - CHS'!D:F,3,FALSE))=FALSE,VLOOKUP(A112,'RELACION VTAS - CHS'!D:F,3,FALSE),"")</f>
        <v/>
      </c>
      <c r="C112" s="241" t="str">
        <f>IF(B112="","",VLOOKUP(B112,'RELACION VTAS - CHS'!F:H,3,FALSE))</f>
        <v/>
      </c>
      <c r="D112" s="56" t="str">
        <f>IF(B112="","",VLOOKUP(B112,'RELACION VTAS - CHS'!F:H,2,FALSE))</f>
        <v/>
      </c>
      <c r="E112" s="223">
        <f>IF(ISERROR(VLOOKUP($B112,'RELACION VTAS - CHS'!$F$7:$V$250,16,FALSE))=FALSE,VLOOKUP($B112,'RELACION VTAS - CHS'!$F$7:$V$250,16,FALSE),0)</f>
        <v>0</v>
      </c>
      <c r="F112" s="223">
        <f>SUMIF('REPORTE GASTOS'!C:C,COBRANZA!B112,'REPORTE GASTOS'!G:G)</f>
        <v>0</v>
      </c>
      <c r="G112" s="224">
        <f t="shared" si="6"/>
        <v>0</v>
      </c>
      <c r="H112" s="222">
        <f>IF(ISERROR(VLOOKUP($B112,'RELACION VTAS - CHS'!$F$7:$V$250,16,FALSE))=FALSE,VLOOKUP($B112,'RELACION VTAS - CHS'!$F$7:$V$250,17,FALSE),0)</f>
        <v>0</v>
      </c>
      <c r="I112" s="217">
        <f>SUMIF('REPORTE GASTOS'!C:C,COBRANZA!B112,'REPORTE GASTOS'!I:I)</f>
        <v>0</v>
      </c>
      <c r="J112" s="224">
        <f t="shared" si="7"/>
        <v>0</v>
      </c>
      <c r="K112" s="66"/>
    </row>
    <row r="113" spans="1:11" s="86" customFormat="1" hidden="1">
      <c r="A113" s="41">
        <v>94</v>
      </c>
      <c r="B113" s="77" t="str">
        <f>IF(ISERROR(VLOOKUP(A113,'RELACION VTAS - CHS'!D:F,3,FALSE))=FALSE,VLOOKUP(A113,'RELACION VTAS - CHS'!D:F,3,FALSE),"")</f>
        <v/>
      </c>
      <c r="C113" s="241" t="str">
        <f>IF(B113="","",VLOOKUP(B113,'RELACION VTAS - CHS'!F:H,3,FALSE))</f>
        <v/>
      </c>
      <c r="D113" s="56" t="str">
        <f>IF(B113="","",VLOOKUP(B113,'RELACION VTAS - CHS'!F:H,2,FALSE))</f>
        <v/>
      </c>
      <c r="E113" s="223">
        <f>IF(ISERROR(VLOOKUP($B113,'RELACION VTAS - CHS'!$F$7:$V$250,16,FALSE))=FALSE,VLOOKUP($B113,'RELACION VTAS - CHS'!$F$7:$V$250,16,FALSE),0)</f>
        <v>0</v>
      </c>
      <c r="F113" s="223">
        <f>SUMIF('REPORTE GASTOS'!C:C,COBRANZA!B113,'REPORTE GASTOS'!G:G)</f>
        <v>0</v>
      </c>
      <c r="G113" s="224">
        <f t="shared" si="6"/>
        <v>0</v>
      </c>
      <c r="H113" s="222">
        <f>IF(ISERROR(VLOOKUP($B113,'RELACION VTAS - CHS'!$F$7:$V$250,16,FALSE))=FALSE,VLOOKUP($B113,'RELACION VTAS - CHS'!$F$7:$V$250,17,FALSE),0)</f>
        <v>0</v>
      </c>
      <c r="I113" s="217">
        <f>SUMIF('REPORTE GASTOS'!C:C,COBRANZA!B113,'REPORTE GASTOS'!I:I)</f>
        <v>0</v>
      </c>
      <c r="J113" s="224">
        <f t="shared" si="7"/>
        <v>0</v>
      </c>
      <c r="K113" s="66"/>
    </row>
    <row r="114" spans="1:11" s="86" customFormat="1" hidden="1">
      <c r="A114" s="41">
        <v>95</v>
      </c>
      <c r="B114" s="77" t="str">
        <f>IF(ISERROR(VLOOKUP(A114,'RELACION VTAS - CHS'!D:F,3,FALSE))=FALSE,VLOOKUP(A114,'RELACION VTAS - CHS'!D:F,3,FALSE),"")</f>
        <v/>
      </c>
      <c r="C114" s="241" t="str">
        <f>IF(B114="","",VLOOKUP(B114,'RELACION VTAS - CHS'!F:H,3,FALSE))</f>
        <v/>
      </c>
      <c r="D114" s="56" t="str">
        <f>IF(B114="","",VLOOKUP(B114,'RELACION VTAS - CHS'!F:H,2,FALSE))</f>
        <v/>
      </c>
      <c r="E114" s="223">
        <f>IF(ISERROR(VLOOKUP($B114,'RELACION VTAS - CHS'!$F$7:$V$250,16,FALSE))=FALSE,VLOOKUP($B114,'RELACION VTAS - CHS'!$F$7:$V$250,16,FALSE),0)</f>
        <v>0</v>
      </c>
      <c r="F114" s="223">
        <f>SUMIF('REPORTE GASTOS'!C:C,COBRANZA!B114,'REPORTE GASTOS'!G:G)</f>
        <v>0</v>
      </c>
      <c r="G114" s="224">
        <f t="shared" si="6"/>
        <v>0</v>
      </c>
      <c r="H114" s="222">
        <f>IF(ISERROR(VLOOKUP($B114,'RELACION VTAS - CHS'!$F$7:$V$250,16,FALSE))=FALSE,VLOOKUP($B114,'RELACION VTAS - CHS'!$F$7:$V$250,17,FALSE),0)</f>
        <v>0</v>
      </c>
      <c r="I114" s="217">
        <f>SUMIF('REPORTE GASTOS'!C:C,COBRANZA!B114,'REPORTE GASTOS'!I:I)</f>
        <v>0</v>
      </c>
      <c r="J114" s="224">
        <f t="shared" si="7"/>
        <v>0</v>
      </c>
      <c r="K114" s="66"/>
    </row>
    <row r="115" spans="1:11" s="86" customFormat="1" hidden="1">
      <c r="A115" s="41">
        <v>96</v>
      </c>
      <c r="B115" s="77" t="str">
        <f>IF(ISERROR(VLOOKUP(A115,'RELACION VTAS - CHS'!D:F,3,FALSE))=FALSE,VLOOKUP(A115,'RELACION VTAS - CHS'!D:F,3,FALSE),"")</f>
        <v/>
      </c>
      <c r="C115" s="241" t="str">
        <f>IF(B115="","",VLOOKUP(B115,'RELACION VTAS - CHS'!F:H,3,FALSE))</f>
        <v/>
      </c>
      <c r="D115" s="56" t="str">
        <f>IF(B115="","",VLOOKUP(B115,'RELACION VTAS - CHS'!F:H,2,FALSE))</f>
        <v/>
      </c>
      <c r="E115" s="223">
        <f>IF(ISERROR(VLOOKUP($B115,'RELACION VTAS - CHS'!$F$7:$V$250,16,FALSE))=FALSE,VLOOKUP($B115,'RELACION VTAS - CHS'!$F$7:$V$250,16,FALSE),0)</f>
        <v>0</v>
      </c>
      <c r="F115" s="223">
        <f>SUMIF('REPORTE GASTOS'!C:C,COBRANZA!B115,'REPORTE GASTOS'!G:G)</f>
        <v>0</v>
      </c>
      <c r="G115" s="224">
        <f t="shared" si="6"/>
        <v>0</v>
      </c>
      <c r="H115" s="222">
        <f>IF(ISERROR(VLOOKUP($B115,'RELACION VTAS - CHS'!$F$7:$V$250,16,FALSE))=FALSE,VLOOKUP($B115,'RELACION VTAS - CHS'!$F$7:$V$250,17,FALSE),0)</f>
        <v>0</v>
      </c>
      <c r="I115" s="217">
        <f>SUMIF('REPORTE GASTOS'!C:C,COBRANZA!B115,'REPORTE GASTOS'!I:I)</f>
        <v>0</v>
      </c>
      <c r="J115" s="224">
        <f t="shared" si="7"/>
        <v>0</v>
      </c>
      <c r="K115" s="66"/>
    </row>
    <row r="116" spans="1:11" s="86" customFormat="1" hidden="1">
      <c r="A116" s="41">
        <v>97</v>
      </c>
      <c r="B116" s="77" t="str">
        <f>IF(ISERROR(VLOOKUP(A116,'RELACION VTAS - CHS'!D:F,3,FALSE))=FALSE,VLOOKUP(A116,'RELACION VTAS - CHS'!D:F,3,FALSE),"")</f>
        <v/>
      </c>
      <c r="C116" s="241" t="str">
        <f>IF(B116="","",VLOOKUP(B116,'RELACION VTAS - CHS'!F:H,3,FALSE))</f>
        <v/>
      </c>
      <c r="D116" s="56" t="str">
        <f>IF(B116="","",VLOOKUP(B116,'RELACION VTAS - CHS'!F:H,2,FALSE))</f>
        <v/>
      </c>
      <c r="E116" s="223">
        <f>IF(ISERROR(VLOOKUP($B116,'RELACION VTAS - CHS'!$F$7:$V$250,16,FALSE))=FALSE,VLOOKUP($B116,'RELACION VTAS - CHS'!$F$7:$V$250,16,FALSE),0)</f>
        <v>0</v>
      </c>
      <c r="F116" s="223">
        <f>SUMIF('REPORTE GASTOS'!C:C,COBRANZA!B116,'REPORTE GASTOS'!G:G)</f>
        <v>0</v>
      </c>
      <c r="G116" s="224">
        <f t="shared" si="6"/>
        <v>0</v>
      </c>
      <c r="H116" s="222">
        <f>IF(ISERROR(VLOOKUP($B116,'RELACION VTAS - CHS'!$F$7:$V$250,16,FALSE))=FALSE,VLOOKUP($B116,'RELACION VTAS - CHS'!$F$7:$V$250,17,FALSE),0)</f>
        <v>0</v>
      </c>
      <c r="I116" s="217">
        <f>SUMIF('REPORTE GASTOS'!C:C,COBRANZA!B116,'REPORTE GASTOS'!I:I)</f>
        <v>0</v>
      </c>
      <c r="J116" s="224">
        <f t="shared" si="7"/>
        <v>0</v>
      </c>
      <c r="K116" s="66"/>
    </row>
    <row r="117" spans="1:11" s="86" customFormat="1" hidden="1">
      <c r="A117" s="41">
        <v>98</v>
      </c>
      <c r="B117" s="77" t="str">
        <f>IF(ISERROR(VLOOKUP(A117,'RELACION VTAS - CHS'!D:F,3,FALSE))=FALSE,VLOOKUP(A117,'RELACION VTAS - CHS'!D:F,3,FALSE),"")</f>
        <v/>
      </c>
      <c r="C117" s="241" t="str">
        <f>IF(B117="","",VLOOKUP(B117,'RELACION VTAS - CHS'!F:H,3,FALSE))</f>
        <v/>
      </c>
      <c r="D117" s="56" t="str">
        <f>IF(B117="","",VLOOKUP(B117,'RELACION VTAS - CHS'!F:H,2,FALSE))</f>
        <v/>
      </c>
      <c r="E117" s="223">
        <f>IF(ISERROR(VLOOKUP($B117,'RELACION VTAS - CHS'!$F$7:$V$250,16,FALSE))=FALSE,VLOOKUP($B117,'RELACION VTAS - CHS'!$F$7:$V$250,16,FALSE),0)</f>
        <v>0</v>
      </c>
      <c r="F117" s="223">
        <f>SUMIF('REPORTE GASTOS'!C:C,COBRANZA!B117,'REPORTE GASTOS'!G:G)</f>
        <v>0</v>
      </c>
      <c r="G117" s="224">
        <f t="shared" si="6"/>
        <v>0</v>
      </c>
      <c r="H117" s="222">
        <f>IF(ISERROR(VLOOKUP($B117,'RELACION VTAS - CHS'!$F$7:$V$250,16,FALSE))=FALSE,VLOOKUP($B117,'RELACION VTAS - CHS'!$F$7:$V$250,17,FALSE),0)</f>
        <v>0</v>
      </c>
      <c r="I117" s="217">
        <f>SUMIF('REPORTE GASTOS'!C:C,COBRANZA!B117,'REPORTE GASTOS'!I:I)</f>
        <v>0</v>
      </c>
      <c r="J117" s="224">
        <f t="shared" si="7"/>
        <v>0</v>
      </c>
      <c r="K117" s="66"/>
    </row>
    <row r="118" spans="1:11" s="86" customFormat="1" hidden="1">
      <c r="A118" s="41">
        <v>99</v>
      </c>
      <c r="B118" s="77" t="str">
        <f>IF(ISERROR(VLOOKUP(A118,'RELACION VTAS - CHS'!D:F,3,FALSE))=FALSE,VLOOKUP(A118,'RELACION VTAS - CHS'!D:F,3,FALSE),"")</f>
        <v/>
      </c>
      <c r="C118" s="241" t="str">
        <f>IF(B118="","",VLOOKUP(B118,'RELACION VTAS - CHS'!F:H,3,FALSE))</f>
        <v/>
      </c>
      <c r="D118" s="56" t="str">
        <f>IF(B118="","",VLOOKUP(B118,'RELACION VTAS - CHS'!F:H,2,FALSE))</f>
        <v/>
      </c>
      <c r="E118" s="223">
        <f>IF(ISERROR(VLOOKUP($B118,'RELACION VTAS - CHS'!$F$7:$V$250,16,FALSE))=FALSE,VLOOKUP($B118,'RELACION VTAS - CHS'!$F$7:$V$250,16,FALSE),0)</f>
        <v>0</v>
      </c>
      <c r="F118" s="223">
        <f>SUMIF('REPORTE GASTOS'!C:C,COBRANZA!B118,'REPORTE GASTOS'!G:G)</f>
        <v>0</v>
      </c>
      <c r="G118" s="224">
        <f t="shared" si="6"/>
        <v>0</v>
      </c>
      <c r="H118" s="222">
        <f>IF(ISERROR(VLOOKUP($B118,'RELACION VTAS - CHS'!$F$7:$V$250,16,FALSE))=FALSE,VLOOKUP($B118,'RELACION VTAS - CHS'!$F$7:$V$250,17,FALSE),0)</f>
        <v>0</v>
      </c>
      <c r="I118" s="217">
        <f>SUMIF('REPORTE GASTOS'!C:C,COBRANZA!B118,'REPORTE GASTOS'!I:I)</f>
        <v>0</v>
      </c>
      <c r="J118" s="224">
        <f t="shared" si="7"/>
        <v>0</v>
      </c>
      <c r="K118" s="66"/>
    </row>
    <row r="119" spans="1:11" s="86" customFormat="1" hidden="1">
      <c r="A119" s="41">
        <v>100</v>
      </c>
      <c r="B119" s="77" t="str">
        <f>IF(ISERROR(VLOOKUP(A119,'RELACION VTAS - CHS'!D:F,3,FALSE))=FALSE,VLOOKUP(A119,'RELACION VTAS - CHS'!D:F,3,FALSE),"")</f>
        <v/>
      </c>
      <c r="C119" s="241" t="str">
        <f>IF(B119="","",VLOOKUP(B119,'RELACION VTAS - CHS'!F:H,3,FALSE))</f>
        <v/>
      </c>
      <c r="D119" s="56" t="str">
        <f>IF(B119="","",VLOOKUP(B119,'RELACION VTAS - CHS'!F:H,2,FALSE))</f>
        <v/>
      </c>
      <c r="E119" s="223">
        <f>IF(ISERROR(VLOOKUP($B119,'RELACION VTAS - CHS'!$F$7:$V$250,16,FALSE))=FALSE,VLOOKUP($B119,'RELACION VTAS - CHS'!$F$7:$V$250,16,FALSE),0)</f>
        <v>0</v>
      </c>
      <c r="F119" s="223">
        <f>SUMIF('REPORTE GASTOS'!C:C,COBRANZA!B119,'REPORTE GASTOS'!G:G)</f>
        <v>0</v>
      </c>
      <c r="G119" s="224">
        <f t="shared" si="6"/>
        <v>0</v>
      </c>
      <c r="H119" s="222">
        <f>IF(ISERROR(VLOOKUP($B119,'RELACION VTAS - CHS'!$F$7:$V$250,16,FALSE))=FALSE,VLOOKUP($B119,'RELACION VTAS - CHS'!$F$7:$V$250,17,FALSE),0)</f>
        <v>0</v>
      </c>
      <c r="I119" s="217">
        <f>SUMIF('REPORTE GASTOS'!C:C,COBRANZA!B119,'REPORTE GASTOS'!I:I)</f>
        <v>0</v>
      </c>
      <c r="J119" s="224">
        <f t="shared" si="7"/>
        <v>0</v>
      </c>
      <c r="K119" s="66"/>
    </row>
    <row r="120" spans="1:11" s="86" customFormat="1" hidden="1">
      <c r="A120" s="41">
        <v>101</v>
      </c>
      <c r="B120" s="77" t="str">
        <f>IF(ISERROR(VLOOKUP(A120,'RELACION VTAS - CHS'!D:F,3,FALSE))=FALSE,VLOOKUP(A120,'RELACION VTAS - CHS'!D:F,3,FALSE),"")</f>
        <v/>
      </c>
      <c r="C120" s="241" t="str">
        <f>IF(B120="","",VLOOKUP(B120,'RELACION VTAS - CHS'!F:H,3,FALSE))</f>
        <v/>
      </c>
      <c r="D120" s="56" t="str">
        <f>IF(B120="","",VLOOKUP(B120,'RELACION VTAS - CHS'!F:H,2,FALSE))</f>
        <v/>
      </c>
      <c r="E120" s="223">
        <f>IF(ISERROR(VLOOKUP($B120,'RELACION VTAS - CHS'!$F$7:$V$250,16,FALSE))=FALSE,VLOOKUP($B120,'RELACION VTAS - CHS'!$F$7:$V$250,16,FALSE),0)</f>
        <v>0</v>
      </c>
      <c r="F120" s="223">
        <f>SUMIF('REPORTE GASTOS'!C:C,COBRANZA!B120,'REPORTE GASTOS'!G:G)</f>
        <v>0</v>
      </c>
      <c r="G120" s="224">
        <f t="shared" si="6"/>
        <v>0</v>
      </c>
      <c r="H120" s="222">
        <f>IF(ISERROR(VLOOKUP($B120,'RELACION VTAS - CHS'!$F$7:$V$250,16,FALSE))=FALSE,VLOOKUP($B120,'RELACION VTAS - CHS'!$F$7:$V$250,17,FALSE),0)</f>
        <v>0</v>
      </c>
      <c r="I120" s="217">
        <f>SUMIF('REPORTE GASTOS'!C:C,COBRANZA!B120,'REPORTE GASTOS'!I:I)</f>
        <v>0</v>
      </c>
      <c r="J120" s="224">
        <f t="shared" si="7"/>
        <v>0</v>
      </c>
      <c r="K120" s="66"/>
    </row>
    <row r="121" spans="1:11" s="86" customFormat="1" hidden="1">
      <c r="A121" s="41">
        <v>102</v>
      </c>
      <c r="B121" s="77" t="str">
        <f>IF(ISERROR(VLOOKUP(A121,'RELACION VTAS - CHS'!D:F,3,FALSE))=FALSE,VLOOKUP(A121,'RELACION VTAS - CHS'!D:F,3,FALSE),"")</f>
        <v/>
      </c>
      <c r="C121" s="241" t="str">
        <f>IF(B121="","",VLOOKUP(B121,'RELACION VTAS - CHS'!F:H,3,FALSE))</f>
        <v/>
      </c>
      <c r="D121" s="56" t="str">
        <f>IF(B121="","",VLOOKUP(B121,'RELACION VTAS - CHS'!F:H,2,FALSE))</f>
        <v/>
      </c>
      <c r="E121" s="223">
        <f>IF(ISERROR(VLOOKUP($B121,'RELACION VTAS - CHS'!$F$7:$V$250,16,FALSE))=FALSE,VLOOKUP($B121,'RELACION VTAS - CHS'!$F$7:$V$250,16,FALSE),0)</f>
        <v>0</v>
      </c>
      <c r="F121" s="223">
        <f>SUMIF('REPORTE GASTOS'!C:C,COBRANZA!B121,'REPORTE GASTOS'!G:G)</f>
        <v>0</v>
      </c>
      <c r="G121" s="224">
        <f t="shared" si="6"/>
        <v>0</v>
      </c>
      <c r="H121" s="222">
        <f>IF(ISERROR(VLOOKUP($B121,'RELACION VTAS - CHS'!$F$7:$V$250,16,FALSE))=FALSE,VLOOKUP($B121,'RELACION VTAS - CHS'!$F$7:$V$250,17,FALSE),0)</f>
        <v>0</v>
      </c>
      <c r="I121" s="217">
        <f>SUMIF('REPORTE GASTOS'!C:C,COBRANZA!B121,'REPORTE GASTOS'!I:I)</f>
        <v>0</v>
      </c>
      <c r="J121" s="224">
        <f t="shared" si="7"/>
        <v>0</v>
      </c>
      <c r="K121" s="66"/>
    </row>
    <row r="122" spans="1:11" s="86" customFormat="1" hidden="1">
      <c r="A122" s="41">
        <v>103</v>
      </c>
      <c r="B122" s="77" t="str">
        <f>IF(ISERROR(VLOOKUP(A122,'RELACION VTAS - CHS'!D:F,3,FALSE))=FALSE,VLOOKUP(A122,'RELACION VTAS - CHS'!D:F,3,FALSE),"")</f>
        <v/>
      </c>
      <c r="C122" s="241" t="str">
        <f>IF(B122="","",VLOOKUP(B122,'RELACION VTAS - CHS'!F:H,3,FALSE))</f>
        <v/>
      </c>
      <c r="D122" s="56" t="str">
        <f>IF(B122="","",VLOOKUP(B122,'RELACION VTAS - CHS'!F:H,2,FALSE))</f>
        <v/>
      </c>
      <c r="E122" s="223">
        <f>IF(ISERROR(VLOOKUP($B122,'RELACION VTAS - CHS'!$F$7:$V$250,16,FALSE))=FALSE,VLOOKUP($B122,'RELACION VTAS - CHS'!$F$7:$V$250,16,FALSE),0)</f>
        <v>0</v>
      </c>
      <c r="F122" s="223">
        <f>SUMIF('REPORTE GASTOS'!C:C,COBRANZA!B122,'REPORTE GASTOS'!G:G)</f>
        <v>0</v>
      </c>
      <c r="G122" s="224">
        <f t="shared" si="6"/>
        <v>0</v>
      </c>
      <c r="H122" s="222">
        <f>IF(ISERROR(VLOOKUP($B122,'RELACION VTAS - CHS'!$F$7:$V$250,16,FALSE))=FALSE,VLOOKUP($B122,'RELACION VTAS - CHS'!$F$7:$V$250,17,FALSE),0)</f>
        <v>0</v>
      </c>
      <c r="I122" s="217">
        <f>SUMIF('REPORTE GASTOS'!C:C,COBRANZA!B122,'REPORTE GASTOS'!I:I)</f>
        <v>0</v>
      </c>
      <c r="J122" s="224">
        <f t="shared" si="7"/>
        <v>0</v>
      </c>
      <c r="K122" s="66"/>
    </row>
    <row r="123" spans="1:11" s="86" customFormat="1" hidden="1">
      <c r="A123" s="41">
        <v>104</v>
      </c>
      <c r="B123" s="77" t="str">
        <f>IF(ISERROR(VLOOKUP(A123,'RELACION VTAS - CHS'!D:F,3,FALSE))=FALSE,VLOOKUP(A123,'RELACION VTAS - CHS'!D:F,3,FALSE),"")</f>
        <v/>
      </c>
      <c r="C123" s="241" t="str">
        <f>IF(B123="","",VLOOKUP(B123,'RELACION VTAS - CHS'!F:H,3,FALSE))</f>
        <v/>
      </c>
      <c r="D123" s="56" t="str">
        <f>IF(B123="","",VLOOKUP(B123,'RELACION VTAS - CHS'!F:H,2,FALSE))</f>
        <v/>
      </c>
      <c r="E123" s="223">
        <f>IF(ISERROR(VLOOKUP($B123,'RELACION VTAS - CHS'!$F$7:$V$250,16,FALSE))=FALSE,VLOOKUP($B123,'RELACION VTAS - CHS'!$F$7:$V$250,16,FALSE),0)</f>
        <v>0</v>
      </c>
      <c r="F123" s="223">
        <f>SUMIF('REPORTE GASTOS'!C:C,COBRANZA!B123,'REPORTE GASTOS'!G:G)</f>
        <v>0</v>
      </c>
      <c r="G123" s="224">
        <f t="shared" si="6"/>
        <v>0</v>
      </c>
      <c r="H123" s="222">
        <f>IF(ISERROR(VLOOKUP($B123,'RELACION VTAS - CHS'!$F$7:$V$250,16,FALSE))=FALSE,VLOOKUP($B123,'RELACION VTAS - CHS'!$F$7:$V$250,17,FALSE),0)</f>
        <v>0</v>
      </c>
      <c r="I123" s="217">
        <f>SUMIF('REPORTE GASTOS'!C:C,COBRANZA!B123,'REPORTE GASTOS'!I:I)</f>
        <v>0</v>
      </c>
      <c r="J123" s="224">
        <f t="shared" si="7"/>
        <v>0</v>
      </c>
      <c r="K123" s="66"/>
    </row>
    <row r="124" spans="1:11" s="86" customFormat="1" hidden="1">
      <c r="A124" s="41">
        <v>105</v>
      </c>
      <c r="B124" s="77" t="str">
        <f>IF(ISERROR(VLOOKUP(A124,'RELACION VTAS - CHS'!D:F,3,FALSE))=FALSE,VLOOKUP(A124,'RELACION VTAS - CHS'!D:F,3,FALSE),"")</f>
        <v/>
      </c>
      <c r="C124" s="241" t="str">
        <f>IF(B124="","",VLOOKUP(B124,'RELACION VTAS - CHS'!F:H,3,FALSE))</f>
        <v/>
      </c>
      <c r="D124" s="56" t="str">
        <f>IF(B124="","",VLOOKUP(B124,'RELACION VTAS - CHS'!F:H,2,FALSE))</f>
        <v/>
      </c>
      <c r="E124" s="223">
        <f>IF(ISERROR(VLOOKUP($B124,'RELACION VTAS - CHS'!$F$7:$V$250,16,FALSE))=FALSE,VLOOKUP($B124,'RELACION VTAS - CHS'!$F$7:$V$250,16,FALSE),0)</f>
        <v>0</v>
      </c>
      <c r="F124" s="223">
        <f>SUMIF('REPORTE GASTOS'!C:C,COBRANZA!B124,'REPORTE GASTOS'!G:G)</f>
        <v>0</v>
      </c>
      <c r="G124" s="224">
        <f t="shared" si="6"/>
        <v>0</v>
      </c>
      <c r="H124" s="222">
        <f>IF(ISERROR(VLOOKUP($B124,'RELACION VTAS - CHS'!$F$7:$V$250,16,FALSE))=FALSE,VLOOKUP($B124,'RELACION VTAS - CHS'!$F$7:$V$250,17,FALSE),0)</f>
        <v>0</v>
      </c>
      <c r="I124" s="217">
        <f>SUMIF('REPORTE GASTOS'!C:C,COBRANZA!B124,'REPORTE GASTOS'!I:I)</f>
        <v>0</v>
      </c>
      <c r="J124" s="224">
        <f t="shared" si="7"/>
        <v>0</v>
      </c>
      <c r="K124" s="66"/>
    </row>
    <row r="125" spans="1:11" s="86" customFormat="1" hidden="1">
      <c r="A125" s="41">
        <v>106</v>
      </c>
      <c r="B125" s="77" t="str">
        <f>IF(ISERROR(VLOOKUP(A125,'RELACION VTAS - CHS'!D:F,3,FALSE))=FALSE,VLOOKUP(A125,'RELACION VTAS - CHS'!D:F,3,FALSE),"")</f>
        <v/>
      </c>
      <c r="C125" s="241" t="str">
        <f>IF(B125="","",VLOOKUP(B125,'RELACION VTAS - CHS'!F:H,3,FALSE))</f>
        <v/>
      </c>
      <c r="D125" s="56" t="str">
        <f>IF(B125="","",VLOOKUP(B125,'RELACION VTAS - CHS'!F:H,2,FALSE))</f>
        <v/>
      </c>
      <c r="E125" s="223">
        <f>IF(ISERROR(VLOOKUP($B125,'RELACION VTAS - CHS'!$F$7:$V$250,16,FALSE))=FALSE,VLOOKUP($B125,'RELACION VTAS - CHS'!$F$7:$V$250,16,FALSE),0)</f>
        <v>0</v>
      </c>
      <c r="F125" s="223">
        <f>SUMIF('REPORTE GASTOS'!C:C,COBRANZA!B125,'REPORTE GASTOS'!G:G)</f>
        <v>0</v>
      </c>
      <c r="G125" s="224">
        <f t="shared" si="6"/>
        <v>0</v>
      </c>
      <c r="H125" s="222">
        <f>IF(ISERROR(VLOOKUP($B125,'RELACION VTAS - CHS'!$F$7:$V$250,16,FALSE))=FALSE,VLOOKUP($B125,'RELACION VTAS - CHS'!$F$7:$V$250,17,FALSE),0)</f>
        <v>0</v>
      </c>
      <c r="I125" s="217">
        <f>SUMIF('REPORTE GASTOS'!C:C,COBRANZA!B125,'REPORTE GASTOS'!I:I)</f>
        <v>0</v>
      </c>
      <c r="J125" s="224">
        <f t="shared" si="7"/>
        <v>0</v>
      </c>
      <c r="K125" s="66"/>
    </row>
    <row r="126" spans="1:11" s="86" customFormat="1" hidden="1">
      <c r="A126" s="41">
        <v>107</v>
      </c>
      <c r="B126" s="77" t="str">
        <f>IF(ISERROR(VLOOKUP(A126,'RELACION VTAS - CHS'!D:F,3,FALSE))=FALSE,VLOOKUP(A126,'RELACION VTAS - CHS'!D:F,3,FALSE),"")</f>
        <v/>
      </c>
      <c r="C126" s="241" t="str">
        <f>IF(B126="","",VLOOKUP(B126,'RELACION VTAS - CHS'!F:H,3,FALSE))</f>
        <v/>
      </c>
      <c r="D126" s="56" t="str">
        <f>IF(B126="","",VLOOKUP(B126,'RELACION VTAS - CHS'!F:H,2,FALSE))</f>
        <v/>
      </c>
      <c r="E126" s="223">
        <f>IF(ISERROR(VLOOKUP($B126,'RELACION VTAS - CHS'!$F$7:$V$250,16,FALSE))=FALSE,VLOOKUP($B126,'RELACION VTAS - CHS'!$F$7:$V$250,16,FALSE),0)</f>
        <v>0</v>
      </c>
      <c r="F126" s="223">
        <f>SUMIF('REPORTE GASTOS'!C:C,COBRANZA!B126,'REPORTE GASTOS'!G:G)</f>
        <v>0</v>
      </c>
      <c r="G126" s="224">
        <f t="shared" si="6"/>
        <v>0</v>
      </c>
      <c r="H126" s="222">
        <f>IF(ISERROR(VLOOKUP($B126,'RELACION VTAS - CHS'!$F$7:$V$250,16,FALSE))=FALSE,VLOOKUP($B126,'RELACION VTAS - CHS'!$F$7:$V$250,17,FALSE),0)</f>
        <v>0</v>
      </c>
      <c r="I126" s="217">
        <f>SUMIF('REPORTE GASTOS'!C:C,COBRANZA!B126,'REPORTE GASTOS'!I:I)</f>
        <v>0</v>
      </c>
      <c r="J126" s="224">
        <f t="shared" si="7"/>
        <v>0</v>
      </c>
      <c r="K126" s="66"/>
    </row>
    <row r="127" spans="1:11" s="86" customFormat="1" hidden="1">
      <c r="A127" s="41">
        <v>108</v>
      </c>
      <c r="B127" s="77" t="str">
        <f>IF(ISERROR(VLOOKUP(A127,'RELACION VTAS - CHS'!D:F,3,FALSE))=FALSE,VLOOKUP(A127,'RELACION VTAS - CHS'!D:F,3,FALSE),"")</f>
        <v/>
      </c>
      <c r="C127" s="241" t="str">
        <f>IF(B127="","",VLOOKUP(B127,'RELACION VTAS - CHS'!F:H,3,FALSE))</f>
        <v/>
      </c>
      <c r="D127" s="56" t="str">
        <f>IF(B127="","",VLOOKUP(B127,'RELACION VTAS - CHS'!F:H,2,FALSE))</f>
        <v/>
      </c>
      <c r="E127" s="223">
        <f>IF(ISERROR(VLOOKUP($B127,'RELACION VTAS - CHS'!$F$7:$V$250,16,FALSE))=FALSE,VLOOKUP($B127,'RELACION VTAS - CHS'!$F$7:$V$250,16,FALSE),0)</f>
        <v>0</v>
      </c>
      <c r="F127" s="223">
        <f>SUMIF('REPORTE GASTOS'!C:C,COBRANZA!B127,'REPORTE GASTOS'!G:G)</f>
        <v>0</v>
      </c>
      <c r="G127" s="224">
        <f t="shared" si="6"/>
        <v>0</v>
      </c>
      <c r="H127" s="222">
        <f>IF(ISERROR(VLOOKUP($B127,'RELACION VTAS - CHS'!$F$7:$V$250,16,FALSE))=FALSE,VLOOKUP($B127,'RELACION VTAS - CHS'!$F$7:$V$250,17,FALSE),0)</f>
        <v>0</v>
      </c>
      <c r="I127" s="217">
        <f>SUMIF('REPORTE GASTOS'!C:C,COBRANZA!B127,'REPORTE GASTOS'!I:I)</f>
        <v>0</v>
      </c>
      <c r="J127" s="224">
        <f t="shared" si="7"/>
        <v>0</v>
      </c>
      <c r="K127" s="66"/>
    </row>
    <row r="128" spans="1:11" s="86" customFormat="1" hidden="1">
      <c r="A128" s="41">
        <v>109</v>
      </c>
      <c r="B128" s="77" t="str">
        <f>IF(ISERROR(VLOOKUP(A128,'RELACION VTAS - CHS'!D:F,3,FALSE))=FALSE,VLOOKUP(A128,'RELACION VTAS - CHS'!D:F,3,FALSE),"")</f>
        <v/>
      </c>
      <c r="C128" s="241" t="str">
        <f>IF(B128="","",VLOOKUP(B128,'RELACION VTAS - CHS'!F:H,3,FALSE))</f>
        <v/>
      </c>
      <c r="D128" s="56" t="str">
        <f>IF(B128="","",VLOOKUP(B128,'RELACION VTAS - CHS'!F:H,2,FALSE))</f>
        <v/>
      </c>
      <c r="E128" s="223">
        <f>IF(ISERROR(VLOOKUP($B128,'RELACION VTAS - CHS'!$F$7:$V$250,16,FALSE))=FALSE,VLOOKUP($B128,'RELACION VTAS - CHS'!$F$7:$V$250,16,FALSE),0)</f>
        <v>0</v>
      </c>
      <c r="F128" s="223">
        <f>SUMIF('REPORTE GASTOS'!C:C,COBRANZA!B128,'REPORTE GASTOS'!G:G)</f>
        <v>0</v>
      </c>
      <c r="G128" s="224">
        <f t="shared" si="6"/>
        <v>0</v>
      </c>
      <c r="H128" s="222">
        <f>IF(ISERROR(VLOOKUP($B128,'RELACION VTAS - CHS'!$F$7:$V$250,16,FALSE))=FALSE,VLOOKUP($B128,'RELACION VTAS - CHS'!$F$7:$V$250,17,FALSE),0)</f>
        <v>0</v>
      </c>
      <c r="I128" s="217">
        <f>SUMIF('REPORTE GASTOS'!C:C,COBRANZA!B128,'REPORTE GASTOS'!I:I)</f>
        <v>0</v>
      </c>
      <c r="J128" s="224">
        <f t="shared" si="7"/>
        <v>0</v>
      </c>
      <c r="K128" s="66"/>
    </row>
    <row r="129" spans="1:11" s="86" customFormat="1" hidden="1">
      <c r="A129" s="41">
        <v>110</v>
      </c>
      <c r="B129" s="77" t="str">
        <f>IF(ISERROR(VLOOKUP(A129,'RELACION VTAS - CHS'!D:F,3,FALSE))=FALSE,VLOOKUP(A129,'RELACION VTAS - CHS'!D:F,3,FALSE),"")</f>
        <v/>
      </c>
      <c r="C129" s="241" t="str">
        <f>IF(B129="","",VLOOKUP(B129,'RELACION VTAS - CHS'!F:H,3,FALSE))</f>
        <v/>
      </c>
      <c r="D129" s="56" t="str">
        <f>IF(B129="","",VLOOKUP(B129,'RELACION VTAS - CHS'!F:H,2,FALSE))</f>
        <v/>
      </c>
      <c r="E129" s="223">
        <f>IF(ISERROR(VLOOKUP($B129,'RELACION VTAS - CHS'!$F$7:$V$250,16,FALSE))=FALSE,VLOOKUP($B129,'RELACION VTAS - CHS'!$F$7:$V$250,16,FALSE),0)</f>
        <v>0</v>
      </c>
      <c r="F129" s="223">
        <f>SUMIF('REPORTE GASTOS'!C:C,COBRANZA!B129,'REPORTE GASTOS'!G:G)</f>
        <v>0</v>
      </c>
      <c r="G129" s="224">
        <f t="shared" si="6"/>
        <v>0</v>
      </c>
      <c r="H129" s="222">
        <f>IF(ISERROR(VLOOKUP($B129,'RELACION VTAS - CHS'!$F$7:$V$250,16,FALSE))=FALSE,VLOOKUP($B129,'RELACION VTAS - CHS'!$F$7:$V$250,17,FALSE),0)</f>
        <v>0</v>
      </c>
      <c r="I129" s="217">
        <f>SUMIF('REPORTE GASTOS'!C:C,COBRANZA!B129,'REPORTE GASTOS'!I:I)</f>
        <v>0</v>
      </c>
      <c r="J129" s="224">
        <f t="shared" si="7"/>
        <v>0</v>
      </c>
      <c r="K129" s="66"/>
    </row>
    <row r="130" spans="1:11" s="86" customFormat="1" hidden="1">
      <c r="A130" s="41">
        <v>111</v>
      </c>
      <c r="B130" s="77" t="str">
        <f>IF(ISERROR(VLOOKUP(A130,'RELACION VTAS - CHS'!D:F,3,FALSE))=FALSE,VLOOKUP(A130,'RELACION VTAS - CHS'!D:F,3,FALSE),"")</f>
        <v/>
      </c>
      <c r="C130" s="241" t="str">
        <f>IF(B130="","",VLOOKUP(B130,'RELACION VTAS - CHS'!F:H,3,FALSE))</f>
        <v/>
      </c>
      <c r="D130" s="56" t="str">
        <f>IF(B130="","",VLOOKUP(B130,'RELACION VTAS - CHS'!F:H,2,FALSE))</f>
        <v/>
      </c>
      <c r="E130" s="223">
        <f>IF(ISERROR(VLOOKUP($B130,'RELACION VTAS - CHS'!$F$7:$V$250,16,FALSE))=FALSE,VLOOKUP($B130,'RELACION VTAS - CHS'!$F$7:$V$250,16,FALSE),0)</f>
        <v>0</v>
      </c>
      <c r="F130" s="223">
        <f>SUMIF('REPORTE GASTOS'!C:C,COBRANZA!B130,'REPORTE GASTOS'!G:G)</f>
        <v>0</v>
      </c>
      <c r="G130" s="224">
        <f t="shared" si="6"/>
        <v>0</v>
      </c>
      <c r="H130" s="222">
        <f>IF(ISERROR(VLOOKUP($B130,'RELACION VTAS - CHS'!$F$7:$V$250,16,FALSE))=FALSE,VLOOKUP($B130,'RELACION VTAS - CHS'!$F$7:$V$250,17,FALSE),0)</f>
        <v>0</v>
      </c>
      <c r="I130" s="217">
        <f>SUMIF('REPORTE GASTOS'!C:C,COBRANZA!B130,'REPORTE GASTOS'!I:I)</f>
        <v>0</v>
      </c>
      <c r="J130" s="224">
        <f t="shared" si="7"/>
        <v>0</v>
      </c>
      <c r="K130" s="66"/>
    </row>
    <row r="131" spans="1:11" s="86" customFormat="1" hidden="1">
      <c r="A131" s="41">
        <v>112</v>
      </c>
      <c r="B131" s="77" t="str">
        <f>IF(ISERROR(VLOOKUP(A131,'RELACION VTAS - CHS'!D:F,3,FALSE))=FALSE,VLOOKUP(A131,'RELACION VTAS - CHS'!D:F,3,FALSE),"")</f>
        <v/>
      </c>
      <c r="C131" s="241" t="str">
        <f>IF(B131="","",VLOOKUP(B131,'RELACION VTAS - CHS'!F:H,3,FALSE))</f>
        <v/>
      </c>
      <c r="D131" s="56" t="str">
        <f>IF(B131="","",VLOOKUP(B131,'RELACION VTAS - CHS'!F:H,2,FALSE))</f>
        <v/>
      </c>
      <c r="E131" s="223">
        <f>IF(ISERROR(VLOOKUP($B131,'RELACION VTAS - CHS'!$F$7:$V$250,16,FALSE))=FALSE,VLOOKUP($B131,'RELACION VTAS - CHS'!$F$7:$V$250,16,FALSE),0)</f>
        <v>0</v>
      </c>
      <c r="F131" s="223">
        <f>SUMIF('REPORTE GASTOS'!C:C,COBRANZA!B131,'REPORTE GASTOS'!G:G)</f>
        <v>0</v>
      </c>
      <c r="G131" s="224">
        <f t="shared" si="6"/>
        <v>0</v>
      </c>
      <c r="H131" s="222">
        <f>IF(ISERROR(VLOOKUP($B131,'RELACION VTAS - CHS'!$F$7:$V$250,16,FALSE))=FALSE,VLOOKUP($B131,'RELACION VTAS - CHS'!$F$7:$V$250,17,FALSE),0)</f>
        <v>0</v>
      </c>
      <c r="I131" s="217">
        <f>SUMIF('REPORTE GASTOS'!C:C,COBRANZA!B131,'REPORTE GASTOS'!I:I)</f>
        <v>0</v>
      </c>
      <c r="J131" s="224">
        <f t="shared" si="7"/>
        <v>0</v>
      </c>
      <c r="K131" s="66"/>
    </row>
    <row r="132" spans="1:11" s="86" customFormat="1" hidden="1">
      <c r="A132" s="41">
        <v>113</v>
      </c>
      <c r="B132" s="77" t="str">
        <f>IF(ISERROR(VLOOKUP(A132,'RELACION VTAS - CHS'!D:F,3,FALSE))=FALSE,VLOOKUP(A132,'RELACION VTAS - CHS'!D:F,3,FALSE),"")</f>
        <v/>
      </c>
      <c r="C132" s="241" t="str">
        <f>IF(B132="","",VLOOKUP(B132,'RELACION VTAS - CHS'!F:H,3,FALSE))</f>
        <v/>
      </c>
      <c r="D132" s="56" t="str">
        <f>IF(B132="","",VLOOKUP(B132,'RELACION VTAS - CHS'!F:H,2,FALSE))</f>
        <v/>
      </c>
      <c r="E132" s="223">
        <f>IF(ISERROR(VLOOKUP($B132,'RELACION VTAS - CHS'!$F$7:$V$250,16,FALSE))=FALSE,VLOOKUP($B132,'RELACION VTAS - CHS'!$F$7:$V$250,16,FALSE),0)</f>
        <v>0</v>
      </c>
      <c r="F132" s="223">
        <f>SUMIF('REPORTE GASTOS'!C:C,COBRANZA!B132,'REPORTE GASTOS'!G:G)</f>
        <v>0</v>
      </c>
      <c r="G132" s="224">
        <f t="shared" si="6"/>
        <v>0</v>
      </c>
      <c r="H132" s="222">
        <f>IF(ISERROR(VLOOKUP($B132,'RELACION VTAS - CHS'!$F$7:$V$250,16,FALSE))=FALSE,VLOOKUP($B132,'RELACION VTAS - CHS'!$F$7:$V$250,17,FALSE),0)</f>
        <v>0</v>
      </c>
      <c r="I132" s="217">
        <f>SUMIF('REPORTE GASTOS'!C:C,COBRANZA!B132,'REPORTE GASTOS'!I:I)</f>
        <v>0</v>
      </c>
      <c r="J132" s="224">
        <f t="shared" si="7"/>
        <v>0</v>
      </c>
      <c r="K132" s="66"/>
    </row>
    <row r="133" spans="1:11" s="86" customFormat="1" hidden="1">
      <c r="A133" s="41">
        <v>114</v>
      </c>
      <c r="B133" s="77" t="str">
        <f>IF(ISERROR(VLOOKUP(A133,'RELACION VTAS - CHS'!D:F,3,FALSE))=FALSE,VLOOKUP(A133,'RELACION VTAS - CHS'!D:F,3,FALSE),"")</f>
        <v/>
      </c>
      <c r="C133" s="241" t="str">
        <f>IF(B133="","",VLOOKUP(B133,'RELACION VTAS - CHS'!F:H,3,FALSE))</f>
        <v/>
      </c>
      <c r="D133" s="56" t="str">
        <f>IF(B133="","",VLOOKUP(B133,'RELACION VTAS - CHS'!F:H,2,FALSE))</f>
        <v/>
      </c>
      <c r="E133" s="223">
        <f>IF(ISERROR(VLOOKUP($B133,'RELACION VTAS - CHS'!$F$7:$V$250,16,FALSE))=FALSE,VLOOKUP($B133,'RELACION VTAS - CHS'!$F$7:$V$250,16,FALSE),0)</f>
        <v>0</v>
      </c>
      <c r="F133" s="223">
        <f>SUMIF('REPORTE GASTOS'!C:C,COBRANZA!B133,'REPORTE GASTOS'!G:G)</f>
        <v>0</v>
      </c>
      <c r="G133" s="224">
        <f t="shared" si="6"/>
        <v>0</v>
      </c>
      <c r="H133" s="222">
        <f>IF(ISERROR(VLOOKUP($B133,'RELACION VTAS - CHS'!$F$7:$V$250,16,FALSE))=FALSE,VLOOKUP($B133,'RELACION VTAS - CHS'!$F$7:$V$250,17,FALSE),0)</f>
        <v>0</v>
      </c>
      <c r="I133" s="217">
        <f>SUMIF('REPORTE GASTOS'!C:C,COBRANZA!B133,'REPORTE GASTOS'!I:I)</f>
        <v>0</v>
      </c>
      <c r="J133" s="224">
        <f t="shared" si="7"/>
        <v>0</v>
      </c>
      <c r="K133" s="66"/>
    </row>
    <row r="134" spans="1:11" s="86" customFormat="1" hidden="1">
      <c r="A134" s="41">
        <v>115</v>
      </c>
      <c r="B134" s="77" t="str">
        <f>IF(ISERROR(VLOOKUP(A134,'RELACION VTAS - CHS'!D:F,3,FALSE))=FALSE,VLOOKUP(A134,'RELACION VTAS - CHS'!D:F,3,FALSE),"")</f>
        <v/>
      </c>
      <c r="C134" s="241" t="str">
        <f>IF(B134="","",VLOOKUP(B134,'RELACION VTAS - CHS'!F:H,3,FALSE))</f>
        <v/>
      </c>
      <c r="D134" s="56" t="str">
        <f>IF(B134="","",VLOOKUP(B134,'RELACION VTAS - CHS'!F:H,2,FALSE))</f>
        <v/>
      </c>
      <c r="E134" s="223">
        <f>IF(ISERROR(VLOOKUP($B134,'RELACION VTAS - CHS'!$F$7:$V$250,16,FALSE))=FALSE,VLOOKUP($B134,'RELACION VTAS - CHS'!$F$7:$V$250,16,FALSE),0)</f>
        <v>0</v>
      </c>
      <c r="F134" s="223">
        <f>SUMIF('REPORTE GASTOS'!C:C,COBRANZA!B134,'REPORTE GASTOS'!G:G)</f>
        <v>0</v>
      </c>
      <c r="G134" s="224">
        <f t="shared" si="6"/>
        <v>0</v>
      </c>
      <c r="H134" s="222">
        <f>IF(ISERROR(VLOOKUP($B134,'RELACION VTAS - CHS'!$F$7:$V$250,16,FALSE))=FALSE,VLOOKUP($B134,'RELACION VTAS - CHS'!$F$7:$V$250,17,FALSE),0)</f>
        <v>0</v>
      </c>
      <c r="I134" s="217">
        <f>SUMIF('REPORTE GASTOS'!C:C,COBRANZA!B134,'REPORTE GASTOS'!I:I)</f>
        <v>0</v>
      </c>
      <c r="J134" s="224">
        <f t="shared" si="7"/>
        <v>0</v>
      </c>
      <c r="K134" s="66"/>
    </row>
    <row r="135" spans="1:11" s="86" customFormat="1" hidden="1">
      <c r="A135" s="41">
        <v>116</v>
      </c>
      <c r="B135" s="77" t="str">
        <f>IF(ISERROR(VLOOKUP(A135,'RELACION VTAS - CHS'!D:F,3,FALSE))=FALSE,VLOOKUP(A135,'RELACION VTAS - CHS'!D:F,3,FALSE),"")</f>
        <v/>
      </c>
      <c r="C135" s="241" t="str">
        <f>IF(B135="","",VLOOKUP(B135,'RELACION VTAS - CHS'!F:H,3,FALSE))</f>
        <v/>
      </c>
      <c r="D135" s="56" t="str">
        <f>IF(B135="","",VLOOKUP(B135,'RELACION VTAS - CHS'!F:H,2,FALSE))</f>
        <v/>
      </c>
      <c r="E135" s="223">
        <f>IF(ISERROR(VLOOKUP($B135,'RELACION VTAS - CHS'!$F$7:$V$250,16,FALSE))=FALSE,VLOOKUP($B135,'RELACION VTAS - CHS'!$F$7:$V$250,16,FALSE),0)</f>
        <v>0</v>
      </c>
      <c r="F135" s="223">
        <f>SUMIF('REPORTE GASTOS'!C:C,COBRANZA!B135,'REPORTE GASTOS'!G:G)</f>
        <v>0</v>
      </c>
      <c r="G135" s="224">
        <f t="shared" si="6"/>
        <v>0</v>
      </c>
      <c r="H135" s="222">
        <f>IF(ISERROR(VLOOKUP($B135,'RELACION VTAS - CHS'!$F$7:$V$250,16,FALSE))=FALSE,VLOOKUP($B135,'RELACION VTAS - CHS'!$F$7:$V$250,17,FALSE),0)</f>
        <v>0</v>
      </c>
      <c r="I135" s="217">
        <f>SUMIF('REPORTE GASTOS'!C:C,COBRANZA!B135,'REPORTE GASTOS'!I:I)</f>
        <v>0</v>
      </c>
      <c r="J135" s="224">
        <f t="shared" si="7"/>
        <v>0</v>
      </c>
      <c r="K135" s="66"/>
    </row>
    <row r="136" spans="1:11" s="86" customFormat="1" hidden="1">
      <c r="A136" s="41">
        <v>117</v>
      </c>
      <c r="B136" s="77" t="str">
        <f>IF(ISERROR(VLOOKUP(A136,'RELACION VTAS - CHS'!D:F,3,FALSE))=FALSE,VLOOKUP(A136,'RELACION VTAS - CHS'!D:F,3,FALSE),"")</f>
        <v/>
      </c>
      <c r="C136" s="241" t="str">
        <f>IF(B136="","",VLOOKUP(B136,'RELACION VTAS - CHS'!F:H,3,FALSE))</f>
        <v/>
      </c>
      <c r="D136" s="56" t="str">
        <f>IF(B136="","",VLOOKUP(B136,'RELACION VTAS - CHS'!F:H,2,FALSE))</f>
        <v/>
      </c>
      <c r="E136" s="223">
        <f>IF(ISERROR(VLOOKUP($B136,'RELACION VTAS - CHS'!$F$7:$V$250,16,FALSE))=FALSE,VLOOKUP($B136,'RELACION VTAS - CHS'!$F$7:$V$250,16,FALSE),0)</f>
        <v>0</v>
      </c>
      <c r="F136" s="223">
        <f>SUMIF('REPORTE GASTOS'!C:C,COBRANZA!B136,'REPORTE GASTOS'!G:G)</f>
        <v>0</v>
      </c>
      <c r="G136" s="224">
        <f t="shared" si="6"/>
        <v>0</v>
      </c>
      <c r="H136" s="222">
        <f>IF(ISERROR(VLOOKUP($B136,'RELACION VTAS - CHS'!$F$7:$V$250,16,FALSE))=FALSE,VLOOKUP($B136,'RELACION VTAS - CHS'!$F$7:$V$250,17,FALSE),0)</f>
        <v>0</v>
      </c>
      <c r="I136" s="217">
        <f>SUMIF('REPORTE GASTOS'!C:C,COBRANZA!B136,'REPORTE GASTOS'!I:I)</f>
        <v>0</v>
      </c>
      <c r="J136" s="224">
        <f t="shared" si="7"/>
        <v>0</v>
      </c>
      <c r="K136" s="66"/>
    </row>
    <row r="137" spans="1:11" s="86" customFormat="1" hidden="1">
      <c r="A137" s="41">
        <v>118</v>
      </c>
      <c r="B137" s="77" t="str">
        <f>IF(ISERROR(VLOOKUP(A137,'RELACION VTAS - CHS'!D:F,3,FALSE))=FALSE,VLOOKUP(A137,'RELACION VTAS - CHS'!D:F,3,FALSE),"")</f>
        <v/>
      </c>
      <c r="C137" s="241" t="str">
        <f>IF(B137="","",VLOOKUP(B137,'RELACION VTAS - CHS'!F:H,3,FALSE))</f>
        <v/>
      </c>
      <c r="D137" s="56" t="str">
        <f>IF(B137="","",VLOOKUP(B137,'RELACION VTAS - CHS'!F:H,2,FALSE))</f>
        <v/>
      </c>
      <c r="E137" s="223">
        <f>IF(ISERROR(VLOOKUP($B137,'RELACION VTAS - CHS'!$F$7:$V$250,16,FALSE))=FALSE,VLOOKUP($B137,'RELACION VTAS - CHS'!$F$7:$V$250,16,FALSE),0)</f>
        <v>0</v>
      </c>
      <c r="F137" s="223">
        <f>SUMIF('REPORTE GASTOS'!C:C,COBRANZA!B137,'REPORTE GASTOS'!G:G)</f>
        <v>0</v>
      </c>
      <c r="G137" s="224">
        <f t="shared" si="6"/>
        <v>0</v>
      </c>
      <c r="H137" s="222">
        <f>IF(ISERROR(VLOOKUP($B137,'RELACION VTAS - CHS'!$F$7:$V$250,16,FALSE))=FALSE,VLOOKUP($B137,'RELACION VTAS - CHS'!$F$7:$V$250,17,FALSE),0)</f>
        <v>0</v>
      </c>
      <c r="I137" s="217">
        <f>SUMIF('REPORTE GASTOS'!C:C,COBRANZA!B137,'REPORTE GASTOS'!I:I)</f>
        <v>0</v>
      </c>
      <c r="J137" s="224">
        <f t="shared" si="7"/>
        <v>0</v>
      </c>
      <c r="K137" s="66"/>
    </row>
    <row r="138" spans="1:11" s="86" customFormat="1" hidden="1">
      <c r="A138" s="41">
        <v>119</v>
      </c>
      <c r="B138" s="77" t="str">
        <f>IF(ISERROR(VLOOKUP(A138,'RELACION VTAS - CHS'!D:F,3,FALSE))=FALSE,VLOOKUP(A138,'RELACION VTAS - CHS'!D:F,3,FALSE),"")</f>
        <v/>
      </c>
      <c r="C138" s="241" t="str">
        <f>IF(B138="","",VLOOKUP(B138,'RELACION VTAS - CHS'!F:H,3,FALSE))</f>
        <v/>
      </c>
      <c r="D138" s="56" t="str">
        <f>IF(B138="","",VLOOKUP(B138,'RELACION VTAS - CHS'!F:H,2,FALSE))</f>
        <v/>
      </c>
      <c r="E138" s="223">
        <f>IF(ISERROR(VLOOKUP($B138,'RELACION VTAS - CHS'!$F$7:$V$250,16,FALSE))=FALSE,VLOOKUP($B138,'RELACION VTAS - CHS'!$F$7:$V$250,16,FALSE),0)</f>
        <v>0</v>
      </c>
      <c r="F138" s="223">
        <f>SUMIF('REPORTE GASTOS'!C:C,COBRANZA!B138,'REPORTE GASTOS'!G:G)</f>
        <v>0</v>
      </c>
      <c r="G138" s="224">
        <f t="shared" si="6"/>
        <v>0</v>
      </c>
      <c r="H138" s="222">
        <f>IF(ISERROR(VLOOKUP($B138,'RELACION VTAS - CHS'!$F$7:$V$250,16,FALSE))=FALSE,VLOOKUP($B138,'RELACION VTAS - CHS'!$F$7:$V$250,17,FALSE),0)</f>
        <v>0</v>
      </c>
      <c r="I138" s="217">
        <f>SUMIF('REPORTE GASTOS'!C:C,COBRANZA!B138,'REPORTE GASTOS'!I:I)</f>
        <v>0</v>
      </c>
      <c r="J138" s="224">
        <f t="shared" si="7"/>
        <v>0</v>
      </c>
      <c r="K138" s="66"/>
    </row>
    <row r="139" spans="1:11" s="86" customFormat="1" hidden="1">
      <c r="A139" s="41">
        <v>120</v>
      </c>
      <c r="B139" s="77" t="str">
        <f>IF(ISERROR(VLOOKUP(A139,'RELACION VTAS - CHS'!D:F,3,FALSE))=FALSE,VLOOKUP(A139,'RELACION VTAS - CHS'!D:F,3,FALSE),"")</f>
        <v/>
      </c>
      <c r="C139" s="241" t="str">
        <f>IF(B139="","",VLOOKUP(B139,'RELACION VTAS - CHS'!F:H,3,FALSE))</f>
        <v/>
      </c>
      <c r="D139" s="56" t="str">
        <f>IF(B139="","",VLOOKUP(B139,'RELACION VTAS - CHS'!F:H,2,FALSE))</f>
        <v/>
      </c>
      <c r="E139" s="223">
        <f>IF(ISERROR(VLOOKUP($B139,'RELACION VTAS - CHS'!$F$7:$V$250,16,FALSE))=FALSE,VLOOKUP($B139,'RELACION VTAS - CHS'!$F$7:$V$250,16,FALSE),0)</f>
        <v>0</v>
      </c>
      <c r="F139" s="223">
        <f>SUMIF('REPORTE GASTOS'!C:C,COBRANZA!B139,'REPORTE GASTOS'!G:G)</f>
        <v>0</v>
      </c>
      <c r="G139" s="224">
        <f t="shared" si="6"/>
        <v>0</v>
      </c>
      <c r="H139" s="222">
        <f>IF(ISERROR(VLOOKUP($B139,'RELACION VTAS - CHS'!$F$7:$V$250,16,FALSE))=FALSE,VLOOKUP($B139,'RELACION VTAS - CHS'!$F$7:$V$250,17,FALSE),0)</f>
        <v>0</v>
      </c>
      <c r="I139" s="217">
        <f>SUMIF('REPORTE GASTOS'!C:C,COBRANZA!B139,'REPORTE GASTOS'!I:I)</f>
        <v>0</v>
      </c>
      <c r="J139" s="224">
        <f t="shared" si="7"/>
        <v>0</v>
      </c>
      <c r="K139" s="66"/>
    </row>
    <row r="140" spans="1:11" s="86" customFormat="1" hidden="1">
      <c r="A140" s="41">
        <v>121</v>
      </c>
      <c r="B140" s="77" t="str">
        <f>IF(ISERROR(VLOOKUP(A140,'RELACION VTAS - CHS'!D:F,3,FALSE))=FALSE,VLOOKUP(A140,'RELACION VTAS - CHS'!D:F,3,FALSE),"")</f>
        <v/>
      </c>
      <c r="C140" s="241" t="str">
        <f>IF(B140="","",VLOOKUP(B140,'RELACION VTAS - CHS'!F:H,3,FALSE))</f>
        <v/>
      </c>
      <c r="D140" s="56" t="str">
        <f>IF(B140="","",VLOOKUP(B140,'RELACION VTAS - CHS'!F:H,2,FALSE))</f>
        <v/>
      </c>
      <c r="E140" s="223">
        <f>IF(ISERROR(VLOOKUP($B140,'RELACION VTAS - CHS'!$F$7:$V$250,16,FALSE))=FALSE,VLOOKUP($B140,'RELACION VTAS - CHS'!$F$7:$V$250,16,FALSE),0)</f>
        <v>0</v>
      </c>
      <c r="F140" s="223">
        <f>SUMIF('REPORTE GASTOS'!C:C,COBRANZA!B140,'REPORTE GASTOS'!G:G)</f>
        <v>0</v>
      </c>
      <c r="G140" s="224">
        <f t="shared" si="6"/>
        <v>0</v>
      </c>
      <c r="H140" s="222">
        <f>IF(ISERROR(VLOOKUP($B140,'RELACION VTAS - CHS'!$F$7:$V$250,16,FALSE))=FALSE,VLOOKUP($B140,'RELACION VTAS - CHS'!$F$7:$V$250,17,FALSE),0)</f>
        <v>0</v>
      </c>
      <c r="I140" s="217">
        <f>SUMIF('REPORTE GASTOS'!C:C,COBRANZA!B140,'REPORTE GASTOS'!I:I)</f>
        <v>0</v>
      </c>
      <c r="J140" s="224">
        <f t="shared" si="7"/>
        <v>0</v>
      </c>
      <c r="K140" s="66"/>
    </row>
    <row r="141" spans="1:11" s="86" customFormat="1" hidden="1">
      <c r="A141" s="41">
        <v>122</v>
      </c>
      <c r="B141" s="77" t="str">
        <f>IF(ISERROR(VLOOKUP(A141,'RELACION VTAS - CHS'!D:F,3,FALSE))=FALSE,VLOOKUP(A141,'RELACION VTAS - CHS'!D:F,3,FALSE),"")</f>
        <v/>
      </c>
      <c r="C141" s="241" t="str">
        <f>IF(B141="","",VLOOKUP(B141,'RELACION VTAS - CHS'!F:H,3,FALSE))</f>
        <v/>
      </c>
      <c r="D141" s="56" t="str">
        <f>IF(B141="","",VLOOKUP(B141,'RELACION VTAS - CHS'!F:H,2,FALSE))</f>
        <v/>
      </c>
      <c r="E141" s="223">
        <f>IF(ISERROR(VLOOKUP($B141,'RELACION VTAS - CHS'!$F$7:$V$250,16,FALSE))=FALSE,VLOOKUP($B141,'RELACION VTAS - CHS'!$F$7:$V$250,16,FALSE),0)</f>
        <v>0</v>
      </c>
      <c r="F141" s="223">
        <f>SUMIF('REPORTE GASTOS'!C:C,COBRANZA!B141,'REPORTE GASTOS'!G:G)</f>
        <v>0</v>
      </c>
      <c r="G141" s="224">
        <f t="shared" si="6"/>
        <v>0</v>
      </c>
      <c r="H141" s="222">
        <f>IF(ISERROR(VLOOKUP($B141,'RELACION VTAS - CHS'!$F$7:$V$250,16,FALSE))=FALSE,VLOOKUP($B141,'RELACION VTAS - CHS'!$F$7:$V$250,17,FALSE),0)</f>
        <v>0</v>
      </c>
      <c r="I141" s="217">
        <f>SUMIF('REPORTE GASTOS'!C:C,COBRANZA!B141,'REPORTE GASTOS'!I:I)</f>
        <v>0</v>
      </c>
      <c r="J141" s="224">
        <f t="shared" si="7"/>
        <v>0</v>
      </c>
      <c r="K141" s="66"/>
    </row>
    <row r="142" spans="1:11" s="86" customFormat="1" hidden="1">
      <c r="A142" s="41">
        <v>123</v>
      </c>
      <c r="B142" s="77" t="str">
        <f>IF(ISERROR(VLOOKUP(A142,'RELACION VTAS - CHS'!D:F,3,FALSE))=FALSE,VLOOKUP(A142,'RELACION VTAS - CHS'!D:F,3,FALSE),"")</f>
        <v/>
      </c>
      <c r="C142" s="241" t="str">
        <f>IF(B142="","",VLOOKUP(B142,'RELACION VTAS - CHS'!F:H,3,FALSE))</f>
        <v/>
      </c>
      <c r="D142" s="56" t="str">
        <f>IF(B142="","",VLOOKUP(B142,'RELACION VTAS - CHS'!F:H,2,FALSE))</f>
        <v/>
      </c>
      <c r="E142" s="223">
        <f>IF(ISERROR(VLOOKUP($B142,'RELACION VTAS - CHS'!$F$7:$V$250,16,FALSE))=FALSE,VLOOKUP($B142,'RELACION VTAS - CHS'!$F$7:$V$250,16,FALSE),0)</f>
        <v>0</v>
      </c>
      <c r="F142" s="223">
        <f>SUMIF('REPORTE GASTOS'!C:C,COBRANZA!B142,'REPORTE GASTOS'!G:G)</f>
        <v>0</v>
      </c>
      <c r="G142" s="224">
        <f t="shared" ref="G142:G201" si="8">E142-F142</f>
        <v>0</v>
      </c>
      <c r="H142" s="222">
        <f>IF(ISERROR(VLOOKUP($B142,'RELACION VTAS - CHS'!$F$7:$V$250,16,FALSE))=FALSE,VLOOKUP($B142,'RELACION VTAS - CHS'!$F$7:$V$250,17,FALSE),0)</f>
        <v>0</v>
      </c>
      <c r="I142" s="217">
        <f>SUMIF('REPORTE GASTOS'!C:C,COBRANZA!B142,'REPORTE GASTOS'!I:I)</f>
        <v>0</v>
      </c>
      <c r="J142" s="224">
        <f t="shared" ref="J142:J201" si="9">H142-I142</f>
        <v>0</v>
      </c>
      <c r="K142" s="66"/>
    </row>
    <row r="143" spans="1:11" s="86" customFormat="1" hidden="1">
      <c r="A143" s="41">
        <v>124</v>
      </c>
      <c r="B143" s="77" t="str">
        <f>IF(ISERROR(VLOOKUP(A143,'RELACION VTAS - CHS'!D:F,3,FALSE))=FALSE,VLOOKUP(A143,'RELACION VTAS - CHS'!D:F,3,FALSE),"")</f>
        <v/>
      </c>
      <c r="C143" s="241" t="str">
        <f>IF(B143="","",VLOOKUP(B143,'RELACION VTAS - CHS'!F:H,3,FALSE))</f>
        <v/>
      </c>
      <c r="D143" s="56" t="str">
        <f>IF(B143="","",VLOOKUP(B143,'RELACION VTAS - CHS'!F:H,2,FALSE))</f>
        <v/>
      </c>
      <c r="E143" s="223">
        <f>IF(ISERROR(VLOOKUP($B143,'RELACION VTAS - CHS'!$F$7:$V$250,16,FALSE))=FALSE,VLOOKUP($B143,'RELACION VTAS - CHS'!$F$7:$V$250,16,FALSE),0)</f>
        <v>0</v>
      </c>
      <c r="F143" s="223">
        <f>SUMIF('REPORTE GASTOS'!C:C,COBRANZA!B143,'REPORTE GASTOS'!G:G)</f>
        <v>0</v>
      </c>
      <c r="G143" s="224">
        <f t="shared" si="8"/>
        <v>0</v>
      </c>
      <c r="H143" s="222">
        <f>IF(ISERROR(VLOOKUP($B143,'RELACION VTAS - CHS'!$F$7:$V$250,16,FALSE))=FALSE,VLOOKUP($B143,'RELACION VTAS - CHS'!$F$7:$V$250,17,FALSE),0)</f>
        <v>0</v>
      </c>
      <c r="I143" s="217">
        <f>SUMIF('REPORTE GASTOS'!C:C,COBRANZA!B143,'REPORTE GASTOS'!I:I)</f>
        <v>0</v>
      </c>
      <c r="J143" s="224">
        <f t="shared" si="9"/>
        <v>0</v>
      </c>
      <c r="K143" s="66"/>
    </row>
    <row r="144" spans="1:11" s="86" customFormat="1" hidden="1">
      <c r="A144" s="41">
        <v>125</v>
      </c>
      <c r="B144" s="77" t="str">
        <f>IF(ISERROR(VLOOKUP(A144,'RELACION VTAS - CHS'!D:F,3,FALSE))=FALSE,VLOOKUP(A144,'RELACION VTAS - CHS'!D:F,3,FALSE),"")</f>
        <v/>
      </c>
      <c r="C144" s="241" t="str">
        <f>IF(B144="","",VLOOKUP(B144,'RELACION VTAS - CHS'!F:H,3,FALSE))</f>
        <v/>
      </c>
      <c r="D144" s="56" t="str">
        <f>IF(B144="","",VLOOKUP(B144,'RELACION VTAS - CHS'!F:H,2,FALSE))</f>
        <v/>
      </c>
      <c r="E144" s="223">
        <f>IF(ISERROR(VLOOKUP($B144,'RELACION VTAS - CHS'!$F$7:$V$250,16,FALSE))=FALSE,VLOOKUP($B144,'RELACION VTAS - CHS'!$F$7:$V$250,16,FALSE),0)</f>
        <v>0</v>
      </c>
      <c r="F144" s="223">
        <f>SUMIF('REPORTE GASTOS'!C:C,COBRANZA!B144,'REPORTE GASTOS'!G:G)</f>
        <v>0</v>
      </c>
      <c r="G144" s="224">
        <f t="shared" si="8"/>
        <v>0</v>
      </c>
      <c r="H144" s="222">
        <f>IF(ISERROR(VLOOKUP($B144,'RELACION VTAS - CHS'!$F$7:$V$250,16,FALSE))=FALSE,VLOOKUP($B144,'RELACION VTAS - CHS'!$F$7:$V$250,17,FALSE),0)</f>
        <v>0</v>
      </c>
      <c r="I144" s="217">
        <f>SUMIF('REPORTE GASTOS'!C:C,COBRANZA!B144,'REPORTE GASTOS'!I:I)</f>
        <v>0</v>
      </c>
      <c r="J144" s="224">
        <f t="shared" si="9"/>
        <v>0</v>
      </c>
      <c r="K144" s="66"/>
    </row>
    <row r="145" spans="1:11" s="86" customFormat="1" hidden="1">
      <c r="A145" s="41">
        <v>126</v>
      </c>
      <c r="B145" s="77" t="str">
        <f>IF(ISERROR(VLOOKUP(A145,'RELACION VTAS - CHS'!D:F,3,FALSE))=FALSE,VLOOKUP(A145,'RELACION VTAS - CHS'!D:F,3,FALSE),"")</f>
        <v/>
      </c>
      <c r="C145" s="241" t="str">
        <f>IF(B145="","",VLOOKUP(B145,'RELACION VTAS - CHS'!F:H,3,FALSE))</f>
        <v/>
      </c>
      <c r="D145" s="56" t="str">
        <f>IF(B145="","",VLOOKUP(B145,'RELACION VTAS - CHS'!F:H,2,FALSE))</f>
        <v/>
      </c>
      <c r="E145" s="223">
        <f>IF(ISERROR(VLOOKUP($B145,'RELACION VTAS - CHS'!$F$7:$V$250,16,FALSE))=FALSE,VLOOKUP($B145,'RELACION VTAS - CHS'!$F$7:$V$250,16,FALSE),0)</f>
        <v>0</v>
      </c>
      <c r="F145" s="223">
        <f>SUMIF('REPORTE GASTOS'!C:C,COBRANZA!B145,'REPORTE GASTOS'!G:G)</f>
        <v>0</v>
      </c>
      <c r="G145" s="224">
        <f t="shared" si="8"/>
        <v>0</v>
      </c>
      <c r="H145" s="222">
        <f>IF(ISERROR(VLOOKUP($B145,'RELACION VTAS - CHS'!$F$7:$V$250,16,FALSE))=FALSE,VLOOKUP($B145,'RELACION VTAS - CHS'!$F$7:$V$250,17,FALSE),0)</f>
        <v>0</v>
      </c>
      <c r="I145" s="217">
        <f>SUMIF('REPORTE GASTOS'!C:C,COBRANZA!B145,'REPORTE GASTOS'!I:I)</f>
        <v>0</v>
      </c>
      <c r="J145" s="224">
        <f t="shared" si="9"/>
        <v>0</v>
      </c>
      <c r="K145" s="66"/>
    </row>
    <row r="146" spans="1:11" s="86" customFormat="1" hidden="1">
      <c r="A146" s="41">
        <v>127</v>
      </c>
      <c r="B146" s="77" t="str">
        <f>IF(ISERROR(VLOOKUP(A146,'RELACION VTAS - CHS'!D:F,3,FALSE))=FALSE,VLOOKUP(A146,'RELACION VTAS - CHS'!D:F,3,FALSE),"")</f>
        <v/>
      </c>
      <c r="C146" s="241" t="str">
        <f>IF(B146="","",VLOOKUP(B146,'RELACION VTAS - CHS'!F:H,3,FALSE))</f>
        <v/>
      </c>
      <c r="D146" s="56" t="str">
        <f>IF(B146="","",VLOOKUP(B146,'RELACION VTAS - CHS'!F:H,2,FALSE))</f>
        <v/>
      </c>
      <c r="E146" s="223">
        <f>IF(ISERROR(VLOOKUP($B146,'RELACION VTAS - CHS'!$F$7:$V$250,16,FALSE))=FALSE,VLOOKUP($B146,'RELACION VTAS - CHS'!$F$7:$V$250,16,FALSE),0)</f>
        <v>0</v>
      </c>
      <c r="F146" s="223">
        <f>SUMIF('REPORTE GASTOS'!C:C,COBRANZA!B146,'REPORTE GASTOS'!G:G)</f>
        <v>0</v>
      </c>
      <c r="G146" s="224">
        <f t="shared" si="8"/>
        <v>0</v>
      </c>
      <c r="H146" s="222">
        <f>IF(ISERROR(VLOOKUP($B146,'RELACION VTAS - CHS'!$F$7:$V$250,16,FALSE))=FALSE,VLOOKUP($B146,'RELACION VTAS - CHS'!$F$7:$V$250,17,FALSE),0)</f>
        <v>0</v>
      </c>
      <c r="I146" s="217">
        <f>SUMIF('REPORTE GASTOS'!C:C,COBRANZA!B146,'REPORTE GASTOS'!I:I)</f>
        <v>0</v>
      </c>
      <c r="J146" s="224">
        <f t="shared" si="9"/>
        <v>0</v>
      </c>
      <c r="K146" s="66"/>
    </row>
    <row r="147" spans="1:11" s="86" customFormat="1" hidden="1">
      <c r="A147" s="41">
        <v>128</v>
      </c>
      <c r="B147" s="77" t="str">
        <f>IF(ISERROR(VLOOKUP(A147,'RELACION VTAS - CHS'!D:F,3,FALSE))=FALSE,VLOOKUP(A147,'RELACION VTAS - CHS'!D:F,3,FALSE),"")</f>
        <v/>
      </c>
      <c r="C147" s="241" t="str">
        <f>IF(B147="","",VLOOKUP(B147,'RELACION VTAS - CHS'!F:H,3,FALSE))</f>
        <v/>
      </c>
      <c r="D147" s="56" t="str">
        <f>IF(B147="","",VLOOKUP(B147,'RELACION VTAS - CHS'!F:H,2,FALSE))</f>
        <v/>
      </c>
      <c r="E147" s="223">
        <f>IF(ISERROR(VLOOKUP($B147,'RELACION VTAS - CHS'!$F$7:$V$250,16,FALSE))=FALSE,VLOOKUP($B147,'RELACION VTAS - CHS'!$F$7:$V$250,16,FALSE),0)</f>
        <v>0</v>
      </c>
      <c r="F147" s="223">
        <f>SUMIF('REPORTE GASTOS'!C:C,COBRANZA!B147,'REPORTE GASTOS'!G:G)</f>
        <v>0</v>
      </c>
      <c r="G147" s="224">
        <f t="shared" si="8"/>
        <v>0</v>
      </c>
      <c r="H147" s="222">
        <f>IF(ISERROR(VLOOKUP($B147,'RELACION VTAS - CHS'!$F$7:$V$250,16,FALSE))=FALSE,VLOOKUP($B147,'RELACION VTAS - CHS'!$F$7:$V$250,17,FALSE),0)</f>
        <v>0</v>
      </c>
      <c r="I147" s="217">
        <f>SUMIF('REPORTE GASTOS'!C:C,COBRANZA!B147,'REPORTE GASTOS'!I:I)</f>
        <v>0</v>
      </c>
      <c r="J147" s="224">
        <f t="shared" si="9"/>
        <v>0</v>
      </c>
      <c r="K147" s="66"/>
    </row>
    <row r="148" spans="1:11" s="86" customFormat="1" hidden="1">
      <c r="A148" s="41">
        <v>129</v>
      </c>
      <c r="B148" s="77" t="str">
        <f>IF(ISERROR(VLOOKUP(A148,'RELACION VTAS - CHS'!D:F,3,FALSE))=FALSE,VLOOKUP(A148,'RELACION VTAS - CHS'!D:F,3,FALSE),"")</f>
        <v/>
      </c>
      <c r="C148" s="241" t="str">
        <f>IF(B148="","",VLOOKUP(B148,'RELACION VTAS - CHS'!F:H,3,FALSE))</f>
        <v/>
      </c>
      <c r="D148" s="56" t="str">
        <f>IF(B148="","",VLOOKUP(B148,'RELACION VTAS - CHS'!F:H,2,FALSE))</f>
        <v/>
      </c>
      <c r="E148" s="223">
        <f>IF(ISERROR(VLOOKUP($B148,'RELACION VTAS - CHS'!$F$7:$V$250,16,FALSE))=FALSE,VLOOKUP($B148,'RELACION VTAS - CHS'!$F$7:$V$250,16,FALSE),0)</f>
        <v>0</v>
      </c>
      <c r="F148" s="223">
        <f>SUMIF('REPORTE GASTOS'!C:C,COBRANZA!B148,'REPORTE GASTOS'!G:G)</f>
        <v>0</v>
      </c>
      <c r="G148" s="224">
        <f t="shared" si="8"/>
        <v>0</v>
      </c>
      <c r="H148" s="222">
        <f>IF(ISERROR(VLOOKUP($B148,'RELACION VTAS - CHS'!$F$7:$V$250,16,FALSE))=FALSE,VLOOKUP($B148,'RELACION VTAS - CHS'!$F$7:$V$250,17,FALSE),0)</f>
        <v>0</v>
      </c>
      <c r="I148" s="217">
        <f>SUMIF('REPORTE GASTOS'!C:C,COBRANZA!B148,'REPORTE GASTOS'!I:I)</f>
        <v>0</v>
      </c>
      <c r="J148" s="224">
        <f t="shared" si="9"/>
        <v>0</v>
      </c>
      <c r="K148" s="66"/>
    </row>
    <row r="149" spans="1:11" s="86" customFormat="1" hidden="1">
      <c r="A149" s="41">
        <v>130</v>
      </c>
      <c r="B149" s="77" t="str">
        <f>IF(ISERROR(VLOOKUP(A149,'RELACION VTAS - CHS'!D:F,3,FALSE))=FALSE,VLOOKUP(A149,'RELACION VTAS - CHS'!D:F,3,FALSE),"")</f>
        <v/>
      </c>
      <c r="C149" s="241" t="str">
        <f>IF(B149="","",VLOOKUP(B149,'RELACION VTAS - CHS'!F:H,3,FALSE))</f>
        <v/>
      </c>
      <c r="D149" s="56" t="str">
        <f>IF(B149="","",VLOOKUP(B149,'RELACION VTAS - CHS'!F:H,2,FALSE))</f>
        <v/>
      </c>
      <c r="E149" s="223">
        <f>IF(ISERROR(VLOOKUP($B149,'RELACION VTAS - CHS'!$F$7:$V$250,16,FALSE))=FALSE,VLOOKUP($B149,'RELACION VTAS - CHS'!$F$7:$V$250,16,FALSE),0)</f>
        <v>0</v>
      </c>
      <c r="F149" s="223">
        <f>SUMIF('REPORTE GASTOS'!C:C,COBRANZA!B149,'REPORTE GASTOS'!G:G)</f>
        <v>0</v>
      </c>
      <c r="G149" s="224">
        <f t="shared" si="8"/>
        <v>0</v>
      </c>
      <c r="H149" s="222">
        <f>IF(ISERROR(VLOOKUP($B149,'RELACION VTAS - CHS'!$F$7:$V$250,16,FALSE))=FALSE,VLOOKUP($B149,'RELACION VTAS - CHS'!$F$7:$V$250,17,FALSE),0)</f>
        <v>0</v>
      </c>
      <c r="I149" s="217">
        <f>SUMIF('REPORTE GASTOS'!C:C,COBRANZA!B149,'REPORTE GASTOS'!I:I)</f>
        <v>0</v>
      </c>
      <c r="J149" s="224">
        <f t="shared" si="9"/>
        <v>0</v>
      </c>
      <c r="K149" s="66"/>
    </row>
    <row r="150" spans="1:11" s="86" customFormat="1" hidden="1">
      <c r="A150" s="41">
        <v>131</v>
      </c>
      <c r="B150" s="77" t="str">
        <f>IF(ISERROR(VLOOKUP(A150,'RELACION VTAS - CHS'!D:F,3,FALSE))=FALSE,VLOOKUP(A150,'RELACION VTAS - CHS'!D:F,3,FALSE),"")</f>
        <v/>
      </c>
      <c r="C150" s="241" t="str">
        <f>IF(B150="","",VLOOKUP(B150,'RELACION VTAS - CHS'!F:H,3,FALSE))</f>
        <v/>
      </c>
      <c r="D150" s="56" t="str">
        <f>IF(B150="","",VLOOKUP(B150,'RELACION VTAS - CHS'!F:H,2,FALSE))</f>
        <v/>
      </c>
      <c r="E150" s="223">
        <f>IF(ISERROR(VLOOKUP($B150,'RELACION VTAS - CHS'!$F$7:$V$250,16,FALSE))=FALSE,VLOOKUP($B150,'RELACION VTAS - CHS'!$F$7:$V$250,16,FALSE),0)</f>
        <v>0</v>
      </c>
      <c r="F150" s="223">
        <f>SUMIF('REPORTE GASTOS'!C:C,COBRANZA!B150,'REPORTE GASTOS'!G:G)</f>
        <v>0</v>
      </c>
      <c r="G150" s="224">
        <f t="shared" si="8"/>
        <v>0</v>
      </c>
      <c r="H150" s="222">
        <f>IF(ISERROR(VLOOKUP($B150,'RELACION VTAS - CHS'!$F$7:$V$250,16,FALSE))=FALSE,VLOOKUP($B150,'RELACION VTAS - CHS'!$F$7:$V$250,17,FALSE),0)</f>
        <v>0</v>
      </c>
      <c r="I150" s="217">
        <f>SUMIF('REPORTE GASTOS'!C:C,COBRANZA!B150,'REPORTE GASTOS'!I:I)</f>
        <v>0</v>
      </c>
      <c r="J150" s="224">
        <f t="shared" si="9"/>
        <v>0</v>
      </c>
      <c r="K150" s="66"/>
    </row>
    <row r="151" spans="1:11" s="86" customFormat="1" hidden="1">
      <c r="A151" s="41">
        <v>132</v>
      </c>
      <c r="B151" s="77" t="str">
        <f>IF(ISERROR(VLOOKUP(A151,'RELACION VTAS - CHS'!D:F,3,FALSE))=FALSE,VLOOKUP(A151,'RELACION VTAS - CHS'!D:F,3,FALSE),"")</f>
        <v/>
      </c>
      <c r="C151" s="241" t="str">
        <f>IF(B151="","",VLOOKUP(B151,'RELACION VTAS - CHS'!F:H,3,FALSE))</f>
        <v/>
      </c>
      <c r="D151" s="56" t="str">
        <f>IF(B151="","",VLOOKUP(B151,'RELACION VTAS - CHS'!F:H,2,FALSE))</f>
        <v/>
      </c>
      <c r="E151" s="223">
        <f>IF(ISERROR(VLOOKUP($B151,'RELACION VTAS - CHS'!$F$7:$V$250,16,FALSE))=FALSE,VLOOKUP($B151,'RELACION VTAS - CHS'!$F$7:$V$250,16,FALSE),0)</f>
        <v>0</v>
      </c>
      <c r="F151" s="223">
        <f>SUMIF('REPORTE GASTOS'!C:C,COBRANZA!B151,'REPORTE GASTOS'!G:G)</f>
        <v>0</v>
      </c>
      <c r="G151" s="224">
        <f t="shared" si="8"/>
        <v>0</v>
      </c>
      <c r="H151" s="222">
        <f>IF(ISERROR(VLOOKUP($B151,'RELACION VTAS - CHS'!$F$7:$V$250,16,FALSE))=FALSE,VLOOKUP($B151,'RELACION VTAS - CHS'!$F$7:$V$250,17,FALSE),0)</f>
        <v>0</v>
      </c>
      <c r="I151" s="217">
        <f>SUMIF('REPORTE GASTOS'!C:C,COBRANZA!B151,'REPORTE GASTOS'!I:I)</f>
        <v>0</v>
      </c>
      <c r="J151" s="224">
        <f t="shared" si="9"/>
        <v>0</v>
      </c>
      <c r="K151" s="66"/>
    </row>
    <row r="152" spans="1:11" s="86" customFormat="1" hidden="1">
      <c r="A152" s="41">
        <v>133</v>
      </c>
      <c r="B152" s="77" t="str">
        <f>IF(ISERROR(VLOOKUP(A152,'RELACION VTAS - CHS'!D:F,3,FALSE))=FALSE,VLOOKUP(A152,'RELACION VTAS - CHS'!D:F,3,FALSE),"")</f>
        <v/>
      </c>
      <c r="C152" s="241" t="str">
        <f>IF(B152="","",VLOOKUP(B152,'RELACION VTAS - CHS'!F:H,3,FALSE))</f>
        <v/>
      </c>
      <c r="D152" s="56" t="str">
        <f>IF(B152="","",VLOOKUP(B152,'RELACION VTAS - CHS'!F:H,2,FALSE))</f>
        <v/>
      </c>
      <c r="E152" s="223">
        <f>IF(ISERROR(VLOOKUP($B152,'RELACION VTAS - CHS'!$F$7:$V$250,16,FALSE))=FALSE,VLOOKUP($B152,'RELACION VTAS - CHS'!$F$7:$V$250,16,FALSE),0)</f>
        <v>0</v>
      </c>
      <c r="F152" s="223">
        <f>SUMIF('REPORTE GASTOS'!C:C,COBRANZA!B152,'REPORTE GASTOS'!G:G)</f>
        <v>0</v>
      </c>
      <c r="G152" s="224">
        <f t="shared" si="8"/>
        <v>0</v>
      </c>
      <c r="H152" s="222">
        <f>IF(ISERROR(VLOOKUP($B152,'RELACION VTAS - CHS'!$F$7:$V$250,16,FALSE))=FALSE,VLOOKUP($B152,'RELACION VTAS - CHS'!$F$7:$V$250,17,FALSE),0)</f>
        <v>0</v>
      </c>
      <c r="I152" s="217">
        <f>SUMIF('REPORTE GASTOS'!C:C,COBRANZA!B152,'REPORTE GASTOS'!I:I)</f>
        <v>0</v>
      </c>
      <c r="J152" s="224">
        <f t="shared" si="9"/>
        <v>0</v>
      </c>
      <c r="K152" s="66"/>
    </row>
    <row r="153" spans="1:11" s="86" customFormat="1" hidden="1">
      <c r="A153" s="41">
        <v>134</v>
      </c>
      <c r="B153" s="77" t="str">
        <f>IF(ISERROR(VLOOKUP(A153,'RELACION VTAS - CHS'!D:F,3,FALSE))=FALSE,VLOOKUP(A153,'RELACION VTAS - CHS'!D:F,3,FALSE),"")</f>
        <v/>
      </c>
      <c r="C153" s="241" t="str">
        <f>IF(B153="","",VLOOKUP(B153,'RELACION VTAS - CHS'!F:H,3,FALSE))</f>
        <v/>
      </c>
      <c r="D153" s="56" t="str">
        <f>IF(B153="","",VLOOKUP(B153,'RELACION VTAS - CHS'!F:H,2,FALSE))</f>
        <v/>
      </c>
      <c r="E153" s="223">
        <f>IF(ISERROR(VLOOKUP($B153,'RELACION VTAS - CHS'!$F$7:$V$250,16,FALSE))=FALSE,VLOOKUP($B153,'RELACION VTAS - CHS'!$F$7:$V$250,16,FALSE),0)</f>
        <v>0</v>
      </c>
      <c r="F153" s="223">
        <f>SUMIF('REPORTE GASTOS'!C:C,COBRANZA!B153,'REPORTE GASTOS'!G:G)</f>
        <v>0</v>
      </c>
      <c r="G153" s="224">
        <f t="shared" si="8"/>
        <v>0</v>
      </c>
      <c r="H153" s="222">
        <f>IF(ISERROR(VLOOKUP($B153,'RELACION VTAS - CHS'!$F$7:$V$250,16,FALSE))=FALSE,VLOOKUP($B153,'RELACION VTAS - CHS'!$F$7:$V$250,17,FALSE),0)</f>
        <v>0</v>
      </c>
      <c r="I153" s="217">
        <f>SUMIF('REPORTE GASTOS'!C:C,COBRANZA!B153,'REPORTE GASTOS'!I:I)</f>
        <v>0</v>
      </c>
      <c r="J153" s="224">
        <f t="shared" si="9"/>
        <v>0</v>
      </c>
      <c r="K153" s="66"/>
    </row>
    <row r="154" spans="1:11" s="86" customFormat="1" hidden="1">
      <c r="A154" s="41">
        <v>135</v>
      </c>
      <c r="B154" s="77" t="str">
        <f>IF(ISERROR(VLOOKUP(A154,'RELACION VTAS - CHS'!D:F,3,FALSE))=FALSE,VLOOKUP(A154,'RELACION VTAS - CHS'!D:F,3,FALSE),"")</f>
        <v/>
      </c>
      <c r="C154" s="241" t="str">
        <f>IF(B154="","",VLOOKUP(B154,'RELACION VTAS - CHS'!F:H,3,FALSE))</f>
        <v/>
      </c>
      <c r="D154" s="56" t="str">
        <f>IF(B154="","",VLOOKUP(B154,'RELACION VTAS - CHS'!F:H,2,FALSE))</f>
        <v/>
      </c>
      <c r="E154" s="223">
        <f>IF(ISERROR(VLOOKUP($B154,'RELACION VTAS - CHS'!$F$7:$V$250,16,FALSE))=FALSE,VLOOKUP($B154,'RELACION VTAS - CHS'!$F$7:$V$250,16,FALSE),0)</f>
        <v>0</v>
      </c>
      <c r="F154" s="223">
        <f>SUMIF('REPORTE GASTOS'!C:C,COBRANZA!B154,'REPORTE GASTOS'!G:G)</f>
        <v>0</v>
      </c>
      <c r="G154" s="224">
        <f t="shared" si="8"/>
        <v>0</v>
      </c>
      <c r="H154" s="222">
        <f>IF(ISERROR(VLOOKUP($B154,'RELACION VTAS - CHS'!$F$7:$V$250,16,FALSE))=FALSE,VLOOKUP($B154,'RELACION VTAS - CHS'!$F$7:$V$250,17,FALSE),0)</f>
        <v>0</v>
      </c>
      <c r="I154" s="217">
        <f>SUMIF('REPORTE GASTOS'!C:C,COBRANZA!B154,'REPORTE GASTOS'!I:I)</f>
        <v>0</v>
      </c>
      <c r="J154" s="224">
        <f t="shared" si="9"/>
        <v>0</v>
      </c>
      <c r="K154" s="66"/>
    </row>
    <row r="155" spans="1:11" s="86" customFormat="1" hidden="1">
      <c r="A155" s="41">
        <v>136</v>
      </c>
      <c r="B155" s="77" t="str">
        <f>IF(ISERROR(VLOOKUP(A155,'RELACION VTAS - CHS'!D:F,3,FALSE))=FALSE,VLOOKUP(A155,'RELACION VTAS - CHS'!D:F,3,FALSE),"")</f>
        <v/>
      </c>
      <c r="C155" s="241" t="str">
        <f>IF(B155="","",VLOOKUP(B155,'RELACION VTAS - CHS'!F:H,3,FALSE))</f>
        <v/>
      </c>
      <c r="D155" s="56" t="str">
        <f>IF(B155="","",VLOOKUP(B155,'RELACION VTAS - CHS'!F:H,2,FALSE))</f>
        <v/>
      </c>
      <c r="E155" s="223">
        <f>IF(ISERROR(VLOOKUP($B155,'RELACION VTAS - CHS'!$F$7:$V$250,16,FALSE))=FALSE,VLOOKUP($B155,'RELACION VTAS - CHS'!$F$7:$V$250,16,FALSE),0)</f>
        <v>0</v>
      </c>
      <c r="F155" s="223">
        <f>SUMIF('REPORTE GASTOS'!C:C,COBRANZA!B155,'REPORTE GASTOS'!G:G)</f>
        <v>0</v>
      </c>
      <c r="G155" s="224">
        <f t="shared" si="8"/>
        <v>0</v>
      </c>
      <c r="H155" s="222">
        <f>IF(ISERROR(VLOOKUP($B155,'RELACION VTAS - CHS'!$F$7:$V$250,16,FALSE))=FALSE,VLOOKUP($B155,'RELACION VTAS - CHS'!$F$7:$V$250,17,FALSE),0)</f>
        <v>0</v>
      </c>
      <c r="I155" s="217">
        <f>SUMIF('REPORTE GASTOS'!C:C,COBRANZA!B155,'REPORTE GASTOS'!I:I)</f>
        <v>0</v>
      </c>
      <c r="J155" s="224">
        <f t="shared" si="9"/>
        <v>0</v>
      </c>
      <c r="K155" s="66"/>
    </row>
    <row r="156" spans="1:11" s="86" customFormat="1" hidden="1">
      <c r="A156" s="41">
        <v>137</v>
      </c>
      <c r="B156" s="77" t="str">
        <f>IF(ISERROR(VLOOKUP(A156,'RELACION VTAS - CHS'!D:F,3,FALSE))=FALSE,VLOOKUP(A156,'RELACION VTAS - CHS'!D:F,3,FALSE),"")</f>
        <v/>
      </c>
      <c r="C156" s="241" t="str">
        <f>IF(B156="","",VLOOKUP(B156,'RELACION VTAS - CHS'!F:H,3,FALSE))</f>
        <v/>
      </c>
      <c r="D156" s="56" t="str">
        <f>IF(B156="","",VLOOKUP(B156,'RELACION VTAS - CHS'!F:H,2,FALSE))</f>
        <v/>
      </c>
      <c r="E156" s="223">
        <f>IF(ISERROR(VLOOKUP($B156,'RELACION VTAS - CHS'!$F$7:$V$250,16,FALSE))=FALSE,VLOOKUP($B156,'RELACION VTAS - CHS'!$F$7:$V$250,16,FALSE),0)</f>
        <v>0</v>
      </c>
      <c r="F156" s="223">
        <f>SUMIF('REPORTE GASTOS'!C:C,COBRANZA!B156,'REPORTE GASTOS'!G:G)</f>
        <v>0</v>
      </c>
      <c r="G156" s="224">
        <f t="shared" si="8"/>
        <v>0</v>
      </c>
      <c r="H156" s="222">
        <f>IF(ISERROR(VLOOKUP($B156,'RELACION VTAS - CHS'!$F$7:$V$250,16,FALSE))=FALSE,VLOOKUP($B156,'RELACION VTAS - CHS'!$F$7:$V$250,17,FALSE),0)</f>
        <v>0</v>
      </c>
      <c r="I156" s="217">
        <f>SUMIF('REPORTE GASTOS'!C:C,COBRANZA!B156,'REPORTE GASTOS'!I:I)</f>
        <v>0</v>
      </c>
      <c r="J156" s="224">
        <f t="shared" si="9"/>
        <v>0</v>
      </c>
      <c r="K156" s="66"/>
    </row>
    <row r="157" spans="1:11" s="86" customFormat="1" hidden="1">
      <c r="A157" s="41">
        <v>138</v>
      </c>
      <c r="B157" s="77" t="str">
        <f>IF(ISERROR(VLOOKUP(A157,'RELACION VTAS - CHS'!D:F,3,FALSE))=FALSE,VLOOKUP(A157,'RELACION VTAS - CHS'!D:F,3,FALSE),"")</f>
        <v/>
      </c>
      <c r="C157" s="241" t="str">
        <f>IF(B157="","",VLOOKUP(B157,'RELACION VTAS - CHS'!F:H,3,FALSE))</f>
        <v/>
      </c>
      <c r="D157" s="56" t="str">
        <f>IF(B157="","",VLOOKUP(B157,'RELACION VTAS - CHS'!F:H,2,FALSE))</f>
        <v/>
      </c>
      <c r="E157" s="223">
        <f>IF(ISERROR(VLOOKUP($B157,'RELACION VTAS - CHS'!$F$7:$V$250,16,FALSE))=FALSE,VLOOKUP($B157,'RELACION VTAS - CHS'!$F$7:$V$250,16,FALSE),0)</f>
        <v>0</v>
      </c>
      <c r="F157" s="223">
        <f>SUMIF('REPORTE GASTOS'!C:C,COBRANZA!B157,'REPORTE GASTOS'!G:G)</f>
        <v>0</v>
      </c>
      <c r="G157" s="224">
        <f t="shared" si="8"/>
        <v>0</v>
      </c>
      <c r="H157" s="222">
        <f>IF(ISERROR(VLOOKUP($B157,'RELACION VTAS - CHS'!$F$7:$V$250,16,FALSE))=FALSE,VLOOKUP($B157,'RELACION VTAS - CHS'!$F$7:$V$250,17,FALSE),0)</f>
        <v>0</v>
      </c>
      <c r="I157" s="217">
        <f>SUMIF('REPORTE GASTOS'!C:C,COBRANZA!B157,'REPORTE GASTOS'!I:I)</f>
        <v>0</v>
      </c>
      <c r="J157" s="224">
        <f t="shared" si="9"/>
        <v>0</v>
      </c>
      <c r="K157" s="66"/>
    </row>
    <row r="158" spans="1:11" s="86" customFormat="1" hidden="1">
      <c r="A158" s="41">
        <v>139</v>
      </c>
      <c r="B158" s="77" t="str">
        <f>IF(ISERROR(VLOOKUP(A158,'RELACION VTAS - CHS'!D:F,3,FALSE))=FALSE,VLOOKUP(A158,'RELACION VTAS - CHS'!D:F,3,FALSE),"")</f>
        <v/>
      </c>
      <c r="C158" s="241" t="str">
        <f>IF(B158="","",VLOOKUP(B158,'RELACION VTAS - CHS'!F:H,3,FALSE))</f>
        <v/>
      </c>
      <c r="D158" s="56" t="str">
        <f>IF(B158="","",VLOOKUP(B158,'RELACION VTAS - CHS'!F:H,2,FALSE))</f>
        <v/>
      </c>
      <c r="E158" s="223">
        <f>IF(ISERROR(VLOOKUP($B158,'RELACION VTAS - CHS'!$F$7:$V$250,16,FALSE))=FALSE,VLOOKUP($B158,'RELACION VTAS - CHS'!$F$7:$V$250,16,FALSE),0)</f>
        <v>0</v>
      </c>
      <c r="F158" s="223">
        <f>SUMIF('REPORTE GASTOS'!C:C,COBRANZA!B158,'REPORTE GASTOS'!G:G)</f>
        <v>0</v>
      </c>
      <c r="G158" s="224">
        <f t="shared" si="8"/>
        <v>0</v>
      </c>
      <c r="H158" s="222">
        <f>IF(ISERROR(VLOOKUP($B158,'RELACION VTAS - CHS'!$F$7:$V$250,16,FALSE))=FALSE,VLOOKUP($B158,'RELACION VTAS - CHS'!$F$7:$V$250,17,FALSE),0)</f>
        <v>0</v>
      </c>
      <c r="I158" s="217">
        <f>SUMIF('REPORTE GASTOS'!C:C,COBRANZA!B158,'REPORTE GASTOS'!I:I)</f>
        <v>0</v>
      </c>
      <c r="J158" s="224">
        <f t="shared" si="9"/>
        <v>0</v>
      </c>
      <c r="K158" s="66"/>
    </row>
    <row r="159" spans="1:11" s="86" customFormat="1" hidden="1">
      <c r="A159" s="41">
        <v>140</v>
      </c>
      <c r="B159" s="77" t="str">
        <f>IF(ISERROR(VLOOKUP(A159,'RELACION VTAS - CHS'!D:F,3,FALSE))=FALSE,VLOOKUP(A159,'RELACION VTAS - CHS'!D:F,3,FALSE),"")</f>
        <v/>
      </c>
      <c r="C159" s="241" t="str">
        <f>IF(B159="","",VLOOKUP(B159,'RELACION VTAS - CHS'!F:H,3,FALSE))</f>
        <v/>
      </c>
      <c r="D159" s="56" t="str">
        <f>IF(B159="","",VLOOKUP(B159,'RELACION VTAS - CHS'!F:H,2,FALSE))</f>
        <v/>
      </c>
      <c r="E159" s="223">
        <f>IF(ISERROR(VLOOKUP($B159,'RELACION VTAS - CHS'!$F$7:$V$250,16,FALSE))=FALSE,VLOOKUP($B159,'RELACION VTAS - CHS'!$F$7:$V$250,16,FALSE),0)</f>
        <v>0</v>
      </c>
      <c r="F159" s="223">
        <f>SUMIF('REPORTE GASTOS'!C:C,COBRANZA!B159,'REPORTE GASTOS'!G:G)</f>
        <v>0</v>
      </c>
      <c r="G159" s="224">
        <f t="shared" si="8"/>
        <v>0</v>
      </c>
      <c r="H159" s="222">
        <f>IF(ISERROR(VLOOKUP($B159,'RELACION VTAS - CHS'!$F$7:$V$250,16,FALSE))=FALSE,VLOOKUP($B159,'RELACION VTAS - CHS'!$F$7:$V$250,17,FALSE),0)</f>
        <v>0</v>
      </c>
      <c r="I159" s="217">
        <f>SUMIF('REPORTE GASTOS'!C:C,COBRANZA!B159,'REPORTE GASTOS'!I:I)</f>
        <v>0</v>
      </c>
      <c r="J159" s="224">
        <f t="shared" si="9"/>
        <v>0</v>
      </c>
      <c r="K159" s="66"/>
    </row>
    <row r="160" spans="1:11" s="86" customFormat="1" hidden="1">
      <c r="A160" s="41">
        <v>141</v>
      </c>
      <c r="B160" s="77" t="str">
        <f>IF(ISERROR(VLOOKUP(A160,'RELACION VTAS - CHS'!D:F,3,FALSE))=FALSE,VLOOKUP(A160,'RELACION VTAS - CHS'!D:F,3,FALSE),"")</f>
        <v/>
      </c>
      <c r="C160" s="241" t="str">
        <f>IF(B160="","",VLOOKUP(B160,'RELACION VTAS - CHS'!F:H,3,FALSE))</f>
        <v/>
      </c>
      <c r="D160" s="56" t="str">
        <f>IF(B160="","",VLOOKUP(B160,'RELACION VTAS - CHS'!F:H,2,FALSE))</f>
        <v/>
      </c>
      <c r="E160" s="223">
        <f>IF(ISERROR(VLOOKUP($B160,'RELACION VTAS - CHS'!$F$7:$V$250,16,FALSE))=FALSE,VLOOKUP($B160,'RELACION VTAS - CHS'!$F$7:$V$250,16,FALSE),0)</f>
        <v>0</v>
      </c>
      <c r="F160" s="223">
        <f>SUMIF('REPORTE GASTOS'!C:C,COBRANZA!B160,'REPORTE GASTOS'!G:G)</f>
        <v>0</v>
      </c>
      <c r="G160" s="224">
        <f t="shared" si="8"/>
        <v>0</v>
      </c>
      <c r="H160" s="222">
        <f>IF(ISERROR(VLOOKUP($B160,'RELACION VTAS - CHS'!$F$7:$V$250,16,FALSE))=FALSE,VLOOKUP($B160,'RELACION VTAS - CHS'!$F$7:$V$250,17,FALSE),0)</f>
        <v>0</v>
      </c>
      <c r="I160" s="217">
        <f>SUMIF('REPORTE GASTOS'!C:C,COBRANZA!B160,'REPORTE GASTOS'!I:I)</f>
        <v>0</v>
      </c>
      <c r="J160" s="224">
        <f t="shared" si="9"/>
        <v>0</v>
      </c>
      <c r="K160" s="66"/>
    </row>
    <row r="161" spans="1:11" s="86" customFormat="1" hidden="1">
      <c r="A161" s="41">
        <v>142</v>
      </c>
      <c r="B161" s="77" t="str">
        <f>IF(ISERROR(VLOOKUP(A161,'RELACION VTAS - CHS'!D:F,3,FALSE))=FALSE,VLOOKUP(A161,'RELACION VTAS - CHS'!D:F,3,FALSE),"")</f>
        <v/>
      </c>
      <c r="C161" s="241" t="str">
        <f>IF(B161="","",VLOOKUP(B161,'RELACION VTAS - CHS'!F:H,3,FALSE))</f>
        <v/>
      </c>
      <c r="D161" s="56" t="str">
        <f>IF(B161="","",VLOOKUP(B161,'RELACION VTAS - CHS'!F:H,2,FALSE))</f>
        <v/>
      </c>
      <c r="E161" s="223">
        <f>IF(ISERROR(VLOOKUP($B161,'RELACION VTAS - CHS'!$F$7:$V$250,16,FALSE))=FALSE,VLOOKUP($B161,'RELACION VTAS - CHS'!$F$7:$V$250,16,FALSE),0)</f>
        <v>0</v>
      </c>
      <c r="F161" s="223">
        <f>SUMIF('REPORTE GASTOS'!C:C,COBRANZA!B161,'REPORTE GASTOS'!G:G)</f>
        <v>0</v>
      </c>
      <c r="G161" s="224">
        <f t="shared" si="8"/>
        <v>0</v>
      </c>
      <c r="H161" s="222">
        <f>IF(ISERROR(VLOOKUP($B161,'RELACION VTAS - CHS'!$F$7:$V$250,16,FALSE))=FALSE,VLOOKUP($B161,'RELACION VTAS - CHS'!$F$7:$V$250,17,FALSE),0)</f>
        <v>0</v>
      </c>
      <c r="I161" s="217">
        <f>SUMIF('REPORTE GASTOS'!C:C,COBRANZA!B161,'REPORTE GASTOS'!I:I)</f>
        <v>0</v>
      </c>
      <c r="J161" s="224">
        <f t="shared" si="9"/>
        <v>0</v>
      </c>
      <c r="K161" s="66"/>
    </row>
    <row r="162" spans="1:11" s="86" customFormat="1" hidden="1">
      <c r="A162" s="41">
        <v>143</v>
      </c>
      <c r="B162" s="77" t="str">
        <f>IF(ISERROR(VLOOKUP(A162,'RELACION VTAS - CHS'!D:F,3,FALSE))=FALSE,VLOOKUP(A162,'RELACION VTAS - CHS'!D:F,3,FALSE),"")</f>
        <v/>
      </c>
      <c r="C162" s="241" t="str">
        <f>IF(B162="","",VLOOKUP(B162,'RELACION VTAS - CHS'!F:H,3,FALSE))</f>
        <v/>
      </c>
      <c r="D162" s="56" t="str">
        <f>IF(B162="","",VLOOKUP(B162,'RELACION VTAS - CHS'!F:H,2,FALSE))</f>
        <v/>
      </c>
      <c r="E162" s="223">
        <f>IF(ISERROR(VLOOKUP($B162,'RELACION VTAS - CHS'!$F$7:$V$250,16,FALSE))=FALSE,VLOOKUP($B162,'RELACION VTAS - CHS'!$F$7:$V$250,16,FALSE),0)</f>
        <v>0</v>
      </c>
      <c r="F162" s="223">
        <f>SUMIF('REPORTE GASTOS'!C:C,COBRANZA!B162,'REPORTE GASTOS'!G:G)</f>
        <v>0</v>
      </c>
      <c r="G162" s="224">
        <f t="shared" si="8"/>
        <v>0</v>
      </c>
      <c r="H162" s="222">
        <f>IF(ISERROR(VLOOKUP($B162,'RELACION VTAS - CHS'!$F$7:$V$250,16,FALSE))=FALSE,VLOOKUP($B162,'RELACION VTAS - CHS'!$F$7:$V$250,17,FALSE),0)</f>
        <v>0</v>
      </c>
      <c r="I162" s="217">
        <f>SUMIF('REPORTE GASTOS'!C:C,COBRANZA!B162,'REPORTE GASTOS'!I:I)</f>
        <v>0</v>
      </c>
      <c r="J162" s="224">
        <f t="shared" si="9"/>
        <v>0</v>
      </c>
      <c r="K162" s="66"/>
    </row>
    <row r="163" spans="1:11" s="86" customFormat="1" hidden="1">
      <c r="A163" s="41">
        <v>144</v>
      </c>
      <c r="B163" s="77" t="str">
        <f>IF(ISERROR(VLOOKUP(A163,'RELACION VTAS - CHS'!D:F,3,FALSE))=FALSE,VLOOKUP(A163,'RELACION VTAS - CHS'!D:F,3,FALSE),"")</f>
        <v/>
      </c>
      <c r="C163" s="241" t="str">
        <f>IF(B163="","",VLOOKUP(B163,'RELACION VTAS - CHS'!F:H,3,FALSE))</f>
        <v/>
      </c>
      <c r="D163" s="56" t="str">
        <f>IF(B163="","",VLOOKUP(B163,'RELACION VTAS - CHS'!F:H,2,FALSE))</f>
        <v/>
      </c>
      <c r="E163" s="223">
        <f>IF(ISERROR(VLOOKUP($B163,'RELACION VTAS - CHS'!$F$7:$V$250,16,FALSE))=FALSE,VLOOKUP($B163,'RELACION VTAS - CHS'!$F$7:$V$250,16,FALSE),0)</f>
        <v>0</v>
      </c>
      <c r="F163" s="223">
        <f>SUMIF('REPORTE GASTOS'!C:C,COBRANZA!B163,'REPORTE GASTOS'!G:G)</f>
        <v>0</v>
      </c>
      <c r="G163" s="224">
        <f t="shared" si="8"/>
        <v>0</v>
      </c>
      <c r="H163" s="222">
        <f>IF(ISERROR(VLOOKUP($B163,'RELACION VTAS - CHS'!$F$7:$V$250,16,FALSE))=FALSE,VLOOKUP($B163,'RELACION VTAS - CHS'!$F$7:$V$250,17,FALSE),0)</f>
        <v>0</v>
      </c>
      <c r="I163" s="217">
        <f>SUMIF('REPORTE GASTOS'!C:C,COBRANZA!B163,'REPORTE GASTOS'!I:I)</f>
        <v>0</v>
      </c>
      <c r="J163" s="224">
        <f t="shared" si="9"/>
        <v>0</v>
      </c>
      <c r="K163" s="66"/>
    </row>
    <row r="164" spans="1:11" s="86" customFormat="1" hidden="1">
      <c r="A164" s="41">
        <v>145</v>
      </c>
      <c r="B164" s="77" t="str">
        <f>IF(ISERROR(VLOOKUP(A164,'RELACION VTAS - CHS'!D:F,3,FALSE))=FALSE,VLOOKUP(A164,'RELACION VTAS - CHS'!D:F,3,FALSE),"")</f>
        <v/>
      </c>
      <c r="C164" s="241" t="str">
        <f>IF(B164="","",VLOOKUP(B164,'RELACION VTAS - CHS'!F:H,3,FALSE))</f>
        <v/>
      </c>
      <c r="D164" s="56" t="str">
        <f>IF(B164="","",VLOOKUP(B164,'RELACION VTAS - CHS'!F:H,2,FALSE))</f>
        <v/>
      </c>
      <c r="E164" s="223">
        <f>IF(ISERROR(VLOOKUP($B164,'RELACION VTAS - CHS'!$F$7:$V$250,16,FALSE))=FALSE,VLOOKUP($B164,'RELACION VTAS - CHS'!$F$7:$V$250,16,FALSE),0)</f>
        <v>0</v>
      </c>
      <c r="F164" s="223">
        <f>SUMIF('REPORTE GASTOS'!C:C,COBRANZA!B164,'REPORTE GASTOS'!G:G)</f>
        <v>0</v>
      </c>
      <c r="G164" s="224">
        <f t="shared" si="8"/>
        <v>0</v>
      </c>
      <c r="H164" s="222">
        <f>IF(ISERROR(VLOOKUP($B164,'RELACION VTAS - CHS'!$F$7:$V$250,16,FALSE))=FALSE,VLOOKUP($B164,'RELACION VTAS - CHS'!$F$7:$V$250,17,FALSE),0)</f>
        <v>0</v>
      </c>
      <c r="I164" s="217">
        <f>SUMIF('REPORTE GASTOS'!C:C,COBRANZA!B164,'REPORTE GASTOS'!I:I)</f>
        <v>0</v>
      </c>
      <c r="J164" s="224">
        <f t="shared" si="9"/>
        <v>0</v>
      </c>
      <c r="K164" s="66"/>
    </row>
    <row r="165" spans="1:11" s="86" customFormat="1" hidden="1">
      <c r="A165" s="41">
        <v>146</v>
      </c>
      <c r="B165" s="77" t="str">
        <f>IF(ISERROR(VLOOKUP(A165,'RELACION VTAS - CHS'!D:F,3,FALSE))=FALSE,VLOOKUP(A165,'RELACION VTAS - CHS'!D:F,3,FALSE),"")</f>
        <v/>
      </c>
      <c r="C165" s="241" t="str">
        <f>IF(B165="","",VLOOKUP(B165,'RELACION VTAS - CHS'!F:H,3,FALSE))</f>
        <v/>
      </c>
      <c r="D165" s="56" t="str">
        <f>IF(B165="","",VLOOKUP(B165,'RELACION VTAS - CHS'!F:H,2,FALSE))</f>
        <v/>
      </c>
      <c r="E165" s="223">
        <f>IF(ISERROR(VLOOKUP($B165,'RELACION VTAS - CHS'!$F$7:$V$250,16,FALSE))=FALSE,VLOOKUP($B165,'RELACION VTAS - CHS'!$F$7:$V$250,16,FALSE),0)</f>
        <v>0</v>
      </c>
      <c r="F165" s="223">
        <f>SUMIF('REPORTE GASTOS'!C:C,COBRANZA!B165,'REPORTE GASTOS'!G:G)</f>
        <v>0</v>
      </c>
      <c r="G165" s="224">
        <f t="shared" si="8"/>
        <v>0</v>
      </c>
      <c r="H165" s="222">
        <f>IF(ISERROR(VLOOKUP($B165,'RELACION VTAS - CHS'!$F$7:$V$250,16,FALSE))=FALSE,VLOOKUP($B165,'RELACION VTAS - CHS'!$F$7:$V$250,17,FALSE),0)</f>
        <v>0</v>
      </c>
      <c r="I165" s="217">
        <f>SUMIF('REPORTE GASTOS'!C:C,COBRANZA!B165,'REPORTE GASTOS'!I:I)</f>
        <v>0</v>
      </c>
      <c r="J165" s="224">
        <f t="shared" si="9"/>
        <v>0</v>
      </c>
      <c r="K165" s="66"/>
    </row>
    <row r="166" spans="1:11" s="86" customFormat="1" hidden="1">
      <c r="A166" s="41">
        <v>147</v>
      </c>
      <c r="B166" s="77" t="str">
        <f>IF(ISERROR(VLOOKUP(A166,'RELACION VTAS - CHS'!D:F,3,FALSE))=FALSE,VLOOKUP(A166,'RELACION VTAS - CHS'!D:F,3,FALSE),"")</f>
        <v/>
      </c>
      <c r="C166" s="241" t="str">
        <f>IF(B166="","",VLOOKUP(B166,'RELACION VTAS - CHS'!F:H,3,FALSE))</f>
        <v/>
      </c>
      <c r="D166" s="56" t="str">
        <f>IF(B166="","",VLOOKUP(B166,'RELACION VTAS - CHS'!F:H,2,FALSE))</f>
        <v/>
      </c>
      <c r="E166" s="223">
        <f>IF(ISERROR(VLOOKUP($B166,'RELACION VTAS - CHS'!$F$7:$V$250,16,FALSE))=FALSE,VLOOKUP($B166,'RELACION VTAS - CHS'!$F$7:$V$250,16,FALSE),0)</f>
        <v>0</v>
      </c>
      <c r="F166" s="223">
        <f>SUMIF('REPORTE GASTOS'!C:C,COBRANZA!B166,'REPORTE GASTOS'!G:G)</f>
        <v>0</v>
      </c>
      <c r="G166" s="224">
        <f t="shared" si="8"/>
        <v>0</v>
      </c>
      <c r="H166" s="222">
        <f>IF(ISERROR(VLOOKUP($B166,'RELACION VTAS - CHS'!$F$7:$V$250,16,FALSE))=FALSE,VLOOKUP($B166,'RELACION VTAS - CHS'!$F$7:$V$250,17,FALSE),0)</f>
        <v>0</v>
      </c>
      <c r="I166" s="217">
        <f>SUMIF('REPORTE GASTOS'!C:C,COBRANZA!B166,'REPORTE GASTOS'!I:I)</f>
        <v>0</v>
      </c>
      <c r="J166" s="224">
        <f t="shared" si="9"/>
        <v>0</v>
      </c>
      <c r="K166" s="66"/>
    </row>
    <row r="167" spans="1:11" s="86" customFormat="1" hidden="1">
      <c r="A167" s="41">
        <v>148</v>
      </c>
      <c r="B167" s="77" t="str">
        <f>IF(ISERROR(VLOOKUP(A167,'RELACION VTAS - CHS'!D:F,3,FALSE))=FALSE,VLOOKUP(A167,'RELACION VTAS - CHS'!D:F,3,FALSE),"")</f>
        <v/>
      </c>
      <c r="C167" s="241" t="str">
        <f>IF(B167="","",VLOOKUP(B167,'RELACION VTAS - CHS'!F:H,3,FALSE))</f>
        <v/>
      </c>
      <c r="D167" s="56" t="str">
        <f>IF(B167="","",VLOOKUP(B167,'RELACION VTAS - CHS'!F:H,2,FALSE))</f>
        <v/>
      </c>
      <c r="E167" s="223">
        <f>IF(ISERROR(VLOOKUP($B167,'RELACION VTAS - CHS'!$F$7:$V$250,16,FALSE))=FALSE,VLOOKUP($B167,'RELACION VTAS - CHS'!$F$7:$V$250,16,FALSE),0)</f>
        <v>0</v>
      </c>
      <c r="F167" s="223">
        <f>SUMIF('REPORTE GASTOS'!C:C,COBRANZA!B167,'REPORTE GASTOS'!G:G)</f>
        <v>0</v>
      </c>
      <c r="G167" s="224">
        <f t="shared" si="8"/>
        <v>0</v>
      </c>
      <c r="H167" s="222">
        <f>IF(ISERROR(VLOOKUP($B167,'RELACION VTAS - CHS'!$F$7:$V$250,16,FALSE))=FALSE,VLOOKUP($B167,'RELACION VTAS - CHS'!$F$7:$V$250,17,FALSE),0)</f>
        <v>0</v>
      </c>
      <c r="I167" s="217">
        <f>SUMIF('REPORTE GASTOS'!C:C,COBRANZA!B167,'REPORTE GASTOS'!I:I)</f>
        <v>0</v>
      </c>
      <c r="J167" s="224">
        <f t="shared" si="9"/>
        <v>0</v>
      </c>
      <c r="K167" s="66"/>
    </row>
    <row r="168" spans="1:11" s="86" customFormat="1" hidden="1">
      <c r="A168" s="41">
        <v>149</v>
      </c>
      <c r="B168" s="77" t="str">
        <f>IF(ISERROR(VLOOKUP(A168,'RELACION VTAS - CHS'!D:F,3,FALSE))=FALSE,VLOOKUP(A168,'RELACION VTAS - CHS'!D:F,3,FALSE),"")</f>
        <v/>
      </c>
      <c r="C168" s="241" t="str">
        <f>IF(B168="","",VLOOKUP(B168,'RELACION VTAS - CHS'!F:H,3,FALSE))</f>
        <v/>
      </c>
      <c r="D168" s="56" t="str">
        <f>IF(B168="","",VLOOKUP(B168,'RELACION VTAS - CHS'!F:H,2,FALSE))</f>
        <v/>
      </c>
      <c r="E168" s="223">
        <f>IF(ISERROR(VLOOKUP($B168,'RELACION VTAS - CHS'!$F$7:$V$250,16,FALSE))=FALSE,VLOOKUP($B168,'RELACION VTAS - CHS'!$F$7:$V$250,16,FALSE),0)</f>
        <v>0</v>
      </c>
      <c r="F168" s="223">
        <f>SUMIF('REPORTE GASTOS'!C:C,COBRANZA!B168,'REPORTE GASTOS'!G:G)</f>
        <v>0</v>
      </c>
      <c r="G168" s="224">
        <f t="shared" si="8"/>
        <v>0</v>
      </c>
      <c r="H168" s="222">
        <f>IF(ISERROR(VLOOKUP($B168,'RELACION VTAS - CHS'!$F$7:$V$250,16,FALSE))=FALSE,VLOOKUP($B168,'RELACION VTAS - CHS'!$F$7:$V$250,17,FALSE),0)</f>
        <v>0</v>
      </c>
      <c r="I168" s="217">
        <f>SUMIF('REPORTE GASTOS'!C:C,COBRANZA!B168,'REPORTE GASTOS'!I:I)</f>
        <v>0</v>
      </c>
      <c r="J168" s="224">
        <f t="shared" si="9"/>
        <v>0</v>
      </c>
      <c r="K168" s="66"/>
    </row>
    <row r="169" spans="1:11" s="86" customFormat="1" hidden="1">
      <c r="A169" s="41">
        <v>150</v>
      </c>
      <c r="B169" s="77" t="str">
        <f>IF(ISERROR(VLOOKUP(A169,'RELACION VTAS - CHS'!D:F,3,FALSE))=FALSE,VLOOKUP(A169,'RELACION VTAS - CHS'!D:F,3,FALSE),"")</f>
        <v/>
      </c>
      <c r="C169" s="241" t="str">
        <f>IF(B169="","",VLOOKUP(B169,'RELACION VTAS - CHS'!F:H,3,FALSE))</f>
        <v/>
      </c>
      <c r="D169" s="56" t="str">
        <f>IF(B169="","",VLOOKUP(B169,'RELACION VTAS - CHS'!F:H,2,FALSE))</f>
        <v/>
      </c>
      <c r="E169" s="223">
        <f>IF(ISERROR(VLOOKUP($B169,'RELACION VTAS - CHS'!$F$7:$V$250,16,FALSE))=FALSE,VLOOKUP($B169,'RELACION VTAS - CHS'!$F$7:$V$250,16,FALSE),0)</f>
        <v>0</v>
      </c>
      <c r="F169" s="223">
        <f>SUMIF('REPORTE GASTOS'!C:C,COBRANZA!B169,'REPORTE GASTOS'!G:G)</f>
        <v>0</v>
      </c>
      <c r="G169" s="224">
        <f t="shared" si="8"/>
        <v>0</v>
      </c>
      <c r="H169" s="222">
        <f>IF(ISERROR(VLOOKUP($B169,'RELACION VTAS - CHS'!$F$7:$V$250,16,FALSE))=FALSE,VLOOKUP($B169,'RELACION VTAS - CHS'!$F$7:$V$250,17,FALSE),0)</f>
        <v>0</v>
      </c>
      <c r="I169" s="217">
        <f>SUMIF('REPORTE GASTOS'!C:C,COBRANZA!B169,'REPORTE GASTOS'!I:I)</f>
        <v>0</v>
      </c>
      <c r="J169" s="224">
        <f t="shared" si="9"/>
        <v>0</v>
      </c>
      <c r="K169" s="66"/>
    </row>
    <row r="170" spans="1:11" s="86" customFormat="1" hidden="1">
      <c r="A170" s="41">
        <v>151</v>
      </c>
      <c r="B170" s="77" t="str">
        <f>IF(ISERROR(VLOOKUP(A170,'RELACION VTAS - CHS'!D:F,3,FALSE))=FALSE,VLOOKUP(A170,'RELACION VTAS - CHS'!D:F,3,FALSE),"")</f>
        <v/>
      </c>
      <c r="C170" s="241" t="str">
        <f>IF(B170="","",VLOOKUP(B170,'RELACION VTAS - CHS'!F:H,3,FALSE))</f>
        <v/>
      </c>
      <c r="D170" s="56" t="str">
        <f>IF(B170="","",VLOOKUP(B170,'RELACION VTAS - CHS'!F:H,2,FALSE))</f>
        <v/>
      </c>
      <c r="E170" s="223">
        <f>IF(ISERROR(VLOOKUP($B170,'RELACION VTAS - CHS'!$F$7:$V$250,16,FALSE))=FALSE,VLOOKUP($B170,'RELACION VTAS - CHS'!$F$7:$V$250,16,FALSE),0)</f>
        <v>0</v>
      </c>
      <c r="F170" s="223">
        <f>SUMIF('REPORTE GASTOS'!C:C,COBRANZA!B170,'REPORTE GASTOS'!G:G)</f>
        <v>0</v>
      </c>
      <c r="G170" s="224">
        <f t="shared" si="8"/>
        <v>0</v>
      </c>
      <c r="H170" s="222">
        <f>IF(ISERROR(VLOOKUP($B170,'RELACION VTAS - CHS'!$F$7:$V$250,16,FALSE))=FALSE,VLOOKUP($B170,'RELACION VTAS - CHS'!$F$7:$V$250,17,FALSE),0)</f>
        <v>0</v>
      </c>
      <c r="I170" s="217">
        <f>SUMIF('REPORTE GASTOS'!C:C,COBRANZA!B170,'REPORTE GASTOS'!I:I)</f>
        <v>0</v>
      </c>
      <c r="J170" s="224">
        <f t="shared" si="9"/>
        <v>0</v>
      </c>
      <c r="K170" s="66"/>
    </row>
    <row r="171" spans="1:11" s="86" customFormat="1" hidden="1">
      <c r="A171" s="41">
        <v>152</v>
      </c>
      <c r="B171" s="77" t="str">
        <f>IF(ISERROR(VLOOKUP(A171,'RELACION VTAS - CHS'!D:F,3,FALSE))=FALSE,VLOOKUP(A171,'RELACION VTAS - CHS'!D:F,3,FALSE),"")</f>
        <v/>
      </c>
      <c r="C171" s="241" t="str">
        <f>IF(B171="","",VLOOKUP(B171,'RELACION VTAS - CHS'!F:H,3,FALSE))</f>
        <v/>
      </c>
      <c r="D171" s="56" t="str">
        <f>IF(B171="","",VLOOKUP(B171,'RELACION VTAS - CHS'!F:H,2,FALSE))</f>
        <v/>
      </c>
      <c r="E171" s="223">
        <f>IF(ISERROR(VLOOKUP($B171,'RELACION VTAS - CHS'!$F$7:$V$250,16,FALSE))=FALSE,VLOOKUP($B171,'RELACION VTAS - CHS'!$F$7:$V$250,16,FALSE),0)</f>
        <v>0</v>
      </c>
      <c r="F171" s="223">
        <f>SUMIF('REPORTE GASTOS'!C:C,COBRANZA!B171,'REPORTE GASTOS'!G:G)</f>
        <v>0</v>
      </c>
      <c r="G171" s="224">
        <f t="shared" si="8"/>
        <v>0</v>
      </c>
      <c r="H171" s="222">
        <f>IF(ISERROR(VLOOKUP($B171,'RELACION VTAS - CHS'!$F$7:$V$250,16,FALSE))=FALSE,VLOOKUP($B171,'RELACION VTAS - CHS'!$F$7:$V$250,17,FALSE),0)</f>
        <v>0</v>
      </c>
      <c r="I171" s="217">
        <f>SUMIF('REPORTE GASTOS'!C:C,COBRANZA!B171,'REPORTE GASTOS'!I:I)</f>
        <v>0</v>
      </c>
      <c r="J171" s="224">
        <f t="shared" si="9"/>
        <v>0</v>
      </c>
      <c r="K171" s="66"/>
    </row>
    <row r="172" spans="1:11" s="86" customFormat="1" hidden="1">
      <c r="A172" s="41">
        <v>153</v>
      </c>
      <c r="B172" s="77" t="str">
        <f>IF(ISERROR(VLOOKUP(A172,'RELACION VTAS - CHS'!D:F,3,FALSE))=FALSE,VLOOKUP(A172,'RELACION VTAS - CHS'!D:F,3,FALSE),"")</f>
        <v/>
      </c>
      <c r="C172" s="241" t="str">
        <f>IF(B172="","",VLOOKUP(B172,'RELACION VTAS - CHS'!F:H,3,FALSE))</f>
        <v/>
      </c>
      <c r="D172" s="56" t="str">
        <f>IF(B172="","",VLOOKUP(B172,'RELACION VTAS - CHS'!F:H,2,FALSE))</f>
        <v/>
      </c>
      <c r="E172" s="223">
        <f>IF(ISERROR(VLOOKUP($B172,'RELACION VTAS - CHS'!$F$7:$V$250,16,FALSE))=FALSE,VLOOKUP($B172,'RELACION VTAS - CHS'!$F$7:$V$250,16,FALSE),0)</f>
        <v>0</v>
      </c>
      <c r="F172" s="223">
        <f>SUMIF('REPORTE GASTOS'!C:C,COBRANZA!B172,'REPORTE GASTOS'!G:G)</f>
        <v>0</v>
      </c>
      <c r="G172" s="224">
        <f t="shared" si="8"/>
        <v>0</v>
      </c>
      <c r="H172" s="222">
        <f>IF(ISERROR(VLOOKUP($B172,'RELACION VTAS - CHS'!$F$7:$V$250,16,FALSE))=FALSE,VLOOKUP($B172,'RELACION VTAS - CHS'!$F$7:$V$250,17,FALSE),0)</f>
        <v>0</v>
      </c>
      <c r="I172" s="217">
        <f>SUMIF('REPORTE GASTOS'!C:C,COBRANZA!B172,'REPORTE GASTOS'!I:I)</f>
        <v>0</v>
      </c>
      <c r="J172" s="224">
        <f t="shared" si="9"/>
        <v>0</v>
      </c>
      <c r="K172" s="66"/>
    </row>
    <row r="173" spans="1:11" s="86" customFormat="1" hidden="1">
      <c r="A173" s="41">
        <v>154</v>
      </c>
      <c r="B173" s="77" t="str">
        <f>IF(ISERROR(VLOOKUP(A173,'RELACION VTAS - CHS'!D:F,3,FALSE))=FALSE,VLOOKUP(A173,'RELACION VTAS - CHS'!D:F,3,FALSE),"")</f>
        <v/>
      </c>
      <c r="C173" s="241" t="str">
        <f>IF(B173="","",VLOOKUP(B173,'RELACION VTAS - CHS'!F:H,3,FALSE))</f>
        <v/>
      </c>
      <c r="D173" s="56" t="str">
        <f>IF(B173="","",VLOOKUP(B173,'RELACION VTAS - CHS'!F:H,2,FALSE))</f>
        <v/>
      </c>
      <c r="E173" s="223">
        <f>IF(ISERROR(VLOOKUP($B173,'RELACION VTAS - CHS'!$F$7:$V$250,16,FALSE))=FALSE,VLOOKUP($B173,'RELACION VTAS - CHS'!$F$7:$V$250,16,FALSE),0)</f>
        <v>0</v>
      </c>
      <c r="F173" s="223">
        <f>SUMIF('REPORTE GASTOS'!C:C,COBRANZA!B173,'REPORTE GASTOS'!G:G)</f>
        <v>0</v>
      </c>
      <c r="G173" s="224">
        <f t="shared" si="8"/>
        <v>0</v>
      </c>
      <c r="H173" s="222">
        <f>IF(ISERROR(VLOOKUP($B173,'RELACION VTAS - CHS'!$F$7:$V$250,16,FALSE))=FALSE,VLOOKUP($B173,'RELACION VTAS - CHS'!$F$7:$V$250,17,FALSE),0)</f>
        <v>0</v>
      </c>
      <c r="I173" s="217">
        <f>SUMIF('REPORTE GASTOS'!C:C,COBRANZA!B173,'REPORTE GASTOS'!I:I)</f>
        <v>0</v>
      </c>
      <c r="J173" s="224">
        <f t="shared" si="9"/>
        <v>0</v>
      </c>
      <c r="K173" s="66"/>
    </row>
    <row r="174" spans="1:11" s="86" customFormat="1" hidden="1">
      <c r="A174" s="41">
        <v>155</v>
      </c>
      <c r="B174" s="77" t="str">
        <f>IF(ISERROR(VLOOKUP(A174,'RELACION VTAS - CHS'!D:F,3,FALSE))=FALSE,VLOOKUP(A174,'RELACION VTAS - CHS'!D:F,3,FALSE),"")</f>
        <v/>
      </c>
      <c r="C174" s="241" t="str">
        <f>IF(B174="","",VLOOKUP(B174,'RELACION VTAS - CHS'!F:H,3,FALSE))</f>
        <v/>
      </c>
      <c r="D174" s="56" t="str">
        <f>IF(B174="","",VLOOKUP(B174,'RELACION VTAS - CHS'!F:H,2,FALSE))</f>
        <v/>
      </c>
      <c r="E174" s="223">
        <f>IF(ISERROR(VLOOKUP($B174,'RELACION VTAS - CHS'!$F$7:$V$250,16,FALSE))=FALSE,VLOOKUP($B174,'RELACION VTAS - CHS'!$F$7:$V$250,16,FALSE),0)</f>
        <v>0</v>
      </c>
      <c r="F174" s="223">
        <f>SUMIF('REPORTE GASTOS'!C:C,COBRANZA!B174,'REPORTE GASTOS'!G:G)</f>
        <v>0</v>
      </c>
      <c r="G174" s="224">
        <f t="shared" si="8"/>
        <v>0</v>
      </c>
      <c r="H174" s="222">
        <f>IF(ISERROR(VLOOKUP($B174,'RELACION VTAS - CHS'!$F$7:$V$250,16,FALSE))=FALSE,VLOOKUP($B174,'RELACION VTAS - CHS'!$F$7:$V$250,17,FALSE),0)</f>
        <v>0</v>
      </c>
      <c r="I174" s="217">
        <f>SUMIF('REPORTE GASTOS'!C:C,COBRANZA!B174,'REPORTE GASTOS'!I:I)</f>
        <v>0</v>
      </c>
      <c r="J174" s="224">
        <f t="shared" si="9"/>
        <v>0</v>
      </c>
      <c r="K174" s="66"/>
    </row>
    <row r="175" spans="1:11" s="86" customFormat="1" hidden="1">
      <c r="A175" s="41">
        <v>156</v>
      </c>
      <c r="B175" s="77" t="str">
        <f>IF(ISERROR(VLOOKUP(A175,'RELACION VTAS - CHS'!D:F,3,FALSE))=FALSE,VLOOKUP(A175,'RELACION VTAS - CHS'!D:F,3,FALSE),"")</f>
        <v/>
      </c>
      <c r="C175" s="241" t="str">
        <f>IF(B175="","",VLOOKUP(B175,'RELACION VTAS - CHS'!F:H,3,FALSE))</f>
        <v/>
      </c>
      <c r="D175" s="56" t="str">
        <f>IF(B175="","",VLOOKUP(B175,'RELACION VTAS - CHS'!F:H,2,FALSE))</f>
        <v/>
      </c>
      <c r="E175" s="223">
        <f>IF(ISERROR(VLOOKUP($B175,'RELACION VTAS - CHS'!$F$7:$V$250,16,FALSE))=FALSE,VLOOKUP($B175,'RELACION VTAS - CHS'!$F$7:$V$250,16,FALSE),0)</f>
        <v>0</v>
      </c>
      <c r="F175" s="223">
        <f>SUMIF('REPORTE GASTOS'!C:C,COBRANZA!B175,'REPORTE GASTOS'!G:G)</f>
        <v>0</v>
      </c>
      <c r="G175" s="224">
        <f t="shared" si="8"/>
        <v>0</v>
      </c>
      <c r="H175" s="222">
        <f>IF(ISERROR(VLOOKUP($B175,'RELACION VTAS - CHS'!$F$7:$V$250,16,FALSE))=FALSE,VLOOKUP($B175,'RELACION VTAS - CHS'!$F$7:$V$250,17,FALSE),0)</f>
        <v>0</v>
      </c>
      <c r="I175" s="217">
        <f>SUMIF('REPORTE GASTOS'!C:C,COBRANZA!B175,'REPORTE GASTOS'!I:I)</f>
        <v>0</v>
      </c>
      <c r="J175" s="224">
        <f t="shared" si="9"/>
        <v>0</v>
      </c>
      <c r="K175" s="66"/>
    </row>
    <row r="176" spans="1:11" s="86" customFormat="1" hidden="1">
      <c r="A176" s="41">
        <v>157</v>
      </c>
      <c r="B176" s="77" t="str">
        <f>IF(ISERROR(VLOOKUP(A176,'RELACION VTAS - CHS'!D:F,3,FALSE))=FALSE,VLOOKUP(A176,'RELACION VTAS - CHS'!D:F,3,FALSE),"")</f>
        <v/>
      </c>
      <c r="C176" s="241" t="str">
        <f>IF(B176="","",VLOOKUP(B176,'RELACION VTAS - CHS'!F:H,3,FALSE))</f>
        <v/>
      </c>
      <c r="D176" s="56" t="str">
        <f>IF(B176="","",VLOOKUP(B176,'RELACION VTAS - CHS'!F:H,2,FALSE))</f>
        <v/>
      </c>
      <c r="E176" s="223">
        <f>IF(ISERROR(VLOOKUP($B176,'RELACION VTAS - CHS'!$F$7:$V$250,16,FALSE))=FALSE,VLOOKUP($B176,'RELACION VTAS - CHS'!$F$7:$V$250,16,FALSE),0)</f>
        <v>0</v>
      </c>
      <c r="F176" s="223">
        <f>SUMIF('REPORTE GASTOS'!C:C,COBRANZA!B176,'REPORTE GASTOS'!G:G)</f>
        <v>0</v>
      </c>
      <c r="G176" s="224">
        <f t="shared" si="8"/>
        <v>0</v>
      </c>
      <c r="H176" s="222">
        <f>IF(ISERROR(VLOOKUP($B176,'RELACION VTAS - CHS'!$F$7:$V$250,16,FALSE))=FALSE,VLOOKUP($B176,'RELACION VTAS - CHS'!$F$7:$V$250,17,FALSE),0)</f>
        <v>0</v>
      </c>
      <c r="I176" s="217">
        <f>SUMIF('REPORTE GASTOS'!C:C,COBRANZA!B176,'REPORTE GASTOS'!I:I)</f>
        <v>0</v>
      </c>
      <c r="J176" s="224">
        <f t="shared" si="9"/>
        <v>0</v>
      </c>
      <c r="K176" s="66"/>
    </row>
    <row r="177" spans="1:11" s="86" customFormat="1" hidden="1">
      <c r="A177" s="41">
        <v>158</v>
      </c>
      <c r="B177" s="77" t="str">
        <f>IF(ISERROR(VLOOKUP(A177,'RELACION VTAS - CHS'!D:F,3,FALSE))=FALSE,VLOOKUP(A177,'RELACION VTAS - CHS'!D:F,3,FALSE),"")</f>
        <v/>
      </c>
      <c r="C177" s="241" t="str">
        <f>IF(B177="","",VLOOKUP(B177,'RELACION VTAS - CHS'!F:H,3,FALSE))</f>
        <v/>
      </c>
      <c r="D177" s="56" t="str">
        <f>IF(B177="","",VLOOKUP(B177,'RELACION VTAS - CHS'!F:H,2,FALSE))</f>
        <v/>
      </c>
      <c r="E177" s="223">
        <f>IF(ISERROR(VLOOKUP($B177,'RELACION VTAS - CHS'!$F$7:$V$250,16,FALSE))=FALSE,VLOOKUP($B177,'RELACION VTAS - CHS'!$F$7:$V$250,16,FALSE),0)</f>
        <v>0</v>
      </c>
      <c r="F177" s="223">
        <f>SUMIF('REPORTE GASTOS'!C:C,COBRANZA!B177,'REPORTE GASTOS'!G:G)</f>
        <v>0</v>
      </c>
      <c r="G177" s="224">
        <f t="shared" si="8"/>
        <v>0</v>
      </c>
      <c r="H177" s="222">
        <f>IF(ISERROR(VLOOKUP($B177,'RELACION VTAS - CHS'!$F$7:$V$250,16,FALSE))=FALSE,VLOOKUP($B177,'RELACION VTAS - CHS'!$F$7:$V$250,17,FALSE),0)</f>
        <v>0</v>
      </c>
      <c r="I177" s="217">
        <f>SUMIF('REPORTE GASTOS'!C:C,COBRANZA!B177,'REPORTE GASTOS'!I:I)</f>
        <v>0</v>
      </c>
      <c r="J177" s="224">
        <f t="shared" si="9"/>
        <v>0</v>
      </c>
      <c r="K177" s="66"/>
    </row>
    <row r="178" spans="1:11" s="86" customFormat="1" hidden="1">
      <c r="A178" s="41">
        <v>159</v>
      </c>
      <c r="B178" s="77" t="str">
        <f>IF(ISERROR(VLOOKUP(A178,'RELACION VTAS - CHS'!D:F,3,FALSE))=FALSE,VLOOKUP(A178,'RELACION VTAS - CHS'!D:F,3,FALSE),"")</f>
        <v/>
      </c>
      <c r="C178" s="241" t="str">
        <f>IF(B178="","",VLOOKUP(B178,'RELACION VTAS - CHS'!F:H,3,FALSE))</f>
        <v/>
      </c>
      <c r="D178" s="56" t="str">
        <f>IF(B178="","",VLOOKUP(B178,'RELACION VTAS - CHS'!F:H,2,FALSE))</f>
        <v/>
      </c>
      <c r="E178" s="223">
        <f>IF(ISERROR(VLOOKUP($B178,'RELACION VTAS - CHS'!$F$7:$V$250,16,FALSE))=FALSE,VLOOKUP($B178,'RELACION VTAS - CHS'!$F$7:$V$250,16,FALSE),0)</f>
        <v>0</v>
      </c>
      <c r="F178" s="223">
        <f>SUMIF('REPORTE GASTOS'!C:C,COBRANZA!B178,'REPORTE GASTOS'!G:G)</f>
        <v>0</v>
      </c>
      <c r="G178" s="224">
        <f t="shared" si="8"/>
        <v>0</v>
      </c>
      <c r="H178" s="222">
        <f>IF(ISERROR(VLOOKUP($B178,'RELACION VTAS - CHS'!$F$7:$V$250,16,FALSE))=FALSE,VLOOKUP($B178,'RELACION VTAS - CHS'!$F$7:$V$250,17,FALSE),0)</f>
        <v>0</v>
      </c>
      <c r="I178" s="217">
        <f>SUMIF('REPORTE GASTOS'!C:C,COBRANZA!B178,'REPORTE GASTOS'!I:I)</f>
        <v>0</v>
      </c>
      <c r="J178" s="224">
        <f t="shared" si="9"/>
        <v>0</v>
      </c>
      <c r="K178" s="66"/>
    </row>
    <row r="179" spans="1:11" s="86" customFormat="1" hidden="1">
      <c r="A179" s="41">
        <v>160</v>
      </c>
      <c r="B179" s="77" t="str">
        <f>IF(ISERROR(VLOOKUP(A179,'RELACION VTAS - CHS'!D:F,3,FALSE))=FALSE,VLOOKUP(A179,'RELACION VTAS - CHS'!D:F,3,FALSE),"")</f>
        <v/>
      </c>
      <c r="C179" s="241" t="str">
        <f>IF(B179="","",VLOOKUP(B179,'RELACION VTAS - CHS'!F:H,3,FALSE))</f>
        <v/>
      </c>
      <c r="D179" s="56" t="str">
        <f>IF(B179="","",VLOOKUP(B179,'RELACION VTAS - CHS'!F:H,2,FALSE))</f>
        <v/>
      </c>
      <c r="E179" s="223">
        <f>IF(ISERROR(VLOOKUP($B179,'RELACION VTAS - CHS'!$F$7:$V$250,16,FALSE))=FALSE,VLOOKUP($B179,'RELACION VTAS - CHS'!$F$7:$V$250,16,FALSE),0)</f>
        <v>0</v>
      </c>
      <c r="F179" s="223">
        <f>SUMIF('REPORTE GASTOS'!C:C,COBRANZA!B179,'REPORTE GASTOS'!G:G)</f>
        <v>0</v>
      </c>
      <c r="G179" s="224">
        <f t="shared" si="8"/>
        <v>0</v>
      </c>
      <c r="H179" s="222">
        <f>IF(ISERROR(VLOOKUP($B179,'RELACION VTAS - CHS'!$F$7:$V$250,16,FALSE))=FALSE,VLOOKUP($B179,'RELACION VTAS - CHS'!$F$7:$V$250,17,FALSE),0)</f>
        <v>0</v>
      </c>
      <c r="I179" s="217">
        <f>SUMIF('REPORTE GASTOS'!C:C,COBRANZA!B179,'REPORTE GASTOS'!I:I)</f>
        <v>0</v>
      </c>
      <c r="J179" s="224">
        <f t="shared" si="9"/>
        <v>0</v>
      </c>
      <c r="K179" s="66"/>
    </row>
    <row r="180" spans="1:11" s="86" customFormat="1" hidden="1">
      <c r="A180" s="41">
        <v>161</v>
      </c>
      <c r="B180" s="77" t="str">
        <f>IF(ISERROR(VLOOKUP(A180,'RELACION VTAS - CHS'!D:F,3,FALSE))=FALSE,VLOOKUP(A180,'RELACION VTAS - CHS'!D:F,3,FALSE),"")</f>
        <v/>
      </c>
      <c r="C180" s="241" t="str">
        <f>IF(B180="","",VLOOKUP(B180,'RELACION VTAS - CHS'!F:H,3,FALSE))</f>
        <v/>
      </c>
      <c r="D180" s="56" t="str">
        <f>IF(B180="","",VLOOKUP(B180,'RELACION VTAS - CHS'!F:H,2,FALSE))</f>
        <v/>
      </c>
      <c r="E180" s="223">
        <f>IF(ISERROR(VLOOKUP($B180,'RELACION VTAS - CHS'!$F$7:$V$250,16,FALSE))=FALSE,VLOOKUP($B180,'RELACION VTAS - CHS'!$F$7:$V$250,16,FALSE),0)</f>
        <v>0</v>
      </c>
      <c r="F180" s="223">
        <f>SUMIF('REPORTE GASTOS'!C:C,COBRANZA!B180,'REPORTE GASTOS'!G:G)</f>
        <v>0</v>
      </c>
      <c r="G180" s="224">
        <f t="shared" si="8"/>
        <v>0</v>
      </c>
      <c r="H180" s="222">
        <f>IF(ISERROR(VLOOKUP($B180,'RELACION VTAS - CHS'!$F$7:$V$250,16,FALSE))=FALSE,VLOOKUP($B180,'RELACION VTAS - CHS'!$F$7:$V$250,17,FALSE),0)</f>
        <v>0</v>
      </c>
      <c r="I180" s="217">
        <f>SUMIF('REPORTE GASTOS'!C:C,COBRANZA!B180,'REPORTE GASTOS'!I:I)</f>
        <v>0</v>
      </c>
      <c r="J180" s="224">
        <f t="shared" si="9"/>
        <v>0</v>
      </c>
      <c r="K180" s="66"/>
    </row>
    <row r="181" spans="1:11" s="86" customFormat="1" hidden="1">
      <c r="A181" s="41">
        <v>162</v>
      </c>
      <c r="B181" s="77" t="str">
        <f>IF(ISERROR(VLOOKUP(A181,'RELACION VTAS - CHS'!D:F,3,FALSE))=FALSE,VLOOKUP(A181,'RELACION VTAS - CHS'!D:F,3,FALSE),"")</f>
        <v/>
      </c>
      <c r="C181" s="241" t="str">
        <f>IF(B181="","",VLOOKUP(B181,'RELACION VTAS - CHS'!F:H,3,FALSE))</f>
        <v/>
      </c>
      <c r="D181" s="56" t="str">
        <f>IF(B181="","",VLOOKUP(B181,'RELACION VTAS - CHS'!F:H,2,FALSE))</f>
        <v/>
      </c>
      <c r="E181" s="223">
        <f>IF(ISERROR(VLOOKUP($B181,'RELACION VTAS - CHS'!$F$7:$V$250,16,FALSE))=FALSE,VLOOKUP($B181,'RELACION VTAS - CHS'!$F$7:$V$250,16,FALSE),0)</f>
        <v>0</v>
      </c>
      <c r="F181" s="223">
        <f>SUMIF('REPORTE GASTOS'!C:C,COBRANZA!B181,'REPORTE GASTOS'!G:G)</f>
        <v>0</v>
      </c>
      <c r="G181" s="224">
        <f t="shared" si="8"/>
        <v>0</v>
      </c>
      <c r="H181" s="222">
        <f>IF(ISERROR(VLOOKUP($B181,'RELACION VTAS - CHS'!$F$7:$V$250,16,FALSE))=FALSE,VLOOKUP($B181,'RELACION VTAS - CHS'!$F$7:$V$250,17,FALSE),0)</f>
        <v>0</v>
      </c>
      <c r="I181" s="217">
        <f>SUMIF('REPORTE GASTOS'!C:C,COBRANZA!B181,'REPORTE GASTOS'!I:I)</f>
        <v>0</v>
      </c>
      <c r="J181" s="224">
        <f t="shared" si="9"/>
        <v>0</v>
      </c>
      <c r="K181" s="66"/>
    </row>
    <row r="182" spans="1:11" s="86" customFormat="1" hidden="1">
      <c r="A182" s="41">
        <v>163</v>
      </c>
      <c r="B182" s="77" t="str">
        <f>IF(ISERROR(VLOOKUP(A182,'RELACION VTAS - CHS'!D:F,3,FALSE))=FALSE,VLOOKUP(A182,'RELACION VTAS - CHS'!D:F,3,FALSE),"")</f>
        <v/>
      </c>
      <c r="C182" s="241" t="str">
        <f>IF(B182="","",VLOOKUP(B182,'RELACION VTAS - CHS'!F:H,3,FALSE))</f>
        <v/>
      </c>
      <c r="D182" s="56" t="str">
        <f>IF(B182="","",VLOOKUP(B182,'RELACION VTAS - CHS'!F:H,2,FALSE))</f>
        <v/>
      </c>
      <c r="E182" s="223">
        <f>IF(ISERROR(VLOOKUP($B182,'RELACION VTAS - CHS'!$F$7:$V$250,16,FALSE))=FALSE,VLOOKUP($B182,'RELACION VTAS - CHS'!$F$7:$V$250,16,FALSE),0)</f>
        <v>0</v>
      </c>
      <c r="F182" s="223">
        <f>SUMIF('REPORTE GASTOS'!C:C,COBRANZA!B182,'REPORTE GASTOS'!G:G)</f>
        <v>0</v>
      </c>
      <c r="G182" s="224">
        <f t="shared" si="8"/>
        <v>0</v>
      </c>
      <c r="H182" s="222">
        <f>IF(ISERROR(VLOOKUP($B182,'RELACION VTAS - CHS'!$F$7:$V$250,16,FALSE))=FALSE,VLOOKUP($B182,'RELACION VTAS - CHS'!$F$7:$V$250,17,FALSE),0)</f>
        <v>0</v>
      </c>
      <c r="I182" s="217">
        <f>SUMIF('REPORTE GASTOS'!C:C,COBRANZA!B182,'REPORTE GASTOS'!I:I)</f>
        <v>0</v>
      </c>
      <c r="J182" s="224">
        <f t="shared" si="9"/>
        <v>0</v>
      </c>
      <c r="K182" s="66"/>
    </row>
    <row r="183" spans="1:11" s="86" customFormat="1" hidden="1">
      <c r="A183" s="41">
        <v>164</v>
      </c>
      <c r="B183" s="77" t="str">
        <f>IF(ISERROR(VLOOKUP(A183,'RELACION VTAS - CHS'!D:F,3,FALSE))=FALSE,VLOOKUP(A183,'RELACION VTAS - CHS'!D:F,3,FALSE),"")</f>
        <v/>
      </c>
      <c r="C183" s="241" t="str">
        <f>IF(B183="","",VLOOKUP(B183,'RELACION VTAS - CHS'!F:H,3,FALSE))</f>
        <v/>
      </c>
      <c r="D183" s="56" t="str">
        <f>IF(B183="","",VLOOKUP(B183,'RELACION VTAS - CHS'!F:H,2,FALSE))</f>
        <v/>
      </c>
      <c r="E183" s="223">
        <f>IF(ISERROR(VLOOKUP($B183,'RELACION VTAS - CHS'!$F$7:$V$250,16,FALSE))=FALSE,VLOOKUP($B183,'RELACION VTAS - CHS'!$F$7:$V$250,16,FALSE),0)</f>
        <v>0</v>
      </c>
      <c r="F183" s="223">
        <f>SUMIF('REPORTE GASTOS'!C:C,COBRANZA!B183,'REPORTE GASTOS'!G:G)</f>
        <v>0</v>
      </c>
      <c r="G183" s="224">
        <f t="shared" si="8"/>
        <v>0</v>
      </c>
      <c r="H183" s="222">
        <f>IF(ISERROR(VLOOKUP($B183,'RELACION VTAS - CHS'!$F$7:$V$250,16,FALSE))=FALSE,VLOOKUP($B183,'RELACION VTAS - CHS'!$F$7:$V$250,17,FALSE),0)</f>
        <v>0</v>
      </c>
      <c r="I183" s="217">
        <f>SUMIF('REPORTE GASTOS'!C:C,COBRANZA!B183,'REPORTE GASTOS'!I:I)</f>
        <v>0</v>
      </c>
      <c r="J183" s="224">
        <f t="shared" si="9"/>
        <v>0</v>
      </c>
      <c r="K183" s="66"/>
    </row>
    <row r="184" spans="1:11" s="86" customFormat="1" hidden="1">
      <c r="A184" s="41">
        <v>165</v>
      </c>
      <c r="B184" s="77" t="str">
        <f>IF(ISERROR(VLOOKUP(A184,'RELACION VTAS - CHS'!D:F,3,FALSE))=FALSE,VLOOKUP(A184,'RELACION VTAS - CHS'!D:F,3,FALSE),"")</f>
        <v/>
      </c>
      <c r="C184" s="241" t="str">
        <f>IF(B184="","",VLOOKUP(B184,'RELACION VTAS - CHS'!F:H,3,FALSE))</f>
        <v/>
      </c>
      <c r="D184" s="56" t="str">
        <f>IF(B184="","",VLOOKUP(B184,'RELACION VTAS - CHS'!F:H,2,FALSE))</f>
        <v/>
      </c>
      <c r="E184" s="223">
        <f>IF(ISERROR(VLOOKUP($B184,'RELACION VTAS - CHS'!$F$7:$V$250,16,FALSE))=FALSE,VLOOKUP($B184,'RELACION VTAS - CHS'!$F$7:$V$250,16,FALSE),0)</f>
        <v>0</v>
      </c>
      <c r="F184" s="223">
        <f>SUMIF('REPORTE GASTOS'!C:C,COBRANZA!B184,'REPORTE GASTOS'!G:G)</f>
        <v>0</v>
      </c>
      <c r="G184" s="224">
        <f t="shared" si="8"/>
        <v>0</v>
      </c>
      <c r="H184" s="222">
        <f>IF(ISERROR(VLOOKUP($B184,'RELACION VTAS - CHS'!$F$7:$V$250,16,FALSE))=FALSE,VLOOKUP($B184,'RELACION VTAS - CHS'!$F$7:$V$250,17,FALSE),0)</f>
        <v>0</v>
      </c>
      <c r="I184" s="217">
        <f>SUMIF('REPORTE GASTOS'!C:C,COBRANZA!B184,'REPORTE GASTOS'!I:I)</f>
        <v>0</v>
      </c>
      <c r="J184" s="224">
        <f t="shared" si="9"/>
        <v>0</v>
      </c>
      <c r="K184" s="66"/>
    </row>
    <row r="185" spans="1:11" s="86" customFormat="1" hidden="1">
      <c r="A185" s="41">
        <v>166</v>
      </c>
      <c r="B185" s="77" t="str">
        <f>IF(ISERROR(VLOOKUP(A185,'RELACION VTAS - CHS'!D:F,3,FALSE))=FALSE,VLOOKUP(A185,'RELACION VTAS - CHS'!D:F,3,FALSE),"")</f>
        <v/>
      </c>
      <c r="C185" s="241" t="str">
        <f>IF(B185="","",VLOOKUP(B185,'RELACION VTAS - CHS'!F:H,3,FALSE))</f>
        <v/>
      </c>
      <c r="D185" s="56" t="str">
        <f>IF(B185="","",VLOOKUP(B185,'RELACION VTAS - CHS'!F:H,2,FALSE))</f>
        <v/>
      </c>
      <c r="E185" s="223">
        <f>IF(ISERROR(VLOOKUP($B185,'RELACION VTAS - CHS'!$F$7:$V$250,16,FALSE))=FALSE,VLOOKUP($B185,'RELACION VTAS - CHS'!$F$7:$V$250,16,FALSE),0)</f>
        <v>0</v>
      </c>
      <c r="F185" s="223">
        <f>SUMIF('REPORTE GASTOS'!C:C,COBRANZA!B185,'REPORTE GASTOS'!G:G)</f>
        <v>0</v>
      </c>
      <c r="G185" s="224">
        <f t="shared" si="8"/>
        <v>0</v>
      </c>
      <c r="H185" s="222">
        <f>IF(ISERROR(VLOOKUP($B185,'RELACION VTAS - CHS'!$F$7:$V$250,16,FALSE))=FALSE,VLOOKUP($B185,'RELACION VTAS - CHS'!$F$7:$V$250,17,FALSE),0)</f>
        <v>0</v>
      </c>
      <c r="I185" s="217">
        <f>SUMIF('REPORTE GASTOS'!C:C,COBRANZA!B185,'REPORTE GASTOS'!I:I)</f>
        <v>0</v>
      </c>
      <c r="J185" s="224">
        <f t="shared" si="9"/>
        <v>0</v>
      </c>
      <c r="K185" s="66"/>
    </row>
    <row r="186" spans="1:11" s="86" customFormat="1" hidden="1">
      <c r="A186" s="41">
        <v>167</v>
      </c>
      <c r="B186" s="77" t="str">
        <f>IF(ISERROR(VLOOKUP(A186,'RELACION VTAS - CHS'!D:F,3,FALSE))=FALSE,VLOOKUP(A186,'RELACION VTAS - CHS'!D:F,3,FALSE),"")</f>
        <v/>
      </c>
      <c r="C186" s="241" t="str">
        <f>IF(B186="","",VLOOKUP(B186,'RELACION VTAS - CHS'!F:H,3,FALSE))</f>
        <v/>
      </c>
      <c r="D186" s="56" t="str">
        <f>IF(B186="","",VLOOKUP(B186,'RELACION VTAS - CHS'!F:H,2,FALSE))</f>
        <v/>
      </c>
      <c r="E186" s="223">
        <f>IF(ISERROR(VLOOKUP($B186,'RELACION VTAS - CHS'!$F$7:$V$250,16,FALSE))=FALSE,VLOOKUP($B186,'RELACION VTAS - CHS'!$F$7:$V$250,16,FALSE),0)</f>
        <v>0</v>
      </c>
      <c r="F186" s="223">
        <f>SUMIF('REPORTE GASTOS'!C:C,COBRANZA!B186,'REPORTE GASTOS'!G:G)</f>
        <v>0</v>
      </c>
      <c r="G186" s="224">
        <f t="shared" si="8"/>
        <v>0</v>
      </c>
      <c r="H186" s="222">
        <f>IF(ISERROR(VLOOKUP($B186,'RELACION VTAS - CHS'!$F$7:$V$250,16,FALSE))=FALSE,VLOOKUP($B186,'RELACION VTAS - CHS'!$F$7:$V$250,17,FALSE),0)</f>
        <v>0</v>
      </c>
      <c r="I186" s="217">
        <f>SUMIF('REPORTE GASTOS'!C:C,COBRANZA!B186,'REPORTE GASTOS'!I:I)</f>
        <v>0</v>
      </c>
      <c r="J186" s="224">
        <f t="shared" si="9"/>
        <v>0</v>
      </c>
      <c r="K186" s="66"/>
    </row>
    <row r="187" spans="1:11" s="86" customFormat="1" hidden="1">
      <c r="A187" s="41">
        <v>168</v>
      </c>
      <c r="B187" s="77" t="str">
        <f>IF(ISERROR(VLOOKUP(A187,'RELACION VTAS - CHS'!D:F,3,FALSE))=FALSE,VLOOKUP(A187,'RELACION VTAS - CHS'!D:F,3,FALSE),"")</f>
        <v/>
      </c>
      <c r="C187" s="241" t="str">
        <f>IF(B187="","",VLOOKUP(B187,'RELACION VTAS - CHS'!F:H,3,FALSE))</f>
        <v/>
      </c>
      <c r="D187" s="56" t="str">
        <f>IF(B187="","",VLOOKUP(B187,'RELACION VTAS - CHS'!F:H,2,FALSE))</f>
        <v/>
      </c>
      <c r="E187" s="223">
        <f>IF(ISERROR(VLOOKUP($B187,'RELACION VTAS - CHS'!$F$7:$V$250,16,FALSE))=FALSE,VLOOKUP($B187,'RELACION VTAS - CHS'!$F$7:$V$250,16,FALSE),0)</f>
        <v>0</v>
      </c>
      <c r="F187" s="223">
        <f>SUMIF('REPORTE GASTOS'!C:C,COBRANZA!B187,'REPORTE GASTOS'!G:G)</f>
        <v>0</v>
      </c>
      <c r="G187" s="224">
        <f t="shared" si="8"/>
        <v>0</v>
      </c>
      <c r="H187" s="222">
        <f>IF(ISERROR(VLOOKUP($B187,'RELACION VTAS - CHS'!$F$7:$V$250,16,FALSE))=FALSE,VLOOKUP($B187,'RELACION VTAS - CHS'!$F$7:$V$250,17,FALSE),0)</f>
        <v>0</v>
      </c>
      <c r="I187" s="217">
        <f>SUMIF('REPORTE GASTOS'!C:C,COBRANZA!B187,'REPORTE GASTOS'!I:I)</f>
        <v>0</v>
      </c>
      <c r="J187" s="224">
        <f t="shared" si="9"/>
        <v>0</v>
      </c>
      <c r="K187" s="66"/>
    </row>
    <row r="188" spans="1:11" s="86" customFormat="1" hidden="1">
      <c r="A188" s="41">
        <v>169</v>
      </c>
      <c r="B188" s="77" t="str">
        <f>IF(ISERROR(VLOOKUP(A188,'RELACION VTAS - CHS'!D:F,3,FALSE))=FALSE,VLOOKUP(A188,'RELACION VTAS - CHS'!D:F,3,FALSE),"")</f>
        <v/>
      </c>
      <c r="C188" s="241" t="str">
        <f>IF(B188="","",VLOOKUP(B188,'RELACION VTAS - CHS'!F:H,3,FALSE))</f>
        <v/>
      </c>
      <c r="D188" s="56" t="str">
        <f>IF(B188="","",VLOOKUP(B188,'RELACION VTAS - CHS'!F:H,2,FALSE))</f>
        <v/>
      </c>
      <c r="E188" s="223">
        <f>IF(ISERROR(VLOOKUP($B188,'RELACION VTAS - CHS'!$F$7:$V$250,16,FALSE))=FALSE,VLOOKUP($B188,'RELACION VTAS - CHS'!$F$7:$V$250,16,FALSE),0)</f>
        <v>0</v>
      </c>
      <c r="F188" s="223">
        <f>SUMIF('REPORTE GASTOS'!C:C,COBRANZA!B188,'REPORTE GASTOS'!G:G)</f>
        <v>0</v>
      </c>
      <c r="G188" s="224">
        <f t="shared" si="8"/>
        <v>0</v>
      </c>
      <c r="H188" s="222">
        <f>IF(ISERROR(VLOOKUP($B188,'RELACION VTAS - CHS'!$F$7:$V$250,16,FALSE))=FALSE,VLOOKUP($B188,'RELACION VTAS - CHS'!$F$7:$V$250,17,FALSE),0)</f>
        <v>0</v>
      </c>
      <c r="I188" s="217">
        <f>SUMIF('REPORTE GASTOS'!C:C,COBRANZA!B188,'REPORTE GASTOS'!I:I)</f>
        <v>0</v>
      </c>
      <c r="J188" s="224">
        <f t="shared" si="9"/>
        <v>0</v>
      </c>
      <c r="K188" s="66"/>
    </row>
    <row r="189" spans="1:11" s="86" customFormat="1" hidden="1">
      <c r="A189" s="41">
        <v>170</v>
      </c>
      <c r="B189" s="77" t="str">
        <f>IF(ISERROR(VLOOKUP(A189,'RELACION VTAS - CHS'!D:F,3,FALSE))=FALSE,VLOOKUP(A189,'RELACION VTAS - CHS'!D:F,3,FALSE),"")</f>
        <v/>
      </c>
      <c r="C189" s="241" t="str">
        <f>IF(B189="","",VLOOKUP(B189,'RELACION VTAS - CHS'!F:H,3,FALSE))</f>
        <v/>
      </c>
      <c r="D189" s="56" t="str">
        <f>IF(B189="","",VLOOKUP(B189,'RELACION VTAS - CHS'!F:H,2,FALSE))</f>
        <v/>
      </c>
      <c r="E189" s="223">
        <f>IF(ISERROR(VLOOKUP($B189,'RELACION VTAS - CHS'!$F$7:$V$250,16,FALSE))=FALSE,VLOOKUP($B189,'RELACION VTAS - CHS'!$F$7:$V$250,16,FALSE),0)</f>
        <v>0</v>
      </c>
      <c r="F189" s="223">
        <f>SUMIF('REPORTE GASTOS'!C:C,COBRANZA!B189,'REPORTE GASTOS'!G:G)</f>
        <v>0</v>
      </c>
      <c r="G189" s="224">
        <f t="shared" si="8"/>
        <v>0</v>
      </c>
      <c r="H189" s="222">
        <f>IF(ISERROR(VLOOKUP($B189,'RELACION VTAS - CHS'!$F$7:$V$250,16,FALSE))=FALSE,VLOOKUP($B189,'RELACION VTAS - CHS'!$F$7:$V$250,17,FALSE),0)</f>
        <v>0</v>
      </c>
      <c r="I189" s="217">
        <f>SUMIF('REPORTE GASTOS'!C:C,COBRANZA!B189,'REPORTE GASTOS'!I:I)</f>
        <v>0</v>
      </c>
      <c r="J189" s="224">
        <f t="shared" si="9"/>
        <v>0</v>
      </c>
      <c r="K189" s="66"/>
    </row>
    <row r="190" spans="1:11" s="86" customFormat="1" hidden="1">
      <c r="A190" s="41">
        <v>171</v>
      </c>
      <c r="B190" s="77" t="str">
        <f>IF(ISERROR(VLOOKUP(A190,'RELACION VTAS - CHS'!D:F,3,FALSE))=FALSE,VLOOKUP(A190,'RELACION VTAS - CHS'!D:F,3,FALSE),"")</f>
        <v/>
      </c>
      <c r="C190" s="241" t="str">
        <f>IF(B190="","",VLOOKUP(B190,'RELACION VTAS - CHS'!F:H,3,FALSE))</f>
        <v/>
      </c>
      <c r="D190" s="56" t="str">
        <f>IF(B190="","",VLOOKUP(B190,'RELACION VTAS - CHS'!F:H,2,FALSE))</f>
        <v/>
      </c>
      <c r="E190" s="223">
        <f>IF(ISERROR(VLOOKUP($B190,'RELACION VTAS - CHS'!$F$7:$V$250,16,FALSE))=FALSE,VLOOKUP($B190,'RELACION VTAS - CHS'!$F$7:$V$250,16,FALSE),0)</f>
        <v>0</v>
      </c>
      <c r="F190" s="223">
        <f>SUMIF('REPORTE GASTOS'!C:C,COBRANZA!B190,'REPORTE GASTOS'!G:G)</f>
        <v>0</v>
      </c>
      <c r="G190" s="224">
        <f t="shared" si="8"/>
        <v>0</v>
      </c>
      <c r="H190" s="222">
        <f>IF(ISERROR(VLOOKUP($B190,'RELACION VTAS - CHS'!$F$7:$V$250,16,FALSE))=FALSE,VLOOKUP($B190,'RELACION VTAS - CHS'!$F$7:$V$250,17,FALSE),0)</f>
        <v>0</v>
      </c>
      <c r="I190" s="217">
        <f>SUMIF('REPORTE GASTOS'!C:C,COBRANZA!B190,'REPORTE GASTOS'!I:I)</f>
        <v>0</v>
      </c>
      <c r="J190" s="224">
        <f t="shared" si="9"/>
        <v>0</v>
      </c>
      <c r="K190" s="66"/>
    </row>
    <row r="191" spans="1:11" s="86" customFormat="1" hidden="1">
      <c r="A191" s="41">
        <v>172</v>
      </c>
      <c r="B191" s="77" t="str">
        <f>IF(ISERROR(VLOOKUP(A191,'RELACION VTAS - CHS'!D:F,3,FALSE))=FALSE,VLOOKUP(A191,'RELACION VTAS - CHS'!D:F,3,FALSE),"")</f>
        <v/>
      </c>
      <c r="C191" s="241" t="str">
        <f>IF(B191="","",VLOOKUP(B191,'RELACION VTAS - CHS'!F:H,3,FALSE))</f>
        <v/>
      </c>
      <c r="D191" s="56" t="str">
        <f>IF(B191="","",VLOOKUP(B191,'RELACION VTAS - CHS'!F:H,2,FALSE))</f>
        <v/>
      </c>
      <c r="E191" s="223">
        <f>IF(ISERROR(VLOOKUP($B191,'RELACION VTAS - CHS'!$F$7:$V$250,16,FALSE))=FALSE,VLOOKUP($B191,'RELACION VTAS - CHS'!$F$7:$V$250,16,FALSE),0)</f>
        <v>0</v>
      </c>
      <c r="F191" s="223">
        <f>SUMIF('REPORTE GASTOS'!C:C,COBRANZA!B191,'REPORTE GASTOS'!G:G)</f>
        <v>0</v>
      </c>
      <c r="G191" s="224">
        <f t="shared" si="8"/>
        <v>0</v>
      </c>
      <c r="H191" s="222">
        <f>IF(ISERROR(VLOOKUP($B191,'RELACION VTAS - CHS'!$F$7:$V$250,16,FALSE))=FALSE,VLOOKUP($B191,'RELACION VTAS - CHS'!$F$7:$V$250,17,FALSE),0)</f>
        <v>0</v>
      </c>
      <c r="I191" s="217">
        <f>SUMIF('REPORTE GASTOS'!C:C,COBRANZA!B191,'REPORTE GASTOS'!I:I)</f>
        <v>0</v>
      </c>
      <c r="J191" s="224">
        <f t="shared" si="9"/>
        <v>0</v>
      </c>
      <c r="K191" s="66"/>
    </row>
    <row r="192" spans="1:11" s="86" customFormat="1" hidden="1">
      <c r="A192" s="41">
        <v>173</v>
      </c>
      <c r="B192" s="77" t="str">
        <f>IF(ISERROR(VLOOKUP(A192,'RELACION VTAS - CHS'!D:F,3,FALSE))=FALSE,VLOOKUP(A192,'RELACION VTAS - CHS'!D:F,3,FALSE),"")</f>
        <v/>
      </c>
      <c r="C192" s="241" t="str">
        <f>IF(B192="","",VLOOKUP(B192,'RELACION VTAS - CHS'!F:H,3,FALSE))</f>
        <v/>
      </c>
      <c r="D192" s="56" t="str">
        <f>IF(B192="","",VLOOKUP(B192,'RELACION VTAS - CHS'!F:H,2,FALSE))</f>
        <v/>
      </c>
      <c r="E192" s="223">
        <f>IF(ISERROR(VLOOKUP($B192,'RELACION VTAS - CHS'!$F$7:$V$250,16,FALSE))=FALSE,VLOOKUP($B192,'RELACION VTAS - CHS'!$F$7:$V$250,16,FALSE),0)</f>
        <v>0</v>
      </c>
      <c r="F192" s="223">
        <f>SUMIF('REPORTE GASTOS'!C:C,COBRANZA!B192,'REPORTE GASTOS'!G:G)</f>
        <v>0</v>
      </c>
      <c r="G192" s="224">
        <f t="shared" si="8"/>
        <v>0</v>
      </c>
      <c r="H192" s="222">
        <f>IF(ISERROR(VLOOKUP($B192,'RELACION VTAS - CHS'!$F$7:$V$250,16,FALSE))=FALSE,VLOOKUP($B192,'RELACION VTAS - CHS'!$F$7:$V$250,17,FALSE),0)</f>
        <v>0</v>
      </c>
      <c r="I192" s="217">
        <f>SUMIF('REPORTE GASTOS'!C:C,COBRANZA!B192,'REPORTE GASTOS'!I:I)</f>
        <v>0</v>
      </c>
      <c r="J192" s="224">
        <f t="shared" si="9"/>
        <v>0</v>
      </c>
      <c r="K192" s="66"/>
    </row>
    <row r="193" spans="1:11" s="86" customFormat="1" hidden="1">
      <c r="A193" s="41">
        <v>174</v>
      </c>
      <c r="B193" s="77" t="str">
        <f>IF(ISERROR(VLOOKUP(A193,'RELACION VTAS - CHS'!D:F,3,FALSE))=FALSE,VLOOKUP(A193,'RELACION VTAS - CHS'!D:F,3,FALSE),"")</f>
        <v/>
      </c>
      <c r="C193" s="241" t="str">
        <f>IF(B193="","",VLOOKUP(B193,'RELACION VTAS - CHS'!F:H,3,FALSE))</f>
        <v/>
      </c>
      <c r="D193" s="56" t="str">
        <f>IF(B193="","",VLOOKUP(B193,'RELACION VTAS - CHS'!F:H,2,FALSE))</f>
        <v/>
      </c>
      <c r="E193" s="223">
        <f>IF(ISERROR(VLOOKUP($B193,'RELACION VTAS - CHS'!$F$7:$V$250,16,FALSE))=FALSE,VLOOKUP($B193,'RELACION VTAS - CHS'!$F$7:$V$250,16,FALSE),0)</f>
        <v>0</v>
      </c>
      <c r="F193" s="223">
        <f>SUMIF('REPORTE GASTOS'!C:C,COBRANZA!B193,'REPORTE GASTOS'!G:G)</f>
        <v>0</v>
      </c>
      <c r="G193" s="224">
        <f t="shared" si="8"/>
        <v>0</v>
      </c>
      <c r="H193" s="222">
        <f>IF(ISERROR(VLOOKUP($B193,'RELACION VTAS - CHS'!$F$7:$V$250,16,FALSE))=FALSE,VLOOKUP($B193,'RELACION VTAS - CHS'!$F$7:$V$250,17,FALSE),0)</f>
        <v>0</v>
      </c>
      <c r="I193" s="217">
        <f>SUMIF('REPORTE GASTOS'!C:C,COBRANZA!B193,'REPORTE GASTOS'!I:I)</f>
        <v>0</v>
      </c>
      <c r="J193" s="224">
        <f t="shared" si="9"/>
        <v>0</v>
      </c>
      <c r="K193" s="66"/>
    </row>
    <row r="194" spans="1:11" s="86" customFormat="1" hidden="1">
      <c r="A194" s="41">
        <v>175</v>
      </c>
      <c r="B194" s="77" t="str">
        <f>IF(ISERROR(VLOOKUP(A194,'RELACION VTAS - CHS'!D:F,3,FALSE))=FALSE,VLOOKUP(A194,'RELACION VTAS - CHS'!D:F,3,FALSE),"")</f>
        <v/>
      </c>
      <c r="C194" s="241" t="str">
        <f>IF(B194="","",VLOOKUP(B194,'RELACION VTAS - CHS'!F:H,3,FALSE))</f>
        <v/>
      </c>
      <c r="D194" s="56" t="str">
        <f>IF(B194="","",VLOOKUP(B194,'RELACION VTAS - CHS'!F:H,2,FALSE))</f>
        <v/>
      </c>
      <c r="E194" s="223">
        <f>IF(ISERROR(VLOOKUP($B194,'RELACION VTAS - CHS'!$F$7:$V$250,16,FALSE))=FALSE,VLOOKUP($B194,'RELACION VTAS - CHS'!$F$7:$V$250,16,FALSE),0)</f>
        <v>0</v>
      </c>
      <c r="F194" s="223">
        <f>SUMIF('REPORTE GASTOS'!C:C,COBRANZA!B194,'REPORTE GASTOS'!G:G)</f>
        <v>0</v>
      </c>
      <c r="G194" s="224">
        <f t="shared" si="8"/>
        <v>0</v>
      </c>
      <c r="H194" s="222">
        <f>IF(ISERROR(VLOOKUP($B194,'RELACION VTAS - CHS'!$F$7:$V$250,16,FALSE))=FALSE,VLOOKUP($B194,'RELACION VTAS - CHS'!$F$7:$V$250,17,FALSE),0)</f>
        <v>0</v>
      </c>
      <c r="I194" s="217">
        <f>SUMIF('REPORTE GASTOS'!C:C,COBRANZA!B194,'REPORTE GASTOS'!I:I)</f>
        <v>0</v>
      </c>
      <c r="J194" s="224">
        <f t="shared" si="9"/>
        <v>0</v>
      </c>
      <c r="K194" s="66"/>
    </row>
    <row r="195" spans="1:11" s="86" customFormat="1" hidden="1">
      <c r="A195" s="41">
        <v>176</v>
      </c>
      <c r="B195" s="77" t="str">
        <f>IF(ISERROR(VLOOKUP(A195,'RELACION VTAS - CHS'!D:F,3,FALSE))=FALSE,VLOOKUP(A195,'RELACION VTAS - CHS'!D:F,3,FALSE),"")</f>
        <v/>
      </c>
      <c r="C195" s="241" t="str">
        <f>IF(B195="","",VLOOKUP(B195,'RELACION VTAS - CHS'!F:H,3,FALSE))</f>
        <v/>
      </c>
      <c r="D195" s="56" t="str">
        <f>IF(B195="","",VLOOKUP(B195,'RELACION VTAS - CHS'!F:H,2,FALSE))</f>
        <v/>
      </c>
      <c r="E195" s="223">
        <f>IF(ISERROR(VLOOKUP($B195,'RELACION VTAS - CHS'!$F$7:$V$250,16,FALSE))=FALSE,VLOOKUP($B195,'RELACION VTAS - CHS'!$F$7:$V$250,16,FALSE),0)</f>
        <v>0</v>
      </c>
      <c r="F195" s="223">
        <f>SUMIF('REPORTE GASTOS'!C:C,COBRANZA!B195,'REPORTE GASTOS'!G:G)</f>
        <v>0</v>
      </c>
      <c r="G195" s="224">
        <f t="shared" si="8"/>
        <v>0</v>
      </c>
      <c r="H195" s="222">
        <f>IF(ISERROR(VLOOKUP($B195,'RELACION VTAS - CHS'!$F$7:$V$250,16,FALSE))=FALSE,VLOOKUP($B195,'RELACION VTAS - CHS'!$F$7:$V$250,17,FALSE),0)</f>
        <v>0</v>
      </c>
      <c r="I195" s="217">
        <f>SUMIF('REPORTE GASTOS'!C:C,COBRANZA!B195,'REPORTE GASTOS'!I:I)</f>
        <v>0</v>
      </c>
      <c r="J195" s="224">
        <f t="shared" si="9"/>
        <v>0</v>
      </c>
      <c r="K195" s="66"/>
    </row>
    <row r="196" spans="1:11" s="86" customFormat="1" hidden="1">
      <c r="A196" s="41">
        <v>177</v>
      </c>
      <c r="B196" s="77" t="str">
        <f>IF(ISERROR(VLOOKUP(A196,'RELACION VTAS - CHS'!D:F,3,FALSE))=FALSE,VLOOKUP(A196,'RELACION VTAS - CHS'!D:F,3,FALSE),"")</f>
        <v/>
      </c>
      <c r="C196" s="241" t="str">
        <f>IF(B196="","",VLOOKUP(B196,'RELACION VTAS - CHS'!F:H,3,FALSE))</f>
        <v/>
      </c>
      <c r="D196" s="56" t="str">
        <f>IF(B196="","",VLOOKUP(B196,'RELACION VTAS - CHS'!F:H,2,FALSE))</f>
        <v/>
      </c>
      <c r="E196" s="223">
        <f>IF(ISERROR(VLOOKUP($B196,'RELACION VTAS - CHS'!$F$7:$V$250,16,FALSE))=FALSE,VLOOKUP($B196,'RELACION VTAS - CHS'!$F$7:$V$250,16,FALSE),0)</f>
        <v>0</v>
      </c>
      <c r="F196" s="223">
        <f>SUMIF('REPORTE GASTOS'!C:C,COBRANZA!B196,'REPORTE GASTOS'!G:G)</f>
        <v>0</v>
      </c>
      <c r="G196" s="224">
        <f t="shared" si="8"/>
        <v>0</v>
      </c>
      <c r="H196" s="222">
        <f>IF(ISERROR(VLOOKUP($B196,'RELACION VTAS - CHS'!$F$7:$V$250,16,FALSE))=FALSE,VLOOKUP($B196,'RELACION VTAS - CHS'!$F$7:$V$250,17,FALSE),0)</f>
        <v>0</v>
      </c>
      <c r="I196" s="217">
        <f>SUMIF('REPORTE GASTOS'!C:C,COBRANZA!B196,'REPORTE GASTOS'!I:I)</f>
        <v>0</v>
      </c>
      <c r="J196" s="224">
        <f t="shared" si="9"/>
        <v>0</v>
      </c>
      <c r="K196" s="66"/>
    </row>
    <row r="197" spans="1:11" s="86" customFormat="1" hidden="1">
      <c r="A197" s="41">
        <v>178</v>
      </c>
      <c r="B197" s="77" t="str">
        <f>IF(ISERROR(VLOOKUP(A197,'RELACION VTAS - CHS'!D:F,3,FALSE))=FALSE,VLOOKUP(A197,'RELACION VTAS - CHS'!D:F,3,FALSE),"")</f>
        <v/>
      </c>
      <c r="C197" s="241" t="str">
        <f>IF(B197="","",VLOOKUP(B197,'RELACION VTAS - CHS'!F:H,3,FALSE))</f>
        <v/>
      </c>
      <c r="D197" s="56" t="str">
        <f>IF(B197="","",VLOOKUP(B197,'RELACION VTAS - CHS'!F:H,2,FALSE))</f>
        <v/>
      </c>
      <c r="E197" s="223">
        <f>IF(ISERROR(VLOOKUP($B197,'RELACION VTAS - CHS'!$F$7:$V$250,16,FALSE))=FALSE,VLOOKUP($B197,'RELACION VTAS - CHS'!$F$7:$V$250,16,FALSE),0)</f>
        <v>0</v>
      </c>
      <c r="F197" s="223">
        <f>SUMIF('REPORTE GASTOS'!C:C,COBRANZA!B197,'REPORTE GASTOS'!G:G)</f>
        <v>0</v>
      </c>
      <c r="G197" s="224">
        <f t="shared" si="8"/>
        <v>0</v>
      </c>
      <c r="H197" s="222">
        <f>IF(ISERROR(VLOOKUP($B197,'RELACION VTAS - CHS'!$F$7:$V$250,16,FALSE))=FALSE,VLOOKUP($B197,'RELACION VTAS - CHS'!$F$7:$V$250,17,FALSE),0)</f>
        <v>0</v>
      </c>
      <c r="I197" s="217">
        <f>SUMIF('REPORTE GASTOS'!C:C,COBRANZA!B197,'REPORTE GASTOS'!I:I)</f>
        <v>0</v>
      </c>
      <c r="J197" s="224">
        <f t="shared" si="9"/>
        <v>0</v>
      </c>
      <c r="K197" s="66"/>
    </row>
    <row r="198" spans="1:11" s="86" customFormat="1" hidden="1">
      <c r="A198" s="41">
        <v>179</v>
      </c>
      <c r="B198" s="77" t="str">
        <f>IF(ISERROR(VLOOKUP(A198,'RELACION VTAS - CHS'!D:F,3,FALSE))=FALSE,VLOOKUP(A198,'RELACION VTAS - CHS'!D:F,3,FALSE),"")</f>
        <v/>
      </c>
      <c r="C198" s="241" t="str">
        <f>IF(B198="","",VLOOKUP(B198,'RELACION VTAS - CHS'!F:H,3,FALSE))</f>
        <v/>
      </c>
      <c r="D198" s="56" t="str">
        <f>IF(B198="","",VLOOKUP(B198,'RELACION VTAS - CHS'!F:H,2,FALSE))</f>
        <v/>
      </c>
      <c r="E198" s="223">
        <f>IF(ISERROR(VLOOKUP($B198,'RELACION VTAS - CHS'!$F$7:$V$250,16,FALSE))=FALSE,VLOOKUP($B198,'RELACION VTAS - CHS'!$F$7:$V$250,16,FALSE),0)</f>
        <v>0</v>
      </c>
      <c r="F198" s="223">
        <f>SUMIF('REPORTE GASTOS'!C:C,COBRANZA!B198,'REPORTE GASTOS'!G:G)</f>
        <v>0</v>
      </c>
      <c r="G198" s="224">
        <f t="shared" si="8"/>
        <v>0</v>
      </c>
      <c r="H198" s="222">
        <f>IF(ISERROR(VLOOKUP($B198,'RELACION VTAS - CHS'!$F$7:$V$250,16,FALSE))=FALSE,VLOOKUP($B198,'RELACION VTAS - CHS'!$F$7:$V$250,17,FALSE),0)</f>
        <v>0</v>
      </c>
      <c r="I198" s="217">
        <f>SUMIF('REPORTE GASTOS'!C:C,COBRANZA!B198,'REPORTE GASTOS'!I:I)</f>
        <v>0</v>
      </c>
      <c r="J198" s="224">
        <f t="shared" si="9"/>
        <v>0</v>
      </c>
      <c r="K198" s="66"/>
    </row>
    <row r="199" spans="1:11" s="86" customFormat="1" hidden="1">
      <c r="A199" s="41">
        <v>180</v>
      </c>
      <c r="B199" s="77" t="str">
        <f>IF(ISERROR(VLOOKUP(A199,'RELACION VTAS - CHS'!D:F,3,FALSE))=FALSE,VLOOKUP(A199,'RELACION VTAS - CHS'!D:F,3,FALSE),"")</f>
        <v/>
      </c>
      <c r="C199" s="241" t="str">
        <f>IF(B199="","",VLOOKUP(B199,'RELACION VTAS - CHS'!F:H,3,FALSE))</f>
        <v/>
      </c>
      <c r="D199" s="56" t="str">
        <f>IF(B199="","",VLOOKUP(B199,'RELACION VTAS - CHS'!F:H,2,FALSE))</f>
        <v/>
      </c>
      <c r="E199" s="223">
        <f>IF(ISERROR(VLOOKUP($B199,'RELACION VTAS - CHS'!$F$7:$V$250,16,FALSE))=FALSE,VLOOKUP($B199,'RELACION VTAS - CHS'!$F$7:$V$250,16,FALSE),0)</f>
        <v>0</v>
      </c>
      <c r="F199" s="223">
        <f>SUMIF('REPORTE GASTOS'!C:C,COBRANZA!B199,'REPORTE GASTOS'!G:G)</f>
        <v>0</v>
      </c>
      <c r="G199" s="224">
        <f t="shared" si="8"/>
        <v>0</v>
      </c>
      <c r="H199" s="222">
        <f>IF(ISERROR(VLOOKUP($B199,'RELACION VTAS - CHS'!$F$7:$V$250,16,FALSE))=FALSE,VLOOKUP($B199,'RELACION VTAS - CHS'!$F$7:$V$250,17,FALSE),0)</f>
        <v>0</v>
      </c>
      <c r="I199" s="217">
        <f>SUMIF('REPORTE GASTOS'!C:C,COBRANZA!B199,'REPORTE GASTOS'!I:I)</f>
        <v>0</v>
      </c>
      <c r="J199" s="224">
        <f t="shared" si="9"/>
        <v>0</v>
      </c>
      <c r="K199" s="66"/>
    </row>
    <row r="200" spans="1:11" s="86" customFormat="1" hidden="1">
      <c r="A200" s="41">
        <v>181</v>
      </c>
      <c r="B200" s="77" t="str">
        <f>IF(ISERROR(VLOOKUP(A200,'RELACION VTAS - CHS'!D:F,3,FALSE))=FALSE,VLOOKUP(A200,'RELACION VTAS - CHS'!D:F,3,FALSE),"")</f>
        <v/>
      </c>
      <c r="C200" s="241" t="str">
        <f>IF(B200="","",VLOOKUP(B200,'RELACION VTAS - CHS'!F:H,3,FALSE))</f>
        <v/>
      </c>
      <c r="D200" s="56" t="str">
        <f>IF(B200="","",VLOOKUP(B200,'RELACION VTAS - CHS'!F:H,2,FALSE))</f>
        <v/>
      </c>
      <c r="E200" s="223">
        <f>IF(ISERROR(VLOOKUP($B200,'RELACION VTAS - CHS'!$F$7:$V$250,16,FALSE))=FALSE,VLOOKUP($B200,'RELACION VTAS - CHS'!$F$7:$V$250,16,FALSE),0)</f>
        <v>0</v>
      </c>
      <c r="F200" s="223">
        <f>SUMIF('REPORTE GASTOS'!C:C,COBRANZA!B200,'REPORTE GASTOS'!G:G)</f>
        <v>0</v>
      </c>
      <c r="G200" s="224">
        <f t="shared" si="8"/>
        <v>0</v>
      </c>
      <c r="H200" s="222">
        <f>IF(ISERROR(VLOOKUP($B200,'RELACION VTAS - CHS'!$F$7:$V$250,16,FALSE))=FALSE,VLOOKUP($B200,'RELACION VTAS - CHS'!$F$7:$V$250,17,FALSE),0)</f>
        <v>0</v>
      </c>
      <c r="I200" s="217">
        <f>SUMIF('REPORTE GASTOS'!C:C,COBRANZA!B200,'REPORTE GASTOS'!I:I)</f>
        <v>0</v>
      </c>
      <c r="J200" s="224">
        <f t="shared" si="9"/>
        <v>0</v>
      </c>
      <c r="K200" s="66"/>
    </row>
    <row r="201" spans="1:11" s="67" customFormat="1" hidden="1">
      <c r="A201" s="41">
        <v>182</v>
      </c>
      <c r="B201" s="77" t="str">
        <f>IF(ISERROR(VLOOKUP(A201,'RELACION VTAS - CHS'!D:F,3,FALSE))=FALSE,VLOOKUP(A201,'RELACION VTAS - CHS'!D:F,3,FALSE),"")</f>
        <v/>
      </c>
      <c r="C201" s="241" t="str">
        <f>IF(B201="","",VLOOKUP(B201,'RELACION VTAS - CHS'!F:H,3,FALSE))</f>
        <v/>
      </c>
      <c r="D201" s="56" t="str">
        <f>IF(B201="","",VLOOKUP(B201,'RELACION VTAS - CHS'!F:H,2,FALSE))</f>
        <v/>
      </c>
      <c r="E201" s="223">
        <f>IF(ISERROR(VLOOKUP($B201,'RELACION VTAS - CHS'!$F$7:$V$250,16,FALSE))=FALSE,VLOOKUP($B201,'RELACION VTAS - CHS'!$F$7:$V$250,16,FALSE),0)</f>
        <v>0</v>
      </c>
      <c r="F201" s="223">
        <f>SUMIF('REPORTE GASTOS'!C:C,COBRANZA!B201,'REPORTE GASTOS'!G:G)</f>
        <v>0</v>
      </c>
      <c r="G201" s="224">
        <f t="shared" si="8"/>
        <v>0</v>
      </c>
      <c r="H201" s="222">
        <f>IF(ISERROR(VLOOKUP($B201,'RELACION VTAS - CHS'!$F$7:$V$250,16,FALSE))=FALSE,VLOOKUP($B201,'RELACION VTAS - CHS'!$F$7:$V$250,17,FALSE),0)</f>
        <v>0</v>
      </c>
      <c r="I201" s="217">
        <f>SUMIF('REPORTE GASTOS'!C:C,COBRANZA!B201,'REPORTE GASTOS'!I:I)</f>
        <v>0</v>
      </c>
      <c r="J201" s="224">
        <f t="shared" si="9"/>
        <v>0</v>
      </c>
      <c r="K201" s="66"/>
    </row>
    <row r="202" spans="1:11">
      <c r="I202" s="86"/>
    </row>
    <row r="203" spans="1:11" hidden="1">
      <c r="B203" s="75" t="str">
        <f>IF(ISERROR(VLOOKUP(A203,'RELACION VTAS - CHS'!D:F,3,FALSE))=FALSE,VLOOKUP(A203,'RELACION VTAS - CHS'!D:F,3,FALSE),"")</f>
        <v/>
      </c>
      <c r="C203" s="76" t="str">
        <f>IF(B203="","",VLOOKUP(B203,'RELACION VTAS - CHS'!F:H,3,FALSE))</f>
        <v/>
      </c>
      <c r="D203" s="76" t="str">
        <f>IF(B203="","",VLOOKUP(B203,'RELACION VTAS - CHS'!F:H,2,FALSE))</f>
        <v/>
      </c>
      <c r="E203" s="76">
        <f>IF(ISERROR(VLOOKUP($B203,'RELACION VTAS - CHS'!$F$7:$V$250,16,FALSE))=FALSE,VLOOKUP($B203,'RELACION VTAS - CHS'!$F$7:$V$250,16,FALSE),0)</f>
        <v>0</v>
      </c>
      <c r="F203" s="76">
        <f>SUMIF('REPORTE GASTOS'!C:C,COBRANZA!B203,'REPORTE GASTOS'!G:G)</f>
        <v>0</v>
      </c>
      <c r="G203" s="76">
        <f>E203-F203</f>
        <v>0</v>
      </c>
      <c r="H203" s="76">
        <f>IF(ISERROR(VLOOKUP($B203,'RELACION VTAS - CHS'!$F$7:$V$250,16,FALSE))=FALSE,VLOOKUP($B203,'RELACION VTAS - CHS'!$F$7:$V$250,17,FALSE),0)</f>
        <v>0</v>
      </c>
      <c r="I203" s="76">
        <f>SUMIF('REPORTE GASTOS'!C:C,COBRANZA!B203,'REPORTE GASTOS'!I:I)</f>
        <v>0</v>
      </c>
      <c r="J203" s="76">
        <f>H203-I203</f>
        <v>0</v>
      </c>
    </row>
  </sheetData>
  <autoFilter ref="B6:J203">
    <filterColumn colId="5">
      <filters blank="1">
        <filter val="110,70"/>
        <filter val="12,40"/>
        <filter val="43,80"/>
        <filter val="45,00"/>
        <filter val="45,89"/>
        <filter val="485,85"/>
        <filter val="56,00"/>
        <filter val="64,10"/>
        <filter val="80,00"/>
        <filter val="87,25"/>
        <filter val="95,20"/>
        <filter val="97,51"/>
        <filter val="98,44"/>
      </filters>
    </filterColumn>
  </autoFilter>
  <customSheetViews>
    <customSheetView guid="{9C7DF5E1-0B31-456B-8B95-9E84EC8BB2AA}" showGridLines="0" showAutoFilter="1">
      <pane ySplit="6" topLeftCell="A7" activePane="bottomLeft" state="frozen"/>
      <selection pane="bottomLeft" activeCell="E7" sqref="E7"/>
      <pageMargins left="0.7" right="0.7" top="0.75" bottom="0.75" header="0.3" footer="0.3"/>
      <pageSetup orientation="portrait" r:id="rId1"/>
      <autoFilter ref="A6:O101"/>
    </customSheetView>
    <customSheetView guid="{2EDA8CC3-84EB-4F05-BF1F-BD8B14370E50}" showGridLines="0" showAutoFilter="1">
      <pane ySplit="6" topLeftCell="A7" activePane="bottomLeft" state="frozen"/>
      <selection pane="bottomLeft" activeCell="C3" sqref="C3"/>
      <pageMargins left="0.7" right="0.7" top="0.75" bottom="0.75" header="0.3" footer="0.3"/>
      <pageSetup orientation="portrait" r:id="rId2"/>
      <autoFilter ref="A6:O101"/>
    </customSheetView>
  </customSheetViews>
  <conditionalFormatting sqref="B7:J7 F201:J201 B8:I12 F199:J199 B27:D50 F52:J100 H51:J51 B52:D100 F27:J50 B12:J13 E7:H18 J7:J18 B14:I18 B18:J18">
    <cfRule type="expression" dxfId="1319" priority="9543">
      <formula>IF(AND($K7&gt;1,#REF!="NOK"),1,0)</formula>
    </cfRule>
    <cfRule type="expression" dxfId="1318" priority="9544">
      <formula>IF(AND($J7&lt;$I7,#REF!="NOK"),1,0)</formula>
    </cfRule>
  </conditionalFormatting>
  <conditionalFormatting sqref="B201:D201 F201:J201 B7:J12 B199:D199 F199:J199 B27:D50 B52:D100 F52:J100 H51:J51 F27:J50">
    <cfRule type="expression" dxfId="1317" priority="9549">
      <formula>IF(#REF!="OK",1,0)</formula>
    </cfRule>
  </conditionalFormatting>
  <conditionalFormatting sqref="B201:D201 J201 F201:H201">
    <cfRule type="expression" dxfId="1316" priority="9551">
      <formula>IF(AND($K201&gt;10,$J201&lt;&gt;0),1,0)</formula>
    </cfRule>
  </conditionalFormatting>
  <conditionalFormatting sqref="F99:J200">
    <cfRule type="expression" dxfId="1315" priority="258">
      <formula>IF(AND($K99&gt;1,#REF!="NOK"),1,0)</formula>
    </cfRule>
    <cfRule type="expression" dxfId="1314" priority="259">
      <formula>IF(AND($J99&lt;$I99,#REF!="NOK"),1,0)</formula>
    </cfRule>
  </conditionalFormatting>
  <conditionalFormatting sqref="B99:D200 F99:J200">
    <cfRule type="expression" dxfId="1313" priority="260">
      <formula>IF(#REF!="OK",1,0)</formula>
    </cfRule>
  </conditionalFormatting>
  <conditionalFormatting sqref="B99:D200 J99:J200 F99:H200">
    <cfRule type="expression" dxfId="1312" priority="261">
      <formula>IF(AND($K99&gt;10,$J99&lt;&gt;0),1,0)</formula>
    </cfRule>
  </conditionalFormatting>
  <conditionalFormatting sqref="E201 E199 E52:E100 E27:E50">
    <cfRule type="expression" dxfId="1311" priority="254">
      <formula>IF(AND($K27&gt;1,#REF!="NOK"),1,0)</formula>
    </cfRule>
    <cfRule type="expression" dxfId="1310" priority="255">
      <formula>IF(AND($J27&lt;$I27,#REF!="NOK"),1,0)</formula>
    </cfRule>
  </conditionalFormatting>
  <conditionalFormatting sqref="E201 E199 E52:E100 E27:E50">
    <cfRule type="expression" dxfId="1309" priority="256">
      <formula>IF(#REF!="OK",1,0)</formula>
    </cfRule>
  </conditionalFormatting>
  <conditionalFormatting sqref="E201">
    <cfRule type="expression" dxfId="1308" priority="257">
      <formula>IF(AND($K201&gt;10,$J201&lt;&gt;0),1,0)</formula>
    </cfRule>
  </conditionalFormatting>
  <conditionalFormatting sqref="E99:E200">
    <cfRule type="expression" dxfId="1307" priority="250">
      <formula>IF(AND($K99&gt;1,#REF!="NOK"),1,0)</formula>
    </cfRule>
    <cfRule type="expression" dxfId="1306" priority="251">
      <formula>IF(AND($J99&lt;$I99,#REF!="NOK"),1,0)</formula>
    </cfRule>
  </conditionalFormatting>
  <conditionalFormatting sqref="E99:E200">
    <cfRule type="expression" dxfId="1305" priority="252">
      <formula>IF(#REF!="OK",1,0)</formula>
    </cfRule>
  </conditionalFormatting>
  <conditionalFormatting sqref="E99:E200">
    <cfRule type="expression" dxfId="1304" priority="253">
      <formula>IF(AND($K99&gt;10,$J99&lt;&gt;0),1,0)</formula>
    </cfRule>
  </conditionalFormatting>
  <conditionalFormatting sqref="B12:D12 F12:J12">
    <cfRule type="expression" dxfId="1303" priority="229">
      <formula>IF(AND($K12&gt;1,#REF!="NOK"),1,0)</formula>
    </cfRule>
    <cfRule type="expression" dxfId="1302" priority="230">
      <formula>IF(AND($J12&lt;$I12,#REF!="NOK"),1,0)</formula>
    </cfRule>
  </conditionalFormatting>
  <conditionalFormatting sqref="F12:J12 B12:D12">
    <cfRule type="expression" dxfId="1301" priority="231">
      <formula>IF(#REF!="OK",1,0)</formula>
    </cfRule>
  </conditionalFormatting>
  <conditionalFormatting sqref="E12">
    <cfRule type="expression" dxfId="1300" priority="226">
      <formula>IF(AND($K12&gt;1,#REF!="NOK"),1,0)</formula>
    </cfRule>
    <cfRule type="expression" dxfId="1299" priority="227">
      <formula>IF(AND($J12&lt;$I12,#REF!="NOK"),1,0)</formula>
    </cfRule>
  </conditionalFormatting>
  <conditionalFormatting sqref="E12">
    <cfRule type="expression" dxfId="1298" priority="228">
      <formula>IF(#REF!="OK",1,0)</formula>
    </cfRule>
  </conditionalFormatting>
  <conditionalFormatting sqref="B199:D199 J199 F199:H199">
    <cfRule type="expression" dxfId="1297" priority="192">
      <formula>IF(AND($K199&gt;10,$J199&lt;&gt;0),1,0)</formula>
    </cfRule>
  </conditionalFormatting>
  <conditionalFormatting sqref="E199">
    <cfRule type="expression" dxfId="1296" priority="191">
      <formula>IF(AND($K199&gt;10,$J199&lt;&gt;0),1,0)</formula>
    </cfRule>
  </conditionalFormatting>
  <conditionalFormatting sqref="F51:G51 B51:D51">
    <cfRule type="expression" dxfId="1295" priority="161">
      <formula>IF(AND($K51&gt;1,#REF!="NOK"),1,0)</formula>
    </cfRule>
    <cfRule type="expression" dxfId="1294" priority="162">
      <formula>IF(AND($J51&lt;$I51,#REF!="NOK"),1,0)</formula>
    </cfRule>
  </conditionalFormatting>
  <conditionalFormatting sqref="B51:D51 F51:G51">
    <cfRule type="expression" dxfId="1293" priority="163">
      <formula>IF(#REF!="OK",1,0)</formula>
    </cfRule>
  </conditionalFormatting>
  <conditionalFormatting sqref="E51">
    <cfRule type="expression" dxfId="1292" priority="158">
      <formula>IF(AND($K51&gt;1,#REF!="NOK"),1,0)</formula>
    </cfRule>
    <cfRule type="expression" dxfId="1291" priority="159">
      <formula>IF(AND($J51&lt;$I51,#REF!="NOK"),1,0)</formula>
    </cfRule>
  </conditionalFormatting>
  <conditionalFormatting sqref="E51">
    <cfRule type="expression" dxfId="1290" priority="160">
      <formula>IF(#REF!="OK",1,0)</formula>
    </cfRule>
  </conditionalFormatting>
  <conditionalFormatting sqref="B26:D26 F26:J26">
    <cfRule type="expression" dxfId="1289" priority="95">
      <formula>IF(AND($K26&gt;1,#REF!="NOK"),1,0)</formula>
    </cfRule>
    <cfRule type="expression" dxfId="1288" priority="96">
      <formula>IF(AND($J26&lt;$I26,#REF!="NOK"),1,0)</formula>
    </cfRule>
  </conditionalFormatting>
  <conditionalFormatting sqref="F26:J26 B26:D26">
    <cfRule type="expression" dxfId="1287" priority="97">
      <formula>IF(#REF!="OK",1,0)</formula>
    </cfRule>
  </conditionalFormatting>
  <conditionalFormatting sqref="E26">
    <cfRule type="expression" dxfId="1286" priority="92">
      <formula>IF(AND($K26&gt;1,#REF!="NOK"),1,0)</formula>
    </cfRule>
    <cfRule type="expression" dxfId="1285" priority="93">
      <formula>IF(AND($J26&lt;$I26,#REF!="NOK"),1,0)</formula>
    </cfRule>
  </conditionalFormatting>
  <conditionalFormatting sqref="E26">
    <cfRule type="expression" dxfId="1284" priority="94">
      <formula>IF(#REF!="OK",1,0)</formula>
    </cfRule>
  </conditionalFormatting>
  <conditionalFormatting sqref="B25:D25 F25:J25">
    <cfRule type="expression" dxfId="1283" priority="89">
      <formula>IF(AND($K25&gt;1,#REF!="NOK"),1,0)</formula>
    </cfRule>
    <cfRule type="expression" dxfId="1282" priority="90">
      <formula>IF(AND($J25&lt;$I25,#REF!="NOK"),1,0)</formula>
    </cfRule>
  </conditionalFormatting>
  <conditionalFormatting sqref="B25:D25 F25:J25">
    <cfRule type="expression" dxfId="1281" priority="91">
      <formula>IF(#REF!="OK",1,0)</formula>
    </cfRule>
  </conditionalFormatting>
  <conditionalFormatting sqref="E25">
    <cfRule type="expression" dxfId="1280" priority="86">
      <formula>IF(AND($K25&gt;1,#REF!="NOK"),1,0)</formula>
    </cfRule>
    <cfRule type="expression" dxfId="1279" priority="87">
      <formula>IF(AND($J25&lt;$I25,#REF!="NOK"),1,0)</formula>
    </cfRule>
  </conditionalFormatting>
  <conditionalFormatting sqref="E25">
    <cfRule type="expression" dxfId="1278" priority="88">
      <formula>IF(#REF!="OK",1,0)</formula>
    </cfRule>
  </conditionalFormatting>
  <conditionalFormatting sqref="B24:D24 F24:J24">
    <cfRule type="expression" dxfId="1277" priority="83">
      <formula>IF(AND($K24&gt;1,#REF!="NOK"),1,0)</formula>
    </cfRule>
    <cfRule type="expression" dxfId="1276" priority="84">
      <formula>IF(AND($J24&lt;$I24,#REF!="NOK"),1,0)</formula>
    </cfRule>
  </conditionalFormatting>
  <conditionalFormatting sqref="B24:D24 F24:J24">
    <cfRule type="expression" dxfId="1275" priority="85">
      <formula>IF(#REF!="OK",1,0)</formula>
    </cfRule>
  </conditionalFormatting>
  <conditionalFormatting sqref="E24">
    <cfRule type="expression" dxfId="1274" priority="80">
      <formula>IF(AND($K24&gt;1,#REF!="NOK"),1,0)</formula>
    </cfRule>
    <cfRule type="expression" dxfId="1273" priority="81">
      <formula>IF(AND($J24&lt;$I24,#REF!="NOK"),1,0)</formula>
    </cfRule>
  </conditionalFormatting>
  <conditionalFormatting sqref="E24">
    <cfRule type="expression" dxfId="1272" priority="82">
      <formula>IF(#REF!="OK",1,0)</formula>
    </cfRule>
  </conditionalFormatting>
  <conditionalFormatting sqref="B23:D23 F23:J23">
    <cfRule type="expression" dxfId="1271" priority="77">
      <formula>IF(AND($K23&gt;1,#REF!="NOK"),1,0)</formula>
    </cfRule>
    <cfRule type="expression" dxfId="1270" priority="78">
      <formula>IF(AND($J23&lt;$I23,#REF!="NOK"),1,0)</formula>
    </cfRule>
  </conditionalFormatting>
  <conditionalFormatting sqref="B23:D23 F23:J23">
    <cfRule type="expression" dxfId="1269" priority="79">
      <formula>IF(#REF!="OK",1,0)</formula>
    </cfRule>
  </conditionalFormatting>
  <conditionalFormatting sqref="E23">
    <cfRule type="expression" dxfId="1268" priority="74">
      <formula>IF(AND($K23&gt;1,#REF!="NOK"),1,0)</formula>
    </cfRule>
    <cfRule type="expression" dxfId="1267" priority="75">
      <formula>IF(AND($J23&lt;$I23,#REF!="NOK"),1,0)</formula>
    </cfRule>
  </conditionalFormatting>
  <conditionalFormatting sqref="E23">
    <cfRule type="expression" dxfId="1266" priority="76">
      <formula>IF(#REF!="OK",1,0)</formula>
    </cfRule>
  </conditionalFormatting>
  <conditionalFormatting sqref="B22:D22 F22:J22">
    <cfRule type="expression" dxfId="1265" priority="71">
      <formula>IF(AND($K22&gt;1,#REF!="NOK"),1,0)</formula>
    </cfRule>
    <cfRule type="expression" dxfId="1264" priority="72">
      <formula>IF(AND($J22&lt;$I22,#REF!="NOK"),1,0)</formula>
    </cfRule>
  </conditionalFormatting>
  <conditionalFormatting sqref="B22:D22 F22:J22">
    <cfRule type="expression" dxfId="1263" priority="73">
      <formula>IF(#REF!="OK",1,0)</formula>
    </cfRule>
  </conditionalFormatting>
  <conditionalFormatting sqref="E22">
    <cfRule type="expression" dxfId="1262" priority="68">
      <formula>IF(AND($K22&gt;1,#REF!="NOK"),1,0)</formula>
    </cfRule>
    <cfRule type="expression" dxfId="1261" priority="69">
      <formula>IF(AND($J22&lt;$I22,#REF!="NOK"),1,0)</formula>
    </cfRule>
  </conditionalFormatting>
  <conditionalFormatting sqref="E22">
    <cfRule type="expression" dxfId="1260" priority="70">
      <formula>IF(#REF!="OK",1,0)</formula>
    </cfRule>
  </conditionalFormatting>
  <conditionalFormatting sqref="B21:D21 F21:J21">
    <cfRule type="expression" dxfId="1259" priority="65">
      <formula>IF(AND($K21&gt;1,#REF!="NOK"),1,0)</formula>
    </cfRule>
    <cfRule type="expression" dxfId="1258" priority="66">
      <formula>IF(AND($J21&lt;$I21,#REF!="NOK"),1,0)</formula>
    </cfRule>
  </conditionalFormatting>
  <conditionalFormatting sqref="B21:D21 F21:J21">
    <cfRule type="expression" dxfId="1257" priority="67">
      <formula>IF(#REF!="OK",1,0)</formula>
    </cfRule>
  </conditionalFormatting>
  <conditionalFormatting sqref="E21">
    <cfRule type="expression" dxfId="1256" priority="62">
      <formula>IF(AND($K21&gt;1,#REF!="NOK"),1,0)</formula>
    </cfRule>
    <cfRule type="expression" dxfId="1255" priority="63">
      <formula>IF(AND($J21&lt;$I21,#REF!="NOK"),1,0)</formula>
    </cfRule>
  </conditionalFormatting>
  <conditionalFormatting sqref="E21">
    <cfRule type="expression" dxfId="1254" priority="64">
      <formula>IF(#REF!="OK",1,0)</formula>
    </cfRule>
  </conditionalFormatting>
  <conditionalFormatting sqref="B20:D20 F20:J20">
    <cfRule type="expression" dxfId="1253" priority="59">
      <formula>IF(AND($K20&gt;1,#REF!="NOK"),1,0)</formula>
    </cfRule>
    <cfRule type="expression" dxfId="1252" priority="60">
      <formula>IF(AND($J20&lt;$I20,#REF!="NOK"),1,0)</formula>
    </cfRule>
  </conditionalFormatting>
  <conditionalFormatting sqref="B20:D20 F20:J20">
    <cfRule type="expression" dxfId="1251" priority="61">
      <formula>IF(#REF!="OK",1,0)</formula>
    </cfRule>
  </conditionalFormatting>
  <conditionalFormatting sqref="E20">
    <cfRule type="expression" dxfId="1250" priority="56">
      <formula>IF(AND($K20&gt;1,#REF!="NOK"),1,0)</formula>
    </cfRule>
    <cfRule type="expression" dxfId="1249" priority="57">
      <formula>IF(AND($J20&lt;$I20,#REF!="NOK"),1,0)</formula>
    </cfRule>
  </conditionalFormatting>
  <conditionalFormatting sqref="E20">
    <cfRule type="expression" dxfId="1248" priority="58">
      <formula>IF(#REF!="OK",1,0)</formula>
    </cfRule>
  </conditionalFormatting>
  <conditionalFormatting sqref="B13:J18">
    <cfRule type="expression" dxfId="1247" priority="13">
      <formula>IF(#REF!="OK",1,0)</formula>
    </cfRule>
  </conditionalFormatting>
  <conditionalFormatting sqref="B18:D18 F18:J18">
    <cfRule type="expression" dxfId="1246" priority="10">
      <formula>IF(AND($K18&gt;1,#REF!="NOK"),1,0)</formula>
    </cfRule>
    <cfRule type="expression" dxfId="1245" priority="11">
      <formula>IF(AND($J18&lt;$I18,#REF!="NOK"),1,0)</formula>
    </cfRule>
  </conditionalFormatting>
  <conditionalFormatting sqref="F18:J18 B18:D18">
    <cfRule type="expression" dxfId="1244" priority="12">
      <formula>IF(#REF!="OK",1,0)</formula>
    </cfRule>
  </conditionalFormatting>
  <conditionalFormatting sqref="E18:E19">
    <cfRule type="expression" dxfId="1243" priority="7">
      <formula>IF(AND($K18&gt;1,#REF!="NOK"),1,0)</formula>
    </cfRule>
    <cfRule type="expression" dxfId="1242" priority="8">
      <formula>IF(AND($J18&lt;$I18,#REF!="NOK"),1,0)</formula>
    </cfRule>
  </conditionalFormatting>
  <conditionalFormatting sqref="E18:E19">
    <cfRule type="expression" dxfId="1241" priority="9">
      <formula>IF(#REF!="OK",1,0)</formula>
    </cfRule>
  </conditionalFormatting>
  <conditionalFormatting sqref="B19:J19">
    <cfRule type="expression" dxfId="1240" priority="5">
      <formula>IF(AND($K19&gt;1,#REF!="NOK"),1,0)</formula>
    </cfRule>
    <cfRule type="expression" dxfId="1239" priority="6">
      <formula>IF(AND($J19&lt;$I19,#REF!="NOK"),1,0)</formula>
    </cfRule>
  </conditionalFormatting>
  <conditionalFormatting sqref="B19:J19">
    <cfRule type="expression" dxfId="1238" priority="4">
      <formula>IF(#REF!="OK",1,0)</formula>
    </cfRule>
  </conditionalFormatting>
  <conditionalFormatting sqref="B19:D19 F19:J19">
    <cfRule type="expression" dxfId="1237" priority="1">
      <formula>IF(AND($K19&gt;1,#REF!="NOK"),1,0)</formula>
    </cfRule>
    <cfRule type="expression" dxfId="1236" priority="2">
      <formula>IF(AND($J19&lt;$I19,#REF!="NOK"),1,0)</formula>
    </cfRule>
  </conditionalFormatting>
  <conditionalFormatting sqref="F19:J19 B19:D19">
    <cfRule type="expression" dxfId="1235" priority="3">
      <formula>IF(#REF!="OK",1,0)</formula>
    </cfRule>
  </conditionalFormatting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5128" r:id="rId6" name="CheckBox1">
          <controlPr autoLine="0" linkedCell="#REF!" r:id="rId7">
            <anchor moveWithCells="1">
              <from>
                <xdr:col>1</xdr:col>
                <xdr:colOff>95250</xdr:colOff>
                <xdr:row>4</xdr:row>
                <xdr:rowOff>28575</xdr:rowOff>
              </from>
              <to>
                <xdr:col>2</xdr:col>
                <xdr:colOff>1085850</xdr:colOff>
                <xdr:row>4</xdr:row>
                <xdr:rowOff>295275</xdr:rowOff>
              </to>
            </anchor>
          </controlPr>
        </control>
      </mc:Choice>
      <mc:Fallback>
        <control shapeId="5128" r:id="rId6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'RELACION VTAS - CHS'!$F:$F</xm:f>
          </x14:formula1>
          <xm:sqref>B203 B7:B201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filterMode="1"/>
  <dimension ref="A2:V214"/>
  <sheetViews>
    <sheetView tabSelected="1" zoomScale="90" zoomScaleNormal="90" workbookViewId="0">
      <pane ySplit="5" topLeftCell="A6" activePane="bottomLeft" state="frozen"/>
      <selection pane="bottomLeft" activeCell="G111" sqref="G111"/>
    </sheetView>
  </sheetViews>
  <sheetFormatPr baseColWidth="10" defaultColWidth="11.42578125" defaultRowHeight="15"/>
  <cols>
    <col min="1" max="2" width="11.42578125" style="86"/>
    <col min="3" max="3" width="18.7109375" style="86" customWidth="1"/>
    <col min="4" max="4" width="55.7109375" style="86" customWidth="1"/>
    <col min="5" max="7" width="15.7109375" style="86" customWidth="1"/>
    <col min="8" max="8" width="16" style="86" bestFit="1" customWidth="1"/>
    <col min="9" max="9" width="17.5703125" style="86" bestFit="1" customWidth="1"/>
    <col min="10" max="10" width="16" style="86" bestFit="1" customWidth="1"/>
    <col min="11" max="11" width="15.7109375" style="86" bestFit="1" customWidth="1"/>
    <col min="12" max="14" width="11.42578125" style="86"/>
    <col min="15" max="15" width="23.140625" style="86" bestFit="1" customWidth="1"/>
    <col min="16" max="16" width="13.140625" style="86" bestFit="1" customWidth="1"/>
    <col min="17" max="17" width="14.7109375" style="86" bestFit="1" customWidth="1"/>
    <col min="18" max="18" width="14" style="86" bestFit="1" customWidth="1"/>
    <col min="19" max="19" width="15.42578125" style="86" bestFit="1" customWidth="1"/>
    <col min="20" max="16384" width="11.42578125" style="86"/>
  </cols>
  <sheetData>
    <row r="2" spans="1:22" ht="31.5">
      <c r="C2" s="3" t="s">
        <v>948</v>
      </c>
      <c r="E2" s="221" t="s">
        <v>949</v>
      </c>
      <c r="F2" s="221" t="s">
        <v>950</v>
      </c>
      <c r="N2" s="86" t="s">
        <v>418</v>
      </c>
      <c r="O2" s="86" t="s">
        <v>418</v>
      </c>
      <c r="P2" s="86" t="s">
        <v>418</v>
      </c>
      <c r="Q2" s="86" t="s">
        <v>418</v>
      </c>
      <c r="R2" s="86" t="s">
        <v>418</v>
      </c>
      <c r="S2" s="86" t="s">
        <v>418</v>
      </c>
      <c r="T2" s="86" t="s">
        <v>418</v>
      </c>
    </row>
    <row r="3" spans="1:22" ht="15.75">
      <c r="E3" s="255">
        <v>-507.73</v>
      </c>
      <c r="F3" s="225">
        <f>E3+SUMIFS(G6:G210,B6:B210,"INGRESO",F6:F210,"USD")-SUMIFS(G6:G210,B6:B210,"EGRESO",F6:F210,"USD")</f>
        <v>-661.59000000000015</v>
      </c>
      <c r="N3" s="86" t="s">
        <v>418</v>
      </c>
      <c r="O3" s="86" t="s">
        <v>418</v>
      </c>
      <c r="P3" s="86" t="s">
        <v>418</v>
      </c>
      <c r="Q3" s="86" t="s">
        <v>418</v>
      </c>
      <c r="R3" s="86" t="s">
        <v>418</v>
      </c>
      <c r="S3" s="86" t="s">
        <v>418</v>
      </c>
      <c r="T3" s="86" t="s">
        <v>418</v>
      </c>
    </row>
    <row r="4" spans="1:22">
      <c r="N4" s="86" t="s">
        <v>418</v>
      </c>
      <c r="O4" s="86" t="s">
        <v>418</v>
      </c>
      <c r="P4" s="86" t="s">
        <v>418</v>
      </c>
      <c r="Q4" s="86" t="s">
        <v>418</v>
      </c>
      <c r="R4" s="86" t="s">
        <v>418</v>
      </c>
      <c r="S4" s="86" t="s">
        <v>418</v>
      </c>
      <c r="T4" s="86" t="s">
        <v>418</v>
      </c>
    </row>
    <row r="5" spans="1:22">
      <c r="A5" s="68">
        <f>212-COUNTBLANK(B6:B210)</f>
        <v>128</v>
      </c>
      <c r="B5" s="220" t="s">
        <v>953</v>
      </c>
      <c r="C5" s="220" t="s">
        <v>230</v>
      </c>
      <c r="D5" s="220" t="s">
        <v>78</v>
      </c>
      <c r="E5" s="220" t="s">
        <v>77</v>
      </c>
      <c r="F5" s="220" t="s">
        <v>946</v>
      </c>
      <c r="G5" s="220" t="s">
        <v>951</v>
      </c>
      <c r="H5" s="220" t="s">
        <v>721</v>
      </c>
      <c r="I5" s="220" t="s">
        <v>952</v>
      </c>
      <c r="N5" s="24" t="s">
        <v>77</v>
      </c>
      <c r="O5" s="24" t="s">
        <v>230</v>
      </c>
      <c r="P5" s="24" t="s">
        <v>78</v>
      </c>
      <c r="Q5" s="24" t="s">
        <v>673</v>
      </c>
      <c r="R5" s="24" t="s">
        <v>721</v>
      </c>
      <c r="S5" s="24" t="s">
        <v>952</v>
      </c>
      <c r="T5" s="24" t="s">
        <v>416</v>
      </c>
    </row>
    <row r="6" spans="1:22" hidden="1">
      <c r="A6" s="239">
        <v>1</v>
      </c>
      <c r="B6" s="256" t="s">
        <v>1067</v>
      </c>
      <c r="C6" s="257" t="s">
        <v>1282</v>
      </c>
      <c r="D6" s="262" t="s">
        <v>1115</v>
      </c>
      <c r="E6" s="261">
        <v>44620</v>
      </c>
      <c r="F6" s="261" t="s">
        <v>947</v>
      </c>
      <c r="G6" s="258">
        <v>1200</v>
      </c>
      <c r="H6" s="258">
        <v>5.0999999999999996</v>
      </c>
      <c r="I6" s="260">
        <f t="shared" ref="I6:I69" si="0">H6*G6</f>
        <v>6120</v>
      </c>
      <c r="N6" s="227">
        <v>44620</v>
      </c>
      <c r="O6" s="227" t="s">
        <v>1282</v>
      </c>
      <c r="P6" s="68" t="s">
        <v>1115</v>
      </c>
      <c r="Q6" s="227" t="s">
        <v>673</v>
      </c>
      <c r="R6" s="69">
        <v>5.0999999999999996</v>
      </c>
      <c r="S6" s="69">
        <v>-6120</v>
      </c>
      <c r="T6" s="227" t="s">
        <v>416</v>
      </c>
      <c r="U6" s="86" t="s">
        <v>1373</v>
      </c>
      <c r="V6" s="86" t="s">
        <v>947</v>
      </c>
    </row>
    <row r="7" spans="1:22" hidden="1">
      <c r="A7" s="239">
        <f>+A6+1</f>
        <v>2</v>
      </c>
      <c r="B7" s="256" t="s">
        <v>1067</v>
      </c>
      <c r="C7" s="257" t="s">
        <v>1196</v>
      </c>
      <c r="D7" s="264" t="s">
        <v>1235</v>
      </c>
      <c r="E7" s="263">
        <v>44594</v>
      </c>
      <c r="F7" s="263" t="s">
        <v>947</v>
      </c>
      <c r="G7" s="258">
        <v>23</v>
      </c>
      <c r="H7" s="258">
        <v>4.71</v>
      </c>
      <c r="I7" s="260">
        <f t="shared" si="0"/>
        <v>108.33</v>
      </c>
      <c r="N7" s="227">
        <v>44594</v>
      </c>
      <c r="O7" s="227" t="s">
        <v>1196</v>
      </c>
      <c r="P7" s="68" t="s">
        <v>1235</v>
      </c>
      <c r="Q7" s="227" t="s">
        <v>673</v>
      </c>
      <c r="R7" s="69">
        <v>4.71</v>
      </c>
      <c r="S7" s="69">
        <v>-108.33</v>
      </c>
      <c r="T7" s="227" t="s">
        <v>416</v>
      </c>
      <c r="U7" s="86" t="s">
        <v>1374</v>
      </c>
      <c r="V7" s="86" t="s">
        <v>947</v>
      </c>
    </row>
    <row r="8" spans="1:22" hidden="1">
      <c r="A8" s="239">
        <f t="shared" ref="A8:A71" si="1">+A7+1</f>
        <v>3</v>
      </c>
      <c r="B8" s="256" t="s">
        <v>1236</v>
      </c>
      <c r="C8" s="257" t="s">
        <v>1224</v>
      </c>
      <c r="D8" s="262" t="s">
        <v>1207</v>
      </c>
      <c r="E8" s="261">
        <v>44596</v>
      </c>
      <c r="F8" s="261" t="s">
        <v>947</v>
      </c>
      <c r="G8" s="258">
        <v>11</v>
      </c>
      <c r="H8" s="258">
        <v>4.5999999999999996</v>
      </c>
      <c r="I8" s="260">
        <f t="shared" si="0"/>
        <v>50.599999999999994</v>
      </c>
      <c r="N8" s="227">
        <v>44596</v>
      </c>
      <c r="O8" s="227" t="s">
        <v>1207</v>
      </c>
      <c r="P8" s="68" t="s">
        <v>1224</v>
      </c>
      <c r="Q8" s="227" t="s">
        <v>673</v>
      </c>
      <c r="R8" s="69">
        <v>4.5999999999999996</v>
      </c>
      <c r="S8" s="69">
        <v>50.599999999999994</v>
      </c>
      <c r="T8" s="227" t="s">
        <v>416</v>
      </c>
      <c r="U8" s="86" t="s">
        <v>1375</v>
      </c>
      <c r="V8" s="86" t="s">
        <v>947</v>
      </c>
    </row>
    <row r="9" spans="1:22" hidden="1">
      <c r="A9" s="239">
        <f t="shared" si="1"/>
        <v>4</v>
      </c>
      <c r="B9" s="256" t="s">
        <v>1236</v>
      </c>
      <c r="C9" s="257" t="s">
        <v>1224</v>
      </c>
      <c r="D9" s="262" t="s">
        <v>1207</v>
      </c>
      <c r="E9" s="261">
        <v>44596</v>
      </c>
      <c r="F9" s="261" t="s">
        <v>1088</v>
      </c>
      <c r="G9" s="258">
        <v>0.2</v>
      </c>
      <c r="H9" s="258">
        <v>4.5999999999999996</v>
      </c>
      <c r="I9" s="260">
        <f t="shared" si="0"/>
        <v>0.91999999999999993</v>
      </c>
      <c r="N9" s="227">
        <v>44596</v>
      </c>
      <c r="O9" s="227" t="s">
        <v>1207</v>
      </c>
      <c r="P9" s="68" t="s">
        <v>1224</v>
      </c>
      <c r="Q9" s="227" t="s">
        <v>673</v>
      </c>
      <c r="R9" s="69">
        <v>4.5999999999999996</v>
      </c>
      <c r="S9" s="69">
        <v>0.91999999999999993</v>
      </c>
      <c r="T9" s="227" t="s">
        <v>416</v>
      </c>
      <c r="U9" s="86" t="s">
        <v>1375</v>
      </c>
      <c r="V9" s="86" t="s">
        <v>1088</v>
      </c>
    </row>
    <row r="10" spans="1:22" hidden="1">
      <c r="A10" s="239">
        <f t="shared" si="1"/>
        <v>5</v>
      </c>
      <c r="B10" s="256" t="s">
        <v>1236</v>
      </c>
      <c r="C10" s="257" t="s">
        <v>1228</v>
      </c>
      <c r="D10" s="262" t="s">
        <v>1217</v>
      </c>
      <c r="E10" s="261">
        <v>44596</v>
      </c>
      <c r="F10" s="261" t="s">
        <v>947</v>
      </c>
      <c r="G10" s="258">
        <v>30</v>
      </c>
      <c r="H10" s="258">
        <v>4.5999999999999996</v>
      </c>
      <c r="I10" s="260">
        <f t="shared" si="0"/>
        <v>138</v>
      </c>
      <c r="N10" s="227">
        <v>44596</v>
      </c>
      <c r="O10" s="227" t="s">
        <v>1217</v>
      </c>
      <c r="P10" s="68" t="s">
        <v>1228</v>
      </c>
      <c r="Q10" s="227" t="s">
        <v>673</v>
      </c>
      <c r="R10" s="69">
        <v>4.5999999999999996</v>
      </c>
      <c r="S10" s="69">
        <v>138</v>
      </c>
      <c r="T10" s="227" t="s">
        <v>416</v>
      </c>
      <c r="U10" s="86" t="s">
        <v>1376</v>
      </c>
      <c r="V10" s="86" t="s">
        <v>947</v>
      </c>
    </row>
    <row r="11" spans="1:22" hidden="1">
      <c r="A11" s="239">
        <f t="shared" si="1"/>
        <v>6</v>
      </c>
      <c r="B11" s="256" t="s">
        <v>1236</v>
      </c>
      <c r="C11" s="257" t="s">
        <v>1228</v>
      </c>
      <c r="D11" s="262" t="s">
        <v>1217</v>
      </c>
      <c r="E11" s="261">
        <v>44596</v>
      </c>
      <c r="F11" s="261" t="s">
        <v>1088</v>
      </c>
      <c r="G11" s="258">
        <v>4.78</v>
      </c>
      <c r="H11" s="258">
        <v>4.5999999999999996</v>
      </c>
      <c r="I11" s="260">
        <f t="shared" si="0"/>
        <v>21.988</v>
      </c>
      <c r="N11" s="227">
        <v>44596</v>
      </c>
      <c r="O11" s="227" t="s">
        <v>1217</v>
      </c>
      <c r="P11" s="68" t="s">
        <v>1228</v>
      </c>
      <c r="Q11" s="227" t="s">
        <v>673</v>
      </c>
      <c r="R11" s="69">
        <v>4.5999999999999996</v>
      </c>
      <c r="S11" s="69">
        <v>21.988</v>
      </c>
      <c r="T11" s="227" t="s">
        <v>416</v>
      </c>
      <c r="U11" s="86" t="s">
        <v>1376</v>
      </c>
      <c r="V11" s="86" t="s">
        <v>1088</v>
      </c>
    </row>
    <row r="12" spans="1:22" hidden="1">
      <c r="A12" s="239">
        <f t="shared" si="1"/>
        <v>7</v>
      </c>
      <c r="B12" s="256" t="s">
        <v>1236</v>
      </c>
      <c r="C12" s="257" t="s">
        <v>1237</v>
      </c>
      <c r="D12" s="264" t="s">
        <v>1198</v>
      </c>
      <c r="E12" s="261">
        <v>44596</v>
      </c>
      <c r="F12" s="261" t="s">
        <v>1088</v>
      </c>
      <c r="G12" s="258">
        <v>4.4800000000000004</v>
      </c>
      <c r="H12" s="258">
        <v>4.5999999999999996</v>
      </c>
      <c r="I12" s="260">
        <f t="shared" si="0"/>
        <v>20.608000000000001</v>
      </c>
      <c r="N12" s="227">
        <v>44596</v>
      </c>
      <c r="O12" s="227" t="s">
        <v>1198</v>
      </c>
      <c r="P12" s="68" t="s">
        <v>1237</v>
      </c>
      <c r="Q12" s="227" t="s">
        <v>673</v>
      </c>
      <c r="R12" s="69">
        <v>4.5999999999999996</v>
      </c>
      <c r="S12" s="69">
        <v>20.608000000000001</v>
      </c>
      <c r="T12" s="227" t="s">
        <v>416</v>
      </c>
      <c r="U12" s="86" t="s">
        <v>1377</v>
      </c>
      <c r="V12" s="86" t="s">
        <v>1088</v>
      </c>
    </row>
    <row r="13" spans="1:22" ht="14.25" hidden="1" customHeight="1">
      <c r="A13" s="239">
        <f t="shared" si="1"/>
        <v>8</v>
      </c>
      <c r="B13" s="256" t="s">
        <v>1236</v>
      </c>
      <c r="C13" s="257" t="s">
        <v>1238</v>
      </c>
      <c r="D13" s="264" t="s">
        <v>865</v>
      </c>
      <c r="E13" s="261">
        <v>44596</v>
      </c>
      <c r="F13" s="261" t="s">
        <v>947</v>
      </c>
      <c r="G13" s="258">
        <v>156</v>
      </c>
      <c r="H13" s="258">
        <v>4.5999999999999996</v>
      </c>
      <c r="I13" s="260">
        <f t="shared" si="0"/>
        <v>717.59999999999991</v>
      </c>
      <c r="N13" s="227">
        <v>44596</v>
      </c>
      <c r="O13" s="227" t="s">
        <v>865</v>
      </c>
      <c r="P13" s="68" t="s">
        <v>1238</v>
      </c>
      <c r="Q13" s="227" t="s">
        <v>673</v>
      </c>
      <c r="R13" s="69">
        <v>4.5999999999999996</v>
      </c>
      <c r="S13" s="69">
        <v>717.59999999999991</v>
      </c>
      <c r="T13" s="227" t="s">
        <v>416</v>
      </c>
      <c r="U13" s="86" t="s">
        <v>1378</v>
      </c>
      <c r="V13" s="86" t="s">
        <v>947</v>
      </c>
    </row>
    <row r="14" spans="1:22" ht="14.25" hidden="1" customHeight="1">
      <c r="A14" s="239">
        <f t="shared" si="1"/>
        <v>9</v>
      </c>
      <c r="B14" s="256" t="s">
        <v>1067</v>
      </c>
      <c r="C14" s="257" t="s">
        <v>1092</v>
      </c>
      <c r="D14" s="264" t="s">
        <v>1239</v>
      </c>
      <c r="E14" s="261">
        <v>44596</v>
      </c>
      <c r="F14" s="261" t="s">
        <v>947</v>
      </c>
      <c r="G14" s="258">
        <f>40*5</f>
        <v>200</v>
      </c>
      <c r="H14" s="258">
        <v>4.5999999999999996</v>
      </c>
      <c r="I14" s="260">
        <f t="shared" si="0"/>
        <v>919.99999999999989</v>
      </c>
      <c r="N14" s="227">
        <v>44596</v>
      </c>
      <c r="O14" s="227" t="s">
        <v>1092</v>
      </c>
      <c r="P14" s="68" t="s">
        <v>1239</v>
      </c>
      <c r="Q14" s="227" t="s">
        <v>673</v>
      </c>
      <c r="R14" s="69">
        <v>4.5999999999999996</v>
      </c>
      <c r="S14" s="69">
        <v>-919.99999999999989</v>
      </c>
      <c r="T14" s="227" t="s">
        <v>416</v>
      </c>
      <c r="U14" s="86" t="s">
        <v>1379</v>
      </c>
      <c r="V14" s="86" t="s">
        <v>947</v>
      </c>
    </row>
    <row r="15" spans="1:22" hidden="1">
      <c r="A15" s="239">
        <f t="shared" si="1"/>
        <v>10</v>
      </c>
      <c r="B15" s="256" t="s">
        <v>1067</v>
      </c>
      <c r="C15" s="257" t="s">
        <v>1240</v>
      </c>
      <c r="D15" s="264" t="s">
        <v>1241</v>
      </c>
      <c r="E15" s="261">
        <v>44596</v>
      </c>
      <c r="F15" s="261" t="s">
        <v>947</v>
      </c>
      <c r="G15" s="258">
        <v>390</v>
      </c>
      <c r="H15" s="258">
        <v>4.5999999999999996</v>
      </c>
      <c r="I15" s="260">
        <f t="shared" si="0"/>
        <v>1793.9999999999998</v>
      </c>
      <c r="N15" s="227">
        <v>44596</v>
      </c>
      <c r="O15" s="227" t="s">
        <v>1240</v>
      </c>
      <c r="P15" s="68" t="s">
        <v>1241</v>
      </c>
      <c r="Q15" s="227" t="s">
        <v>673</v>
      </c>
      <c r="R15" s="69">
        <v>4.5999999999999996</v>
      </c>
      <c r="S15" s="69">
        <v>-1793.9999999999998</v>
      </c>
      <c r="T15" s="227" t="s">
        <v>416</v>
      </c>
      <c r="U15" s="86" t="s">
        <v>1380</v>
      </c>
      <c r="V15" s="86" t="s">
        <v>947</v>
      </c>
    </row>
    <row r="16" spans="1:22" hidden="1">
      <c r="A16" s="239">
        <f t="shared" si="1"/>
        <v>11</v>
      </c>
      <c r="B16" s="256" t="s">
        <v>1067</v>
      </c>
      <c r="C16" s="257" t="s">
        <v>1242</v>
      </c>
      <c r="D16" s="264" t="s">
        <v>1243</v>
      </c>
      <c r="E16" s="261">
        <v>44596</v>
      </c>
      <c r="F16" s="261" t="s">
        <v>947</v>
      </c>
      <c r="G16" s="258">
        <v>50</v>
      </c>
      <c r="H16" s="258">
        <v>4.5999999999999996</v>
      </c>
      <c r="I16" s="260">
        <f t="shared" si="0"/>
        <v>229.99999999999997</v>
      </c>
      <c r="N16" s="227">
        <v>44596</v>
      </c>
      <c r="O16" s="227" t="s">
        <v>1242</v>
      </c>
      <c r="P16" s="68" t="s">
        <v>1243</v>
      </c>
      <c r="Q16" s="227" t="s">
        <v>673</v>
      </c>
      <c r="R16" s="69">
        <v>4.5999999999999996</v>
      </c>
      <c r="S16" s="69">
        <v>-229.99999999999997</v>
      </c>
      <c r="T16" s="227" t="s">
        <v>416</v>
      </c>
      <c r="U16" s="86" t="s">
        <v>1381</v>
      </c>
      <c r="V16" s="86" t="s">
        <v>947</v>
      </c>
    </row>
    <row r="17" spans="1:22" hidden="1">
      <c r="A17" s="239">
        <f t="shared" si="1"/>
        <v>12</v>
      </c>
      <c r="B17" s="256" t="s">
        <v>1067</v>
      </c>
      <c r="C17" s="257" t="s">
        <v>1090</v>
      </c>
      <c r="D17" s="264" t="s">
        <v>1245</v>
      </c>
      <c r="E17" s="261">
        <v>44596</v>
      </c>
      <c r="F17" s="261" t="s">
        <v>947</v>
      </c>
      <c r="G17" s="258">
        <v>20</v>
      </c>
      <c r="H17" s="258">
        <v>4.5999999999999996</v>
      </c>
      <c r="I17" s="260">
        <f t="shared" si="0"/>
        <v>92</v>
      </c>
      <c r="N17" s="227">
        <v>44596</v>
      </c>
      <c r="O17" s="227" t="s">
        <v>1090</v>
      </c>
      <c r="P17" s="68" t="s">
        <v>1245</v>
      </c>
      <c r="Q17" s="227" t="s">
        <v>673</v>
      </c>
      <c r="R17" s="69">
        <v>4.5999999999999996</v>
      </c>
      <c r="S17" s="69">
        <v>-92</v>
      </c>
      <c r="T17" s="227" t="s">
        <v>416</v>
      </c>
      <c r="U17" s="86" t="s">
        <v>1382</v>
      </c>
      <c r="V17" s="86" t="s">
        <v>947</v>
      </c>
    </row>
    <row r="18" spans="1:22" hidden="1">
      <c r="A18" s="239">
        <f t="shared" si="1"/>
        <v>13</v>
      </c>
      <c r="B18" s="256" t="s">
        <v>1067</v>
      </c>
      <c r="C18" s="257" t="s">
        <v>1089</v>
      </c>
      <c r="D18" s="264" t="s">
        <v>1245</v>
      </c>
      <c r="E18" s="261">
        <v>44596</v>
      </c>
      <c r="F18" s="261" t="s">
        <v>947</v>
      </c>
      <c r="G18" s="258">
        <v>10</v>
      </c>
      <c r="H18" s="258">
        <v>4.5999999999999996</v>
      </c>
      <c r="I18" s="260">
        <f t="shared" si="0"/>
        <v>46</v>
      </c>
      <c r="J18" s="11" t="s">
        <v>1246</v>
      </c>
      <c r="N18" s="227">
        <v>44596</v>
      </c>
      <c r="O18" s="227" t="s">
        <v>1089</v>
      </c>
      <c r="P18" s="68" t="s">
        <v>1245</v>
      </c>
      <c r="Q18" s="227" t="s">
        <v>673</v>
      </c>
      <c r="R18" s="69">
        <v>4.5999999999999996</v>
      </c>
      <c r="S18" s="69">
        <v>-46</v>
      </c>
      <c r="T18" s="227" t="s">
        <v>416</v>
      </c>
      <c r="U18" s="86" t="s">
        <v>1383</v>
      </c>
      <c r="V18" s="86" t="s">
        <v>947</v>
      </c>
    </row>
    <row r="19" spans="1:22">
      <c r="A19" s="239">
        <f t="shared" si="1"/>
        <v>14</v>
      </c>
      <c r="B19" s="256" t="s">
        <v>1067</v>
      </c>
      <c r="C19" s="257" t="s">
        <v>962</v>
      </c>
      <c r="D19" s="264" t="s">
        <v>1245</v>
      </c>
      <c r="E19" s="261">
        <v>44596</v>
      </c>
      <c r="F19" s="263" t="s">
        <v>947</v>
      </c>
      <c r="G19" s="258">
        <v>20</v>
      </c>
      <c r="H19" s="258">
        <v>4.5999999999999996</v>
      </c>
      <c r="I19" s="260">
        <f t="shared" si="0"/>
        <v>92</v>
      </c>
      <c r="N19" s="227">
        <v>44596</v>
      </c>
      <c r="O19" s="227" t="s">
        <v>962</v>
      </c>
      <c r="P19" s="68" t="s">
        <v>1245</v>
      </c>
      <c r="Q19" s="227" t="s">
        <v>673</v>
      </c>
      <c r="R19" s="69">
        <v>4.5999999999999996</v>
      </c>
      <c r="S19" s="69">
        <v>-92</v>
      </c>
      <c r="T19" s="227" t="s">
        <v>416</v>
      </c>
      <c r="U19" s="86" t="s">
        <v>1384</v>
      </c>
      <c r="V19" s="86" t="s">
        <v>947</v>
      </c>
    </row>
    <row r="20" spans="1:22" hidden="1">
      <c r="A20" s="239">
        <f t="shared" si="1"/>
        <v>15</v>
      </c>
      <c r="B20" s="256" t="s">
        <v>1067</v>
      </c>
      <c r="C20" s="257" t="s">
        <v>1244</v>
      </c>
      <c r="D20" s="264" t="s">
        <v>1245</v>
      </c>
      <c r="E20" s="261">
        <v>44596</v>
      </c>
      <c r="F20" s="261" t="s">
        <v>947</v>
      </c>
      <c r="G20" s="258">
        <v>5</v>
      </c>
      <c r="H20" s="258">
        <v>4.5999999999999996</v>
      </c>
      <c r="I20" s="260">
        <f t="shared" si="0"/>
        <v>23</v>
      </c>
      <c r="N20" s="227">
        <v>44596</v>
      </c>
      <c r="O20" s="227" t="s">
        <v>1244</v>
      </c>
      <c r="P20" s="68" t="s">
        <v>1245</v>
      </c>
      <c r="Q20" s="227" t="s">
        <v>673</v>
      </c>
      <c r="R20" s="69">
        <v>4.5999999999999996</v>
      </c>
      <c r="S20" s="69">
        <v>-23</v>
      </c>
      <c r="T20" s="227" t="s">
        <v>416</v>
      </c>
      <c r="U20" s="86" t="s">
        <v>1385</v>
      </c>
      <c r="V20" s="86" t="s">
        <v>947</v>
      </c>
    </row>
    <row r="21" spans="1:22" hidden="1">
      <c r="A21" s="239">
        <f t="shared" si="1"/>
        <v>16</v>
      </c>
      <c r="B21" s="256" t="s">
        <v>1067</v>
      </c>
      <c r="C21" s="257" t="s">
        <v>1091</v>
      </c>
      <c r="D21" s="264" t="s">
        <v>1245</v>
      </c>
      <c r="E21" s="261">
        <v>44596</v>
      </c>
      <c r="F21" s="261" t="s">
        <v>947</v>
      </c>
      <c r="G21" s="258">
        <v>15</v>
      </c>
      <c r="H21" s="258">
        <v>4.5999999999999996</v>
      </c>
      <c r="I21" s="260">
        <f t="shared" si="0"/>
        <v>69</v>
      </c>
      <c r="N21" s="227">
        <v>44596</v>
      </c>
      <c r="O21" s="227" t="s">
        <v>1091</v>
      </c>
      <c r="P21" s="68" t="s">
        <v>1245</v>
      </c>
      <c r="Q21" s="227" t="s">
        <v>673</v>
      </c>
      <c r="R21" s="69">
        <v>4.5999999999999996</v>
      </c>
      <c r="S21" s="69">
        <v>-69</v>
      </c>
      <c r="T21" s="227" t="s">
        <v>416</v>
      </c>
      <c r="U21" s="86" t="s">
        <v>1386</v>
      </c>
      <c r="V21" s="86" t="s">
        <v>947</v>
      </c>
    </row>
    <row r="22" spans="1:22" hidden="1">
      <c r="A22" s="239">
        <f t="shared" si="1"/>
        <v>17</v>
      </c>
      <c r="B22" s="256" t="s">
        <v>1067</v>
      </c>
      <c r="C22" s="257" t="s">
        <v>1170</v>
      </c>
      <c r="D22" s="264" t="s">
        <v>1245</v>
      </c>
      <c r="E22" s="261">
        <v>44596</v>
      </c>
      <c r="F22" s="261" t="s">
        <v>947</v>
      </c>
      <c r="G22" s="258">
        <v>7</v>
      </c>
      <c r="H22" s="258">
        <v>4.5999999999999996</v>
      </c>
      <c r="I22" s="260">
        <f t="shared" si="0"/>
        <v>32.199999999999996</v>
      </c>
      <c r="N22" s="227">
        <v>44596</v>
      </c>
      <c r="O22" s="227" t="s">
        <v>1170</v>
      </c>
      <c r="P22" s="68" t="s">
        <v>1245</v>
      </c>
      <c r="Q22" s="227" t="s">
        <v>673</v>
      </c>
      <c r="R22" s="69">
        <v>4.5999999999999996</v>
      </c>
      <c r="S22" s="69">
        <v>-32.199999999999996</v>
      </c>
      <c r="T22" s="227" t="s">
        <v>416</v>
      </c>
      <c r="U22" s="86" t="s">
        <v>1387</v>
      </c>
      <c r="V22" s="86" t="s">
        <v>947</v>
      </c>
    </row>
    <row r="23" spans="1:22" hidden="1">
      <c r="A23" s="239">
        <f t="shared" si="1"/>
        <v>18</v>
      </c>
      <c r="B23" s="256" t="s">
        <v>1236</v>
      </c>
      <c r="C23" s="257" t="s">
        <v>1210</v>
      </c>
      <c r="D23" s="262" t="s">
        <v>237</v>
      </c>
      <c r="E23" s="261">
        <v>44600</v>
      </c>
      <c r="F23" s="265" t="s">
        <v>947</v>
      </c>
      <c r="G23" s="258">
        <v>20</v>
      </c>
      <c r="H23" s="258">
        <v>4.5999999999999996</v>
      </c>
      <c r="I23" s="260">
        <f t="shared" si="0"/>
        <v>92</v>
      </c>
      <c r="N23" s="227">
        <v>44600</v>
      </c>
      <c r="O23" s="227" t="s">
        <v>237</v>
      </c>
      <c r="P23" s="68" t="s">
        <v>1210</v>
      </c>
      <c r="Q23" s="227" t="s">
        <v>673</v>
      </c>
      <c r="R23" s="69">
        <v>4.5999999999999996</v>
      </c>
      <c r="S23" s="69">
        <v>92</v>
      </c>
      <c r="T23" s="227" t="s">
        <v>416</v>
      </c>
      <c r="U23" s="86" t="s">
        <v>1388</v>
      </c>
      <c r="V23" s="86" t="s">
        <v>947</v>
      </c>
    </row>
    <row r="24" spans="1:22" hidden="1">
      <c r="A24" s="239">
        <f t="shared" si="1"/>
        <v>19</v>
      </c>
      <c r="B24" s="256" t="s">
        <v>1236</v>
      </c>
      <c r="C24" s="257" t="s">
        <v>1210</v>
      </c>
      <c r="D24" s="262" t="s">
        <v>237</v>
      </c>
      <c r="E24" s="261">
        <v>44600</v>
      </c>
      <c r="F24" s="265" t="s">
        <v>1088</v>
      </c>
      <c r="G24" s="258">
        <v>4.9000000000000004</v>
      </c>
      <c r="H24" s="258">
        <v>4.5999999999999996</v>
      </c>
      <c r="I24" s="260">
        <f t="shared" si="0"/>
        <v>22.54</v>
      </c>
      <c r="N24" s="227">
        <v>44600</v>
      </c>
      <c r="O24" s="227" t="s">
        <v>237</v>
      </c>
      <c r="P24" s="68" t="s">
        <v>1210</v>
      </c>
      <c r="Q24" s="227" t="s">
        <v>673</v>
      </c>
      <c r="R24" s="69">
        <v>4.5999999999999996</v>
      </c>
      <c r="S24" s="69">
        <v>22.54</v>
      </c>
      <c r="T24" s="227" t="s">
        <v>416</v>
      </c>
      <c r="U24" s="86" t="s">
        <v>1388</v>
      </c>
      <c r="V24" s="86" t="s">
        <v>1088</v>
      </c>
    </row>
    <row r="25" spans="1:22" hidden="1">
      <c r="A25" s="239">
        <f t="shared" si="1"/>
        <v>20</v>
      </c>
      <c r="B25" s="256" t="s">
        <v>1236</v>
      </c>
      <c r="C25" s="257" t="s">
        <v>1226</v>
      </c>
      <c r="D25" s="262" t="s">
        <v>850</v>
      </c>
      <c r="E25" s="261">
        <v>44600</v>
      </c>
      <c r="F25" s="265" t="s">
        <v>947</v>
      </c>
      <c r="G25" s="258">
        <v>140</v>
      </c>
      <c r="H25" s="258">
        <v>4.5999999999999996</v>
      </c>
      <c r="I25" s="260">
        <f t="shared" si="0"/>
        <v>644</v>
      </c>
      <c r="N25" s="227">
        <v>44600</v>
      </c>
      <c r="O25" s="227" t="s">
        <v>850</v>
      </c>
      <c r="P25" s="68" t="s">
        <v>1226</v>
      </c>
      <c r="Q25" s="227" t="s">
        <v>673</v>
      </c>
      <c r="R25" s="69">
        <v>4.5999999999999996</v>
      </c>
      <c r="S25" s="69">
        <v>644</v>
      </c>
      <c r="T25" s="227" t="s">
        <v>416</v>
      </c>
      <c r="U25" s="86" t="s">
        <v>1389</v>
      </c>
      <c r="V25" s="86" t="s">
        <v>947</v>
      </c>
    </row>
    <row r="26" spans="1:22" hidden="1">
      <c r="A26" s="239">
        <f t="shared" si="1"/>
        <v>21</v>
      </c>
      <c r="B26" s="256" t="s">
        <v>1236</v>
      </c>
      <c r="C26" s="257" t="s">
        <v>1229</v>
      </c>
      <c r="D26" s="262" t="s">
        <v>237</v>
      </c>
      <c r="E26" s="261">
        <v>44600</v>
      </c>
      <c r="F26" s="265" t="s">
        <v>947</v>
      </c>
      <c r="G26" s="258">
        <v>115</v>
      </c>
      <c r="H26" s="258">
        <v>4.5999999999999996</v>
      </c>
      <c r="I26" s="260">
        <f t="shared" si="0"/>
        <v>529</v>
      </c>
      <c r="K26" s="268"/>
      <c r="N26" s="227">
        <v>44600</v>
      </c>
      <c r="O26" s="227" t="s">
        <v>237</v>
      </c>
      <c r="P26" s="68" t="s">
        <v>1229</v>
      </c>
      <c r="Q26" s="227" t="s">
        <v>673</v>
      </c>
      <c r="R26" s="69">
        <v>4.5999999999999996</v>
      </c>
      <c r="S26" s="69">
        <v>529</v>
      </c>
      <c r="T26" s="227" t="s">
        <v>416</v>
      </c>
      <c r="U26" s="86" t="s">
        <v>1390</v>
      </c>
      <c r="V26" s="86" t="s">
        <v>947</v>
      </c>
    </row>
    <row r="27" spans="1:22" hidden="1">
      <c r="A27" s="239">
        <f t="shared" si="1"/>
        <v>22</v>
      </c>
      <c r="B27" s="256" t="s">
        <v>1236</v>
      </c>
      <c r="C27" s="257" t="s">
        <v>1229</v>
      </c>
      <c r="D27" s="262" t="s">
        <v>237</v>
      </c>
      <c r="E27" s="261">
        <v>44600</v>
      </c>
      <c r="F27" s="265" t="s">
        <v>1088</v>
      </c>
      <c r="G27" s="258">
        <v>1.3</v>
      </c>
      <c r="H27" s="258">
        <v>4.5999999999999996</v>
      </c>
      <c r="I27" s="260">
        <f t="shared" si="0"/>
        <v>5.9799999999999995</v>
      </c>
      <c r="K27" s="11"/>
      <c r="N27" s="227">
        <v>44600</v>
      </c>
      <c r="O27" s="227" t="s">
        <v>237</v>
      </c>
      <c r="P27" s="68" t="s">
        <v>1229</v>
      </c>
      <c r="Q27" s="227" t="s">
        <v>673</v>
      </c>
      <c r="R27" s="69">
        <v>4.5999999999999996</v>
      </c>
      <c r="S27" s="69">
        <v>5.9799999999999995</v>
      </c>
      <c r="T27" s="227" t="s">
        <v>416</v>
      </c>
      <c r="U27" s="86" t="s">
        <v>1390</v>
      </c>
      <c r="V27" s="86" t="s">
        <v>1088</v>
      </c>
    </row>
    <row r="28" spans="1:22" hidden="1">
      <c r="A28" s="239">
        <f t="shared" si="1"/>
        <v>23</v>
      </c>
      <c r="B28" s="256" t="s">
        <v>1236</v>
      </c>
      <c r="C28" s="257" t="s">
        <v>1231</v>
      </c>
      <c r="D28" s="262" t="s">
        <v>301</v>
      </c>
      <c r="E28" s="261">
        <v>44600</v>
      </c>
      <c r="F28" s="265" t="s">
        <v>947</v>
      </c>
      <c r="G28" s="258">
        <v>85</v>
      </c>
      <c r="H28" s="258">
        <v>4.5999999999999996</v>
      </c>
      <c r="I28" s="260">
        <f t="shared" si="0"/>
        <v>390.99999999999994</v>
      </c>
      <c r="K28" s="11"/>
      <c r="N28" s="227">
        <v>44600</v>
      </c>
      <c r="O28" s="227" t="s">
        <v>301</v>
      </c>
      <c r="P28" s="68" t="s">
        <v>1231</v>
      </c>
      <c r="Q28" s="227" t="s">
        <v>673</v>
      </c>
      <c r="R28" s="69">
        <v>4.5999999999999996</v>
      </c>
      <c r="S28" s="69">
        <v>390.99999999999994</v>
      </c>
      <c r="T28" s="227" t="s">
        <v>416</v>
      </c>
      <c r="U28" s="86" t="s">
        <v>1391</v>
      </c>
      <c r="V28" s="86" t="s">
        <v>947</v>
      </c>
    </row>
    <row r="29" spans="1:22" hidden="1">
      <c r="A29" s="239">
        <f t="shared" si="1"/>
        <v>24</v>
      </c>
      <c r="B29" s="256" t="s">
        <v>1236</v>
      </c>
      <c r="C29" s="257" t="s">
        <v>1231</v>
      </c>
      <c r="D29" s="262" t="s">
        <v>301</v>
      </c>
      <c r="E29" s="261">
        <v>44600</v>
      </c>
      <c r="F29" s="265" t="s">
        <v>1088</v>
      </c>
      <c r="G29" s="258">
        <v>4.5999999999999996</v>
      </c>
      <c r="H29" s="258">
        <v>4.5999999999999996</v>
      </c>
      <c r="I29" s="260">
        <f t="shared" si="0"/>
        <v>21.159999999999997</v>
      </c>
      <c r="N29" s="227">
        <v>44600</v>
      </c>
      <c r="O29" s="227" t="s">
        <v>301</v>
      </c>
      <c r="P29" s="68" t="s">
        <v>1231</v>
      </c>
      <c r="Q29" s="227" t="s">
        <v>673</v>
      </c>
      <c r="R29" s="69">
        <v>4.5999999999999996</v>
      </c>
      <c r="S29" s="69">
        <v>21.159999999999997</v>
      </c>
      <c r="T29" s="227" t="s">
        <v>416</v>
      </c>
      <c r="U29" s="86" t="s">
        <v>1391</v>
      </c>
      <c r="V29" s="86" t="s">
        <v>1088</v>
      </c>
    </row>
    <row r="30" spans="1:22" hidden="1">
      <c r="A30" s="239">
        <f t="shared" si="1"/>
        <v>25</v>
      </c>
      <c r="B30" s="256" t="s">
        <v>1236</v>
      </c>
      <c r="C30" s="257" t="s">
        <v>1249</v>
      </c>
      <c r="D30" s="262" t="s">
        <v>1188</v>
      </c>
      <c r="E30" s="263">
        <v>44600</v>
      </c>
      <c r="F30" s="265" t="s">
        <v>1088</v>
      </c>
      <c r="G30" s="258">
        <v>30</v>
      </c>
      <c r="H30" s="258">
        <v>4.5999999999999996</v>
      </c>
      <c r="I30" s="260">
        <f t="shared" si="0"/>
        <v>138</v>
      </c>
      <c r="N30" s="227">
        <v>44600</v>
      </c>
      <c r="O30" s="227" t="s">
        <v>1188</v>
      </c>
      <c r="P30" s="68" t="s">
        <v>1249</v>
      </c>
      <c r="Q30" s="227" t="s">
        <v>673</v>
      </c>
      <c r="R30" s="69">
        <v>4.5999999999999996</v>
      </c>
      <c r="S30" s="69">
        <v>138</v>
      </c>
      <c r="T30" s="227" t="s">
        <v>416</v>
      </c>
      <c r="U30" s="86" t="s">
        <v>1392</v>
      </c>
      <c r="V30" s="86" t="s">
        <v>1088</v>
      </c>
    </row>
    <row r="31" spans="1:22" hidden="1">
      <c r="A31" s="239">
        <f t="shared" si="1"/>
        <v>26</v>
      </c>
      <c r="B31" s="256" t="s">
        <v>1067</v>
      </c>
      <c r="C31" s="257" t="s">
        <v>1250</v>
      </c>
      <c r="D31" s="262" t="s">
        <v>1251</v>
      </c>
      <c r="E31" s="263">
        <v>44600</v>
      </c>
      <c r="F31" s="265" t="s">
        <v>947</v>
      </c>
      <c r="G31" s="258">
        <v>25</v>
      </c>
      <c r="H31" s="258">
        <v>4.5999999999999996</v>
      </c>
      <c r="I31" s="260">
        <f t="shared" si="0"/>
        <v>114.99999999999999</v>
      </c>
      <c r="N31" s="227">
        <v>44600</v>
      </c>
      <c r="O31" s="227" t="s">
        <v>1250</v>
      </c>
      <c r="P31" s="68" t="s">
        <v>1251</v>
      </c>
      <c r="Q31" s="227" t="s">
        <v>673</v>
      </c>
      <c r="R31" s="69">
        <v>4.5999999999999996</v>
      </c>
      <c r="S31" s="69">
        <v>-114.99999999999999</v>
      </c>
      <c r="T31" s="227" t="s">
        <v>416</v>
      </c>
      <c r="U31" s="86" t="s">
        <v>1393</v>
      </c>
      <c r="V31" s="86" t="s">
        <v>947</v>
      </c>
    </row>
    <row r="32" spans="1:22" hidden="1">
      <c r="A32" s="239">
        <f t="shared" si="1"/>
        <v>27</v>
      </c>
      <c r="B32" s="256" t="s">
        <v>1236</v>
      </c>
      <c r="C32" s="257" t="s">
        <v>1230</v>
      </c>
      <c r="D32" s="262" t="s">
        <v>1069</v>
      </c>
      <c r="E32" s="263">
        <v>44602</v>
      </c>
      <c r="F32" s="265" t="s">
        <v>947</v>
      </c>
      <c r="G32" s="258">
        <v>70</v>
      </c>
      <c r="H32" s="258">
        <v>4.5999999999999996</v>
      </c>
      <c r="I32" s="260">
        <f t="shared" si="0"/>
        <v>322</v>
      </c>
      <c r="K32" s="268"/>
      <c r="N32" s="227">
        <v>44602</v>
      </c>
      <c r="O32" s="227" t="s">
        <v>1069</v>
      </c>
      <c r="P32" s="68" t="s">
        <v>1230</v>
      </c>
      <c r="Q32" s="227" t="s">
        <v>673</v>
      </c>
      <c r="R32" s="69">
        <v>4.5999999999999996</v>
      </c>
      <c r="S32" s="69">
        <v>322</v>
      </c>
      <c r="T32" s="227" t="s">
        <v>416</v>
      </c>
      <c r="U32" s="86" t="s">
        <v>1394</v>
      </c>
      <c r="V32" s="86" t="s">
        <v>947</v>
      </c>
    </row>
    <row r="33" spans="1:22" hidden="1">
      <c r="A33" s="239">
        <f t="shared" si="1"/>
        <v>28</v>
      </c>
      <c r="B33" s="256" t="s">
        <v>1236</v>
      </c>
      <c r="C33" s="257" t="s">
        <v>1230</v>
      </c>
      <c r="D33" s="262" t="s">
        <v>1069</v>
      </c>
      <c r="E33" s="263">
        <v>44602</v>
      </c>
      <c r="F33" s="265" t="s">
        <v>1088</v>
      </c>
      <c r="G33" s="258">
        <v>3.92</v>
      </c>
      <c r="H33" s="258">
        <v>4.5999999999999996</v>
      </c>
      <c r="I33" s="260">
        <f t="shared" si="0"/>
        <v>18.032</v>
      </c>
      <c r="K33" s="11"/>
      <c r="N33" s="227">
        <v>44602</v>
      </c>
      <c r="O33" s="227" t="s">
        <v>1069</v>
      </c>
      <c r="P33" s="68" t="s">
        <v>1230</v>
      </c>
      <c r="Q33" s="227" t="s">
        <v>673</v>
      </c>
      <c r="R33" s="69">
        <v>4.5999999999999996</v>
      </c>
      <c r="S33" s="69">
        <v>18.032</v>
      </c>
      <c r="T33" s="227" t="s">
        <v>416</v>
      </c>
      <c r="U33" s="86" t="s">
        <v>1394</v>
      </c>
      <c r="V33" s="86" t="s">
        <v>1088</v>
      </c>
    </row>
    <row r="34" spans="1:22" hidden="1">
      <c r="A34" s="239">
        <f t="shared" si="1"/>
        <v>29</v>
      </c>
      <c r="B34" s="256" t="s">
        <v>1236</v>
      </c>
      <c r="C34" s="257" t="s">
        <v>1256</v>
      </c>
      <c r="D34" s="262" t="s">
        <v>1207</v>
      </c>
      <c r="E34" s="263">
        <v>44602</v>
      </c>
      <c r="F34" s="265" t="s">
        <v>947</v>
      </c>
      <c r="G34" s="258">
        <v>20</v>
      </c>
      <c r="H34" s="258">
        <v>4.5999999999999996</v>
      </c>
      <c r="I34" s="260">
        <f t="shared" si="0"/>
        <v>92</v>
      </c>
      <c r="L34" s="11"/>
      <c r="N34" s="227">
        <v>44602</v>
      </c>
      <c r="O34" s="227" t="s">
        <v>1207</v>
      </c>
      <c r="P34" s="68" t="s">
        <v>1256</v>
      </c>
      <c r="Q34" s="227" t="s">
        <v>673</v>
      </c>
      <c r="R34" s="69">
        <v>4.5999999999999996</v>
      </c>
      <c r="S34" s="69">
        <v>92</v>
      </c>
      <c r="T34" s="227" t="s">
        <v>416</v>
      </c>
      <c r="U34" s="86" t="s">
        <v>1395</v>
      </c>
      <c r="V34" s="86" t="s">
        <v>947</v>
      </c>
    </row>
    <row r="35" spans="1:22" hidden="1">
      <c r="A35" s="239">
        <f t="shared" si="1"/>
        <v>30</v>
      </c>
      <c r="B35" s="256" t="s">
        <v>1236</v>
      </c>
      <c r="C35" s="257" t="s">
        <v>1256</v>
      </c>
      <c r="D35" s="262" t="s">
        <v>1207</v>
      </c>
      <c r="E35" s="263">
        <v>44602</v>
      </c>
      <c r="F35" s="265" t="s">
        <v>1088</v>
      </c>
      <c r="G35" s="258">
        <v>4.5599999999999996</v>
      </c>
      <c r="H35" s="258">
        <v>4.5999999999999996</v>
      </c>
      <c r="I35" s="260">
        <f t="shared" si="0"/>
        <v>20.975999999999996</v>
      </c>
      <c r="N35" s="227">
        <v>44602</v>
      </c>
      <c r="O35" s="227" t="s">
        <v>1207</v>
      </c>
      <c r="P35" s="68" t="s">
        <v>1256</v>
      </c>
      <c r="Q35" s="227" t="s">
        <v>673</v>
      </c>
      <c r="R35" s="69">
        <v>4.5999999999999996</v>
      </c>
      <c r="S35" s="69">
        <v>20.975999999999996</v>
      </c>
      <c r="T35" s="227" t="s">
        <v>416</v>
      </c>
      <c r="U35" s="86" t="s">
        <v>1395</v>
      </c>
      <c r="V35" s="86" t="s">
        <v>1088</v>
      </c>
    </row>
    <row r="36" spans="1:22" hidden="1">
      <c r="A36" s="239">
        <f t="shared" si="1"/>
        <v>31</v>
      </c>
      <c r="B36" s="256" t="s">
        <v>1236</v>
      </c>
      <c r="C36" s="257" t="s">
        <v>1257</v>
      </c>
      <c r="D36" s="262" t="s">
        <v>823</v>
      </c>
      <c r="E36" s="263">
        <v>44602</v>
      </c>
      <c r="F36" s="263" t="s">
        <v>947</v>
      </c>
      <c r="G36" s="258">
        <v>285</v>
      </c>
      <c r="H36" s="258">
        <v>4.5999999999999996</v>
      </c>
      <c r="I36" s="260">
        <f t="shared" si="0"/>
        <v>1311</v>
      </c>
      <c r="N36" s="227">
        <v>44602</v>
      </c>
      <c r="O36" s="227" t="s">
        <v>823</v>
      </c>
      <c r="P36" s="68" t="s">
        <v>1257</v>
      </c>
      <c r="Q36" s="227" t="s">
        <v>673</v>
      </c>
      <c r="R36" s="69">
        <v>4.5999999999999996</v>
      </c>
      <c r="S36" s="69">
        <v>1311</v>
      </c>
      <c r="T36" s="227" t="s">
        <v>416</v>
      </c>
      <c r="U36" s="86" t="s">
        <v>1396</v>
      </c>
      <c r="V36" s="86" t="s">
        <v>947</v>
      </c>
    </row>
    <row r="37" spans="1:22" hidden="1">
      <c r="A37" s="239">
        <f t="shared" si="1"/>
        <v>32</v>
      </c>
      <c r="B37" s="256" t="s">
        <v>1236</v>
      </c>
      <c r="C37" s="257" t="s">
        <v>1257</v>
      </c>
      <c r="D37" s="262" t="s">
        <v>823</v>
      </c>
      <c r="E37" s="263">
        <v>44602</v>
      </c>
      <c r="F37" s="263" t="s">
        <v>1088</v>
      </c>
      <c r="G37" s="258">
        <v>0.6</v>
      </c>
      <c r="H37" s="258">
        <v>4.5999999999999996</v>
      </c>
      <c r="I37" s="260">
        <f t="shared" si="0"/>
        <v>2.76</v>
      </c>
      <c r="N37" s="227">
        <v>44602</v>
      </c>
      <c r="O37" s="227" t="s">
        <v>823</v>
      </c>
      <c r="P37" s="68" t="s">
        <v>1257</v>
      </c>
      <c r="Q37" s="227" t="s">
        <v>673</v>
      </c>
      <c r="R37" s="69">
        <v>4.5999999999999996</v>
      </c>
      <c r="S37" s="69">
        <v>2.76</v>
      </c>
      <c r="T37" s="227" t="s">
        <v>416</v>
      </c>
      <c r="U37" s="86" t="s">
        <v>1396</v>
      </c>
      <c r="V37" s="86" t="s">
        <v>1088</v>
      </c>
    </row>
    <row r="38" spans="1:22" hidden="1">
      <c r="A38" s="239">
        <f t="shared" si="1"/>
        <v>33</v>
      </c>
      <c r="B38" s="256" t="s">
        <v>1236</v>
      </c>
      <c r="C38" s="257" t="s">
        <v>1258</v>
      </c>
      <c r="D38" s="264" t="s">
        <v>865</v>
      </c>
      <c r="E38" s="263">
        <v>44602</v>
      </c>
      <c r="F38" s="263" t="s">
        <v>947</v>
      </c>
      <c r="G38" s="258">
        <v>145</v>
      </c>
      <c r="H38" s="258">
        <v>4.5999999999999996</v>
      </c>
      <c r="I38" s="260">
        <f t="shared" si="0"/>
        <v>667</v>
      </c>
      <c r="N38" s="227">
        <v>44602</v>
      </c>
      <c r="O38" s="227" t="s">
        <v>865</v>
      </c>
      <c r="P38" s="68" t="s">
        <v>1258</v>
      </c>
      <c r="Q38" s="227" t="s">
        <v>673</v>
      </c>
      <c r="R38" s="69">
        <v>4.5999999999999996</v>
      </c>
      <c r="S38" s="69">
        <v>667</v>
      </c>
      <c r="T38" s="227" t="s">
        <v>416</v>
      </c>
      <c r="U38" s="86" t="s">
        <v>1397</v>
      </c>
      <c r="V38" s="86" t="s">
        <v>947</v>
      </c>
    </row>
    <row r="39" spans="1:22" ht="12.75" hidden="1" customHeight="1">
      <c r="A39" s="239">
        <f t="shared" si="1"/>
        <v>34</v>
      </c>
      <c r="B39" s="256" t="s">
        <v>1236</v>
      </c>
      <c r="C39" s="257" t="s">
        <v>1258</v>
      </c>
      <c r="D39" s="264" t="s">
        <v>865</v>
      </c>
      <c r="E39" s="263">
        <v>44602</v>
      </c>
      <c r="F39" s="263" t="s">
        <v>1088</v>
      </c>
      <c r="G39" s="258">
        <v>3.82</v>
      </c>
      <c r="H39" s="258">
        <v>4.5999999999999996</v>
      </c>
      <c r="I39" s="260">
        <f t="shared" si="0"/>
        <v>17.571999999999999</v>
      </c>
      <c r="N39" s="227">
        <v>44602</v>
      </c>
      <c r="O39" s="227" t="s">
        <v>865</v>
      </c>
      <c r="P39" s="68" t="s">
        <v>1258</v>
      </c>
      <c r="Q39" s="227" t="s">
        <v>673</v>
      </c>
      <c r="R39" s="69">
        <v>4.5999999999999996</v>
      </c>
      <c r="S39" s="69">
        <v>17.571999999999999</v>
      </c>
      <c r="T39" s="227" t="s">
        <v>416</v>
      </c>
      <c r="U39" s="86" t="s">
        <v>1397</v>
      </c>
      <c r="V39" s="86" t="s">
        <v>1088</v>
      </c>
    </row>
    <row r="40" spans="1:22" hidden="1">
      <c r="A40" s="239">
        <f t="shared" si="1"/>
        <v>35</v>
      </c>
      <c r="B40" s="256" t="s">
        <v>1067</v>
      </c>
      <c r="C40" s="257" t="s">
        <v>1092</v>
      </c>
      <c r="D40" s="264" t="s">
        <v>1259</v>
      </c>
      <c r="E40" s="263">
        <v>44603</v>
      </c>
      <c r="F40" s="263" t="s">
        <v>947</v>
      </c>
      <c r="G40" s="258">
        <f>30*5</f>
        <v>150</v>
      </c>
      <c r="H40" s="258">
        <v>4.46</v>
      </c>
      <c r="I40" s="260">
        <f t="shared" si="0"/>
        <v>669</v>
      </c>
      <c r="N40" s="227">
        <v>44603</v>
      </c>
      <c r="O40" s="227" t="s">
        <v>1092</v>
      </c>
      <c r="P40" s="68" t="s">
        <v>1259</v>
      </c>
      <c r="Q40" s="227" t="s">
        <v>673</v>
      </c>
      <c r="R40" s="69">
        <v>4.46</v>
      </c>
      <c r="S40" s="69">
        <v>-669</v>
      </c>
      <c r="T40" s="227" t="s">
        <v>416</v>
      </c>
      <c r="U40" s="86" t="s">
        <v>1398</v>
      </c>
      <c r="V40" s="86" t="s">
        <v>947</v>
      </c>
    </row>
    <row r="41" spans="1:22" hidden="1">
      <c r="A41" s="239">
        <f t="shared" si="1"/>
        <v>36</v>
      </c>
      <c r="B41" s="256" t="s">
        <v>1067</v>
      </c>
      <c r="C41" s="257" t="s">
        <v>1242</v>
      </c>
      <c r="D41" s="264" t="s">
        <v>1260</v>
      </c>
      <c r="E41" s="263">
        <v>44603</v>
      </c>
      <c r="F41" s="261" t="s">
        <v>947</v>
      </c>
      <c r="G41" s="258">
        <v>50</v>
      </c>
      <c r="H41" s="258">
        <v>4.46</v>
      </c>
      <c r="I41" s="260">
        <f t="shared" ref="I41:I47" si="2">H41*G41</f>
        <v>223</v>
      </c>
      <c r="N41" s="227">
        <v>44603</v>
      </c>
      <c r="O41" s="227" t="s">
        <v>1242</v>
      </c>
      <c r="P41" s="68" t="s">
        <v>1260</v>
      </c>
      <c r="Q41" s="227" t="s">
        <v>673</v>
      </c>
      <c r="R41" s="69">
        <v>4.46</v>
      </c>
      <c r="S41" s="69">
        <v>-223</v>
      </c>
      <c r="T41" s="227" t="s">
        <v>416</v>
      </c>
      <c r="U41" s="86" t="s">
        <v>1399</v>
      </c>
      <c r="V41" s="86" t="s">
        <v>947</v>
      </c>
    </row>
    <row r="42" spans="1:22" hidden="1">
      <c r="A42" s="239">
        <f t="shared" si="1"/>
        <v>37</v>
      </c>
      <c r="B42" s="256" t="s">
        <v>1067</v>
      </c>
      <c r="C42" s="257" t="s">
        <v>1090</v>
      </c>
      <c r="D42" s="264" t="s">
        <v>1261</v>
      </c>
      <c r="E42" s="263">
        <v>44603</v>
      </c>
      <c r="F42" s="261" t="s">
        <v>947</v>
      </c>
      <c r="G42" s="258">
        <v>20</v>
      </c>
      <c r="H42" s="258">
        <v>4.46</v>
      </c>
      <c r="I42" s="260">
        <f t="shared" si="2"/>
        <v>89.2</v>
      </c>
      <c r="K42" s="11"/>
      <c r="N42" s="227">
        <v>44603</v>
      </c>
      <c r="O42" s="227" t="s">
        <v>1090</v>
      </c>
      <c r="P42" s="68" t="s">
        <v>1261</v>
      </c>
      <c r="Q42" s="227" t="s">
        <v>673</v>
      </c>
      <c r="R42" s="69">
        <v>4.46</v>
      </c>
      <c r="S42" s="69">
        <v>-89.2</v>
      </c>
      <c r="T42" s="227" t="s">
        <v>416</v>
      </c>
      <c r="U42" s="86" t="s">
        <v>1400</v>
      </c>
      <c r="V42" s="86" t="s">
        <v>947</v>
      </c>
    </row>
    <row r="43" spans="1:22" hidden="1">
      <c r="A43" s="239">
        <f t="shared" si="1"/>
        <v>38</v>
      </c>
      <c r="B43" s="256" t="s">
        <v>1067</v>
      </c>
      <c r="C43" s="257" t="s">
        <v>1089</v>
      </c>
      <c r="D43" s="264" t="s">
        <v>1261</v>
      </c>
      <c r="E43" s="263">
        <v>44603</v>
      </c>
      <c r="F43" s="261" t="s">
        <v>947</v>
      </c>
      <c r="G43" s="258">
        <v>20</v>
      </c>
      <c r="H43" s="258">
        <v>4.46</v>
      </c>
      <c r="I43" s="260">
        <f t="shared" si="2"/>
        <v>89.2</v>
      </c>
      <c r="N43" s="227">
        <v>44603</v>
      </c>
      <c r="O43" s="227" t="s">
        <v>1089</v>
      </c>
      <c r="P43" s="68" t="s">
        <v>1261</v>
      </c>
      <c r="Q43" s="227" t="s">
        <v>673</v>
      </c>
      <c r="R43" s="69">
        <v>4.46</v>
      </c>
      <c r="S43" s="69">
        <v>-89.2</v>
      </c>
      <c r="T43" s="227" t="s">
        <v>416</v>
      </c>
      <c r="U43" s="86" t="s">
        <v>1401</v>
      </c>
      <c r="V43" s="86" t="s">
        <v>947</v>
      </c>
    </row>
    <row r="44" spans="1:22">
      <c r="A44" s="239">
        <f t="shared" si="1"/>
        <v>39</v>
      </c>
      <c r="B44" s="256" t="s">
        <v>1067</v>
      </c>
      <c r="C44" s="257" t="s">
        <v>962</v>
      </c>
      <c r="D44" s="264" t="s">
        <v>1261</v>
      </c>
      <c r="E44" s="263">
        <v>44603</v>
      </c>
      <c r="F44" s="263" t="s">
        <v>947</v>
      </c>
      <c r="G44" s="258">
        <v>20</v>
      </c>
      <c r="H44" s="258">
        <v>4.46</v>
      </c>
      <c r="I44" s="260">
        <f t="shared" si="2"/>
        <v>89.2</v>
      </c>
      <c r="N44" s="227">
        <v>44603</v>
      </c>
      <c r="O44" s="227" t="s">
        <v>962</v>
      </c>
      <c r="P44" s="68" t="s">
        <v>1261</v>
      </c>
      <c r="Q44" s="227" t="s">
        <v>673</v>
      </c>
      <c r="R44" s="69">
        <v>4.46</v>
      </c>
      <c r="S44" s="69">
        <v>-89.2</v>
      </c>
      <c r="T44" s="227" t="s">
        <v>416</v>
      </c>
      <c r="U44" s="86" t="s">
        <v>1402</v>
      </c>
      <c r="V44" s="86" t="s">
        <v>947</v>
      </c>
    </row>
    <row r="45" spans="1:22" hidden="1">
      <c r="A45" s="239">
        <f t="shared" si="1"/>
        <v>40</v>
      </c>
      <c r="B45" s="256" t="s">
        <v>1067</v>
      </c>
      <c r="C45" s="257" t="s">
        <v>1244</v>
      </c>
      <c r="D45" s="264" t="s">
        <v>1261</v>
      </c>
      <c r="E45" s="263">
        <v>44603</v>
      </c>
      <c r="F45" s="261" t="s">
        <v>947</v>
      </c>
      <c r="G45" s="258">
        <v>5</v>
      </c>
      <c r="H45" s="258">
        <v>4.46</v>
      </c>
      <c r="I45" s="260">
        <f t="shared" si="2"/>
        <v>22.3</v>
      </c>
      <c r="N45" s="227">
        <v>44603</v>
      </c>
      <c r="O45" s="227" t="s">
        <v>1244</v>
      </c>
      <c r="P45" s="68" t="s">
        <v>1261</v>
      </c>
      <c r="Q45" s="227" t="s">
        <v>673</v>
      </c>
      <c r="R45" s="69">
        <v>4.46</v>
      </c>
      <c r="S45" s="69">
        <v>-22.3</v>
      </c>
      <c r="T45" s="227" t="s">
        <v>416</v>
      </c>
      <c r="U45" s="86" t="s">
        <v>1403</v>
      </c>
      <c r="V45" s="86" t="s">
        <v>947</v>
      </c>
    </row>
    <row r="46" spans="1:22" hidden="1">
      <c r="A46" s="239">
        <f t="shared" si="1"/>
        <v>41</v>
      </c>
      <c r="B46" s="256" t="s">
        <v>1067</v>
      </c>
      <c r="C46" s="257" t="s">
        <v>1091</v>
      </c>
      <c r="D46" s="264" t="s">
        <v>1261</v>
      </c>
      <c r="E46" s="263">
        <v>44603</v>
      </c>
      <c r="F46" s="261" t="s">
        <v>947</v>
      </c>
      <c r="G46" s="258">
        <v>15</v>
      </c>
      <c r="H46" s="258">
        <v>4.46</v>
      </c>
      <c r="I46" s="260">
        <f t="shared" si="2"/>
        <v>66.900000000000006</v>
      </c>
      <c r="K46" s="11"/>
      <c r="N46" s="227">
        <v>44603</v>
      </c>
      <c r="O46" s="227" t="s">
        <v>1091</v>
      </c>
      <c r="P46" s="68" t="s">
        <v>1261</v>
      </c>
      <c r="Q46" s="227" t="s">
        <v>673</v>
      </c>
      <c r="R46" s="69">
        <v>4.46</v>
      </c>
      <c r="S46" s="69">
        <v>-66.900000000000006</v>
      </c>
      <c r="T46" s="227" t="s">
        <v>416</v>
      </c>
      <c r="U46" s="86" t="s">
        <v>1404</v>
      </c>
      <c r="V46" s="86" t="s">
        <v>947</v>
      </c>
    </row>
    <row r="47" spans="1:22" hidden="1">
      <c r="A47" s="239">
        <f t="shared" si="1"/>
        <v>42</v>
      </c>
      <c r="B47" s="256" t="s">
        <v>1067</v>
      </c>
      <c r="C47" s="257" t="s">
        <v>1170</v>
      </c>
      <c r="D47" s="264" t="s">
        <v>1261</v>
      </c>
      <c r="E47" s="263">
        <v>44603</v>
      </c>
      <c r="F47" s="261" t="s">
        <v>947</v>
      </c>
      <c r="G47" s="258">
        <v>7</v>
      </c>
      <c r="H47" s="258">
        <v>4.46</v>
      </c>
      <c r="I47" s="260">
        <f t="shared" si="2"/>
        <v>31.22</v>
      </c>
      <c r="N47" s="227">
        <v>44603</v>
      </c>
      <c r="O47" s="227" t="s">
        <v>1170</v>
      </c>
      <c r="P47" s="68" t="s">
        <v>1261</v>
      </c>
      <c r="Q47" s="227" t="s">
        <v>673</v>
      </c>
      <c r="R47" s="69">
        <v>4.46</v>
      </c>
      <c r="S47" s="69">
        <v>-31.22</v>
      </c>
      <c r="T47" s="227" t="s">
        <v>416</v>
      </c>
      <c r="U47" s="86" t="s">
        <v>1405</v>
      </c>
      <c r="V47" s="86" t="s">
        <v>947</v>
      </c>
    </row>
    <row r="48" spans="1:22" hidden="1">
      <c r="A48" s="239">
        <f t="shared" si="1"/>
        <v>43</v>
      </c>
      <c r="B48" s="256" t="s">
        <v>1067</v>
      </c>
      <c r="C48" s="257" t="s">
        <v>1196</v>
      </c>
      <c r="D48" s="262" t="s">
        <v>1197</v>
      </c>
      <c r="E48" s="263">
        <v>44603</v>
      </c>
      <c r="F48" s="261" t="s">
        <v>947</v>
      </c>
      <c r="G48" s="258">
        <v>20</v>
      </c>
      <c r="H48" s="258">
        <v>4.46</v>
      </c>
      <c r="I48" s="260">
        <f t="shared" si="0"/>
        <v>89.2</v>
      </c>
      <c r="J48" s="11"/>
      <c r="N48" s="227">
        <v>44603</v>
      </c>
      <c r="O48" s="227" t="s">
        <v>1196</v>
      </c>
      <c r="P48" s="68" t="s">
        <v>1197</v>
      </c>
      <c r="Q48" s="227" t="s">
        <v>673</v>
      </c>
      <c r="R48" s="69">
        <v>4.46</v>
      </c>
      <c r="S48" s="69">
        <v>-89.2</v>
      </c>
      <c r="T48" s="227" t="s">
        <v>416</v>
      </c>
      <c r="U48" s="86" t="s">
        <v>1206</v>
      </c>
      <c r="V48" s="86" t="s">
        <v>947</v>
      </c>
    </row>
    <row r="49" spans="1:22" hidden="1">
      <c r="A49" s="239">
        <f t="shared" si="1"/>
        <v>44</v>
      </c>
      <c r="B49" s="256" t="s">
        <v>1067</v>
      </c>
      <c r="C49" s="257" t="s">
        <v>1262</v>
      </c>
      <c r="D49" s="264" t="s">
        <v>1263</v>
      </c>
      <c r="E49" s="263">
        <v>44603</v>
      </c>
      <c r="F49" s="261" t="s">
        <v>947</v>
      </c>
      <c r="G49" s="258">
        <v>30</v>
      </c>
      <c r="H49" s="258">
        <v>4.46</v>
      </c>
      <c r="I49" s="260">
        <f t="shared" si="0"/>
        <v>133.80000000000001</v>
      </c>
      <c r="N49" s="227">
        <v>44603</v>
      </c>
      <c r="O49" s="227" t="s">
        <v>1262</v>
      </c>
      <c r="P49" s="68" t="s">
        <v>1263</v>
      </c>
      <c r="Q49" s="227" t="s">
        <v>673</v>
      </c>
      <c r="R49" s="69">
        <v>4.46</v>
      </c>
      <c r="S49" s="69">
        <v>-133.80000000000001</v>
      </c>
      <c r="T49" s="227" t="s">
        <v>416</v>
      </c>
      <c r="U49" s="86" t="s">
        <v>1406</v>
      </c>
      <c r="V49" s="86" t="s">
        <v>947</v>
      </c>
    </row>
    <row r="50" spans="1:22" hidden="1">
      <c r="A50" s="239">
        <f t="shared" si="1"/>
        <v>45</v>
      </c>
      <c r="B50" s="256" t="s">
        <v>1236</v>
      </c>
      <c r="C50" s="257" t="s">
        <v>1227</v>
      </c>
      <c r="D50" s="262" t="s">
        <v>28</v>
      </c>
      <c r="E50" s="263">
        <v>44603</v>
      </c>
      <c r="F50" s="265" t="s">
        <v>947</v>
      </c>
      <c r="G50" s="258">
        <v>50</v>
      </c>
      <c r="H50" s="258">
        <v>4.46</v>
      </c>
      <c r="I50" s="260">
        <f t="shared" si="0"/>
        <v>223</v>
      </c>
      <c r="N50" s="227">
        <v>44603</v>
      </c>
      <c r="O50" s="227" t="s">
        <v>28</v>
      </c>
      <c r="P50" s="68" t="s">
        <v>1227</v>
      </c>
      <c r="Q50" s="227" t="s">
        <v>673</v>
      </c>
      <c r="R50" s="69">
        <v>4.46</v>
      </c>
      <c r="S50" s="69">
        <v>223</v>
      </c>
      <c r="T50" s="227" t="s">
        <v>416</v>
      </c>
      <c r="U50" s="86" t="s">
        <v>1407</v>
      </c>
      <c r="V50" s="86" t="s">
        <v>947</v>
      </c>
    </row>
    <row r="51" spans="1:22" hidden="1">
      <c r="A51" s="239">
        <f t="shared" si="1"/>
        <v>46</v>
      </c>
      <c r="B51" s="256" t="s">
        <v>1236</v>
      </c>
      <c r="C51" s="257" t="s">
        <v>1227</v>
      </c>
      <c r="D51" s="262" t="s">
        <v>28</v>
      </c>
      <c r="E51" s="263">
        <v>44603</v>
      </c>
      <c r="F51" s="265" t="s">
        <v>1088</v>
      </c>
      <c r="G51" s="258">
        <v>1.1499999999999999</v>
      </c>
      <c r="H51" s="258">
        <v>4.46</v>
      </c>
      <c r="I51" s="260">
        <f t="shared" si="0"/>
        <v>5.1289999999999996</v>
      </c>
      <c r="N51" s="227">
        <v>44603</v>
      </c>
      <c r="O51" s="227" t="s">
        <v>28</v>
      </c>
      <c r="P51" s="68" t="s">
        <v>1227</v>
      </c>
      <c r="Q51" s="227" t="s">
        <v>673</v>
      </c>
      <c r="R51" s="69">
        <v>4.46</v>
      </c>
      <c r="S51" s="69">
        <v>5.1289999999999996</v>
      </c>
      <c r="T51" s="227" t="s">
        <v>416</v>
      </c>
      <c r="U51" s="86" t="s">
        <v>1407</v>
      </c>
      <c r="V51" s="86" t="s">
        <v>1088</v>
      </c>
    </row>
    <row r="52" spans="1:22" hidden="1">
      <c r="A52" s="239">
        <f t="shared" si="1"/>
        <v>47</v>
      </c>
      <c r="B52" s="256" t="s">
        <v>1067</v>
      </c>
      <c r="C52" s="257" t="s">
        <v>1264</v>
      </c>
      <c r="D52" s="262" t="s">
        <v>1265</v>
      </c>
      <c r="E52" s="263">
        <v>44603</v>
      </c>
      <c r="F52" s="265" t="s">
        <v>947</v>
      </c>
      <c r="G52" s="258">
        <v>69</v>
      </c>
      <c r="H52" s="258">
        <v>4.46</v>
      </c>
      <c r="I52" s="260">
        <f t="shared" si="0"/>
        <v>307.74</v>
      </c>
      <c r="K52" s="11"/>
      <c r="N52" s="227">
        <v>44603</v>
      </c>
      <c r="O52" s="227" t="s">
        <v>1264</v>
      </c>
      <c r="P52" s="68" t="s">
        <v>1265</v>
      </c>
      <c r="Q52" s="227" t="s">
        <v>673</v>
      </c>
      <c r="R52" s="69">
        <v>4.46</v>
      </c>
      <c r="S52" s="69">
        <v>-307.74</v>
      </c>
      <c r="T52" s="227" t="s">
        <v>416</v>
      </c>
      <c r="U52" s="86" t="s">
        <v>1408</v>
      </c>
      <c r="V52" s="86" t="s">
        <v>947</v>
      </c>
    </row>
    <row r="53" spans="1:22" hidden="1">
      <c r="A53" s="239">
        <f t="shared" si="1"/>
        <v>48</v>
      </c>
      <c r="B53" s="256" t="s">
        <v>1236</v>
      </c>
      <c r="C53" s="257" t="s">
        <v>1266</v>
      </c>
      <c r="D53" s="262" t="s">
        <v>1208</v>
      </c>
      <c r="E53" s="263">
        <v>44603</v>
      </c>
      <c r="F53" s="263" t="s">
        <v>947</v>
      </c>
      <c r="G53" s="258">
        <v>40</v>
      </c>
      <c r="H53" s="258">
        <v>4.46</v>
      </c>
      <c r="I53" s="260">
        <f t="shared" si="0"/>
        <v>178.4</v>
      </c>
      <c r="N53" s="227">
        <v>44603</v>
      </c>
      <c r="O53" s="227" t="s">
        <v>1208</v>
      </c>
      <c r="P53" s="68" t="s">
        <v>1266</v>
      </c>
      <c r="Q53" s="227" t="s">
        <v>673</v>
      </c>
      <c r="R53" s="69">
        <v>4.46</v>
      </c>
      <c r="S53" s="69">
        <v>178.4</v>
      </c>
      <c r="T53" s="227" t="s">
        <v>416</v>
      </c>
      <c r="U53" s="86" t="s">
        <v>1409</v>
      </c>
      <c r="V53" s="86" t="s">
        <v>947</v>
      </c>
    </row>
    <row r="54" spans="1:22" hidden="1">
      <c r="A54" s="239">
        <f t="shared" si="1"/>
        <v>49</v>
      </c>
      <c r="B54" s="256" t="s">
        <v>1236</v>
      </c>
      <c r="C54" s="257" t="s">
        <v>1266</v>
      </c>
      <c r="D54" s="262" t="s">
        <v>1208</v>
      </c>
      <c r="E54" s="263">
        <v>44603</v>
      </c>
      <c r="F54" s="263" t="s">
        <v>1088</v>
      </c>
      <c r="G54" s="258">
        <v>10</v>
      </c>
      <c r="H54" s="258">
        <v>4.46</v>
      </c>
      <c r="I54" s="260">
        <f t="shared" si="0"/>
        <v>44.6</v>
      </c>
      <c r="J54" s="269"/>
      <c r="N54" s="227">
        <v>44603</v>
      </c>
      <c r="O54" s="227" t="s">
        <v>1208</v>
      </c>
      <c r="P54" s="68" t="s">
        <v>1266</v>
      </c>
      <c r="Q54" s="227" t="s">
        <v>673</v>
      </c>
      <c r="R54" s="69">
        <v>4.46</v>
      </c>
      <c r="S54" s="69">
        <v>44.6</v>
      </c>
      <c r="T54" s="227" t="s">
        <v>416</v>
      </c>
      <c r="U54" s="86" t="s">
        <v>1409</v>
      </c>
      <c r="V54" s="86" t="s">
        <v>1088</v>
      </c>
    </row>
    <row r="55" spans="1:22" hidden="1">
      <c r="A55" s="239">
        <f t="shared" si="1"/>
        <v>50</v>
      </c>
      <c r="B55" s="256" t="s">
        <v>1236</v>
      </c>
      <c r="C55" s="257" t="s">
        <v>1267</v>
      </c>
      <c r="D55" s="262" t="s">
        <v>865</v>
      </c>
      <c r="E55" s="261">
        <v>44603</v>
      </c>
      <c r="F55" s="263" t="s">
        <v>947</v>
      </c>
      <c r="G55" s="258">
        <v>75</v>
      </c>
      <c r="H55" s="258">
        <v>4.46</v>
      </c>
      <c r="I55" s="260">
        <f t="shared" si="0"/>
        <v>334.5</v>
      </c>
      <c r="J55" s="268"/>
      <c r="N55" s="227">
        <v>44603</v>
      </c>
      <c r="O55" s="227" t="s">
        <v>865</v>
      </c>
      <c r="P55" s="68" t="s">
        <v>1267</v>
      </c>
      <c r="Q55" s="227" t="s">
        <v>673</v>
      </c>
      <c r="R55" s="69">
        <v>4.46</v>
      </c>
      <c r="S55" s="69">
        <v>334.5</v>
      </c>
      <c r="T55" s="227" t="s">
        <v>416</v>
      </c>
      <c r="U55" s="86" t="s">
        <v>1410</v>
      </c>
      <c r="V55" s="86" t="s">
        <v>947</v>
      </c>
    </row>
    <row r="56" spans="1:22" hidden="1">
      <c r="A56" s="239">
        <f t="shared" si="1"/>
        <v>51</v>
      </c>
      <c r="B56" s="256" t="s">
        <v>1236</v>
      </c>
      <c r="C56" s="257" t="s">
        <v>1267</v>
      </c>
      <c r="D56" s="262" t="s">
        <v>865</v>
      </c>
      <c r="E56" s="261">
        <v>44603</v>
      </c>
      <c r="F56" s="263" t="s">
        <v>1088</v>
      </c>
      <c r="G56" s="258">
        <v>3.87</v>
      </c>
      <c r="H56" s="258">
        <v>4.46</v>
      </c>
      <c r="I56" s="260">
        <f t="shared" si="0"/>
        <v>17.260200000000001</v>
      </c>
      <c r="J56" s="269"/>
      <c r="N56" s="227">
        <v>44603</v>
      </c>
      <c r="O56" s="227" t="s">
        <v>865</v>
      </c>
      <c r="P56" s="68" t="s">
        <v>1267</v>
      </c>
      <c r="Q56" s="227" t="s">
        <v>673</v>
      </c>
      <c r="R56" s="69">
        <v>4.46</v>
      </c>
      <c r="S56" s="69">
        <v>17.260200000000001</v>
      </c>
      <c r="T56" s="227" t="s">
        <v>416</v>
      </c>
      <c r="U56" s="86" t="s">
        <v>1410</v>
      </c>
      <c r="V56" s="86" t="s">
        <v>1088</v>
      </c>
    </row>
    <row r="57" spans="1:22" hidden="1">
      <c r="A57" s="239">
        <f t="shared" si="1"/>
        <v>52</v>
      </c>
      <c r="B57" s="256" t="s">
        <v>1067</v>
      </c>
      <c r="C57" s="257" t="s">
        <v>1092</v>
      </c>
      <c r="D57" s="264" t="s">
        <v>1268</v>
      </c>
      <c r="E57" s="261">
        <v>44603</v>
      </c>
      <c r="F57" s="263" t="s">
        <v>947</v>
      </c>
      <c r="G57" s="258">
        <f>14*5</f>
        <v>70</v>
      </c>
      <c r="H57" s="258">
        <v>4.46</v>
      </c>
      <c r="I57" s="260">
        <f t="shared" si="0"/>
        <v>312.2</v>
      </c>
      <c r="J57" s="268"/>
      <c r="N57" s="227">
        <v>44603</v>
      </c>
      <c r="O57" s="227" t="s">
        <v>1092</v>
      </c>
      <c r="P57" s="68" t="s">
        <v>1268</v>
      </c>
      <c r="Q57" s="227" t="s">
        <v>673</v>
      </c>
      <c r="R57" s="69">
        <v>4.46</v>
      </c>
      <c r="S57" s="69">
        <v>-312.2</v>
      </c>
      <c r="T57" s="227" t="s">
        <v>416</v>
      </c>
      <c r="U57" s="86" t="s">
        <v>1411</v>
      </c>
      <c r="V57" s="86" t="s">
        <v>947</v>
      </c>
    </row>
    <row r="58" spans="1:22" hidden="1">
      <c r="A58" s="239">
        <f t="shared" si="1"/>
        <v>53</v>
      </c>
      <c r="B58" s="256" t="s">
        <v>1067</v>
      </c>
      <c r="C58" s="257" t="s">
        <v>1269</v>
      </c>
      <c r="D58" s="262" t="s">
        <v>1270</v>
      </c>
      <c r="E58" s="263">
        <v>44606</v>
      </c>
      <c r="F58" s="263" t="s">
        <v>947</v>
      </c>
      <c r="G58" s="258">
        <v>6</v>
      </c>
      <c r="H58" s="258">
        <v>4.46</v>
      </c>
      <c r="I58" s="260">
        <f t="shared" si="0"/>
        <v>26.759999999999998</v>
      </c>
      <c r="N58" s="227">
        <v>44606</v>
      </c>
      <c r="O58" s="227" t="s">
        <v>1269</v>
      </c>
      <c r="P58" s="68" t="s">
        <v>1270</v>
      </c>
      <c r="Q58" s="227" t="s">
        <v>673</v>
      </c>
      <c r="R58" s="69">
        <v>4.46</v>
      </c>
      <c r="S58" s="69">
        <v>-26.759999999999998</v>
      </c>
      <c r="T58" s="227" t="s">
        <v>416</v>
      </c>
      <c r="U58" s="86" t="s">
        <v>1412</v>
      </c>
      <c r="V58" s="86" t="s">
        <v>947</v>
      </c>
    </row>
    <row r="59" spans="1:22" hidden="1">
      <c r="A59" s="239">
        <f t="shared" si="1"/>
        <v>54</v>
      </c>
      <c r="B59" s="256" t="s">
        <v>1067</v>
      </c>
      <c r="C59" s="257" t="s">
        <v>1271</v>
      </c>
      <c r="D59" s="262" t="s">
        <v>1272</v>
      </c>
      <c r="E59" s="263">
        <v>44606</v>
      </c>
      <c r="F59" s="263" t="s">
        <v>947</v>
      </c>
      <c r="G59" s="258">
        <v>5</v>
      </c>
      <c r="H59" s="258">
        <v>4.46</v>
      </c>
      <c r="I59" s="260">
        <f t="shared" si="0"/>
        <v>22.3</v>
      </c>
      <c r="N59" s="227">
        <v>44606</v>
      </c>
      <c r="O59" s="227" t="s">
        <v>1271</v>
      </c>
      <c r="P59" s="68" t="s">
        <v>1272</v>
      </c>
      <c r="Q59" s="227" t="s">
        <v>673</v>
      </c>
      <c r="R59" s="69">
        <v>4.46</v>
      </c>
      <c r="S59" s="69">
        <v>-22.3</v>
      </c>
      <c r="T59" s="227" t="s">
        <v>416</v>
      </c>
      <c r="U59" s="86" t="s">
        <v>1413</v>
      </c>
      <c r="V59" s="86" t="s">
        <v>947</v>
      </c>
    </row>
    <row r="60" spans="1:22" hidden="1">
      <c r="A60" s="239">
        <f t="shared" si="1"/>
        <v>55</v>
      </c>
      <c r="B60" s="256" t="s">
        <v>1067</v>
      </c>
      <c r="C60" s="257" t="s">
        <v>1273</v>
      </c>
      <c r="D60" s="262" t="s">
        <v>1274</v>
      </c>
      <c r="E60" s="263">
        <v>44606</v>
      </c>
      <c r="F60" s="263" t="s">
        <v>947</v>
      </c>
      <c r="G60" s="258">
        <v>21</v>
      </c>
      <c r="H60" s="258">
        <v>4.46</v>
      </c>
      <c r="I60" s="260">
        <f t="shared" si="0"/>
        <v>93.66</v>
      </c>
      <c r="N60" s="227">
        <v>44606</v>
      </c>
      <c r="O60" s="227" t="s">
        <v>1273</v>
      </c>
      <c r="P60" s="68" t="s">
        <v>1274</v>
      </c>
      <c r="Q60" s="227" t="s">
        <v>673</v>
      </c>
      <c r="R60" s="69">
        <v>4.46</v>
      </c>
      <c r="S60" s="69">
        <v>-93.66</v>
      </c>
      <c r="T60" s="227" t="s">
        <v>416</v>
      </c>
      <c r="U60" s="86" t="s">
        <v>1414</v>
      </c>
      <c r="V60" s="86" t="s">
        <v>947</v>
      </c>
    </row>
    <row r="61" spans="1:22" hidden="1">
      <c r="A61" s="239">
        <f t="shared" si="1"/>
        <v>56</v>
      </c>
      <c r="B61" s="256" t="s">
        <v>1236</v>
      </c>
      <c r="C61" s="257" t="s">
        <v>1232</v>
      </c>
      <c r="D61" s="264" t="s">
        <v>1096</v>
      </c>
      <c r="E61" s="263">
        <v>44606</v>
      </c>
      <c r="F61" s="263" t="s">
        <v>947</v>
      </c>
      <c r="G61" s="258">
        <v>100</v>
      </c>
      <c r="H61" s="258">
        <v>4.46</v>
      </c>
      <c r="I61" s="260">
        <f t="shared" si="0"/>
        <v>446</v>
      </c>
      <c r="N61" s="227">
        <v>44606</v>
      </c>
      <c r="O61" s="227" t="s">
        <v>1096</v>
      </c>
      <c r="P61" s="68" t="s">
        <v>1232</v>
      </c>
      <c r="Q61" s="227" t="s">
        <v>673</v>
      </c>
      <c r="R61" s="69">
        <v>4.46</v>
      </c>
      <c r="S61" s="69">
        <v>446</v>
      </c>
      <c r="T61" s="227" t="s">
        <v>416</v>
      </c>
      <c r="U61" s="86" t="s">
        <v>1415</v>
      </c>
      <c r="V61" s="86" t="s">
        <v>947</v>
      </c>
    </row>
    <row r="62" spans="1:22" hidden="1">
      <c r="A62" s="239">
        <f t="shared" si="1"/>
        <v>57</v>
      </c>
      <c r="B62" s="256" t="s">
        <v>1067</v>
      </c>
      <c r="C62" s="257" t="s">
        <v>1273</v>
      </c>
      <c r="D62" s="264" t="s">
        <v>1276</v>
      </c>
      <c r="E62" s="263">
        <v>44607</v>
      </c>
      <c r="F62" s="263" t="s">
        <v>947</v>
      </c>
      <c r="G62" s="258">
        <v>20</v>
      </c>
      <c r="H62" s="258">
        <v>4.46</v>
      </c>
      <c r="I62" s="260">
        <f t="shared" si="0"/>
        <v>89.2</v>
      </c>
      <c r="N62" s="227">
        <v>44607</v>
      </c>
      <c r="O62" s="227" t="s">
        <v>1273</v>
      </c>
      <c r="P62" s="68" t="s">
        <v>1276</v>
      </c>
      <c r="Q62" s="227" t="s">
        <v>673</v>
      </c>
      <c r="R62" s="69">
        <v>4.46</v>
      </c>
      <c r="S62" s="69">
        <v>-89.2</v>
      </c>
      <c r="T62" s="227" t="s">
        <v>416</v>
      </c>
      <c r="U62" s="86" t="s">
        <v>1416</v>
      </c>
      <c r="V62" s="86" t="s">
        <v>947</v>
      </c>
    </row>
    <row r="63" spans="1:22" hidden="1">
      <c r="A63" s="239">
        <f t="shared" si="1"/>
        <v>58</v>
      </c>
      <c r="B63" s="256" t="s">
        <v>1236</v>
      </c>
      <c r="C63" s="257" t="s">
        <v>1277</v>
      </c>
      <c r="D63" s="264" t="s">
        <v>242</v>
      </c>
      <c r="E63" s="263">
        <v>44607</v>
      </c>
      <c r="F63" s="263" t="s">
        <v>947</v>
      </c>
      <c r="G63" s="258">
        <v>120</v>
      </c>
      <c r="H63" s="258">
        <v>4.46</v>
      </c>
      <c r="I63" s="260">
        <f t="shared" si="0"/>
        <v>535.20000000000005</v>
      </c>
      <c r="N63" s="227">
        <v>44607</v>
      </c>
      <c r="O63" s="227" t="s">
        <v>242</v>
      </c>
      <c r="P63" s="68" t="s">
        <v>1277</v>
      </c>
      <c r="Q63" s="227" t="s">
        <v>673</v>
      </c>
      <c r="R63" s="69">
        <v>4.46</v>
      </c>
      <c r="S63" s="69">
        <v>535.20000000000005</v>
      </c>
      <c r="T63" s="227" t="s">
        <v>416</v>
      </c>
      <c r="U63" s="86" t="s">
        <v>1417</v>
      </c>
      <c r="V63" s="86" t="s">
        <v>947</v>
      </c>
    </row>
    <row r="64" spans="1:22" hidden="1">
      <c r="A64" s="239">
        <f t="shared" si="1"/>
        <v>59</v>
      </c>
      <c r="B64" s="256" t="s">
        <v>1236</v>
      </c>
      <c r="C64" s="257" t="s">
        <v>1277</v>
      </c>
      <c r="D64" s="264" t="s">
        <v>242</v>
      </c>
      <c r="E64" s="263">
        <v>44607</v>
      </c>
      <c r="F64" s="263" t="s">
        <v>1088</v>
      </c>
      <c r="G64" s="258">
        <v>2.56</v>
      </c>
      <c r="H64" s="258">
        <v>4.46</v>
      </c>
      <c r="I64" s="260">
        <f t="shared" si="0"/>
        <v>11.4176</v>
      </c>
      <c r="N64" s="227">
        <v>44607</v>
      </c>
      <c r="O64" s="227" t="s">
        <v>242</v>
      </c>
      <c r="P64" s="68" t="s">
        <v>1277</v>
      </c>
      <c r="Q64" s="227" t="s">
        <v>673</v>
      </c>
      <c r="R64" s="69">
        <v>4.46</v>
      </c>
      <c r="S64" s="69">
        <v>11.4176</v>
      </c>
      <c r="T64" s="227" t="s">
        <v>416</v>
      </c>
      <c r="U64" s="86" t="s">
        <v>1417</v>
      </c>
      <c r="V64" s="86" t="s">
        <v>1088</v>
      </c>
    </row>
    <row r="65" spans="1:22" hidden="1">
      <c r="A65" s="239">
        <f t="shared" si="1"/>
        <v>60</v>
      </c>
      <c r="B65" s="256" t="s">
        <v>1236</v>
      </c>
      <c r="C65" s="257" t="s">
        <v>1226</v>
      </c>
      <c r="D65" s="264" t="s">
        <v>850</v>
      </c>
      <c r="E65" s="263">
        <v>44245</v>
      </c>
      <c r="F65" s="263" t="s">
        <v>947</v>
      </c>
      <c r="G65" s="258">
        <v>75</v>
      </c>
      <c r="H65" s="258">
        <v>4.4000000000000004</v>
      </c>
      <c r="I65" s="260">
        <f t="shared" si="0"/>
        <v>330</v>
      </c>
      <c r="N65" s="227">
        <v>44245</v>
      </c>
      <c r="O65" s="227" t="s">
        <v>850</v>
      </c>
      <c r="P65" s="68" t="s">
        <v>1226</v>
      </c>
      <c r="Q65" s="227" t="s">
        <v>673</v>
      </c>
      <c r="R65" s="69">
        <v>4.4000000000000004</v>
      </c>
      <c r="S65" s="69">
        <v>330</v>
      </c>
      <c r="T65" s="227" t="s">
        <v>416</v>
      </c>
      <c r="U65" s="86" t="s">
        <v>1389</v>
      </c>
      <c r="V65" s="86" t="s">
        <v>947</v>
      </c>
    </row>
    <row r="66" spans="1:22" hidden="1">
      <c r="A66" s="239">
        <f t="shared" si="1"/>
        <v>61</v>
      </c>
      <c r="B66" s="256" t="s">
        <v>1236</v>
      </c>
      <c r="C66" s="257" t="s">
        <v>1226</v>
      </c>
      <c r="D66" s="264" t="s">
        <v>850</v>
      </c>
      <c r="E66" s="263">
        <v>44245</v>
      </c>
      <c r="F66" s="263" t="s">
        <v>1088</v>
      </c>
      <c r="G66" s="258">
        <v>3.24</v>
      </c>
      <c r="H66" s="258">
        <v>4.4000000000000004</v>
      </c>
      <c r="I66" s="260">
        <f t="shared" si="0"/>
        <v>14.256000000000002</v>
      </c>
      <c r="J66" s="268"/>
      <c r="N66" s="227">
        <v>44245</v>
      </c>
      <c r="O66" s="227" t="s">
        <v>850</v>
      </c>
      <c r="P66" s="68" t="s">
        <v>1226</v>
      </c>
      <c r="Q66" s="227" t="s">
        <v>673</v>
      </c>
      <c r="R66" s="69">
        <v>4.4000000000000004</v>
      </c>
      <c r="S66" s="69">
        <v>14.256000000000002</v>
      </c>
      <c r="T66" s="227" t="s">
        <v>416</v>
      </c>
      <c r="U66" s="86" t="s">
        <v>1389</v>
      </c>
      <c r="V66" s="86" t="s">
        <v>1088</v>
      </c>
    </row>
    <row r="67" spans="1:22" hidden="1">
      <c r="A67" s="239">
        <f t="shared" si="1"/>
        <v>62</v>
      </c>
      <c r="B67" s="256" t="s">
        <v>1236</v>
      </c>
      <c r="C67" s="257" t="s">
        <v>1233</v>
      </c>
      <c r="D67" s="262" t="s">
        <v>1059</v>
      </c>
      <c r="E67" s="263">
        <v>44245</v>
      </c>
      <c r="F67" s="263" t="s">
        <v>947</v>
      </c>
      <c r="G67" s="258">
        <v>30</v>
      </c>
      <c r="H67" s="258">
        <v>4.4000000000000004</v>
      </c>
      <c r="I67" s="260">
        <f t="shared" si="0"/>
        <v>132</v>
      </c>
      <c r="N67" s="227">
        <v>44245</v>
      </c>
      <c r="O67" s="227" t="s">
        <v>1059</v>
      </c>
      <c r="P67" s="68" t="s">
        <v>1233</v>
      </c>
      <c r="Q67" s="227" t="s">
        <v>673</v>
      </c>
      <c r="R67" s="69">
        <v>4.4000000000000004</v>
      </c>
      <c r="S67" s="69">
        <v>132</v>
      </c>
      <c r="T67" s="227" t="s">
        <v>416</v>
      </c>
      <c r="U67" s="86" t="s">
        <v>1418</v>
      </c>
      <c r="V67" s="86" t="s">
        <v>947</v>
      </c>
    </row>
    <row r="68" spans="1:22" hidden="1">
      <c r="A68" s="239">
        <f t="shared" si="1"/>
        <v>63</v>
      </c>
      <c r="B68" s="256" t="s">
        <v>1236</v>
      </c>
      <c r="C68" s="257" t="s">
        <v>1233</v>
      </c>
      <c r="D68" s="262" t="s">
        <v>1059</v>
      </c>
      <c r="E68" s="263">
        <v>44245</v>
      </c>
      <c r="F68" s="263" t="s">
        <v>1088</v>
      </c>
      <c r="G68" s="258">
        <v>2.4</v>
      </c>
      <c r="H68" s="258">
        <v>4.4000000000000004</v>
      </c>
      <c r="I68" s="260">
        <f t="shared" si="0"/>
        <v>10.56</v>
      </c>
      <c r="J68" s="11"/>
      <c r="N68" s="227">
        <v>44245</v>
      </c>
      <c r="O68" s="227" t="s">
        <v>1059</v>
      </c>
      <c r="P68" s="68" t="s">
        <v>1233</v>
      </c>
      <c r="Q68" s="227" t="s">
        <v>673</v>
      </c>
      <c r="R68" s="69">
        <v>4.4000000000000004</v>
      </c>
      <c r="S68" s="69">
        <v>10.56</v>
      </c>
      <c r="T68" s="227" t="s">
        <v>416</v>
      </c>
      <c r="U68" s="86" t="s">
        <v>1418</v>
      </c>
      <c r="V68" s="86" t="s">
        <v>1088</v>
      </c>
    </row>
    <row r="69" spans="1:22" hidden="1">
      <c r="A69" s="239">
        <f t="shared" si="1"/>
        <v>64</v>
      </c>
      <c r="B69" s="256" t="s">
        <v>1236</v>
      </c>
      <c r="C69" s="257" t="s">
        <v>1234</v>
      </c>
      <c r="D69" s="262" t="s">
        <v>977</v>
      </c>
      <c r="E69" s="263">
        <v>44245</v>
      </c>
      <c r="F69" s="265" t="s">
        <v>947</v>
      </c>
      <c r="G69" s="258">
        <v>100</v>
      </c>
      <c r="H69" s="258">
        <v>4.4000000000000004</v>
      </c>
      <c r="I69" s="260">
        <f t="shared" si="0"/>
        <v>440.00000000000006</v>
      </c>
      <c r="J69" s="11"/>
      <c r="N69" s="227">
        <v>44245</v>
      </c>
      <c r="O69" s="227" t="s">
        <v>977</v>
      </c>
      <c r="P69" s="68" t="s">
        <v>1234</v>
      </c>
      <c r="Q69" s="227" t="s">
        <v>673</v>
      </c>
      <c r="R69" s="69">
        <v>4.4000000000000004</v>
      </c>
      <c r="S69" s="69">
        <v>440.00000000000006</v>
      </c>
      <c r="T69" s="227" t="s">
        <v>416</v>
      </c>
      <c r="U69" s="86" t="s">
        <v>1419</v>
      </c>
      <c r="V69" s="86" t="s">
        <v>947</v>
      </c>
    </row>
    <row r="70" spans="1:22" hidden="1">
      <c r="A70" s="239">
        <f t="shared" si="1"/>
        <v>65</v>
      </c>
      <c r="B70" s="256" t="s">
        <v>1236</v>
      </c>
      <c r="C70" s="257" t="s">
        <v>1234</v>
      </c>
      <c r="D70" s="262" t="s">
        <v>977</v>
      </c>
      <c r="E70" s="263">
        <v>44245</v>
      </c>
      <c r="F70" s="265" t="s">
        <v>1088</v>
      </c>
      <c r="G70" s="258">
        <v>3.2</v>
      </c>
      <c r="H70" s="258">
        <v>4.4000000000000004</v>
      </c>
      <c r="I70" s="260">
        <f t="shared" ref="I70:I133" si="3">H70*G70</f>
        <v>14.080000000000002</v>
      </c>
      <c r="J70" s="11"/>
      <c r="N70" s="227">
        <v>44245</v>
      </c>
      <c r="O70" s="227" t="s">
        <v>977</v>
      </c>
      <c r="P70" s="68" t="s">
        <v>1234</v>
      </c>
      <c r="Q70" s="227" t="s">
        <v>673</v>
      </c>
      <c r="R70" s="69">
        <v>4.4000000000000004</v>
      </c>
      <c r="S70" s="69">
        <v>14.080000000000002</v>
      </c>
      <c r="T70" s="227" t="s">
        <v>416</v>
      </c>
      <c r="U70" s="86" t="s">
        <v>1419</v>
      </c>
      <c r="V70" s="86" t="s">
        <v>1088</v>
      </c>
    </row>
    <row r="71" spans="1:22" hidden="1">
      <c r="A71" s="239">
        <f t="shared" si="1"/>
        <v>66</v>
      </c>
      <c r="B71" s="256" t="s">
        <v>1236</v>
      </c>
      <c r="C71" s="257" t="s">
        <v>1283</v>
      </c>
      <c r="D71" s="262" t="s">
        <v>850</v>
      </c>
      <c r="E71" s="261">
        <v>44610</v>
      </c>
      <c r="F71" s="265" t="s">
        <v>947</v>
      </c>
      <c r="G71" s="258">
        <v>40</v>
      </c>
      <c r="H71" s="258">
        <v>4.4000000000000004</v>
      </c>
      <c r="I71" s="260">
        <f t="shared" si="3"/>
        <v>176</v>
      </c>
      <c r="J71" s="11"/>
      <c r="N71" s="227">
        <v>44610</v>
      </c>
      <c r="O71" s="227" t="s">
        <v>850</v>
      </c>
      <c r="P71" s="68" t="s">
        <v>1283</v>
      </c>
      <c r="Q71" s="227" t="s">
        <v>673</v>
      </c>
      <c r="R71" s="69">
        <v>4.4000000000000004</v>
      </c>
      <c r="S71" s="69">
        <v>176</v>
      </c>
      <c r="T71" s="227" t="s">
        <v>416</v>
      </c>
      <c r="U71" s="86" t="s">
        <v>1420</v>
      </c>
      <c r="V71" s="86" t="s">
        <v>947</v>
      </c>
    </row>
    <row r="72" spans="1:22" hidden="1">
      <c r="A72" s="239">
        <f t="shared" ref="A72:A135" si="4">+A71+1</f>
        <v>67</v>
      </c>
      <c r="B72" s="256" t="s">
        <v>1236</v>
      </c>
      <c r="C72" s="257" t="s">
        <v>1281</v>
      </c>
      <c r="D72" s="262" t="s">
        <v>617</v>
      </c>
      <c r="E72" s="261">
        <v>44610</v>
      </c>
      <c r="F72" s="265" t="s">
        <v>947</v>
      </c>
      <c r="G72" s="258">
        <v>693.14</v>
      </c>
      <c r="H72" s="258">
        <v>4.4000000000000004</v>
      </c>
      <c r="I72" s="260">
        <f t="shared" si="3"/>
        <v>3049.8160000000003</v>
      </c>
      <c r="J72" s="11"/>
      <c r="N72" s="227">
        <v>44610</v>
      </c>
      <c r="O72" s="227" t="s">
        <v>617</v>
      </c>
      <c r="P72" s="68" t="s">
        <v>1281</v>
      </c>
      <c r="Q72" s="227" t="s">
        <v>673</v>
      </c>
      <c r="R72" s="69">
        <v>4.4000000000000004</v>
      </c>
      <c r="S72" s="69">
        <v>3049.8160000000003</v>
      </c>
      <c r="T72" s="227" t="s">
        <v>416</v>
      </c>
      <c r="U72" s="86" t="s">
        <v>1421</v>
      </c>
      <c r="V72" s="86" t="s">
        <v>947</v>
      </c>
    </row>
    <row r="73" spans="1:22" hidden="1">
      <c r="A73" s="239">
        <f t="shared" si="4"/>
        <v>68</v>
      </c>
      <c r="B73" s="256" t="s">
        <v>1236</v>
      </c>
      <c r="C73" s="257" t="s">
        <v>1284</v>
      </c>
      <c r="D73" s="262" t="s">
        <v>1278</v>
      </c>
      <c r="E73" s="261">
        <v>44610</v>
      </c>
      <c r="F73" s="265" t="s">
        <v>947</v>
      </c>
      <c r="G73" s="258">
        <v>20</v>
      </c>
      <c r="H73" s="258">
        <v>4.4000000000000004</v>
      </c>
      <c r="I73" s="260">
        <f t="shared" si="3"/>
        <v>88</v>
      </c>
      <c r="N73" s="227">
        <v>44610</v>
      </c>
      <c r="O73" s="227" t="s">
        <v>1278</v>
      </c>
      <c r="P73" s="68" t="s">
        <v>1284</v>
      </c>
      <c r="Q73" s="227" t="s">
        <v>673</v>
      </c>
      <c r="R73" s="69">
        <v>4.4000000000000004</v>
      </c>
      <c r="S73" s="69">
        <v>88</v>
      </c>
      <c r="T73" s="227" t="s">
        <v>416</v>
      </c>
      <c r="U73" s="86" t="s">
        <v>1422</v>
      </c>
      <c r="V73" s="86" t="s">
        <v>947</v>
      </c>
    </row>
    <row r="74" spans="1:22" hidden="1">
      <c r="A74" s="239">
        <f t="shared" si="4"/>
        <v>69</v>
      </c>
      <c r="B74" s="256" t="s">
        <v>1236</v>
      </c>
      <c r="C74" s="257" t="s">
        <v>1284</v>
      </c>
      <c r="D74" s="262" t="s">
        <v>1278</v>
      </c>
      <c r="E74" s="261">
        <v>44610</v>
      </c>
      <c r="F74" s="265" t="s">
        <v>1088</v>
      </c>
      <c r="G74" s="258">
        <v>1.6</v>
      </c>
      <c r="H74" s="258">
        <v>4.4000000000000004</v>
      </c>
      <c r="I74" s="260">
        <f t="shared" si="3"/>
        <v>7.0400000000000009</v>
      </c>
      <c r="N74" s="227">
        <v>44610</v>
      </c>
      <c r="O74" s="227" t="s">
        <v>1278</v>
      </c>
      <c r="P74" s="68" t="s">
        <v>1284</v>
      </c>
      <c r="Q74" s="227" t="s">
        <v>673</v>
      </c>
      <c r="R74" s="69">
        <v>4.4000000000000004</v>
      </c>
      <c r="S74" s="69">
        <v>7.0400000000000009</v>
      </c>
      <c r="T74" s="227" t="s">
        <v>416</v>
      </c>
      <c r="U74" s="86" t="s">
        <v>1422</v>
      </c>
      <c r="V74" s="86" t="s">
        <v>1088</v>
      </c>
    </row>
    <row r="75" spans="1:22" hidden="1">
      <c r="A75" s="239">
        <f t="shared" si="4"/>
        <v>70</v>
      </c>
      <c r="B75" s="256" t="s">
        <v>1236</v>
      </c>
      <c r="C75" s="257" t="s">
        <v>1285</v>
      </c>
      <c r="D75" s="264" t="s">
        <v>114</v>
      </c>
      <c r="E75" s="263">
        <v>44610</v>
      </c>
      <c r="F75" s="263" t="s">
        <v>947</v>
      </c>
      <c r="G75" s="258">
        <v>27</v>
      </c>
      <c r="H75" s="258">
        <v>4.4000000000000004</v>
      </c>
      <c r="I75" s="260">
        <f t="shared" si="3"/>
        <v>118.80000000000001</v>
      </c>
      <c r="N75" s="227">
        <v>44610</v>
      </c>
      <c r="O75" s="227" t="s">
        <v>114</v>
      </c>
      <c r="P75" s="68" t="s">
        <v>1285</v>
      </c>
      <c r="Q75" s="227" t="s">
        <v>673</v>
      </c>
      <c r="R75" s="69">
        <v>4.4000000000000004</v>
      </c>
      <c r="S75" s="69">
        <v>118.80000000000001</v>
      </c>
      <c r="T75" s="227" t="s">
        <v>416</v>
      </c>
      <c r="U75" s="86" t="s">
        <v>1423</v>
      </c>
      <c r="V75" s="86" t="s">
        <v>947</v>
      </c>
    </row>
    <row r="76" spans="1:22" hidden="1">
      <c r="A76" s="239">
        <f t="shared" si="4"/>
        <v>71</v>
      </c>
      <c r="B76" s="256" t="s">
        <v>1067</v>
      </c>
      <c r="C76" s="257" t="s">
        <v>1286</v>
      </c>
      <c r="D76" s="264" t="s">
        <v>1287</v>
      </c>
      <c r="E76" s="263">
        <v>44610</v>
      </c>
      <c r="F76" s="263" t="s">
        <v>947</v>
      </c>
      <c r="G76" s="258">
        <v>12</v>
      </c>
      <c r="H76" s="258">
        <v>4.4000000000000004</v>
      </c>
      <c r="I76" s="260">
        <f t="shared" si="3"/>
        <v>52.800000000000004</v>
      </c>
      <c r="N76" s="227">
        <v>44610</v>
      </c>
      <c r="O76" s="227" t="s">
        <v>1286</v>
      </c>
      <c r="P76" s="68" t="s">
        <v>1287</v>
      </c>
      <c r="Q76" s="227" t="s">
        <v>673</v>
      </c>
      <c r="R76" s="69">
        <v>4.4000000000000004</v>
      </c>
      <c r="S76" s="69">
        <v>-52.800000000000004</v>
      </c>
      <c r="T76" s="227" t="s">
        <v>416</v>
      </c>
      <c r="U76" s="86" t="s">
        <v>1424</v>
      </c>
      <c r="V76" s="86" t="s">
        <v>947</v>
      </c>
    </row>
    <row r="77" spans="1:22" hidden="1">
      <c r="A77" s="239">
        <f t="shared" si="4"/>
        <v>72</v>
      </c>
      <c r="B77" s="256" t="s">
        <v>1067</v>
      </c>
      <c r="C77" s="257" t="s">
        <v>1242</v>
      </c>
      <c r="D77" s="264" t="s">
        <v>1243</v>
      </c>
      <c r="E77" s="263">
        <v>44610</v>
      </c>
      <c r="F77" s="261" t="s">
        <v>947</v>
      </c>
      <c r="G77" s="258">
        <v>50</v>
      </c>
      <c r="H77" s="258">
        <v>4.5999999999999996</v>
      </c>
      <c r="I77" s="260">
        <f t="shared" si="3"/>
        <v>229.99999999999997</v>
      </c>
      <c r="N77" s="227">
        <v>44610</v>
      </c>
      <c r="O77" s="227" t="s">
        <v>1242</v>
      </c>
      <c r="P77" s="68" t="s">
        <v>1243</v>
      </c>
      <c r="Q77" s="227" t="s">
        <v>673</v>
      </c>
      <c r="R77" s="69">
        <v>4.5999999999999996</v>
      </c>
      <c r="S77" s="69">
        <v>-229.99999999999997</v>
      </c>
      <c r="T77" s="227" t="s">
        <v>416</v>
      </c>
      <c r="U77" s="86" t="s">
        <v>1381</v>
      </c>
      <c r="V77" s="86" t="s">
        <v>947</v>
      </c>
    </row>
    <row r="78" spans="1:22" hidden="1">
      <c r="A78" s="239">
        <f t="shared" si="4"/>
        <v>73</v>
      </c>
      <c r="B78" s="256" t="s">
        <v>1067</v>
      </c>
      <c r="C78" s="257" t="s">
        <v>1090</v>
      </c>
      <c r="D78" s="264" t="s">
        <v>1288</v>
      </c>
      <c r="E78" s="263">
        <v>44610</v>
      </c>
      <c r="F78" s="261" t="s">
        <v>947</v>
      </c>
      <c r="G78" s="258">
        <v>20</v>
      </c>
      <c r="H78" s="258">
        <v>4.5999999999999996</v>
      </c>
      <c r="I78" s="260">
        <f t="shared" si="3"/>
        <v>92</v>
      </c>
      <c r="N78" s="227">
        <v>44610</v>
      </c>
      <c r="O78" s="227" t="s">
        <v>1090</v>
      </c>
      <c r="P78" s="68" t="s">
        <v>1288</v>
      </c>
      <c r="Q78" s="227" t="s">
        <v>673</v>
      </c>
      <c r="R78" s="69">
        <v>4.5999999999999996</v>
      </c>
      <c r="S78" s="69">
        <v>-92</v>
      </c>
      <c r="T78" s="227" t="s">
        <v>416</v>
      </c>
      <c r="U78" s="86" t="s">
        <v>1425</v>
      </c>
      <c r="V78" s="86" t="s">
        <v>947</v>
      </c>
    </row>
    <row r="79" spans="1:22" hidden="1">
      <c r="A79" s="239">
        <f t="shared" si="4"/>
        <v>74</v>
      </c>
      <c r="B79" s="256" t="s">
        <v>1067</v>
      </c>
      <c r="C79" s="257" t="s">
        <v>1089</v>
      </c>
      <c r="D79" s="264" t="s">
        <v>1288</v>
      </c>
      <c r="E79" s="263">
        <v>44610</v>
      </c>
      <c r="F79" s="261" t="s">
        <v>947</v>
      </c>
      <c r="G79" s="258">
        <v>20</v>
      </c>
      <c r="H79" s="258">
        <v>4.5999999999999996</v>
      </c>
      <c r="I79" s="260">
        <f t="shared" si="3"/>
        <v>92</v>
      </c>
      <c r="N79" s="227">
        <v>44610</v>
      </c>
      <c r="O79" s="227" t="s">
        <v>1089</v>
      </c>
      <c r="P79" s="68" t="s">
        <v>1288</v>
      </c>
      <c r="Q79" s="227" t="s">
        <v>673</v>
      </c>
      <c r="R79" s="69">
        <v>4.5999999999999996</v>
      </c>
      <c r="S79" s="69">
        <v>-92</v>
      </c>
      <c r="T79" s="227" t="s">
        <v>416</v>
      </c>
      <c r="U79" s="86" t="s">
        <v>1426</v>
      </c>
      <c r="V79" s="86" t="s">
        <v>947</v>
      </c>
    </row>
    <row r="80" spans="1:22">
      <c r="A80" s="239">
        <f t="shared" si="4"/>
        <v>75</v>
      </c>
      <c r="B80" s="256" t="s">
        <v>1067</v>
      </c>
      <c r="C80" s="257" t="s">
        <v>962</v>
      </c>
      <c r="D80" s="264" t="s">
        <v>1288</v>
      </c>
      <c r="E80" s="263">
        <v>44610</v>
      </c>
      <c r="F80" s="263" t="s">
        <v>947</v>
      </c>
      <c r="G80" s="258">
        <v>20</v>
      </c>
      <c r="H80" s="258">
        <v>4.5999999999999996</v>
      </c>
      <c r="I80" s="260">
        <f t="shared" si="3"/>
        <v>92</v>
      </c>
      <c r="N80" s="227">
        <v>44610</v>
      </c>
      <c r="O80" s="227" t="s">
        <v>962</v>
      </c>
      <c r="P80" s="68" t="s">
        <v>1288</v>
      </c>
      <c r="Q80" s="227" t="s">
        <v>673</v>
      </c>
      <c r="R80" s="69">
        <v>4.5999999999999996</v>
      </c>
      <c r="S80" s="69">
        <v>-92</v>
      </c>
      <c r="T80" s="227" t="s">
        <v>416</v>
      </c>
      <c r="U80" s="86" t="s">
        <v>1427</v>
      </c>
      <c r="V80" s="86" t="s">
        <v>947</v>
      </c>
    </row>
    <row r="81" spans="1:22" hidden="1">
      <c r="A81" s="239">
        <f t="shared" si="4"/>
        <v>76</v>
      </c>
      <c r="B81" s="256" t="s">
        <v>1067</v>
      </c>
      <c r="C81" s="257" t="s">
        <v>1244</v>
      </c>
      <c r="D81" s="264" t="s">
        <v>1288</v>
      </c>
      <c r="E81" s="263">
        <v>44610</v>
      </c>
      <c r="F81" s="261" t="s">
        <v>947</v>
      </c>
      <c r="G81" s="258">
        <v>5</v>
      </c>
      <c r="H81" s="258">
        <v>4.5999999999999996</v>
      </c>
      <c r="I81" s="260">
        <f t="shared" si="3"/>
        <v>23</v>
      </c>
      <c r="K81" s="11"/>
      <c r="N81" s="227">
        <v>44610</v>
      </c>
      <c r="O81" s="227" t="s">
        <v>1244</v>
      </c>
      <c r="P81" s="68" t="s">
        <v>1288</v>
      </c>
      <c r="Q81" s="227" t="s">
        <v>673</v>
      </c>
      <c r="R81" s="69">
        <v>4.5999999999999996</v>
      </c>
      <c r="S81" s="69">
        <v>-23</v>
      </c>
      <c r="T81" s="227" t="s">
        <v>416</v>
      </c>
      <c r="U81" s="86" t="s">
        <v>1428</v>
      </c>
      <c r="V81" s="86" t="s">
        <v>947</v>
      </c>
    </row>
    <row r="82" spans="1:22" hidden="1">
      <c r="A82" s="239">
        <f t="shared" si="4"/>
        <v>77</v>
      </c>
      <c r="B82" s="256" t="s">
        <v>1067</v>
      </c>
      <c r="C82" s="257" t="s">
        <v>1091</v>
      </c>
      <c r="D82" s="264" t="s">
        <v>1288</v>
      </c>
      <c r="E82" s="263">
        <v>44610</v>
      </c>
      <c r="F82" s="261" t="s">
        <v>947</v>
      </c>
      <c r="G82" s="258">
        <v>15</v>
      </c>
      <c r="H82" s="258">
        <v>4.5999999999999996</v>
      </c>
      <c r="I82" s="260">
        <f t="shared" si="3"/>
        <v>69</v>
      </c>
      <c r="N82" s="227">
        <v>44610</v>
      </c>
      <c r="O82" s="227" t="s">
        <v>1091</v>
      </c>
      <c r="P82" s="68" t="s">
        <v>1288</v>
      </c>
      <c r="Q82" s="227" t="s">
        <v>673</v>
      </c>
      <c r="R82" s="69">
        <v>4.5999999999999996</v>
      </c>
      <c r="S82" s="69">
        <v>-69</v>
      </c>
      <c r="T82" s="227" t="s">
        <v>416</v>
      </c>
      <c r="U82" s="86" t="s">
        <v>1429</v>
      </c>
      <c r="V82" s="86" t="s">
        <v>947</v>
      </c>
    </row>
    <row r="83" spans="1:22" hidden="1">
      <c r="A83" s="239">
        <f t="shared" si="4"/>
        <v>78</v>
      </c>
      <c r="B83" s="256" t="s">
        <v>1067</v>
      </c>
      <c r="C83" s="257" t="s">
        <v>1170</v>
      </c>
      <c r="D83" s="264" t="s">
        <v>1288</v>
      </c>
      <c r="E83" s="263">
        <v>44610</v>
      </c>
      <c r="F83" s="261" t="s">
        <v>947</v>
      </c>
      <c r="G83" s="258">
        <v>7</v>
      </c>
      <c r="H83" s="258">
        <v>4.5999999999999996</v>
      </c>
      <c r="I83" s="260">
        <f t="shared" si="3"/>
        <v>32.199999999999996</v>
      </c>
      <c r="J83" s="269"/>
      <c r="N83" s="227">
        <v>44610</v>
      </c>
      <c r="O83" s="227" t="s">
        <v>1170</v>
      </c>
      <c r="P83" s="68" t="s">
        <v>1288</v>
      </c>
      <c r="Q83" s="227" t="s">
        <v>673</v>
      </c>
      <c r="R83" s="69">
        <v>4.5999999999999996</v>
      </c>
      <c r="S83" s="69">
        <v>-32.199999999999996</v>
      </c>
      <c r="T83" s="227" t="s">
        <v>416</v>
      </c>
      <c r="U83" s="86" t="s">
        <v>1430</v>
      </c>
      <c r="V83" s="86" t="s">
        <v>947</v>
      </c>
    </row>
    <row r="84" spans="1:22" hidden="1">
      <c r="A84" s="239">
        <f t="shared" si="4"/>
        <v>79</v>
      </c>
      <c r="B84" s="256" t="s">
        <v>1236</v>
      </c>
      <c r="C84" s="257" t="s">
        <v>1266</v>
      </c>
      <c r="D84" s="262" t="s">
        <v>1208</v>
      </c>
      <c r="E84" s="263">
        <v>44612</v>
      </c>
      <c r="F84" s="265" t="s">
        <v>947</v>
      </c>
      <c r="G84" s="258">
        <v>20</v>
      </c>
      <c r="H84" s="258">
        <v>4.5</v>
      </c>
      <c r="I84" s="260">
        <f t="shared" si="3"/>
        <v>90</v>
      </c>
      <c r="N84" s="227">
        <v>44612</v>
      </c>
      <c r="O84" s="227" t="s">
        <v>1208</v>
      </c>
      <c r="P84" s="68" t="s">
        <v>1266</v>
      </c>
      <c r="Q84" s="227" t="s">
        <v>673</v>
      </c>
      <c r="R84" s="69">
        <v>4.5</v>
      </c>
      <c r="S84" s="69">
        <v>90</v>
      </c>
      <c r="T84" s="227" t="s">
        <v>416</v>
      </c>
      <c r="U84" s="86" t="s">
        <v>1409</v>
      </c>
      <c r="V84" s="86" t="s">
        <v>947</v>
      </c>
    </row>
    <row r="85" spans="1:22" hidden="1">
      <c r="A85" s="239">
        <f t="shared" si="4"/>
        <v>80</v>
      </c>
      <c r="B85" s="256" t="s">
        <v>1236</v>
      </c>
      <c r="C85" s="257" t="s">
        <v>1266</v>
      </c>
      <c r="D85" s="262" t="s">
        <v>1208</v>
      </c>
      <c r="E85" s="263">
        <v>44612</v>
      </c>
      <c r="F85" s="265" t="s">
        <v>1088</v>
      </c>
      <c r="G85" s="258">
        <v>32.200000000000003</v>
      </c>
      <c r="H85" s="258">
        <v>4.5</v>
      </c>
      <c r="I85" s="260">
        <f t="shared" si="3"/>
        <v>144.9</v>
      </c>
      <c r="J85" s="269"/>
      <c r="N85" s="227">
        <v>44612</v>
      </c>
      <c r="O85" s="227" t="s">
        <v>1208</v>
      </c>
      <c r="P85" s="68" t="s">
        <v>1266</v>
      </c>
      <c r="Q85" s="227" t="s">
        <v>673</v>
      </c>
      <c r="R85" s="69">
        <v>4.5</v>
      </c>
      <c r="S85" s="69">
        <v>144.9</v>
      </c>
      <c r="T85" s="227" t="s">
        <v>416</v>
      </c>
      <c r="U85" s="86" t="s">
        <v>1409</v>
      </c>
      <c r="V85" s="86" t="s">
        <v>1088</v>
      </c>
    </row>
    <row r="86" spans="1:22" hidden="1">
      <c r="A86" s="239">
        <f t="shared" si="4"/>
        <v>81</v>
      </c>
      <c r="B86" s="256" t="s">
        <v>1236</v>
      </c>
      <c r="C86" s="257" t="s">
        <v>1289</v>
      </c>
      <c r="D86" s="262" t="s">
        <v>1208</v>
      </c>
      <c r="E86" s="263">
        <v>44612</v>
      </c>
      <c r="F86" s="265" t="s">
        <v>1088</v>
      </c>
      <c r="G86" s="258">
        <v>13.76</v>
      </c>
      <c r="H86" s="258">
        <v>4.5</v>
      </c>
      <c r="I86" s="260">
        <f t="shared" si="3"/>
        <v>61.92</v>
      </c>
      <c r="K86" s="269"/>
      <c r="N86" s="227">
        <v>44612</v>
      </c>
      <c r="O86" s="227" t="s">
        <v>1208</v>
      </c>
      <c r="P86" s="68" t="s">
        <v>1289</v>
      </c>
      <c r="Q86" s="227" t="s">
        <v>673</v>
      </c>
      <c r="R86" s="69">
        <v>4.5</v>
      </c>
      <c r="S86" s="69">
        <v>61.92</v>
      </c>
      <c r="T86" s="227" t="s">
        <v>416</v>
      </c>
      <c r="U86" s="86" t="s">
        <v>1431</v>
      </c>
      <c r="V86" s="86" t="s">
        <v>1088</v>
      </c>
    </row>
    <row r="87" spans="1:22" hidden="1">
      <c r="A87" s="239">
        <f t="shared" si="4"/>
        <v>82</v>
      </c>
      <c r="B87" s="256" t="s">
        <v>1067</v>
      </c>
      <c r="C87" s="257" t="s">
        <v>1196</v>
      </c>
      <c r="D87" s="262" t="s">
        <v>1290</v>
      </c>
      <c r="E87" s="263">
        <v>44613</v>
      </c>
      <c r="F87" s="265" t="s">
        <v>947</v>
      </c>
      <c r="G87" s="258">
        <f>43+30</f>
        <v>73</v>
      </c>
      <c r="H87" s="258">
        <v>4.5</v>
      </c>
      <c r="I87" s="260">
        <f t="shared" si="3"/>
        <v>328.5</v>
      </c>
      <c r="N87" s="227">
        <v>44613</v>
      </c>
      <c r="O87" s="227" t="s">
        <v>1196</v>
      </c>
      <c r="P87" s="68" t="s">
        <v>1290</v>
      </c>
      <c r="Q87" s="227" t="s">
        <v>673</v>
      </c>
      <c r="R87" s="69">
        <v>4.5</v>
      </c>
      <c r="S87" s="69">
        <v>-328.5</v>
      </c>
      <c r="T87" s="227" t="s">
        <v>416</v>
      </c>
      <c r="U87" s="86" t="s">
        <v>1432</v>
      </c>
      <c r="V87" s="86" t="s">
        <v>947</v>
      </c>
    </row>
    <row r="88" spans="1:22" hidden="1">
      <c r="A88" s="239">
        <f t="shared" si="4"/>
        <v>83</v>
      </c>
      <c r="B88" s="256" t="s">
        <v>1236</v>
      </c>
      <c r="C88" s="257" t="s">
        <v>1225</v>
      </c>
      <c r="D88" s="264" t="s">
        <v>978</v>
      </c>
      <c r="E88" s="263">
        <v>44615</v>
      </c>
      <c r="F88" s="265" t="s">
        <v>947</v>
      </c>
      <c r="G88" s="258">
        <v>100</v>
      </c>
      <c r="H88" s="258">
        <v>4.5</v>
      </c>
      <c r="I88" s="260">
        <f t="shared" si="3"/>
        <v>450</v>
      </c>
      <c r="N88" s="227">
        <v>44615</v>
      </c>
      <c r="O88" s="227" t="s">
        <v>978</v>
      </c>
      <c r="P88" s="68" t="s">
        <v>1225</v>
      </c>
      <c r="Q88" s="227" t="s">
        <v>673</v>
      </c>
      <c r="R88" s="69">
        <v>4.5</v>
      </c>
      <c r="S88" s="69">
        <v>450</v>
      </c>
      <c r="T88" s="227" t="s">
        <v>416</v>
      </c>
      <c r="U88" s="86" t="s">
        <v>1433</v>
      </c>
      <c r="V88" s="86" t="s">
        <v>947</v>
      </c>
    </row>
    <row r="89" spans="1:22" hidden="1">
      <c r="A89" s="239">
        <f t="shared" si="4"/>
        <v>84</v>
      </c>
      <c r="B89" s="256" t="s">
        <v>1236</v>
      </c>
      <c r="C89" s="257" t="s">
        <v>1232</v>
      </c>
      <c r="D89" s="264" t="s">
        <v>1096</v>
      </c>
      <c r="E89" s="263">
        <v>44615</v>
      </c>
      <c r="F89" s="263" t="s">
        <v>947</v>
      </c>
      <c r="G89" s="258">
        <v>45</v>
      </c>
      <c r="H89" s="258">
        <v>4.4000000000000004</v>
      </c>
      <c r="I89" s="260">
        <f t="shared" si="3"/>
        <v>198.00000000000003</v>
      </c>
      <c r="N89" s="227">
        <v>44615</v>
      </c>
      <c r="O89" s="227" t="s">
        <v>1096</v>
      </c>
      <c r="P89" s="68" t="s">
        <v>1232</v>
      </c>
      <c r="Q89" s="227" t="s">
        <v>673</v>
      </c>
      <c r="R89" s="69">
        <v>4.4000000000000004</v>
      </c>
      <c r="S89" s="69">
        <v>198.00000000000003</v>
      </c>
      <c r="T89" s="227" t="s">
        <v>416</v>
      </c>
      <c r="U89" s="86" t="s">
        <v>1415</v>
      </c>
      <c r="V89" s="86" t="s">
        <v>947</v>
      </c>
    </row>
    <row r="90" spans="1:22" hidden="1">
      <c r="A90" s="239">
        <f t="shared" si="4"/>
        <v>85</v>
      </c>
      <c r="B90" s="256" t="s">
        <v>1236</v>
      </c>
      <c r="C90" s="257" t="s">
        <v>1232</v>
      </c>
      <c r="D90" s="264" t="s">
        <v>1096</v>
      </c>
      <c r="E90" s="263">
        <v>44615</v>
      </c>
      <c r="F90" s="263" t="s">
        <v>1088</v>
      </c>
      <c r="G90" s="258">
        <v>4.38</v>
      </c>
      <c r="H90" s="258">
        <v>4.4000000000000004</v>
      </c>
      <c r="I90" s="260">
        <f t="shared" si="3"/>
        <v>19.272000000000002</v>
      </c>
      <c r="N90" s="227">
        <v>44615</v>
      </c>
      <c r="O90" s="227" t="s">
        <v>1096</v>
      </c>
      <c r="P90" s="68" t="s">
        <v>1232</v>
      </c>
      <c r="Q90" s="227" t="s">
        <v>673</v>
      </c>
      <c r="R90" s="69">
        <v>4.4000000000000004</v>
      </c>
      <c r="S90" s="69">
        <v>19.272000000000002</v>
      </c>
      <c r="T90" s="227" t="s">
        <v>416</v>
      </c>
      <c r="U90" s="86" t="s">
        <v>1415</v>
      </c>
      <c r="V90" s="86" t="s">
        <v>1088</v>
      </c>
    </row>
    <row r="91" spans="1:22" hidden="1">
      <c r="A91" s="239">
        <f t="shared" si="4"/>
        <v>86</v>
      </c>
      <c r="B91" s="256" t="s">
        <v>1236</v>
      </c>
      <c r="C91" s="257" t="s">
        <v>1291</v>
      </c>
      <c r="D91" s="264" t="s">
        <v>1096</v>
      </c>
      <c r="E91" s="263">
        <v>44615</v>
      </c>
      <c r="F91" s="263" t="s">
        <v>947</v>
      </c>
      <c r="G91" s="258">
        <v>45</v>
      </c>
      <c r="H91" s="258">
        <v>4.4000000000000004</v>
      </c>
      <c r="I91" s="260">
        <f t="shared" si="3"/>
        <v>198.00000000000003</v>
      </c>
      <c r="J91" s="11"/>
      <c r="N91" s="227">
        <v>44615</v>
      </c>
      <c r="O91" s="227" t="s">
        <v>1096</v>
      </c>
      <c r="P91" s="68" t="s">
        <v>1291</v>
      </c>
      <c r="Q91" s="227" t="s">
        <v>673</v>
      </c>
      <c r="R91" s="69">
        <v>4.4000000000000004</v>
      </c>
      <c r="S91" s="69">
        <v>198.00000000000003</v>
      </c>
      <c r="T91" s="227" t="s">
        <v>416</v>
      </c>
      <c r="U91" s="86" t="s">
        <v>1434</v>
      </c>
      <c r="V91" s="86" t="s">
        <v>947</v>
      </c>
    </row>
    <row r="92" spans="1:22" hidden="1">
      <c r="A92" s="239">
        <f t="shared" si="4"/>
        <v>87</v>
      </c>
      <c r="B92" s="256" t="s">
        <v>1236</v>
      </c>
      <c r="C92" s="257" t="s">
        <v>1291</v>
      </c>
      <c r="D92" s="264" t="s">
        <v>1096</v>
      </c>
      <c r="E92" s="263">
        <v>44615</v>
      </c>
      <c r="F92" s="263" t="s">
        <v>1088</v>
      </c>
      <c r="G92" s="258">
        <v>3.85</v>
      </c>
      <c r="H92" s="258">
        <v>4.4000000000000004</v>
      </c>
      <c r="I92" s="260">
        <f t="shared" si="3"/>
        <v>16.940000000000001</v>
      </c>
      <c r="N92" s="227">
        <v>44615</v>
      </c>
      <c r="O92" s="227" t="s">
        <v>1096</v>
      </c>
      <c r="P92" s="68" t="s">
        <v>1291</v>
      </c>
      <c r="Q92" s="227" t="s">
        <v>673</v>
      </c>
      <c r="R92" s="69">
        <v>4.4000000000000004</v>
      </c>
      <c r="S92" s="69">
        <v>16.940000000000001</v>
      </c>
      <c r="T92" s="227" t="s">
        <v>416</v>
      </c>
      <c r="U92" s="86" t="s">
        <v>1434</v>
      </c>
      <c r="V92" s="86" t="s">
        <v>1088</v>
      </c>
    </row>
    <row r="93" spans="1:22" hidden="1">
      <c r="A93" s="239">
        <f t="shared" si="4"/>
        <v>88</v>
      </c>
      <c r="B93" s="256" t="s">
        <v>1236</v>
      </c>
      <c r="C93" s="257" t="s">
        <v>1292</v>
      </c>
      <c r="D93" s="262" t="s">
        <v>1</v>
      </c>
      <c r="E93" s="263">
        <v>44615</v>
      </c>
      <c r="F93" s="263" t="s">
        <v>947</v>
      </c>
      <c r="G93" s="258">
        <v>20</v>
      </c>
      <c r="H93" s="258">
        <v>4.4000000000000004</v>
      </c>
      <c r="I93" s="260">
        <f t="shared" si="3"/>
        <v>88</v>
      </c>
      <c r="N93" s="227">
        <v>44615</v>
      </c>
      <c r="O93" s="227" t="s">
        <v>1</v>
      </c>
      <c r="P93" s="68" t="s">
        <v>1292</v>
      </c>
      <c r="Q93" s="227" t="s">
        <v>673</v>
      </c>
      <c r="R93" s="69">
        <v>4.4000000000000004</v>
      </c>
      <c r="S93" s="69">
        <v>88</v>
      </c>
      <c r="T93" s="227" t="s">
        <v>416</v>
      </c>
      <c r="U93" s="86" t="s">
        <v>1435</v>
      </c>
      <c r="V93" s="86" t="s">
        <v>947</v>
      </c>
    </row>
    <row r="94" spans="1:22" hidden="1">
      <c r="A94" s="239">
        <f t="shared" si="4"/>
        <v>89</v>
      </c>
      <c r="B94" s="256" t="s">
        <v>1236</v>
      </c>
      <c r="C94" s="257" t="s">
        <v>1292</v>
      </c>
      <c r="D94" s="262" t="s">
        <v>1</v>
      </c>
      <c r="E94" s="263">
        <v>44615</v>
      </c>
      <c r="F94" s="263" t="s">
        <v>1088</v>
      </c>
      <c r="G94" s="258">
        <v>3.9</v>
      </c>
      <c r="H94" s="258">
        <v>4.4000000000000004</v>
      </c>
      <c r="I94" s="260">
        <f t="shared" si="3"/>
        <v>17.16</v>
      </c>
      <c r="N94" s="227">
        <v>44615</v>
      </c>
      <c r="O94" s="227" t="s">
        <v>1</v>
      </c>
      <c r="P94" s="68" t="s">
        <v>1292</v>
      </c>
      <c r="Q94" s="227" t="s">
        <v>673</v>
      </c>
      <c r="R94" s="69">
        <v>4.4000000000000004</v>
      </c>
      <c r="S94" s="69">
        <v>17.16</v>
      </c>
      <c r="T94" s="227" t="s">
        <v>416</v>
      </c>
      <c r="U94" s="86" t="s">
        <v>1435</v>
      </c>
      <c r="V94" s="86" t="s">
        <v>1088</v>
      </c>
    </row>
    <row r="95" spans="1:22" hidden="1">
      <c r="A95" s="239">
        <f t="shared" si="4"/>
        <v>90</v>
      </c>
      <c r="B95" s="256" t="s">
        <v>1236</v>
      </c>
      <c r="C95" s="257" t="s">
        <v>1293</v>
      </c>
      <c r="D95" s="262" t="s">
        <v>929</v>
      </c>
      <c r="E95" s="263">
        <v>44615</v>
      </c>
      <c r="F95" s="263" t="s">
        <v>947</v>
      </c>
      <c r="G95" s="258">
        <v>40</v>
      </c>
      <c r="H95" s="258">
        <v>4.4000000000000004</v>
      </c>
      <c r="I95" s="260">
        <f t="shared" si="3"/>
        <v>176</v>
      </c>
      <c r="N95" s="227">
        <v>44615</v>
      </c>
      <c r="O95" s="227" t="s">
        <v>929</v>
      </c>
      <c r="P95" s="68" t="s">
        <v>1293</v>
      </c>
      <c r="Q95" s="227" t="s">
        <v>673</v>
      </c>
      <c r="R95" s="69">
        <v>4.4000000000000004</v>
      </c>
      <c r="S95" s="69">
        <v>176</v>
      </c>
      <c r="T95" s="227" t="s">
        <v>416</v>
      </c>
      <c r="U95" s="86" t="s">
        <v>1436</v>
      </c>
      <c r="V95" s="86" t="s">
        <v>947</v>
      </c>
    </row>
    <row r="96" spans="1:22" hidden="1">
      <c r="A96" s="239">
        <f t="shared" si="4"/>
        <v>91</v>
      </c>
      <c r="B96" s="256" t="s">
        <v>1236</v>
      </c>
      <c r="C96" s="257" t="s">
        <v>1293</v>
      </c>
      <c r="D96" s="262" t="s">
        <v>929</v>
      </c>
      <c r="E96" s="263">
        <v>44615</v>
      </c>
      <c r="F96" s="263" t="s">
        <v>1088</v>
      </c>
      <c r="G96" s="258">
        <v>1.95</v>
      </c>
      <c r="H96" s="258">
        <v>4.4000000000000004</v>
      </c>
      <c r="I96" s="260">
        <f t="shared" si="3"/>
        <v>8.58</v>
      </c>
      <c r="N96" s="227">
        <v>44615</v>
      </c>
      <c r="O96" s="227" t="s">
        <v>929</v>
      </c>
      <c r="P96" s="68" t="s">
        <v>1293</v>
      </c>
      <c r="Q96" s="227" t="s">
        <v>673</v>
      </c>
      <c r="R96" s="69">
        <v>4.4000000000000004</v>
      </c>
      <c r="S96" s="69">
        <v>8.58</v>
      </c>
      <c r="T96" s="227" t="s">
        <v>416</v>
      </c>
      <c r="U96" s="86" t="s">
        <v>1436</v>
      </c>
      <c r="V96" s="86" t="s">
        <v>1088</v>
      </c>
    </row>
    <row r="97" spans="1:22" hidden="1">
      <c r="A97" s="239">
        <f t="shared" si="4"/>
        <v>92</v>
      </c>
      <c r="B97" s="256" t="s">
        <v>1236</v>
      </c>
      <c r="C97" s="257" t="s">
        <v>1294</v>
      </c>
      <c r="D97" s="262" t="s">
        <v>914</v>
      </c>
      <c r="E97" s="263">
        <v>44615</v>
      </c>
      <c r="F97" s="263" t="s">
        <v>947</v>
      </c>
      <c r="G97" s="258">
        <v>75</v>
      </c>
      <c r="H97" s="258">
        <v>4.4000000000000004</v>
      </c>
      <c r="I97" s="260">
        <f t="shared" si="3"/>
        <v>330</v>
      </c>
      <c r="N97" s="227">
        <v>44615</v>
      </c>
      <c r="O97" s="227" t="s">
        <v>914</v>
      </c>
      <c r="P97" s="68" t="s">
        <v>1294</v>
      </c>
      <c r="Q97" s="227" t="s">
        <v>673</v>
      </c>
      <c r="R97" s="69">
        <v>4.4000000000000004</v>
      </c>
      <c r="S97" s="69">
        <v>330</v>
      </c>
      <c r="T97" s="227" t="s">
        <v>416</v>
      </c>
      <c r="U97" s="86" t="s">
        <v>1437</v>
      </c>
      <c r="V97" s="86" t="s">
        <v>947</v>
      </c>
    </row>
    <row r="98" spans="1:22" hidden="1">
      <c r="A98" s="239">
        <f t="shared" si="4"/>
        <v>93</v>
      </c>
      <c r="B98" s="256" t="s">
        <v>1236</v>
      </c>
      <c r="C98" s="257" t="s">
        <v>1294</v>
      </c>
      <c r="D98" s="262" t="s">
        <v>914</v>
      </c>
      <c r="E98" s="263">
        <v>44615</v>
      </c>
      <c r="F98" s="263" t="s">
        <v>1088</v>
      </c>
      <c r="G98" s="258">
        <v>0.6</v>
      </c>
      <c r="H98" s="258">
        <v>4.4000000000000004</v>
      </c>
      <c r="I98" s="260">
        <f t="shared" si="3"/>
        <v>2.64</v>
      </c>
      <c r="N98" s="227">
        <v>44615</v>
      </c>
      <c r="O98" s="227" t="s">
        <v>914</v>
      </c>
      <c r="P98" s="68" t="s">
        <v>1294</v>
      </c>
      <c r="Q98" s="227" t="s">
        <v>673</v>
      </c>
      <c r="R98" s="69">
        <v>4.4000000000000004</v>
      </c>
      <c r="S98" s="69">
        <v>2.64</v>
      </c>
      <c r="T98" s="227" t="s">
        <v>416</v>
      </c>
      <c r="U98" s="86" t="s">
        <v>1437</v>
      </c>
      <c r="V98" s="86" t="s">
        <v>1088</v>
      </c>
    </row>
    <row r="99" spans="1:22" hidden="1">
      <c r="A99" s="239">
        <f t="shared" si="4"/>
        <v>94</v>
      </c>
      <c r="B99" s="256" t="s">
        <v>1236</v>
      </c>
      <c r="C99" s="257" t="s">
        <v>1295</v>
      </c>
      <c r="D99" s="262" t="s">
        <v>1175</v>
      </c>
      <c r="E99" s="263">
        <v>44615</v>
      </c>
      <c r="F99" s="263" t="s">
        <v>947</v>
      </c>
      <c r="G99" s="258">
        <v>5</v>
      </c>
      <c r="H99" s="258">
        <v>4.4000000000000004</v>
      </c>
      <c r="I99" s="260">
        <f t="shared" si="3"/>
        <v>22</v>
      </c>
      <c r="N99" s="227">
        <v>44615</v>
      </c>
      <c r="O99" s="227" t="s">
        <v>1175</v>
      </c>
      <c r="P99" s="68" t="s">
        <v>1295</v>
      </c>
      <c r="Q99" s="227" t="s">
        <v>673</v>
      </c>
      <c r="R99" s="69">
        <v>4.4000000000000004</v>
      </c>
      <c r="S99" s="69">
        <v>22</v>
      </c>
      <c r="T99" s="227" t="s">
        <v>416</v>
      </c>
      <c r="U99" s="86" t="s">
        <v>1438</v>
      </c>
      <c r="V99" s="86" t="s">
        <v>947</v>
      </c>
    </row>
    <row r="100" spans="1:22" hidden="1">
      <c r="A100" s="239">
        <f t="shared" si="4"/>
        <v>95</v>
      </c>
      <c r="B100" s="256" t="s">
        <v>1236</v>
      </c>
      <c r="C100" s="257" t="s">
        <v>1295</v>
      </c>
      <c r="D100" s="262" t="s">
        <v>1175</v>
      </c>
      <c r="E100" s="263">
        <v>44615</v>
      </c>
      <c r="F100" s="263" t="s">
        <v>1088</v>
      </c>
      <c r="G100" s="258">
        <v>3.38</v>
      </c>
      <c r="H100" s="258">
        <v>4.4000000000000004</v>
      </c>
      <c r="I100" s="260">
        <f t="shared" si="3"/>
        <v>14.872</v>
      </c>
      <c r="N100" s="227">
        <v>44615</v>
      </c>
      <c r="O100" s="227" t="s">
        <v>1175</v>
      </c>
      <c r="P100" s="68" t="s">
        <v>1295</v>
      </c>
      <c r="Q100" s="227" t="s">
        <v>673</v>
      </c>
      <c r="R100" s="69">
        <v>4.4000000000000004</v>
      </c>
      <c r="S100" s="69">
        <v>14.872</v>
      </c>
      <c r="T100" s="227" t="s">
        <v>416</v>
      </c>
      <c r="U100" s="86" t="s">
        <v>1438</v>
      </c>
      <c r="V100" s="86" t="s">
        <v>1088</v>
      </c>
    </row>
    <row r="101" spans="1:22" hidden="1">
      <c r="A101" s="239">
        <f t="shared" si="4"/>
        <v>96</v>
      </c>
      <c r="B101" s="256" t="s">
        <v>1067</v>
      </c>
      <c r="C101" s="257" t="s">
        <v>1297</v>
      </c>
      <c r="D101" s="262" t="s">
        <v>1296</v>
      </c>
      <c r="E101" s="263">
        <v>44616</v>
      </c>
      <c r="F101" s="263" t="s">
        <v>947</v>
      </c>
      <c r="G101" s="258">
        <v>20</v>
      </c>
      <c r="H101" s="258">
        <v>4.4000000000000004</v>
      </c>
      <c r="I101" s="260">
        <f t="shared" si="3"/>
        <v>88</v>
      </c>
      <c r="J101" s="268"/>
      <c r="N101" s="227">
        <v>44616</v>
      </c>
      <c r="O101" s="227" t="s">
        <v>1297</v>
      </c>
      <c r="P101" s="68" t="s">
        <v>1296</v>
      </c>
      <c r="Q101" s="227" t="s">
        <v>673</v>
      </c>
      <c r="R101" s="69">
        <v>4.4000000000000004</v>
      </c>
      <c r="S101" s="69">
        <v>-88</v>
      </c>
      <c r="T101" s="227" t="s">
        <v>416</v>
      </c>
      <c r="U101" s="86" t="s">
        <v>1439</v>
      </c>
      <c r="V101" s="86" t="s">
        <v>947</v>
      </c>
    </row>
    <row r="102" spans="1:22" hidden="1">
      <c r="A102" s="239">
        <f t="shared" si="4"/>
        <v>97</v>
      </c>
      <c r="B102" s="256" t="s">
        <v>1067</v>
      </c>
      <c r="C102" s="257" t="s">
        <v>1242</v>
      </c>
      <c r="D102" s="264" t="s">
        <v>1243</v>
      </c>
      <c r="E102" s="263">
        <v>44617</v>
      </c>
      <c r="F102" s="261" t="s">
        <v>947</v>
      </c>
      <c r="G102" s="258">
        <v>50</v>
      </c>
      <c r="H102" s="258">
        <v>4.4000000000000004</v>
      </c>
      <c r="I102" s="260">
        <f t="shared" si="3"/>
        <v>220.00000000000003</v>
      </c>
      <c r="N102" s="227">
        <v>44617</v>
      </c>
      <c r="O102" s="227" t="s">
        <v>1242</v>
      </c>
      <c r="P102" s="68" t="s">
        <v>1243</v>
      </c>
      <c r="Q102" s="227" t="s">
        <v>673</v>
      </c>
      <c r="R102" s="69">
        <v>4.4000000000000004</v>
      </c>
      <c r="S102" s="69">
        <v>-220.00000000000003</v>
      </c>
      <c r="T102" s="227" t="s">
        <v>416</v>
      </c>
      <c r="U102" s="86" t="s">
        <v>1381</v>
      </c>
      <c r="V102" s="86" t="s">
        <v>947</v>
      </c>
    </row>
    <row r="103" spans="1:22" hidden="1">
      <c r="A103" s="239">
        <f t="shared" si="4"/>
        <v>98</v>
      </c>
      <c r="B103" s="256" t="s">
        <v>1067</v>
      </c>
      <c r="C103" s="257" t="s">
        <v>1090</v>
      </c>
      <c r="D103" s="264" t="s">
        <v>1298</v>
      </c>
      <c r="E103" s="263">
        <v>44617</v>
      </c>
      <c r="F103" s="261" t="s">
        <v>947</v>
      </c>
      <c r="G103" s="258">
        <v>20</v>
      </c>
      <c r="H103" s="258">
        <v>4.4000000000000004</v>
      </c>
      <c r="I103" s="260">
        <f t="shared" si="3"/>
        <v>88</v>
      </c>
      <c r="N103" s="227">
        <v>44617</v>
      </c>
      <c r="O103" s="227" t="s">
        <v>1090</v>
      </c>
      <c r="P103" s="68" t="s">
        <v>1298</v>
      </c>
      <c r="Q103" s="227" t="s">
        <v>673</v>
      </c>
      <c r="R103" s="69">
        <v>4.4000000000000004</v>
      </c>
      <c r="S103" s="69">
        <v>-88</v>
      </c>
      <c r="T103" s="227" t="s">
        <v>416</v>
      </c>
      <c r="U103" s="86" t="s">
        <v>1440</v>
      </c>
      <c r="V103" s="86" t="s">
        <v>947</v>
      </c>
    </row>
    <row r="104" spans="1:22" hidden="1">
      <c r="A104" s="239">
        <f t="shared" si="4"/>
        <v>99</v>
      </c>
      <c r="B104" s="256" t="s">
        <v>1067</v>
      </c>
      <c r="C104" s="257" t="s">
        <v>1089</v>
      </c>
      <c r="D104" s="264" t="s">
        <v>1298</v>
      </c>
      <c r="E104" s="263">
        <v>44617</v>
      </c>
      <c r="F104" s="261" t="s">
        <v>947</v>
      </c>
      <c r="G104" s="258">
        <v>20</v>
      </c>
      <c r="H104" s="258">
        <v>4.4000000000000004</v>
      </c>
      <c r="I104" s="260">
        <f t="shared" si="3"/>
        <v>88</v>
      </c>
      <c r="N104" s="227">
        <v>44617</v>
      </c>
      <c r="O104" s="227" t="s">
        <v>1089</v>
      </c>
      <c r="P104" s="68" t="s">
        <v>1298</v>
      </c>
      <c r="Q104" s="227" t="s">
        <v>673</v>
      </c>
      <c r="R104" s="69">
        <v>4.4000000000000004</v>
      </c>
      <c r="S104" s="69">
        <v>-88</v>
      </c>
      <c r="T104" s="227" t="s">
        <v>416</v>
      </c>
      <c r="U104" s="86" t="s">
        <v>1441</v>
      </c>
      <c r="V104" s="86" t="s">
        <v>947</v>
      </c>
    </row>
    <row r="105" spans="1:22">
      <c r="A105" s="239">
        <f t="shared" si="4"/>
        <v>100</v>
      </c>
      <c r="B105" s="256" t="s">
        <v>1067</v>
      </c>
      <c r="C105" s="257" t="s">
        <v>962</v>
      </c>
      <c r="D105" s="264" t="s">
        <v>1298</v>
      </c>
      <c r="E105" s="263">
        <v>44617</v>
      </c>
      <c r="F105" s="263" t="s">
        <v>947</v>
      </c>
      <c r="G105" s="258">
        <v>20</v>
      </c>
      <c r="H105" s="258">
        <v>4.4000000000000004</v>
      </c>
      <c r="I105" s="260">
        <f t="shared" si="3"/>
        <v>88</v>
      </c>
      <c r="N105" s="227">
        <v>44617</v>
      </c>
      <c r="O105" s="227" t="s">
        <v>962</v>
      </c>
      <c r="P105" s="68" t="s">
        <v>1298</v>
      </c>
      <c r="Q105" s="227" t="s">
        <v>673</v>
      </c>
      <c r="R105" s="69">
        <v>4.4000000000000004</v>
      </c>
      <c r="S105" s="69">
        <v>-88</v>
      </c>
      <c r="T105" s="227" t="s">
        <v>416</v>
      </c>
      <c r="U105" s="86" t="s">
        <v>1442</v>
      </c>
      <c r="V105" s="86" t="s">
        <v>947</v>
      </c>
    </row>
    <row r="106" spans="1:22" hidden="1">
      <c r="A106" s="239">
        <f t="shared" si="4"/>
        <v>101</v>
      </c>
      <c r="B106" s="256" t="s">
        <v>1067</v>
      </c>
      <c r="C106" s="257" t="s">
        <v>1244</v>
      </c>
      <c r="D106" s="264" t="s">
        <v>1298</v>
      </c>
      <c r="E106" s="263">
        <v>44617</v>
      </c>
      <c r="F106" s="261" t="s">
        <v>947</v>
      </c>
      <c r="G106" s="258">
        <v>5</v>
      </c>
      <c r="H106" s="258">
        <v>4.4000000000000004</v>
      </c>
      <c r="I106" s="260">
        <f t="shared" si="3"/>
        <v>22</v>
      </c>
      <c r="N106" s="227">
        <v>44617</v>
      </c>
      <c r="O106" s="227" t="s">
        <v>1244</v>
      </c>
      <c r="P106" s="68" t="s">
        <v>1298</v>
      </c>
      <c r="Q106" s="227" t="s">
        <v>673</v>
      </c>
      <c r="R106" s="69">
        <v>4.4000000000000004</v>
      </c>
      <c r="S106" s="69">
        <v>-22</v>
      </c>
      <c r="T106" s="227" t="s">
        <v>416</v>
      </c>
      <c r="U106" s="86" t="s">
        <v>1443</v>
      </c>
      <c r="V106" s="86" t="s">
        <v>947</v>
      </c>
    </row>
    <row r="107" spans="1:22" hidden="1">
      <c r="A107" s="239">
        <f t="shared" si="4"/>
        <v>102</v>
      </c>
      <c r="B107" s="256" t="s">
        <v>1067</v>
      </c>
      <c r="C107" s="257" t="s">
        <v>1091</v>
      </c>
      <c r="D107" s="264" t="s">
        <v>1298</v>
      </c>
      <c r="E107" s="263">
        <v>44617</v>
      </c>
      <c r="F107" s="261" t="s">
        <v>947</v>
      </c>
      <c r="G107" s="258">
        <v>15</v>
      </c>
      <c r="H107" s="258">
        <v>4.4000000000000004</v>
      </c>
      <c r="I107" s="260">
        <f t="shared" si="3"/>
        <v>66</v>
      </c>
      <c r="N107" s="227">
        <v>44617</v>
      </c>
      <c r="O107" s="227" t="s">
        <v>1091</v>
      </c>
      <c r="P107" s="68" t="s">
        <v>1298</v>
      </c>
      <c r="Q107" s="227" t="s">
        <v>673</v>
      </c>
      <c r="R107" s="69">
        <v>4.4000000000000004</v>
      </c>
      <c r="S107" s="69">
        <v>-66</v>
      </c>
      <c r="T107" s="227" t="s">
        <v>416</v>
      </c>
      <c r="U107" s="86" t="s">
        <v>1444</v>
      </c>
      <c r="V107" s="86" t="s">
        <v>947</v>
      </c>
    </row>
    <row r="108" spans="1:22" hidden="1">
      <c r="A108" s="239">
        <f t="shared" si="4"/>
        <v>103</v>
      </c>
      <c r="B108" s="256" t="s">
        <v>1067</v>
      </c>
      <c r="C108" s="257" t="s">
        <v>1170</v>
      </c>
      <c r="D108" s="264" t="s">
        <v>1298</v>
      </c>
      <c r="E108" s="263">
        <v>44617</v>
      </c>
      <c r="F108" s="261" t="s">
        <v>947</v>
      </c>
      <c r="G108" s="258">
        <v>7</v>
      </c>
      <c r="H108" s="258">
        <v>4.4000000000000004</v>
      </c>
      <c r="I108" s="260">
        <f t="shared" si="3"/>
        <v>30.800000000000004</v>
      </c>
      <c r="N108" s="227">
        <v>44617</v>
      </c>
      <c r="O108" s="227" t="s">
        <v>1170</v>
      </c>
      <c r="P108" s="68" t="s">
        <v>1298</v>
      </c>
      <c r="Q108" s="227" t="s">
        <v>673</v>
      </c>
      <c r="R108" s="69">
        <v>4.4000000000000004</v>
      </c>
      <c r="S108" s="69">
        <v>-30.800000000000004</v>
      </c>
      <c r="T108" s="227" t="s">
        <v>416</v>
      </c>
      <c r="U108" s="86" t="s">
        <v>1445</v>
      </c>
      <c r="V108" s="86" t="s">
        <v>947</v>
      </c>
    </row>
    <row r="109" spans="1:22" hidden="1">
      <c r="A109" s="239">
        <f t="shared" si="4"/>
        <v>104</v>
      </c>
      <c r="B109" s="256" t="s">
        <v>1067</v>
      </c>
      <c r="C109" s="257" t="s">
        <v>1090</v>
      </c>
      <c r="D109" s="264" t="s">
        <v>1299</v>
      </c>
      <c r="E109" s="263">
        <v>44617</v>
      </c>
      <c r="F109" s="261" t="s">
        <v>947</v>
      </c>
      <c r="G109" s="258">
        <v>50</v>
      </c>
      <c r="H109" s="258">
        <v>4.4000000000000004</v>
      </c>
      <c r="I109" s="260">
        <f t="shared" si="3"/>
        <v>220.00000000000003</v>
      </c>
      <c r="N109" s="227">
        <v>44617</v>
      </c>
      <c r="O109" s="227" t="s">
        <v>1090</v>
      </c>
      <c r="P109" s="68" t="s">
        <v>1299</v>
      </c>
      <c r="Q109" s="227" t="s">
        <v>673</v>
      </c>
      <c r="R109" s="69">
        <v>4.4000000000000004</v>
      </c>
      <c r="S109" s="69">
        <v>-220.00000000000003</v>
      </c>
      <c r="T109" s="227" t="s">
        <v>416</v>
      </c>
      <c r="U109" s="86" t="s">
        <v>1446</v>
      </c>
      <c r="V109" s="86" t="s">
        <v>947</v>
      </c>
    </row>
    <row r="110" spans="1:22" hidden="1">
      <c r="A110" s="239">
        <f t="shared" si="4"/>
        <v>105</v>
      </c>
      <c r="B110" s="256" t="s">
        <v>1067</v>
      </c>
      <c r="C110" s="257" t="s">
        <v>1089</v>
      </c>
      <c r="D110" s="264" t="s">
        <v>1299</v>
      </c>
      <c r="E110" s="263">
        <v>44617</v>
      </c>
      <c r="F110" s="261" t="s">
        <v>947</v>
      </c>
      <c r="G110" s="258">
        <v>50</v>
      </c>
      <c r="H110" s="258">
        <v>4.4000000000000004</v>
      </c>
      <c r="I110" s="260">
        <f t="shared" si="3"/>
        <v>220.00000000000003</v>
      </c>
      <c r="N110" s="227">
        <v>44617</v>
      </c>
      <c r="O110" s="227" t="s">
        <v>1089</v>
      </c>
      <c r="P110" s="68" t="s">
        <v>1299</v>
      </c>
      <c r="Q110" s="227" t="s">
        <v>673</v>
      </c>
      <c r="R110" s="69">
        <v>4.4000000000000004</v>
      </c>
      <c r="S110" s="69">
        <v>-220.00000000000003</v>
      </c>
      <c r="T110" s="227" t="s">
        <v>416</v>
      </c>
      <c r="U110" s="86" t="s">
        <v>1447</v>
      </c>
      <c r="V110" s="86" t="s">
        <v>947</v>
      </c>
    </row>
    <row r="111" spans="1:22">
      <c r="A111" s="239">
        <f t="shared" si="4"/>
        <v>106</v>
      </c>
      <c r="B111" s="256" t="s">
        <v>1067</v>
      </c>
      <c r="C111" s="257" t="s">
        <v>962</v>
      </c>
      <c r="D111" s="264" t="s">
        <v>1299</v>
      </c>
      <c r="E111" s="263">
        <v>44617</v>
      </c>
      <c r="F111" s="263" t="s">
        <v>947</v>
      </c>
      <c r="G111" s="258">
        <v>50</v>
      </c>
      <c r="H111" s="258">
        <v>4.4000000000000004</v>
      </c>
      <c r="I111" s="260">
        <f t="shared" si="3"/>
        <v>220.00000000000003</v>
      </c>
      <c r="J111" s="268"/>
      <c r="N111" s="227">
        <v>44617</v>
      </c>
      <c r="O111" s="227" t="s">
        <v>962</v>
      </c>
      <c r="P111" s="68" t="s">
        <v>1299</v>
      </c>
      <c r="Q111" s="227" t="s">
        <v>673</v>
      </c>
      <c r="R111" s="69">
        <v>4.4000000000000004</v>
      </c>
      <c r="S111" s="69">
        <v>-220.00000000000003</v>
      </c>
      <c r="T111" s="227" t="s">
        <v>416</v>
      </c>
      <c r="U111" s="86" t="s">
        <v>1448</v>
      </c>
      <c r="V111" s="86" t="s">
        <v>947</v>
      </c>
    </row>
    <row r="112" spans="1:22" hidden="1">
      <c r="A112" s="239">
        <f t="shared" si="4"/>
        <v>107</v>
      </c>
      <c r="B112" s="256" t="s">
        <v>1067</v>
      </c>
      <c r="C112" s="257" t="s">
        <v>1244</v>
      </c>
      <c r="D112" s="264" t="s">
        <v>1299</v>
      </c>
      <c r="E112" s="263">
        <v>44617</v>
      </c>
      <c r="F112" s="261" t="s">
        <v>947</v>
      </c>
      <c r="G112" s="258">
        <v>15</v>
      </c>
      <c r="H112" s="258">
        <v>4.4000000000000004</v>
      </c>
      <c r="I112" s="260">
        <f t="shared" si="3"/>
        <v>66</v>
      </c>
      <c r="N112" s="227">
        <v>44617</v>
      </c>
      <c r="O112" s="227" t="s">
        <v>1244</v>
      </c>
      <c r="P112" s="68" t="s">
        <v>1299</v>
      </c>
      <c r="Q112" s="227" t="s">
        <v>673</v>
      </c>
      <c r="R112" s="69">
        <v>4.4000000000000004</v>
      </c>
      <c r="S112" s="69">
        <v>-66</v>
      </c>
      <c r="T112" s="227" t="s">
        <v>416</v>
      </c>
      <c r="U112" s="86" t="s">
        <v>1449</v>
      </c>
      <c r="V112" s="86" t="s">
        <v>947</v>
      </c>
    </row>
    <row r="113" spans="1:22" hidden="1">
      <c r="A113" s="239">
        <f t="shared" si="4"/>
        <v>108</v>
      </c>
      <c r="B113" s="256" t="s">
        <v>1067</v>
      </c>
      <c r="C113" s="257" t="s">
        <v>1091</v>
      </c>
      <c r="D113" s="264" t="s">
        <v>1299</v>
      </c>
      <c r="E113" s="263">
        <v>44617</v>
      </c>
      <c r="F113" s="261" t="s">
        <v>947</v>
      </c>
      <c r="G113" s="258">
        <v>30</v>
      </c>
      <c r="H113" s="258">
        <v>4.4000000000000004</v>
      </c>
      <c r="I113" s="260">
        <f t="shared" si="3"/>
        <v>132</v>
      </c>
      <c r="N113" s="227">
        <v>44617</v>
      </c>
      <c r="O113" s="227" t="s">
        <v>1091</v>
      </c>
      <c r="P113" s="68" t="s">
        <v>1299</v>
      </c>
      <c r="Q113" s="227" t="s">
        <v>673</v>
      </c>
      <c r="R113" s="69">
        <v>4.4000000000000004</v>
      </c>
      <c r="S113" s="69">
        <v>-132</v>
      </c>
      <c r="T113" s="227" t="s">
        <v>416</v>
      </c>
      <c r="U113" s="86" t="s">
        <v>1450</v>
      </c>
      <c r="V113" s="86" t="s">
        <v>947</v>
      </c>
    </row>
    <row r="114" spans="1:22" hidden="1">
      <c r="A114" s="239">
        <f t="shared" si="4"/>
        <v>109</v>
      </c>
      <c r="B114" s="256" t="s">
        <v>1067</v>
      </c>
      <c r="C114" s="257" t="s">
        <v>1170</v>
      </c>
      <c r="D114" s="264" t="s">
        <v>1299</v>
      </c>
      <c r="E114" s="263">
        <v>44617</v>
      </c>
      <c r="F114" s="261" t="s">
        <v>947</v>
      </c>
      <c r="G114" s="258">
        <v>15</v>
      </c>
      <c r="H114" s="258">
        <v>4.4000000000000004</v>
      </c>
      <c r="I114" s="260">
        <f t="shared" si="3"/>
        <v>66</v>
      </c>
      <c r="N114" s="227">
        <v>44617</v>
      </c>
      <c r="O114" s="227" t="s">
        <v>1170</v>
      </c>
      <c r="P114" s="68" t="s">
        <v>1299</v>
      </c>
      <c r="Q114" s="227" t="s">
        <v>673</v>
      </c>
      <c r="R114" s="69">
        <v>4.4000000000000004</v>
      </c>
      <c r="S114" s="69">
        <v>-66</v>
      </c>
      <c r="T114" s="227" t="s">
        <v>416</v>
      </c>
      <c r="U114" s="86" t="s">
        <v>1451</v>
      </c>
      <c r="V114" s="86" t="s">
        <v>947</v>
      </c>
    </row>
    <row r="115" spans="1:22" hidden="1">
      <c r="A115" s="239">
        <f t="shared" si="4"/>
        <v>110</v>
      </c>
      <c r="B115" s="256" t="s">
        <v>1236</v>
      </c>
      <c r="C115" s="257" t="s">
        <v>1300</v>
      </c>
      <c r="D115" s="264" t="s">
        <v>865</v>
      </c>
      <c r="E115" s="263">
        <v>44617</v>
      </c>
      <c r="F115" s="265" t="s">
        <v>947</v>
      </c>
      <c r="G115" s="258">
        <v>56.000000000000007</v>
      </c>
      <c r="H115" s="258">
        <v>4.59</v>
      </c>
      <c r="I115" s="260">
        <f t="shared" si="3"/>
        <v>257.04000000000002</v>
      </c>
      <c r="N115" s="227">
        <v>44617</v>
      </c>
      <c r="O115" s="227" t="s">
        <v>865</v>
      </c>
      <c r="P115" s="68" t="s">
        <v>1300</v>
      </c>
      <c r="Q115" s="227" t="s">
        <v>673</v>
      </c>
      <c r="R115" s="69">
        <v>4.59</v>
      </c>
      <c r="S115" s="69">
        <v>257.04000000000002</v>
      </c>
      <c r="T115" s="227" t="s">
        <v>416</v>
      </c>
      <c r="U115" s="86" t="s">
        <v>1452</v>
      </c>
      <c r="V115" s="86" t="s">
        <v>947</v>
      </c>
    </row>
    <row r="116" spans="1:22" hidden="1">
      <c r="A116" s="239">
        <f t="shared" si="4"/>
        <v>111</v>
      </c>
      <c r="B116" s="256" t="s">
        <v>1067</v>
      </c>
      <c r="C116" s="257" t="s">
        <v>1092</v>
      </c>
      <c r="D116" s="264" t="s">
        <v>1308</v>
      </c>
      <c r="E116" s="263">
        <v>44617</v>
      </c>
      <c r="F116" s="265" t="s">
        <v>947</v>
      </c>
      <c r="G116" s="258">
        <f>45*5</f>
        <v>225</v>
      </c>
      <c r="H116" s="258">
        <v>4.59</v>
      </c>
      <c r="I116" s="260">
        <f t="shared" si="3"/>
        <v>1032.75</v>
      </c>
      <c r="N116" s="227">
        <v>44617</v>
      </c>
      <c r="O116" s="227" t="s">
        <v>1092</v>
      </c>
      <c r="P116" s="68" t="s">
        <v>1308</v>
      </c>
      <c r="Q116" s="227" t="s">
        <v>673</v>
      </c>
      <c r="R116" s="69">
        <v>4.59</v>
      </c>
      <c r="S116" s="69">
        <v>-1032.75</v>
      </c>
      <c r="T116" s="227" t="s">
        <v>416</v>
      </c>
      <c r="U116" s="86" t="s">
        <v>1453</v>
      </c>
      <c r="V116" s="86" t="s">
        <v>947</v>
      </c>
    </row>
    <row r="117" spans="1:22" hidden="1">
      <c r="A117" s="239">
        <f t="shared" si="4"/>
        <v>112</v>
      </c>
      <c r="B117" s="256" t="s">
        <v>1067</v>
      </c>
      <c r="C117" s="257" t="s">
        <v>1301</v>
      </c>
      <c r="D117" s="264" t="s">
        <v>1302</v>
      </c>
      <c r="E117" s="263">
        <v>44617</v>
      </c>
      <c r="F117" s="265" t="s">
        <v>947</v>
      </c>
      <c r="G117" s="258">
        <v>30</v>
      </c>
      <c r="H117" s="258">
        <v>4.59</v>
      </c>
      <c r="I117" s="260">
        <f t="shared" si="3"/>
        <v>137.69999999999999</v>
      </c>
      <c r="N117" s="227">
        <v>44617</v>
      </c>
      <c r="O117" s="227" t="s">
        <v>1301</v>
      </c>
      <c r="P117" s="68" t="s">
        <v>1302</v>
      </c>
      <c r="Q117" s="227" t="s">
        <v>673</v>
      </c>
      <c r="R117" s="69">
        <v>4.59</v>
      </c>
      <c r="S117" s="69">
        <v>-137.69999999999999</v>
      </c>
      <c r="T117" s="227" t="s">
        <v>416</v>
      </c>
      <c r="U117" s="86" t="s">
        <v>1454</v>
      </c>
      <c r="V117" s="86" t="s">
        <v>947</v>
      </c>
    </row>
    <row r="118" spans="1:22" hidden="1">
      <c r="A118" s="239">
        <f t="shared" si="4"/>
        <v>113</v>
      </c>
      <c r="B118" s="256" t="s">
        <v>1067</v>
      </c>
      <c r="C118" s="257" t="s">
        <v>1262</v>
      </c>
      <c r="D118" s="264" t="s">
        <v>1303</v>
      </c>
      <c r="E118" s="263">
        <v>44617</v>
      </c>
      <c r="F118" s="261" t="s">
        <v>947</v>
      </c>
      <c r="G118" s="258">
        <v>30</v>
      </c>
      <c r="H118" s="258">
        <v>4.59</v>
      </c>
      <c r="I118" s="260">
        <f t="shared" si="3"/>
        <v>137.69999999999999</v>
      </c>
      <c r="N118" s="227">
        <v>44617</v>
      </c>
      <c r="O118" s="227" t="s">
        <v>1262</v>
      </c>
      <c r="P118" s="68" t="s">
        <v>1303</v>
      </c>
      <c r="Q118" s="227" t="s">
        <v>673</v>
      </c>
      <c r="R118" s="69">
        <v>4.59</v>
      </c>
      <c r="S118" s="69">
        <v>-137.69999999999999</v>
      </c>
      <c r="T118" s="227" t="s">
        <v>416</v>
      </c>
      <c r="U118" s="86" t="s">
        <v>1455</v>
      </c>
      <c r="V118" s="86" t="s">
        <v>947</v>
      </c>
    </row>
    <row r="119" spans="1:22" hidden="1">
      <c r="A119" s="239">
        <f t="shared" si="4"/>
        <v>114</v>
      </c>
      <c r="B119" s="256" t="s">
        <v>1236</v>
      </c>
      <c r="C119" s="257" t="s">
        <v>1304</v>
      </c>
      <c r="D119" s="262" t="s">
        <v>1069</v>
      </c>
      <c r="E119" s="263">
        <v>44617</v>
      </c>
      <c r="F119" s="263" t="s">
        <v>947</v>
      </c>
      <c r="G119" s="258">
        <v>40</v>
      </c>
      <c r="H119" s="258">
        <v>4.59</v>
      </c>
      <c r="I119" s="260">
        <f t="shared" si="3"/>
        <v>183.6</v>
      </c>
      <c r="N119" s="227">
        <v>44617</v>
      </c>
      <c r="O119" s="227" t="s">
        <v>1069</v>
      </c>
      <c r="P119" s="68" t="s">
        <v>1304</v>
      </c>
      <c r="Q119" s="227" t="s">
        <v>673</v>
      </c>
      <c r="R119" s="69">
        <v>4.59</v>
      </c>
      <c r="S119" s="69">
        <v>183.6</v>
      </c>
      <c r="T119" s="227" t="s">
        <v>416</v>
      </c>
      <c r="U119" s="86" t="s">
        <v>1456</v>
      </c>
      <c r="V119" s="86" t="s">
        <v>947</v>
      </c>
    </row>
    <row r="120" spans="1:22" hidden="1">
      <c r="A120" s="239">
        <f t="shared" si="4"/>
        <v>115</v>
      </c>
      <c r="B120" s="256" t="s">
        <v>1236</v>
      </c>
      <c r="C120" s="257" t="s">
        <v>1304</v>
      </c>
      <c r="D120" s="262" t="s">
        <v>1069</v>
      </c>
      <c r="E120" s="263">
        <v>44617</v>
      </c>
      <c r="F120" s="263" t="s">
        <v>1088</v>
      </c>
      <c r="G120" s="258">
        <v>3.07</v>
      </c>
      <c r="H120" s="258">
        <v>4.59</v>
      </c>
      <c r="I120" s="260">
        <f t="shared" si="3"/>
        <v>14.091299999999999</v>
      </c>
      <c r="N120" s="227">
        <v>44617</v>
      </c>
      <c r="O120" s="227" t="s">
        <v>1069</v>
      </c>
      <c r="P120" s="68" t="s">
        <v>1304</v>
      </c>
      <c r="Q120" s="227" t="s">
        <v>673</v>
      </c>
      <c r="R120" s="69">
        <v>4.59</v>
      </c>
      <c r="S120" s="69">
        <v>14.091299999999999</v>
      </c>
      <c r="T120" s="227" t="s">
        <v>416</v>
      </c>
      <c r="U120" s="86" t="s">
        <v>1456</v>
      </c>
      <c r="V120" s="86" t="s">
        <v>1088</v>
      </c>
    </row>
    <row r="121" spans="1:22" hidden="1">
      <c r="A121" s="239">
        <f t="shared" si="4"/>
        <v>116</v>
      </c>
      <c r="B121" s="256" t="s">
        <v>1236</v>
      </c>
      <c r="C121" s="257" t="s">
        <v>1249</v>
      </c>
      <c r="D121" s="262" t="s">
        <v>1188</v>
      </c>
      <c r="E121" s="261">
        <v>44617</v>
      </c>
      <c r="F121" s="263" t="s">
        <v>1088</v>
      </c>
      <c r="G121" s="258">
        <v>24</v>
      </c>
      <c r="H121" s="258">
        <v>4.59</v>
      </c>
      <c r="I121" s="260">
        <f t="shared" si="3"/>
        <v>110.16</v>
      </c>
      <c r="N121" s="227">
        <v>44617</v>
      </c>
      <c r="O121" s="227" t="s">
        <v>1188</v>
      </c>
      <c r="P121" s="68" t="s">
        <v>1249</v>
      </c>
      <c r="Q121" s="227" t="s">
        <v>673</v>
      </c>
      <c r="R121" s="69">
        <v>4.59</v>
      </c>
      <c r="S121" s="69">
        <v>110.16</v>
      </c>
      <c r="T121" s="227" t="s">
        <v>416</v>
      </c>
      <c r="U121" s="86" t="s">
        <v>1392</v>
      </c>
      <c r="V121" s="86" t="s">
        <v>1088</v>
      </c>
    </row>
    <row r="122" spans="1:22" hidden="1">
      <c r="A122" s="239">
        <f t="shared" si="4"/>
        <v>117</v>
      </c>
      <c r="B122" s="256" t="s">
        <v>1236</v>
      </c>
      <c r="C122" s="257" t="s">
        <v>1289</v>
      </c>
      <c r="D122" s="262" t="s">
        <v>1208</v>
      </c>
      <c r="E122" s="261">
        <v>44617</v>
      </c>
      <c r="F122" s="263" t="s">
        <v>1088</v>
      </c>
      <c r="G122" s="258">
        <v>20</v>
      </c>
      <c r="H122" s="258">
        <v>4.59</v>
      </c>
      <c r="I122" s="260">
        <f t="shared" si="3"/>
        <v>91.8</v>
      </c>
      <c r="N122" s="227">
        <v>44617</v>
      </c>
      <c r="O122" s="227" t="s">
        <v>1208</v>
      </c>
      <c r="P122" s="68" t="s">
        <v>1289</v>
      </c>
      <c r="Q122" s="227" t="s">
        <v>673</v>
      </c>
      <c r="R122" s="69">
        <v>4.59</v>
      </c>
      <c r="S122" s="69">
        <v>91.8</v>
      </c>
      <c r="T122" s="227" t="s">
        <v>416</v>
      </c>
      <c r="U122" s="86" t="s">
        <v>1431</v>
      </c>
      <c r="V122" s="86" t="s">
        <v>1088</v>
      </c>
    </row>
    <row r="123" spans="1:22" hidden="1">
      <c r="A123" s="239">
        <f t="shared" si="4"/>
        <v>118</v>
      </c>
      <c r="B123" s="256" t="s">
        <v>1236</v>
      </c>
      <c r="C123" s="257" t="s">
        <v>1306</v>
      </c>
      <c r="D123" s="262" t="s">
        <v>1252</v>
      </c>
      <c r="E123" s="261">
        <v>44617</v>
      </c>
      <c r="F123" s="263" t="s">
        <v>947</v>
      </c>
      <c r="G123" s="258">
        <v>130</v>
      </c>
      <c r="H123" s="258">
        <v>4.59</v>
      </c>
      <c r="I123" s="260">
        <f t="shared" si="3"/>
        <v>596.69999999999993</v>
      </c>
      <c r="N123" s="227">
        <v>44617</v>
      </c>
      <c r="O123" s="227" t="s">
        <v>1252</v>
      </c>
      <c r="P123" s="68" t="s">
        <v>1306</v>
      </c>
      <c r="Q123" s="227" t="s">
        <v>673</v>
      </c>
      <c r="R123" s="69">
        <v>4.59</v>
      </c>
      <c r="S123" s="69">
        <v>596.69999999999993</v>
      </c>
      <c r="T123" s="227" t="s">
        <v>416</v>
      </c>
      <c r="U123" s="86" t="s">
        <v>1457</v>
      </c>
      <c r="V123" s="86" t="s">
        <v>947</v>
      </c>
    </row>
    <row r="124" spans="1:22" hidden="1">
      <c r="A124" s="239">
        <f t="shared" si="4"/>
        <v>119</v>
      </c>
      <c r="B124" s="256" t="s">
        <v>1236</v>
      </c>
      <c r="C124" s="257" t="s">
        <v>1306</v>
      </c>
      <c r="D124" s="262" t="s">
        <v>1252</v>
      </c>
      <c r="E124" s="261">
        <v>44617</v>
      </c>
      <c r="F124" s="263" t="s">
        <v>1088</v>
      </c>
      <c r="G124" s="258">
        <v>2.4</v>
      </c>
      <c r="H124" s="258">
        <v>4.59</v>
      </c>
      <c r="I124" s="260">
        <f t="shared" si="3"/>
        <v>11.016</v>
      </c>
      <c r="N124" s="227">
        <v>44617</v>
      </c>
      <c r="O124" s="227" t="s">
        <v>1252</v>
      </c>
      <c r="P124" s="68" t="s">
        <v>1306</v>
      </c>
      <c r="Q124" s="227" t="s">
        <v>673</v>
      </c>
      <c r="R124" s="69">
        <v>4.59</v>
      </c>
      <c r="S124" s="69">
        <v>11.016</v>
      </c>
      <c r="T124" s="227" t="s">
        <v>416</v>
      </c>
      <c r="U124" s="86" t="s">
        <v>1457</v>
      </c>
      <c r="V124" s="86" t="s">
        <v>1088</v>
      </c>
    </row>
    <row r="125" spans="1:22" hidden="1">
      <c r="A125" s="239">
        <f t="shared" si="4"/>
        <v>120</v>
      </c>
      <c r="B125" s="256" t="s">
        <v>1236</v>
      </c>
      <c r="C125" s="257" t="s">
        <v>1307</v>
      </c>
      <c r="D125" s="262" t="s">
        <v>865</v>
      </c>
      <c r="E125" s="261">
        <v>44617</v>
      </c>
      <c r="F125" s="263" t="s">
        <v>947</v>
      </c>
      <c r="G125" s="258">
        <v>190</v>
      </c>
      <c r="H125" s="258">
        <v>4.59</v>
      </c>
      <c r="I125" s="260">
        <f t="shared" si="3"/>
        <v>872.1</v>
      </c>
      <c r="N125" s="227">
        <v>44617</v>
      </c>
      <c r="O125" s="227" t="s">
        <v>865</v>
      </c>
      <c r="P125" s="68" t="s">
        <v>1307</v>
      </c>
      <c r="Q125" s="227" t="s">
        <v>673</v>
      </c>
      <c r="R125" s="69">
        <v>4.59</v>
      </c>
      <c r="S125" s="69">
        <v>872.1</v>
      </c>
      <c r="T125" s="227" t="s">
        <v>416</v>
      </c>
      <c r="U125" s="86" t="s">
        <v>1458</v>
      </c>
      <c r="V125" s="86" t="s">
        <v>947</v>
      </c>
    </row>
    <row r="126" spans="1:22" hidden="1">
      <c r="A126" s="239">
        <f t="shared" si="4"/>
        <v>121</v>
      </c>
      <c r="B126" s="256" t="s">
        <v>1236</v>
      </c>
      <c r="C126" s="257" t="s">
        <v>1307</v>
      </c>
      <c r="D126" s="262" t="s">
        <v>865</v>
      </c>
      <c r="E126" s="261">
        <v>44617</v>
      </c>
      <c r="F126" s="263" t="s">
        <v>1088</v>
      </c>
      <c r="G126" s="258">
        <v>4.18</v>
      </c>
      <c r="H126" s="258">
        <v>4.59</v>
      </c>
      <c r="I126" s="260">
        <f t="shared" si="3"/>
        <v>19.186199999999999</v>
      </c>
      <c r="N126" s="227">
        <v>44617</v>
      </c>
      <c r="O126" s="227" t="s">
        <v>865</v>
      </c>
      <c r="P126" s="68" t="s">
        <v>1307</v>
      </c>
      <c r="Q126" s="227" t="s">
        <v>673</v>
      </c>
      <c r="R126" s="69">
        <v>4.59</v>
      </c>
      <c r="S126" s="69">
        <v>19.186199999999999</v>
      </c>
      <c r="T126" s="227" t="s">
        <v>416</v>
      </c>
      <c r="U126" s="86" t="s">
        <v>1458</v>
      </c>
      <c r="V126" s="86" t="s">
        <v>1088</v>
      </c>
    </row>
    <row r="127" spans="1:22" hidden="1">
      <c r="A127" s="239">
        <f t="shared" si="4"/>
        <v>122</v>
      </c>
      <c r="B127" s="256"/>
      <c r="C127" s="257"/>
      <c r="D127" s="262"/>
      <c r="E127" s="261"/>
      <c r="F127" s="263"/>
      <c r="G127" s="258"/>
      <c r="H127" s="258"/>
      <c r="I127" s="260">
        <f t="shared" si="3"/>
        <v>0</v>
      </c>
      <c r="N127" s="227" t="s">
        <v>418</v>
      </c>
      <c r="O127" s="227" t="s">
        <v>418</v>
      </c>
      <c r="P127" s="68" t="s">
        <v>418</v>
      </c>
      <c r="Q127" s="227" t="s">
        <v>418</v>
      </c>
      <c r="R127" s="69" t="s">
        <v>418</v>
      </c>
      <c r="S127" s="69" t="s">
        <v>418</v>
      </c>
      <c r="T127" s="227" t="s">
        <v>418</v>
      </c>
      <c r="U127" s="86" t="s">
        <v>418</v>
      </c>
      <c r="V127" s="86" t="s">
        <v>418</v>
      </c>
    </row>
    <row r="128" spans="1:22" hidden="1">
      <c r="A128" s="239">
        <f t="shared" si="4"/>
        <v>123</v>
      </c>
      <c r="B128" s="256"/>
      <c r="C128" s="257"/>
      <c r="D128" s="264"/>
      <c r="E128" s="263"/>
      <c r="F128" s="263"/>
      <c r="G128" s="258"/>
      <c r="H128" s="258"/>
      <c r="I128" s="260">
        <f t="shared" si="3"/>
        <v>0</v>
      </c>
      <c r="N128" s="227" t="s">
        <v>418</v>
      </c>
      <c r="O128" s="227" t="s">
        <v>418</v>
      </c>
      <c r="P128" s="68" t="s">
        <v>418</v>
      </c>
      <c r="Q128" s="227" t="s">
        <v>418</v>
      </c>
      <c r="R128" s="69" t="s">
        <v>418</v>
      </c>
      <c r="S128" s="69" t="s">
        <v>418</v>
      </c>
      <c r="T128" s="227" t="s">
        <v>418</v>
      </c>
      <c r="U128" s="86" t="s">
        <v>418</v>
      </c>
      <c r="V128" s="86" t="s">
        <v>418</v>
      </c>
    </row>
    <row r="129" spans="1:22" hidden="1">
      <c r="A129" s="239">
        <f t="shared" si="4"/>
        <v>124</v>
      </c>
      <c r="B129" s="256"/>
      <c r="C129" s="257"/>
      <c r="D129" s="264"/>
      <c r="E129" s="263"/>
      <c r="F129" s="263"/>
      <c r="G129" s="258"/>
      <c r="H129" s="258"/>
      <c r="I129" s="260">
        <f t="shared" si="3"/>
        <v>0</v>
      </c>
      <c r="N129" s="227" t="s">
        <v>418</v>
      </c>
      <c r="O129" s="227" t="s">
        <v>418</v>
      </c>
      <c r="P129" s="68" t="s">
        <v>418</v>
      </c>
      <c r="Q129" s="227" t="s">
        <v>418</v>
      </c>
      <c r="R129" s="69" t="s">
        <v>418</v>
      </c>
      <c r="S129" s="69" t="s">
        <v>418</v>
      </c>
      <c r="T129" s="227" t="s">
        <v>418</v>
      </c>
      <c r="U129" s="86" t="s">
        <v>418</v>
      </c>
      <c r="V129" s="86" t="s">
        <v>418</v>
      </c>
    </row>
    <row r="130" spans="1:22" hidden="1">
      <c r="A130" s="239">
        <f t="shared" si="4"/>
        <v>125</v>
      </c>
      <c r="B130" s="256"/>
      <c r="C130" s="257"/>
      <c r="D130" s="264"/>
      <c r="E130" s="263"/>
      <c r="F130" s="263"/>
      <c r="G130" s="258"/>
      <c r="H130" s="258"/>
      <c r="I130" s="260">
        <f t="shared" si="3"/>
        <v>0</v>
      </c>
      <c r="N130" s="227" t="s">
        <v>418</v>
      </c>
      <c r="O130" s="227" t="s">
        <v>418</v>
      </c>
      <c r="P130" s="68" t="s">
        <v>418</v>
      </c>
      <c r="Q130" s="227" t="s">
        <v>418</v>
      </c>
      <c r="R130" s="69" t="s">
        <v>418</v>
      </c>
      <c r="S130" s="69" t="s">
        <v>418</v>
      </c>
      <c r="T130" s="227" t="s">
        <v>418</v>
      </c>
      <c r="U130" s="86" t="s">
        <v>418</v>
      </c>
      <c r="V130" s="86" t="s">
        <v>418</v>
      </c>
    </row>
    <row r="131" spans="1:22" hidden="1">
      <c r="A131" s="239">
        <f t="shared" si="4"/>
        <v>126</v>
      </c>
      <c r="B131" s="256"/>
      <c r="C131" s="257"/>
      <c r="D131" s="262"/>
      <c r="E131" s="263"/>
      <c r="F131" s="263"/>
      <c r="G131" s="258"/>
      <c r="H131" s="258"/>
      <c r="I131" s="260">
        <f t="shared" si="3"/>
        <v>0</v>
      </c>
      <c r="N131" s="227" t="s">
        <v>418</v>
      </c>
      <c r="O131" s="227" t="s">
        <v>418</v>
      </c>
      <c r="P131" s="68" t="s">
        <v>418</v>
      </c>
      <c r="Q131" s="227" t="s">
        <v>418</v>
      </c>
      <c r="R131" s="69" t="s">
        <v>418</v>
      </c>
      <c r="S131" s="69" t="s">
        <v>418</v>
      </c>
      <c r="T131" s="227" t="s">
        <v>418</v>
      </c>
      <c r="U131" s="86" t="s">
        <v>418</v>
      </c>
      <c r="V131" s="86" t="s">
        <v>418</v>
      </c>
    </row>
    <row r="132" spans="1:22" hidden="1">
      <c r="A132" s="239">
        <f t="shared" si="4"/>
        <v>127</v>
      </c>
      <c r="B132" s="256"/>
      <c r="C132" s="257"/>
      <c r="D132" s="262"/>
      <c r="E132" s="263"/>
      <c r="F132" s="263"/>
      <c r="G132" s="258"/>
      <c r="H132" s="258"/>
      <c r="I132" s="260">
        <f t="shared" si="3"/>
        <v>0</v>
      </c>
      <c r="N132" s="227" t="s">
        <v>418</v>
      </c>
      <c r="O132" s="227" t="s">
        <v>418</v>
      </c>
      <c r="P132" s="68" t="s">
        <v>418</v>
      </c>
      <c r="Q132" s="227" t="s">
        <v>418</v>
      </c>
      <c r="R132" s="69" t="s">
        <v>418</v>
      </c>
      <c r="S132" s="69" t="s">
        <v>418</v>
      </c>
      <c r="T132" s="227" t="s">
        <v>418</v>
      </c>
      <c r="U132" s="86" t="s">
        <v>418</v>
      </c>
      <c r="V132" s="86" t="s">
        <v>418</v>
      </c>
    </row>
    <row r="133" spans="1:22" hidden="1">
      <c r="A133" s="239">
        <f t="shared" si="4"/>
        <v>128</v>
      </c>
      <c r="B133" s="256"/>
      <c r="C133" s="257"/>
      <c r="D133" s="262"/>
      <c r="E133" s="263"/>
      <c r="F133" s="263"/>
      <c r="G133" s="258"/>
      <c r="H133" s="258"/>
      <c r="I133" s="260">
        <f t="shared" si="3"/>
        <v>0</v>
      </c>
      <c r="N133" s="227" t="s">
        <v>418</v>
      </c>
      <c r="O133" s="227" t="s">
        <v>418</v>
      </c>
      <c r="P133" s="68" t="s">
        <v>418</v>
      </c>
      <c r="Q133" s="227" t="s">
        <v>418</v>
      </c>
      <c r="R133" s="69" t="s">
        <v>418</v>
      </c>
      <c r="S133" s="69" t="s">
        <v>418</v>
      </c>
      <c r="T133" s="227" t="s">
        <v>418</v>
      </c>
      <c r="U133" s="86" t="s">
        <v>418</v>
      </c>
      <c r="V133" s="86" t="s">
        <v>418</v>
      </c>
    </row>
    <row r="134" spans="1:22" hidden="1">
      <c r="A134" s="239">
        <f t="shared" si="4"/>
        <v>129</v>
      </c>
      <c r="B134" s="256"/>
      <c r="C134" s="257"/>
      <c r="D134" s="262"/>
      <c r="E134" s="263"/>
      <c r="F134" s="263"/>
      <c r="G134" s="258"/>
      <c r="H134" s="258"/>
      <c r="I134" s="260">
        <f t="shared" ref="I134:I197" si="5">H134*G134</f>
        <v>0</v>
      </c>
      <c r="N134" s="227" t="s">
        <v>418</v>
      </c>
      <c r="O134" s="227" t="s">
        <v>418</v>
      </c>
      <c r="P134" s="68" t="s">
        <v>418</v>
      </c>
      <c r="Q134" s="227" t="s">
        <v>418</v>
      </c>
      <c r="R134" s="69" t="s">
        <v>418</v>
      </c>
      <c r="S134" s="69" t="s">
        <v>418</v>
      </c>
      <c r="T134" s="227" t="s">
        <v>418</v>
      </c>
      <c r="U134" s="86" t="s">
        <v>418</v>
      </c>
      <c r="V134" s="86" t="s">
        <v>418</v>
      </c>
    </row>
    <row r="135" spans="1:22" hidden="1">
      <c r="A135" s="239">
        <f t="shared" si="4"/>
        <v>130</v>
      </c>
      <c r="B135" s="256"/>
      <c r="C135" s="257"/>
      <c r="D135" s="262"/>
      <c r="E135" s="263"/>
      <c r="F135" s="263"/>
      <c r="G135" s="258"/>
      <c r="H135" s="258"/>
      <c r="I135" s="260">
        <f t="shared" si="5"/>
        <v>0</v>
      </c>
      <c r="N135" s="227" t="s">
        <v>418</v>
      </c>
      <c r="O135" s="227" t="s">
        <v>418</v>
      </c>
      <c r="P135" s="68" t="s">
        <v>418</v>
      </c>
      <c r="Q135" s="227" t="s">
        <v>418</v>
      </c>
      <c r="R135" s="69" t="s">
        <v>418</v>
      </c>
      <c r="S135" s="69" t="s">
        <v>418</v>
      </c>
      <c r="T135" s="227" t="s">
        <v>418</v>
      </c>
      <c r="U135" s="86" t="s">
        <v>418</v>
      </c>
      <c r="V135" s="86" t="s">
        <v>418</v>
      </c>
    </row>
    <row r="136" spans="1:22" ht="14.25" hidden="1" customHeight="1">
      <c r="A136" s="239">
        <f t="shared" ref="A136:A199" si="6">+A135+1</f>
        <v>131</v>
      </c>
      <c r="B136" s="256"/>
      <c r="C136" s="257"/>
      <c r="D136" s="262"/>
      <c r="E136" s="263"/>
      <c r="F136" s="263"/>
      <c r="G136" s="258"/>
      <c r="H136" s="258"/>
      <c r="I136" s="260">
        <f t="shared" si="5"/>
        <v>0</v>
      </c>
      <c r="N136" s="227" t="s">
        <v>418</v>
      </c>
      <c r="O136" s="227" t="s">
        <v>418</v>
      </c>
      <c r="P136" s="68" t="s">
        <v>418</v>
      </c>
      <c r="Q136" s="227" t="s">
        <v>418</v>
      </c>
      <c r="R136" s="69" t="s">
        <v>418</v>
      </c>
      <c r="S136" s="69" t="s">
        <v>418</v>
      </c>
      <c r="T136" s="227" t="s">
        <v>418</v>
      </c>
      <c r="U136" s="86" t="s">
        <v>418</v>
      </c>
      <c r="V136" s="86" t="s">
        <v>418</v>
      </c>
    </row>
    <row r="137" spans="1:22" ht="14.25" hidden="1" customHeight="1">
      <c r="A137" s="239">
        <f t="shared" si="6"/>
        <v>132</v>
      </c>
      <c r="B137" s="256"/>
      <c r="C137" s="257"/>
      <c r="D137" s="262"/>
      <c r="E137" s="263"/>
      <c r="F137" s="263"/>
      <c r="G137" s="258"/>
      <c r="H137" s="258"/>
      <c r="I137" s="260">
        <f t="shared" si="5"/>
        <v>0</v>
      </c>
      <c r="N137" s="227" t="s">
        <v>418</v>
      </c>
      <c r="O137" s="227" t="s">
        <v>418</v>
      </c>
      <c r="P137" s="68" t="s">
        <v>418</v>
      </c>
      <c r="Q137" s="227" t="s">
        <v>418</v>
      </c>
      <c r="R137" s="69" t="s">
        <v>418</v>
      </c>
      <c r="S137" s="69" t="s">
        <v>418</v>
      </c>
      <c r="T137" s="227" t="s">
        <v>418</v>
      </c>
      <c r="U137" s="86" t="s">
        <v>418</v>
      </c>
      <c r="V137" s="86" t="s">
        <v>418</v>
      </c>
    </row>
    <row r="138" spans="1:22" ht="14.25" hidden="1" customHeight="1">
      <c r="A138" s="239">
        <f t="shared" si="6"/>
        <v>133</v>
      </c>
      <c r="B138" s="256"/>
      <c r="C138" s="257"/>
      <c r="D138" s="262"/>
      <c r="E138" s="263"/>
      <c r="F138" s="263"/>
      <c r="G138" s="258"/>
      <c r="H138" s="258"/>
      <c r="I138" s="260">
        <f t="shared" si="5"/>
        <v>0</v>
      </c>
      <c r="N138" s="227" t="s">
        <v>418</v>
      </c>
      <c r="O138" s="227" t="s">
        <v>418</v>
      </c>
      <c r="P138" s="68" t="s">
        <v>418</v>
      </c>
      <c r="Q138" s="227" t="s">
        <v>418</v>
      </c>
      <c r="R138" s="69" t="s">
        <v>418</v>
      </c>
      <c r="S138" s="69" t="s">
        <v>418</v>
      </c>
      <c r="T138" s="227" t="s">
        <v>418</v>
      </c>
      <c r="U138" s="86" t="s">
        <v>418</v>
      </c>
      <c r="V138" s="86" t="s">
        <v>418</v>
      </c>
    </row>
    <row r="139" spans="1:22" ht="14.25" hidden="1" customHeight="1">
      <c r="A139" s="239">
        <f t="shared" si="6"/>
        <v>134</v>
      </c>
      <c r="B139" s="256"/>
      <c r="C139" s="257"/>
      <c r="D139" s="262"/>
      <c r="E139" s="263"/>
      <c r="F139" s="263"/>
      <c r="G139" s="258"/>
      <c r="H139" s="258"/>
      <c r="I139" s="260">
        <f t="shared" si="5"/>
        <v>0</v>
      </c>
      <c r="N139" s="227" t="s">
        <v>418</v>
      </c>
      <c r="O139" s="227" t="s">
        <v>418</v>
      </c>
      <c r="P139" s="68" t="s">
        <v>418</v>
      </c>
      <c r="Q139" s="227" t="s">
        <v>418</v>
      </c>
      <c r="R139" s="69" t="s">
        <v>418</v>
      </c>
      <c r="S139" s="69" t="s">
        <v>418</v>
      </c>
      <c r="T139" s="227" t="s">
        <v>418</v>
      </c>
      <c r="U139" s="86" t="s">
        <v>418</v>
      </c>
      <c r="V139" s="86" t="s">
        <v>418</v>
      </c>
    </row>
    <row r="140" spans="1:22" ht="14.25" hidden="1" customHeight="1">
      <c r="A140" s="239">
        <f t="shared" si="6"/>
        <v>135</v>
      </c>
      <c r="B140" s="256"/>
      <c r="C140" s="257"/>
      <c r="D140" s="262"/>
      <c r="E140" s="263"/>
      <c r="F140" s="263"/>
      <c r="G140" s="258"/>
      <c r="H140" s="258"/>
      <c r="I140" s="260">
        <f t="shared" si="5"/>
        <v>0</v>
      </c>
      <c r="N140" s="227" t="s">
        <v>418</v>
      </c>
      <c r="O140" s="227" t="s">
        <v>418</v>
      </c>
      <c r="P140" s="68" t="s">
        <v>418</v>
      </c>
      <c r="Q140" s="227" t="s">
        <v>418</v>
      </c>
      <c r="R140" s="69" t="s">
        <v>418</v>
      </c>
      <c r="S140" s="69" t="s">
        <v>418</v>
      </c>
      <c r="T140" s="227" t="s">
        <v>418</v>
      </c>
      <c r="U140" s="86" t="s">
        <v>418</v>
      </c>
      <c r="V140" s="86" t="s">
        <v>418</v>
      </c>
    </row>
    <row r="141" spans="1:22" ht="14.25" hidden="1" customHeight="1">
      <c r="A141" s="239">
        <f t="shared" si="6"/>
        <v>136</v>
      </c>
      <c r="B141" s="256"/>
      <c r="C141" s="257"/>
      <c r="D141" s="262"/>
      <c r="E141" s="263"/>
      <c r="F141" s="263"/>
      <c r="G141" s="258"/>
      <c r="H141" s="258"/>
      <c r="I141" s="260">
        <f t="shared" si="5"/>
        <v>0</v>
      </c>
      <c r="N141" s="227" t="s">
        <v>418</v>
      </c>
      <c r="O141" s="227" t="s">
        <v>418</v>
      </c>
      <c r="P141" s="68" t="s">
        <v>418</v>
      </c>
      <c r="Q141" s="227" t="s">
        <v>418</v>
      </c>
      <c r="R141" s="69" t="s">
        <v>418</v>
      </c>
      <c r="S141" s="69" t="s">
        <v>418</v>
      </c>
      <c r="T141" s="227" t="s">
        <v>418</v>
      </c>
      <c r="U141" s="86" t="s">
        <v>418</v>
      </c>
      <c r="V141" s="86" t="s">
        <v>418</v>
      </c>
    </row>
    <row r="142" spans="1:22" ht="14.25" hidden="1" customHeight="1">
      <c r="A142" s="239">
        <f t="shared" si="6"/>
        <v>137</v>
      </c>
      <c r="B142" s="256"/>
      <c r="C142" s="257"/>
      <c r="D142" s="262"/>
      <c r="E142" s="263"/>
      <c r="F142" s="263"/>
      <c r="G142" s="258"/>
      <c r="H142" s="258"/>
      <c r="I142" s="260">
        <f t="shared" si="5"/>
        <v>0</v>
      </c>
      <c r="N142" s="227" t="s">
        <v>418</v>
      </c>
      <c r="O142" s="227" t="s">
        <v>418</v>
      </c>
      <c r="P142" s="68" t="s">
        <v>418</v>
      </c>
      <c r="Q142" s="227" t="s">
        <v>418</v>
      </c>
      <c r="R142" s="69" t="s">
        <v>418</v>
      </c>
      <c r="S142" s="69" t="s">
        <v>418</v>
      </c>
      <c r="T142" s="227" t="s">
        <v>418</v>
      </c>
      <c r="U142" s="86" t="s">
        <v>418</v>
      </c>
      <c r="V142" s="86" t="s">
        <v>418</v>
      </c>
    </row>
    <row r="143" spans="1:22" ht="14.25" hidden="1" customHeight="1">
      <c r="A143" s="239">
        <f t="shared" si="6"/>
        <v>138</v>
      </c>
      <c r="B143" s="256"/>
      <c r="C143" s="257"/>
      <c r="D143" s="262"/>
      <c r="E143" s="263"/>
      <c r="F143" s="263"/>
      <c r="G143" s="258"/>
      <c r="H143" s="258"/>
      <c r="I143" s="260">
        <f t="shared" si="5"/>
        <v>0</v>
      </c>
      <c r="N143" s="227" t="s">
        <v>418</v>
      </c>
      <c r="O143" s="227" t="s">
        <v>418</v>
      </c>
      <c r="P143" s="68" t="s">
        <v>418</v>
      </c>
      <c r="Q143" s="227" t="s">
        <v>418</v>
      </c>
      <c r="R143" s="69" t="s">
        <v>418</v>
      </c>
      <c r="S143" s="69" t="s">
        <v>418</v>
      </c>
      <c r="T143" s="227" t="s">
        <v>418</v>
      </c>
      <c r="U143" s="86" t="s">
        <v>418</v>
      </c>
      <c r="V143" s="86" t="s">
        <v>418</v>
      </c>
    </row>
    <row r="144" spans="1:22" ht="14.25" hidden="1" customHeight="1">
      <c r="A144" s="239">
        <f t="shared" si="6"/>
        <v>139</v>
      </c>
      <c r="B144" s="256"/>
      <c r="C144" s="257"/>
      <c r="D144" s="262"/>
      <c r="E144" s="263"/>
      <c r="F144" s="263"/>
      <c r="G144" s="258"/>
      <c r="H144" s="258"/>
      <c r="I144" s="260">
        <f t="shared" si="5"/>
        <v>0</v>
      </c>
      <c r="N144" s="227" t="s">
        <v>418</v>
      </c>
      <c r="O144" s="227" t="s">
        <v>418</v>
      </c>
      <c r="P144" s="68" t="s">
        <v>418</v>
      </c>
      <c r="Q144" s="227" t="s">
        <v>418</v>
      </c>
      <c r="R144" s="69" t="s">
        <v>418</v>
      </c>
      <c r="S144" s="69" t="s">
        <v>418</v>
      </c>
      <c r="T144" s="227" t="s">
        <v>418</v>
      </c>
      <c r="U144" s="86" t="s">
        <v>418</v>
      </c>
      <c r="V144" s="86" t="s">
        <v>418</v>
      </c>
    </row>
    <row r="145" spans="1:22" hidden="1">
      <c r="A145" s="239">
        <f t="shared" si="6"/>
        <v>140</v>
      </c>
      <c r="B145" s="256"/>
      <c r="C145" s="257"/>
      <c r="D145" s="262"/>
      <c r="E145" s="263"/>
      <c r="F145" s="263"/>
      <c r="G145" s="258"/>
      <c r="H145" s="258"/>
      <c r="I145" s="260">
        <f t="shared" si="5"/>
        <v>0</v>
      </c>
      <c r="N145" s="227" t="s">
        <v>418</v>
      </c>
      <c r="O145" s="227" t="s">
        <v>418</v>
      </c>
      <c r="P145" s="68" t="s">
        <v>418</v>
      </c>
      <c r="Q145" s="227" t="s">
        <v>418</v>
      </c>
      <c r="R145" s="69" t="s">
        <v>418</v>
      </c>
      <c r="S145" s="69" t="s">
        <v>418</v>
      </c>
      <c r="T145" s="227" t="s">
        <v>418</v>
      </c>
      <c r="U145" s="86" t="s">
        <v>418</v>
      </c>
      <c r="V145" s="86" t="s">
        <v>418</v>
      </c>
    </row>
    <row r="146" spans="1:22" hidden="1">
      <c r="A146" s="239">
        <f t="shared" si="6"/>
        <v>141</v>
      </c>
      <c r="B146" s="256"/>
      <c r="C146" s="257"/>
      <c r="D146" s="262"/>
      <c r="E146" s="263"/>
      <c r="F146" s="263"/>
      <c r="G146" s="258"/>
      <c r="H146" s="258"/>
      <c r="I146" s="260">
        <f t="shared" si="5"/>
        <v>0</v>
      </c>
      <c r="N146" s="227" t="s">
        <v>418</v>
      </c>
      <c r="O146" s="227" t="s">
        <v>418</v>
      </c>
      <c r="P146" s="68" t="s">
        <v>418</v>
      </c>
      <c r="Q146" s="227" t="s">
        <v>418</v>
      </c>
      <c r="R146" s="69" t="s">
        <v>418</v>
      </c>
      <c r="S146" s="69" t="s">
        <v>418</v>
      </c>
      <c r="T146" s="227" t="s">
        <v>418</v>
      </c>
      <c r="U146" s="86" t="s">
        <v>418</v>
      </c>
      <c r="V146" s="86" t="s">
        <v>418</v>
      </c>
    </row>
    <row r="147" spans="1:22" hidden="1">
      <c r="A147" s="239">
        <f t="shared" si="6"/>
        <v>142</v>
      </c>
      <c r="B147" s="256"/>
      <c r="C147" s="257"/>
      <c r="D147" s="262"/>
      <c r="E147" s="263"/>
      <c r="F147" s="263"/>
      <c r="G147" s="258"/>
      <c r="H147" s="258"/>
      <c r="I147" s="260">
        <f t="shared" si="5"/>
        <v>0</v>
      </c>
      <c r="N147" s="227" t="s">
        <v>418</v>
      </c>
      <c r="O147" s="227" t="s">
        <v>418</v>
      </c>
      <c r="P147" s="68" t="s">
        <v>418</v>
      </c>
      <c r="Q147" s="227" t="s">
        <v>418</v>
      </c>
      <c r="R147" s="69" t="s">
        <v>418</v>
      </c>
      <c r="S147" s="69" t="s">
        <v>418</v>
      </c>
      <c r="T147" s="227" t="s">
        <v>418</v>
      </c>
      <c r="U147" s="86" t="s">
        <v>418</v>
      </c>
      <c r="V147" s="86" t="s">
        <v>418</v>
      </c>
    </row>
    <row r="148" spans="1:22" hidden="1">
      <c r="A148" s="239">
        <f t="shared" si="6"/>
        <v>143</v>
      </c>
      <c r="B148" s="256"/>
      <c r="C148" s="257"/>
      <c r="D148" s="262"/>
      <c r="E148" s="261"/>
      <c r="F148" s="263"/>
      <c r="G148" s="258"/>
      <c r="H148" s="258"/>
      <c r="I148" s="260">
        <f t="shared" si="5"/>
        <v>0</v>
      </c>
      <c r="N148" s="227" t="s">
        <v>418</v>
      </c>
      <c r="O148" s="227" t="s">
        <v>418</v>
      </c>
      <c r="P148" s="68" t="s">
        <v>418</v>
      </c>
      <c r="Q148" s="227" t="s">
        <v>418</v>
      </c>
      <c r="R148" s="69" t="s">
        <v>418</v>
      </c>
      <c r="S148" s="69" t="s">
        <v>418</v>
      </c>
      <c r="T148" s="227" t="s">
        <v>418</v>
      </c>
      <c r="U148" s="86" t="s">
        <v>418</v>
      </c>
      <c r="V148" s="86" t="s">
        <v>418</v>
      </c>
    </row>
    <row r="149" spans="1:22" hidden="1">
      <c r="A149" s="239">
        <f t="shared" si="6"/>
        <v>144</v>
      </c>
      <c r="B149" s="256"/>
      <c r="C149" s="257"/>
      <c r="D149" s="262"/>
      <c r="E149" s="261"/>
      <c r="F149" s="263"/>
      <c r="G149" s="258"/>
      <c r="H149" s="258"/>
      <c r="I149" s="260">
        <f t="shared" si="5"/>
        <v>0</v>
      </c>
      <c r="J149" s="268"/>
      <c r="N149" s="227" t="s">
        <v>418</v>
      </c>
      <c r="O149" s="227" t="s">
        <v>418</v>
      </c>
      <c r="P149" s="68" t="s">
        <v>418</v>
      </c>
      <c r="Q149" s="227" t="s">
        <v>418</v>
      </c>
      <c r="R149" s="69" t="s">
        <v>418</v>
      </c>
      <c r="S149" s="69" t="s">
        <v>418</v>
      </c>
      <c r="T149" s="227" t="s">
        <v>418</v>
      </c>
      <c r="U149" s="86" t="s">
        <v>418</v>
      </c>
      <c r="V149" s="86" t="s">
        <v>418</v>
      </c>
    </row>
    <row r="150" spans="1:22" hidden="1">
      <c r="A150" s="239">
        <f t="shared" si="6"/>
        <v>145</v>
      </c>
      <c r="B150" s="256"/>
      <c r="C150" s="257"/>
      <c r="D150" s="262"/>
      <c r="E150" s="261"/>
      <c r="F150" s="263"/>
      <c r="G150" s="258"/>
      <c r="H150" s="258"/>
      <c r="I150" s="260">
        <f t="shared" si="5"/>
        <v>0</v>
      </c>
      <c r="N150" s="227" t="s">
        <v>418</v>
      </c>
      <c r="O150" s="227" t="s">
        <v>418</v>
      </c>
      <c r="P150" s="68" t="s">
        <v>418</v>
      </c>
      <c r="Q150" s="227" t="s">
        <v>418</v>
      </c>
      <c r="R150" s="69" t="s">
        <v>418</v>
      </c>
      <c r="S150" s="69" t="s">
        <v>418</v>
      </c>
      <c r="T150" s="227" t="s">
        <v>418</v>
      </c>
      <c r="U150" s="86" t="s">
        <v>418</v>
      </c>
      <c r="V150" s="86" t="s">
        <v>418</v>
      </c>
    </row>
    <row r="151" spans="1:22" hidden="1">
      <c r="A151" s="239">
        <f t="shared" si="6"/>
        <v>146</v>
      </c>
      <c r="B151" s="256"/>
      <c r="C151" s="257"/>
      <c r="D151" s="262"/>
      <c r="E151" s="261"/>
      <c r="F151" s="263"/>
      <c r="G151" s="258"/>
      <c r="H151" s="258"/>
      <c r="I151" s="260">
        <f t="shared" si="5"/>
        <v>0</v>
      </c>
      <c r="N151" s="227" t="s">
        <v>418</v>
      </c>
      <c r="O151" s="227" t="s">
        <v>418</v>
      </c>
      <c r="P151" s="68" t="s">
        <v>418</v>
      </c>
      <c r="Q151" s="227" t="s">
        <v>418</v>
      </c>
      <c r="R151" s="69" t="s">
        <v>418</v>
      </c>
      <c r="S151" s="69" t="s">
        <v>418</v>
      </c>
      <c r="T151" s="227" t="s">
        <v>418</v>
      </c>
      <c r="U151" s="86" t="s">
        <v>418</v>
      </c>
      <c r="V151" s="86" t="s">
        <v>418</v>
      </c>
    </row>
    <row r="152" spans="1:22" hidden="1">
      <c r="A152" s="239">
        <f t="shared" si="6"/>
        <v>147</v>
      </c>
      <c r="B152" s="256"/>
      <c r="C152" s="257"/>
      <c r="D152" s="262"/>
      <c r="E152" s="261"/>
      <c r="F152" s="263"/>
      <c r="G152" s="258"/>
      <c r="H152" s="258"/>
      <c r="I152" s="260">
        <f t="shared" si="5"/>
        <v>0</v>
      </c>
      <c r="J152" s="268"/>
      <c r="N152" s="227" t="s">
        <v>418</v>
      </c>
      <c r="O152" s="227" t="s">
        <v>418</v>
      </c>
      <c r="P152" s="68" t="s">
        <v>418</v>
      </c>
      <c r="Q152" s="227" t="s">
        <v>418</v>
      </c>
      <c r="R152" s="69" t="s">
        <v>418</v>
      </c>
      <c r="S152" s="69" t="s">
        <v>418</v>
      </c>
      <c r="T152" s="227" t="s">
        <v>418</v>
      </c>
      <c r="U152" s="86" t="s">
        <v>418</v>
      </c>
      <c r="V152" s="86" t="s">
        <v>418</v>
      </c>
    </row>
    <row r="153" spans="1:22" hidden="1">
      <c r="A153" s="239">
        <f t="shared" si="6"/>
        <v>148</v>
      </c>
      <c r="B153" s="256"/>
      <c r="C153" s="257"/>
      <c r="D153" s="262"/>
      <c r="E153" s="261"/>
      <c r="F153" s="263"/>
      <c r="G153" s="258"/>
      <c r="H153" s="258"/>
      <c r="I153" s="260">
        <f t="shared" si="5"/>
        <v>0</v>
      </c>
      <c r="N153" s="227" t="s">
        <v>418</v>
      </c>
      <c r="O153" s="227" t="s">
        <v>418</v>
      </c>
      <c r="P153" s="68" t="s">
        <v>418</v>
      </c>
      <c r="Q153" s="227" t="s">
        <v>418</v>
      </c>
      <c r="R153" s="69" t="s">
        <v>418</v>
      </c>
      <c r="S153" s="69" t="s">
        <v>418</v>
      </c>
      <c r="T153" s="227" t="s">
        <v>418</v>
      </c>
      <c r="U153" s="86" t="s">
        <v>418</v>
      </c>
      <c r="V153" s="86" t="s">
        <v>418</v>
      </c>
    </row>
    <row r="154" spans="1:22" hidden="1">
      <c r="A154" s="239">
        <f t="shared" si="6"/>
        <v>149</v>
      </c>
      <c r="B154" s="256"/>
      <c r="C154" s="257"/>
      <c r="D154" s="262"/>
      <c r="E154" s="261"/>
      <c r="F154" s="263"/>
      <c r="G154" s="258"/>
      <c r="H154" s="258"/>
      <c r="I154" s="260">
        <f t="shared" si="5"/>
        <v>0</v>
      </c>
      <c r="N154" s="227" t="s">
        <v>418</v>
      </c>
      <c r="O154" s="227" t="s">
        <v>418</v>
      </c>
      <c r="P154" s="68" t="s">
        <v>418</v>
      </c>
      <c r="Q154" s="227" t="s">
        <v>418</v>
      </c>
      <c r="R154" s="69" t="s">
        <v>418</v>
      </c>
      <c r="S154" s="69" t="s">
        <v>418</v>
      </c>
      <c r="T154" s="227" t="s">
        <v>418</v>
      </c>
      <c r="U154" s="86" t="s">
        <v>418</v>
      </c>
      <c r="V154" s="86" t="s">
        <v>418</v>
      </c>
    </row>
    <row r="155" spans="1:22" hidden="1">
      <c r="A155" s="239">
        <f t="shared" si="6"/>
        <v>150</v>
      </c>
      <c r="B155" s="256"/>
      <c r="C155" s="257"/>
      <c r="D155" s="264"/>
      <c r="E155" s="263"/>
      <c r="F155" s="263"/>
      <c r="G155" s="258"/>
      <c r="H155" s="258"/>
      <c r="I155" s="260">
        <f t="shared" si="5"/>
        <v>0</v>
      </c>
      <c r="N155" s="227" t="s">
        <v>418</v>
      </c>
      <c r="O155" s="227" t="s">
        <v>418</v>
      </c>
      <c r="P155" s="68" t="s">
        <v>418</v>
      </c>
      <c r="Q155" s="227" t="s">
        <v>418</v>
      </c>
      <c r="R155" s="69" t="s">
        <v>418</v>
      </c>
      <c r="S155" s="69" t="s">
        <v>418</v>
      </c>
      <c r="T155" s="227" t="s">
        <v>418</v>
      </c>
      <c r="U155" s="86" t="s">
        <v>418</v>
      </c>
      <c r="V155" s="86" t="s">
        <v>418</v>
      </c>
    </row>
    <row r="156" spans="1:22" hidden="1">
      <c r="A156" s="239">
        <f t="shared" si="6"/>
        <v>151</v>
      </c>
      <c r="B156" s="256"/>
      <c r="C156" s="257"/>
      <c r="D156" s="262"/>
      <c r="E156" s="263"/>
      <c r="F156" s="263"/>
      <c r="G156" s="258"/>
      <c r="H156" s="258"/>
      <c r="I156" s="260">
        <f t="shared" si="5"/>
        <v>0</v>
      </c>
      <c r="N156" s="227" t="s">
        <v>418</v>
      </c>
      <c r="O156" s="227" t="s">
        <v>418</v>
      </c>
      <c r="P156" s="68" t="s">
        <v>418</v>
      </c>
      <c r="Q156" s="227" t="s">
        <v>418</v>
      </c>
      <c r="R156" s="69" t="s">
        <v>418</v>
      </c>
      <c r="S156" s="69" t="s">
        <v>418</v>
      </c>
      <c r="T156" s="227" t="s">
        <v>418</v>
      </c>
      <c r="U156" s="86" t="s">
        <v>418</v>
      </c>
      <c r="V156" s="86" t="s">
        <v>418</v>
      </c>
    </row>
    <row r="157" spans="1:22" hidden="1">
      <c r="A157" s="239">
        <f t="shared" si="6"/>
        <v>152</v>
      </c>
      <c r="B157" s="256"/>
      <c r="C157" s="257"/>
      <c r="D157" s="262"/>
      <c r="E157" s="263"/>
      <c r="F157" s="263"/>
      <c r="G157" s="258"/>
      <c r="H157" s="258"/>
      <c r="I157" s="260">
        <f t="shared" si="5"/>
        <v>0</v>
      </c>
      <c r="N157" s="227" t="s">
        <v>418</v>
      </c>
      <c r="O157" s="227" t="s">
        <v>418</v>
      </c>
      <c r="P157" s="68" t="s">
        <v>418</v>
      </c>
      <c r="Q157" s="227" t="s">
        <v>418</v>
      </c>
      <c r="R157" s="69" t="s">
        <v>418</v>
      </c>
      <c r="S157" s="69" t="s">
        <v>418</v>
      </c>
      <c r="T157" s="227" t="s">
        <v>418</v>
      </c>
      <c r="U157" s="86" t="s">
        <v>418</v>
      </c>
      <c r="V157" s="86" t="s">
        <v>418</v>
      </c>
    </row>
    <row r="158" spans="1:22" hidden="1">
      <c r="A158" s="239">
        <f t="shared" si="6"/>
        <v>153</v>
      </c>
      <c r="B158" s="256"/>
      <c r="C158" s="257"/>
      <c r="D158" s="262"/>
      <c r="E158" s="263"/>
      <c r="F158" s="263"/>
      <c r="G158" s="258"/>
      <c r="H158" s="258"/>
      <c r="I158" s="260">
        <f t="shared" si="5"/>
        <v>0</v>
      </c>
      <c r="N158" s="227" t="s">
        <v>418</v>
      </c>
      <c r="O158" s="227" t="s">
        <v>418</v>
      </c>
      <c r="P158" s="68" t="s">
        <v>418</v>
      </c>
      <c r="Q158" s="227" t="s">
        <v>418</v>
      </c>
      <c r="R158" s="69" t="s">
        <v>418</v>
      </c>
      <c r="S158" s="69" t="s">
        <v>418</v>
      </c>
      <c r="T158" s="227" t="s">
        <v>418</v>
      </c>
      <c r="U158" s="86" t="s">
        <v>418</v>
      </c>
      <c r="V158" s="86" t="s">
        <v>418</v>
      </c>
    </row>
    <row r="159" spans="1:22" hidden="1">
      <c r="A159" s="239">
        <f t="shared" si="6"/>
        <v>154</v>
      </c>
      <c r="B159" s="256"/>
      <c r="C159" s="257"/>
      <c r="D159" s="262"/>
      <c r="E159" s="263"/>
      <c r="F159" s="263"/>
      <c r="G159" s="258"/>
      <c r="H159" s="258"/>
      <c r="I159" s="260">
        <f t="shared" si="5"/>
        <v>0</v>
      </c>
      <c r="N159" s="227" t="s">
        <v>418</v>
      </c>
      <c r="O159" s="227" t="s">
        <v>418</v>
      </c>
      <c r="P159" s="68" t="s">
        <v>418</v>
      </c>
      <c r="Q159" s="227" t="s">
        <v>418</v>
      </c>
      <c r="R159" s="69" t="s">
        <v>418</v>
      </c>
      <c r="S159" s="69" t="s">
        <v>418</v>
      </c>
      <c r="T159" s="227" t="s">
        <v>418</v>
      </c>
      <c r="U159" s="86" t="s">
        <v>418</v>
      </c>
      <c r="V159" s="86" t="s">
        <v>418</v>
      </c>
    </row>
    <row r="160" spans="1:22" hidden="1">
      <c r="A160" s="239">
        <f t="shared" si="6"/>
        <v>155</v>
      </c>
      <c r="B160" s="256"/>
      <c r="C160" s="257"/>
      <c r="D160" s="262"/>
      <c r="E160" s="263"/>
      <c r="F160" s="263"/>
      <c r="G160" s="258"/>
      <c r="H160" s="258"/>
      <c r="I160" s="260">
        <f t="shared" si="5"/>
        <v>0</v>
      </c>
      <c r="N160" s="227" t="s">
        <v>418</v>
      </c>
      <c r="O160" s="227" t="s">
        <v>418</v>
      </c>
      <c r="P160" s="68" t="s">
        <v>418</v>
      </c>
      <c r="Q160" s="227" t="s">
        <v>418</v>
      </c>
      <c r="R160" s="69" t="s">
        <v>418</v>
      </c>
      <c r="S160" s="69" t="s">
        <v>418</v>
      </c>
      <c r="T160" s="227" t="s">
        <v>418</v>
      </c>
      <c r="U160" s="86" t="s">
        <v>418</v>
      </c>
      <c r="V160" s="86" t="s">
        <v>418</v>
      </c>
    </row>
    <row r="161" spans="1:22" hidden="1">
      <c r="A161" s="239">
        <f t="shared" si="6"/>
        <v>156</v>
      </c>
      <c r="B161" s="256"/>
      <c r="C161" s="257"/>
      <c r="D161" s="262"/>
      <c r="E161" s="263"/>
      <c r="F161" s="263"/>
      <c r="G161" s="258"/>
      <c r="H161" s="258"/>
      <c r="I161" s="260">
        <f t="shared" si="5"/>
        <v>0</v>
      </c>
      <c r="N161" s="227" t="s">
        <v>418</v>
      </c>
      <c r="O161" s="227" t="s">
        <v>418</v>
      </c>
      <c r="P161" s="68" t="s">
        <v>418</v>
      </c>
      <c r="Q161" s="227" t="s">
        <v>418</v>
      </c>
      <c r="R161" s="69" t="s">
        <v>418</v>
      </c>
      <c r="S161" s="69" t="s">
        <v>418</v>
      </c>
      <c r="T161" s="227" t="s">
        <v>418</v>
      </c>
      <c r="U161" s="86" t="s">
        <v>418</v>
      </c>
      <c r="V161" s="86" t="s">
        <v>418</v>
      </c>
    </row>
    <row r="162" spans="1:22" hidden="1">
      <c r="A162" s="239">
        <f t="shared" si="6"/>
        <v>157</v>
      </c>
      <c r="B162" s="256"/>
      <c r="C162" s="257"/>
      <c r="D162" s="262"/>
      <c r="E162" s="263"/>
      <c r="F162" s="263"/>
      <c r="G162" s="258"/>
      <c r="H162" s="258"/>
      <c r="I162" s="260">
        <f t="shared" si="5"/>
        <v>0</v>
      </c>
      <c r="N162" s="227" t="s">
        <v>418</v>
      </c>
      <c r="O162" s="227" t="s">
        <v>418</v>
      </c>
      <c r="P162" s="68" t="s">
        <v>418</v>
      </c>
      <c r="Q162" s="227" t="s">
        <v>418</v>
      </c>
      <c r="R162" s="69" t="s">
        <v>418</v>
      </c>
      <c r="S162" s="69" t="s">
        <v>418</v>
      </c>
      <c r="T162" s="227" t="s">
        <v>418</v>
      </c>
      <c r="U162" s="86" t="s">
        <v>418</v>
      </c>
      <c r="V162" s="86" t="s">
        <v>418</v>
      </c>
    </row>
    <row r="163" spans="1:22" hidden="1">
      <c r="A163" s="239">
        <f t="shared" si="6"/>
        <v>158</v>
      </c>
      <c r="B163" s="256"/>
      <c r="C163" s="257"/>
      <c r="D163" s="264"/>
      <c r="E163" s="263"/>
      <c r="F163" s="263"/>
      <c r="G163" s="258"/>
      <c r="H163" s="258"/>
      <c r="I163" s="260">
        <f t="shared" si="5"/>
        <v>0</v>
      </c>
      <c r="N163" s="227" t="s">
        <v>418</v>
      </c>
      <c r="O163" s="227" t="s">
        <v>418</v>
      </c>
      <c r="P163" s="68" t="s">
        <v>418</v>
      </c>
      <c r="Q163" s="227" t="s">
        <v>418</v>
      </c>
      <c r="R163" s="69" t="s">
        <v>418</v>
      </c>
      <c r="S163" s="69" t="s">
        <v>418</v>
      </c>
      <c r="T163" s="227" t="s">
        <v>418</v>
      </c>
      <c r="U163" s="86" t="s">
        <v>418</v>
      </c>
      <c r="V163" s="86" t="s">
        <v>418</v>
      </c>
    </row>
    <row r="164" spans="1:22" hidden="1">
      <c r="A164" s="239">
        <f t="shared" si="6"/>
        <v>159</v>
      </c>
      <c r="B164" s="256"/>
      <c r="C164" s="257"/>
      <c r="D164" s="262"/>
      <c r="E164" s="263"/>
      <c r="F164" s="263"/>
      <c r="G164" s="258"/>
      <c r="H164" s="258"/>
      <c r="I164" s="260">
        <f t="shared" si="5"/>
        <v>0</v>
      </c>
      <c r="N164" s="227" t="s">
        <v>418</v>
      </c>
      <c r="O164" s="227" t="s">
        <v>418</v>
      </c>
      <c r="P164" s="68" t="s">
        <v>418</v>
      </c>
      <c r="Q164" s="227" t="s">
        <v>418</v>
      </c>
      <c r="R164" s="69" t="s">
        <v>418</v>
      </c>
      <c r="S164" s="69" t="s">
        <v>418</v>
      </c>
      <c r="T164" s="227" t="s">
        <v>418</v>
      </c>
      <c r="U164" s="86" t="s">
        <v>418</v>
      </c>
      <c r="V164" s="86" t="s">
        <v>418</v>
      </c>
    </row>
    <row r="165" spans="1:22" hidden="1">
      <c r="A165" s="239">
        <f t="shared" si="6"/>
        <v>160</v>
      </c>
      <c r="B165" s="256"/>
      <c r="C165" s="257"/>
      <c r="D165" s="262"/>
      <c r="E165" s="263"/>
      <c r="F165" s="263"/>
      <c r="G165" s="258"/>
      <c r="H165" s="258"/>
      <c r="I165" s="260">
        <f t="shared" si="5"/>
        <v>0</v>
      </c>
      <c r="N165" s="227" t="s">
        <v>418</v>
      </c>
      <c r="O165" s="227" t="s">
        <v>418</v>
      </c>
      <c r="P165" s="68" t="s">
        <v>418</v>
      </c>
      <c r="Q165" s="227" t="s">
        <v>418</v>
      </c>
      <c r="R165" s="69" t="s">
        <v>418</v>
      </c>
      <c r="S165" s="69" t="s">
        <v>418</v>
      </c>
      <c r="T165" s="227" t="s">
        <v>418</v>
      </c>
      <c r="U165" s="86" t="s">
        <v>418</v>
      </c>
      <c r="V165" s="86" t="s">
        <v>418</v>
      </c>
    </row>
    <row r="166" spans="1:22" hidden="1">
      <c r="A166" s="239">
        <f t="shared" si="6"/>
        <v>161</v>
      </c>
      <c r="B166" s="256"/>
      <c r="C166" s="257"/>
      <c r="D166" s="262"/>
      <c r="E166" s="263"/>
      <c r="F166" s="263"/>
      <c r="G166" s="258"/>
      <c r="H166" s="258"/>
      <c r="I166" s="260">
        <f t="shared" si="5"/>
        <v>0</v>
      </c>
      <c r="N166" s="227" t="s">
        <v>418</v>
      </c>
      <c r="O166" s="227" t="s">
        <v>418</v>
      </c>
      <c r="P166" s="68" t="s">
        <v>418</v>
      </c>
      <c r="Q166" s="227" t="s">
        <v>418</v>
      </c>
      <c r="R166" s="69" t="s">
        <v>418</v>
      </c>
      <c r="S166" s="69" t="s">
        <v>418</v>
      </c>
      <c r="T166" s="227" t="s">
        <v>418</v>
      </c>
      <c r="U166" s="86" t="s">
        <v>418</v>
      </c>
      <c r="V166" s="86" t="s">
        <v>418</v>
      </c>
    </row>
    <row r="167" spans="1:22" hidden="1">
      <c r="A167" s="239">
        <f t="shared" si="6"/>
        <v>162</v>
      </c>
      <c r="B167" s="256"/>
      <c r="C167" s="257"/>
      <c r="D167" s="262"/>
      <c r="E167" s="263"/>
      <c r="F167" s="263"/>
      <c r="G167" s="258"/>
      <c r="H167" s="258"/>
      <c r="I167" s="260">
        <f t="shared" si="5"/>
        <v>0</v>
      </c>
      <c r="N167" s="227" t="s">
        <v>418</v>
      </c>
      <c r="O167" s="227" t="s">
        <v>418</v>
      </c>
      <c r="P167" s="68" t="s">
        <v>418</v>
      </c>
      <c r="Q167" s="227" t="s">
        <v>418</v>
      </c>
      <c r="R167" s="69" t="s">
        <v>418</v>
      </c>
      <c r="S167" s="69" t="s">
        <v>418</v>
      </c>
      <c r="T167" s="227" t="s">
        <v>418</v>
      </c>
      <c r="U167" s="86" t="s">
        <v>418</v>
      </c>
      <c r="V167" s="86" t="s">
        <v>418</v>
      </c>
    </row>
    <row r="168" spans="1:22" hidden="1">
      <c r="A168" s="239">
        <f t="shared" si="6"/>
        <v>163</v>
      </c>
      <c r="B168" s="256"/>
      <c r="C168" s="257"/>
      <c r="D168" s="262"/>
      <c r="E168" s="263"/>
      <c r="F168" s="263"/>
      <c r="G168" s="258"/>
      <c r="H168" s="258"/>
      <c r="I168" s="260">
        <f t="shared" si="5"/>
        <v>0</v>
      </c>
      <c r="N168" s="227" t="s">
        <v>418</v>
      </c>
      <c r="O168" s="227" t="s">
        <v>418</v>
      </c>
      <c r="P168" s="68" t="s">
        <v>418</v>
      </c>
      <c r="Q168" s="227" t="s">
        <v>418</v>
      </c>
      <c r="R168" s="69" t="s">
        <v>418</v>
      </c>
      <c r="S168" s="69" t="s">
        <v>418</v>
      </c>
      <c r="T168" s="227" t="s">
        <v>418</v>
      </c>
      <c r="U168" s="86" t="s">
        <v>418</v>
      </c>
      <c r="V168" s="86" t="s">
        <v>418</v>
      </c>
    </row>
    <row r="169" spans="1:22" hidden="1">
      <c r="A169" s="239">
        <f t="shared" si="6"/>
        <v>164</v>
      </c>
      <c r="B169" s="256"/>
      <c r="C169" s="257"/>
      <c r="D169" s="262"/>
      <c r="E169" s="263"/>
      <c r="F169" s="263"/>
      <c r="G169" s="258"/>
      <c r="H169" s="258"/>
      <c r="I169" s="260">
        <f t="shared" si="5"/>
        <v>0</v>
      </c>
      <c r="N169" s="227" t="s">
        <v>418</v>
      </c>
      <c r="O169" s="227" t="s">
        <v>418</v>
      </c>
      <c r="P169" s="68" t="s">
        <v>418</v>
      </c>
      <c r="Q169" s="227" t="s">
        <v>418</v>
      </c>
      <c r="R169" s="69" t="s">
        <v>418</v>
      </c>
      <c r="S169" s="69" t="s">
        <v>418</v>
      </c>
      <c r="T169" s="227" t="s">
        <v>418</v>
      </c>
      <c r="U169" s="86" t="s">
        <v>418</v>
      </c>
      <c r="V169" s="86" t="s">
        <v>418</v>
      </c>
    </row>
    <row r="170" spans="1:22" hidden="1">
      <c r="A170" s="239">
        <f t="shared" si="6"/>
        <v>165</v>
      </c>
      <c r="B170" s="256"/>
      <c r="C170" s="257"/>
      <c r="D170" s="262"/>
      <c r="E170" s="263"/>
      <c r="F170" s="263"/>
      <c r="G170" s="258"/>
      <c r="H170" s="258"/>
      <c r="I170" s="260">
        <f t="shared" si="5"/>
        <v>0</v>
      </c>
      <c r="N170" s="227" t="s">
        <v>418</v>
      </c>
      <c r="O170" s="227" t="s">
        <v>418</v>
      </c>
      <c r="P170" s="68" t="s">
        <v>418</v>
      </c>
      <c r="Q170" s="227" t="s">
        <v>418</v>
      </c>
      <c r="R170" s="69" t="s">
        <v>418</v>
      </c>
      <c r="S170" s="69" t="s">
        <v>418</v>
      </c>
      <c r="T170" s="227" t="s">
        <v>418</v>
      </c>
      <c r="U170" s="86" t="s">
        <v>418</v>
      </c>
      <c r="V170" s="86" t="s">
        <v>418</v>
      </c>
    </row>
    <row r="171" spans="1:22" hidden="1">
      <c r="A171" s="239">
        <f t="shared" si="6"/>
        <v>166</v>
      </c>
      <c r="B171" s="256"/>
      <c r="C171" s="257"/>
      <c r="D171" s="262"/>
      <c r="E171" s="263"/>
      <c r="F171" s="263"/>
      <c r="G171" s="258"/>
      <c r="H171" s="258"/>
      <c r="I171" s="260">
        <f t="shared" si="5"/>
        <v>0</v>
      </c>
      <c r="N171" s="227" t="s">
        <v>418</v>
      </c>
      <c r="O171" s="227" t="s">
        <v>418</v>
      </c>
      <c r="P171" s="68" t="s">
        <v>418</v>
      </c>
      <c r="Q171" s="227" t="s">
        <v>418</v>
      </c>
      <c r="R171" s="69" t="s">
        <v>418</v>
      </c>
      <c r="S171" s="69" t="s">
        <v>418</v>
      </c>
      <c r="T171" s="227" t="s">
        <v>418</v>
      </c>
      <c r="U171" s="86" t="s">
        <v>418</v>
      </c>
      <c r="V171" s="86" t="s">
        <v>418</v>
      </c>
    </row>
    <row r="172" spans="1:22" hidden="1">
      <c r="A172" s="239">
        <f t="shared" si="6"/>
        <v>167</v>
      </c>
      <c r="B172" s="256"/>
      <c r="C172" s="257"/>
      <c r="D172" s="262"/>
      <c r="E172" s="263"/>
      <c r="F172" s="263"/>
      <c r="G172" s="258"/>
      <c r="H172" s="258"/>
      <c r="I172" s="260">
        <f t="shared" si="5"/>
        <v>0</v>
      </c>
      <c r="N172" s="227" t="s">
        <v>418</v>
      </c>
      <c r="O172" s="227" t="s">
        <v>418</v>
      </c>
      <c r="P172" s="68" t="s">
        <v>418</v>
      </c>
      <c r="Q172" s="227" t="s">
        <v>418</v>
      </c>
      <c r="R172" s="69" t="s">
        <v>418</v>
      </c>
      <c r="S172" s="69" t="s">
        <v>418</v>
      </c>
      <c r="T172" s="227" t="s">
        <v>418</v>
      </c>
      <c r="U172" s="86" t="s">
        <v>418</v>
      </c>
      <c r="V172" s="86" t="s">
        <v>418</v>
      </c>
    </row>
    <row r="173" spans="1:22" hidden="1">
      <c r="A173" s="239">
        <f t="shared" si="6"/>
        <v>168</v>
      </c>
      <c r="B173" s="256"/>
      <c r="C173" s="257"/>
      <c r="D173" s="262"/>
      <c r="E173" s="263"/>
      <c r="F173" s="263"/>
      <c r="G173" s="258"/>
      <c r="H173" s="258"/>
      <c r="I173" s="260">
        <f t="shared" si="5"/>
        <v>0</v>
      </c>
      <c r="N173" s="227" t="s">
        <v>418</v>
      </c>
      <c r="O173" s="227" t="s">
        <v>418</v>
      </c>
      <c r="P173" s="68" t="s">
        <v>418</v>
      </c>
      <c r="Q173" s="227" t="s">
        <v>418</v>
      </c>
      <c r="R173" s="69" t="s">
        <v>418</v>
      </c>
      <c r="S173" s="69" t="s">
        <v>418</v>
      </c>
      <c r="T173" s="227" t="s">
        <v>418</v>
      </c>
      <c r="U173" s="86" t="s">
        <v>418</v>
      </c>
      <c r="V173" s="86" t="s">
        <v>418</v>
      </c>
    </row>
    <row r="174" spans="1:22" hidden="1">
      <c r="A174" s="239">
        <f t="shared" si="6"/>
        <v>169</v>
      </c>
      <c r="B174" s="256"/>
      <c r="C174" s="257"/>
      <c r="D174" s="262"/>
      <c r="E174" s="263"/>
      <c r="F174" s="263"/>
      <c r="G174" s="258"/>
      <c r="H174" s="258"/>
      <c r="I174" s="260">
        <f t="shared" si="5"/>
        <v>0</v>
      </c>
      <c r="N174" s="227" t="s">
        <v>418</v>
      </c>
      <c r="O174" s="227" t="s">
        <v>418</v>
      </c>
      <c r="P174" s="68" t="s">
        <v>418</v>
      </c>
      <c r="Q174" s="227" t="s">
        <v>418</v>
      </c>
      <c r="R174" s="69" t="s">
        <v>418</v>
      </c>
      <c r="S174" s="69" t="s">
        <v>418</v>
      </c>
      <c r="T174" s="227" t="s">
        <v>418</v>
      </c>
      <c r="U174" s="86" t="s">
        <v>418</v>
      </c>
      <c r="V174" s="86" t="s">
        <v>418</v>
      </c>
    </row>
    <row r="175" spans="1:22" hidden="1">
      <c r="A175" s="239">
        <f t="shared" si="6"/>
        <v>170</v>
      </c>
      <c r="B175" s="256"/>
      <c r="C175" s="257"/>
      <c r="D175" s="262"/>
      <c r="E175" s="263"/>
      <c r="F175" s="263"/>
      <c r="G175" s="258"/>
      <c r="H175" s="258"/>
      <c r="I175" s="260">
        <f t="shared" si="5"/>
        <v>0</v>
      </c>
      <c r="N175" s="227" t="s">
        <v>418</v>
      </c>
      <c r="O175" s="227" t="s">
        <v>418</v>
      </c>
      <c r="P175" s="68" t="s">
        <v>418</v>
      </c>
      <c r="Q175" s="227" t="s">
        <v>418</v>
      </c>
      <c r="R175" s="69" t="s">
        <v>418</v>
      </c>
      <c r="S175" s="69" t="s">
        <v>418</v>
      </c>
      <c r="T175" s="227" t="s">
        <v>418</v>
      </c>
      <c r="U175" s="86" t="s">
        <v>418</v>
      </c>
      <c r="V175" s="86" t="s">
        <v>418</v>
      </c>
    </row>
    <row r="176" spans="1:22" hidden="1">
      <c r="A176" s="239">
        <f t="shared" si="6"/>
        <v>171</v>
      </c>
      <c r="B176" s="256"/>
      <c r="C176" s="257"/>
      <c r="D176" s="262"/>
      <c r="E176" s="263"/>
      <c r="F176" s="263"/>
      <c r="G176" s="258"/>
      <c r="H176" s="258"/>
      <c r="I176" s="260">
        <f t="shared" si="5"/>
        <v>0</v>
      </c>
      <c r="N176" s="227" t="s">
        <v>418</v>
      </c>
      <c r="O176" s="227" t="s">
        <v>418</v>
      </c>
      <c r="P176" s="68" t="s">
        <v>418</v>
      </c>
      <c r="Q176" s="227" t="s">
        <v>418</v>
      </c>
      <c r="R176" s="69" t="s">
        <v>418</v>
      </c>
      <c r="S176" s="69" t="s">
        <v>418</v>
      </c>
      <c r="T176" s="227" t="s">
        <v>418</v>
      </c>
      <c r="U176" s="86" t="s">
        <v>418</v>
      </c>
      <c r="V176" s="86" t="s">
        <v>418</v>
      </c>
    </row>
    <row r="177" spans="1:22" hidden="1">
      <c r="A177" s="239">
        <f t="shared" si="6"/>
        <v>172</v>
      </c>
      <c r="B177" s="256"/>
      <c r="C177" s="257"/>
      <c r="D177" s="262"/>
      <c r="E177" s="263"/>
      <c r="F177" s="263"/>
      <c r="G177" s="258"/>
      <c r="H177" s="258"/>
      <c r="I177" s="260">
        <f t="shared" si="5"/>
        <v>0</v>
      </c>
      <c r="N177" s="227" t="s">
        <v>418</v>
      </c>
      <c r="O177" s="227" t="s">
        <v>418</v>
      </c>
      <c r="P177" s="68" t="s">
        <v>418</v>
      </c>
      <c r="Q177" s="227" t="s">
        <v>418</v>
      </c>
      <c r="R177" s="69" t="s">
        <v>418</v>
      </c>
      <c r="S177" s="69" t="s">
        <v>418</v>
      </c>
      <c r="T177" s="227" t="s">
        <v>418</v>
      </c>
      <c r="U177" s="86" t="s">
        <v>418</v>
      </c>
      <c r="V177" s="86" t="s">
        <v>418</v>
      </c>
    </row>
    <row r="178" spans="1:22" hidden="1">
      <c r="A178" s="239">
        <f t="shared" si="6"/>
        <v>173</v>
      </c>
      <c r="B178" s="256"/>
      <c r="C178" s="257"/>
      <c r="D178" s="262"/>
      <c r="E178" s="263"/>
      <c r="F178" s="263"/>
      <c r="G178" s="258"/>
      <c r="H178" s="258"/>
      <c r="I178" s="260">
        <f t="shared" si="5"/>
        <v>0</v>
      </c>
      <c r="N178" s="227" t="s">
        <v>418</v>
      </c>
      <c r="O178" s="227" t="s">
        <v>418</v>
      </c>
      <c r="P178" s="68" t="s">
        <v>418</v>
      </c>
      <c r="Q178" s="227" t="s">
        <v>418</v>
      </c>
      <c r="R178" s="69" t="s">
        <v>418</v>
      </c>
      <c r="S178" s="69" t="s">
        <v>418</v>
      </c>
      <c r="T178" s="227" t="s">
        <v>418</v>
      </c>
      <c r="U178" s="86" t="s">
        <v>418</v>
      </c>
      <c r="V178" s="86" t="s">
        <v>418</v>
      </c>
    </row>
    <row r="179" spans="1:22" hidden="1">
      <c r="A179" s="239">
        <f t="shared" si="6"/>
        <v>174</v>
      </c>
      <c r="B179" s="256"/>
      <c r="C179" s="257"/>
      <c r="D179" s="262"/>
      <c r="E179" s="263"/>
      <c r="F179" s="263"/>
      <c r="G179" s="258"/>
      <c r="H179" s="258"/>
      <c r="I179" s="260">
        <f t="shared" si="5"/>
        <v>0</v>
      </c>
      <c r="N179" s="227" t="s">
        <v>418</v>
      </c>
      <c r="O179" s="227" t="s">
        <v>418</v>
      </c>
      <c r="P179" s="68" t="s">
        <v>418</v>
      </c>
      <c r="Q179" s="227" t="s">
        <v>418</v>
      </c>
      <c r="R179" s="69" t="s">
        <v>418</v>
      </c>
      <c r="S179" s="69" t="s">
        <v>418</v>
      </c>
      <c r="T179" s="227" t="s">
        <v>418</v>
      </c>
      <c r="U179" s="86" t="s">
        <v>418</v>
      </c>
      <c r="V179" s="86" t="s">
        <v>418</v>
      </c>
    </row>
    <row r="180" spans="1:22" hidden="1">
      <c r="A180" s="239">
        <f t="shared" si="6"/>
        <v>175</v>
      </c>
      <c r="B180" s="256"/>
      <c r="C180" s="257"/>
      <c r="D180" s="262"/>
      <c r="E180" s="263"/>
      <c r="F180" s="263"/>
      <c r="G180" s="258"/>
      <c r="H180" s="258"/>
      <c r="I180" s="260">
        <f t="shared" si="5"/>
        <v>0</v>
      </c>
      <c r="N180" s="227" t="s">
        <v>418</v>
      </c>
      <c r="O180" s="227" t="s">
        <v>418</v>
      </c>
      <c r="P180" s="68" t="s">
        <v>418</v>
      </c>
      <c r="Q180" s="227" t="s">
        <v>418</v>
      </c>
      <c r="R180" s="69" t="s">
        <v>418</v>
      </c>
      <c r="S180" s="69" t="s">
        <v>418</v>
      </c>
      <c r="T180" s="227" t="s">
        <v>418</v>
      </c>
      <c r="U180" s="86" t="s">
        <v>418</v>
      </c>
      <c r="V180" s="86" t="s">
        <v>418</v>
      </c>
    </row>
    <row r="181" spans="1:22" hidden="1">
      <c r="A181" s="239">
        <f t="shared" si="6"/>
        <v>176</v>
      </c>
      <c r="B181" s="256"/>
      <c r="C181" s="257"/>
      <c r="D181" s="262"/>
      <c r="E181" s="263"/>
      <c r="F181" s="263"/>
      <c r="G181" s="258"/>
      <c r="H181" s="258"/>
      <c r="I181" s="260">
        <f t="shared" si="5"/>
        <v>0</v>
      </c>
      <c r="N181" s="227" t="s">
        <v>418</v>
      </c>
      <c r="O181" s="227" t="s">
        <v>418</v>
      </c>
      <c r="P181" s="68" t="s">
        <v>418</v>
      </c>
      <c r="Q181" s="227" t="s">
        <v>418</v>
      </c>
      <c r="R181" s="69" t="s">
        <v>418</v>
      </c>
      <c r="S181" s="69" t="s">
        <v>418</v>
      </c>
      <c r="T181" s="227" t="s">
        <v>418</v>
      </c>
      <c r="U181" s="86" t="s">
        <v>418</v>
      </c>
      <c r="V181" s="86" t="s">
        <v>418</v>
      </c>
    </row>
    <row r="182" spans="1:22" hidden="1">
      <c r="A182" s="239">
        <f t="shared" si="6"/>
        <v>177</v>
      </c>
      <c r="B182" s="256"/>
      <c r="C182" s="257"/>
      <c r="D182" s="262"/>
      <c r="E182" s="263"/>
      <c r="F182" s="263"/>
      <c r="G182" s="258"/>
      <c r="H182" s="258"/>
      <c r="I182" s="260">
        <f t="shared" si="5"/>
        <v>0</v>
      </c>
      <c r="N182" s="227" t="s">
        <v>418</v>
      </c>
      <c r="O182" s="227" t="s">
        <v>418</v>
      </c>
      <c r="P182" s="68" t="s">
        <v>418</v>
      </c>
      <c r="Q182" s="227" t="s">
        <v>418</v>
      </c>
      <c r="R182" s="69" t="s">
        <v>418</v>
      </c>
      <c r="S182" s="69" t="s">
        <v>418</v>
      </c>
      <c r="T182" s="227" t="s">
        <v>418</v>
      </c>
      <c r="U182" s="86" t="s">
        <v>418</v>
      </c>
      <c r="V182" s="86" t="s">
        <v>418</v>
      </c>
    </row>
    <row r="183" spans="1:22" hidden="1">
      <c r="A183" s="239">
        <f t="shared" si="6"/>
        <v>178</v>
      </c>
      <c r="B183" s="256"/>
      <c r="C183" s="257"/>
      <c r="D183" s="262"/>
      <c r="E183" s="263"/>
      <c r="F183" s="263"/>
      <c r="G183" s="258"/>
      <c r="H183" s="258"/>
      <c r="I183" s="260">
        <f t="shared" si="5"/>
        <v>0</v>
      </c>
      <c r="N183" s="227" t="s">
        <v>418</v>
      </c>
      <c r="O183" s="227" t="s">
        <v>418</v>
      </c>
      <c r="P183" s="68" t="s">
        <v>418</v>
      </c>
      <c r="Q183" s="227" t="s">
        <v>418</v>
      </c>
      <c r="R183" s="69" t="s">
        <v>418</v>
      </c>
      <c r="S183" s="69" t="s">
        <v>418</v>
      </c>
      <c r="T183" s="227" t="s">
        <v>418</v>
      </c>
      <c r="U183" s="86" t="s">
        <v>418</v>
      </c>
      <c r="V183" s="86" t="s">
        <v>418</v>
      </c>
    </row>
    <row r="184" spans="1:22" hidden="1">
      <c r="A184" s="239">
        <f t="shared" si="6"/>
        <v>179</v>
      </c>
      <c r="B184" s="256"/>
      <c r="C184" s="257"/>
      <c r="D184" s="262"/>
      <c r="E184" s="263"/>
      <c r="F184" s="263"/>
      <c r="G184" s="258"/>
      <c r="H184" s="258"/>
      <c r="I184" s="260">
        <f t="shared" si="5"/>
        <v>0</v>
      </c>
      <c r="N184" s="227" t="s">
        <v>418</v>
      </c>
      <c r="O184" s="227" t="s">
        <v>418</v>
      </c>
      <c r="P184" s="68" t="s">
        <v>418</v>
      </c>
      <c r="Q184" s="227" t="s">
        <v>418</v>
      </c>
      <c r="R184" s="69" t="s">
        <v>418</v>
      </c>
      <c r="S184" s="69" t="s">
        <v>418</v>
      </c>
      <c r="T184" s="227" t="s">
        <v>418</v>
      </c>
      <c r="U184" s="86" t="s">
        <v>418</v>
      </c>
      <c r="V184" s="86" t="s">
        <v>418</v>
      </c>
    </row>
    <row r="185" spans="1:22" hidden="1">
      <c r="A185" s="239">
        <f t="shared" si="6"/>
        <v>180</v>
      </c>
      <c r="B185" s="256"/>
      <c r="C185" s="257"/>
      <c r="D185" s="262"/>
      <c r="E185" s="263"/>
      <c r="F185" s="263"/>
      <c r="G185" s="258"/>
      <c r="H185" s="258"/>
      <c r="I185" s="260">
        <f t="shared" si="5"/>
        <v>0</v>
      </c>
      <c r="N185" s="227" t="s">
        <v>418</v>
      </c>
      <c r="O185" s="227" t="s">
        <v>418</v>
      </c>
      <c r="P185" s="68" t="s">
        <v>418</v>
      </c>
      <c r="Q185" s="227" t="s">
        <v>418</v>
      </c>
      <c r="R185" s="69" t="s">
        <v>418</v>
      </c>
      <c r="S185" s="69" t="s">
        <v>418</v>
      </c>
      <c r="T185" s="227" t="s">
        <v>418</v>
      </c>
      <c r="U185" s="86" t="s">
        <v>418</v>
      </c>
      <c r="V185" s="86" t="s">
        <v>418</v>
      </c>
    </row>
    <row r="186" spans="1:22" hidden="1">
      <c r="A186" s="239">
        <f t="shared" si="6"/>
        <v>181</v>
      </c>
      <c r="B186" s="256"/>
      <c r="C186" s="257"/>
      <c r="D186" s="262"/>
      <c r="E186" s="263"/>
      <c r="F186" s="263"/>
      <c r="G186" s="258"/>
      <c r="H186" s="258"/>
      <c r="I186" s="260">
        <f t="shared" si="5"/>
        <v>0</v>
      </c>
      <c r="N186" s="227" t="s">
        <v>418</v>
      </c>
      <c r="O186" s="227" t="s">
        <v>418</v>
      </c>
      <c r="P186" s="68" t="s">
        <v>418</v>
      </c>
      <c r="Q186" s="227" t="s">
        <v>418</v>
      </c>
      <c r="R186" s="69" t="s">
        <v>418</v>
      </c>
      <c r="S186" s="69" t="s">
        <v>418</v>
      </c>
      <c r="T186" s="227" t="s">
        <v>418</v>
      </c>
      <c r="U186" s="86" t="s">
        <v>418</v>
      </c>
      <c r="V186" s="86" t="s">
        <v>418</v>
      </c>
    </row>
    <row r="187" spans="1:22" hidden="1">
      <c r="A187" s="239">
        <f t="shared" si="6"/>
        <v>182</v>
      </c>
      <c r="B187" s="256"/>
      <c r="C187" s="257"/>
      <c r="D187" s="262"/>
      <c r="E187" s="263"/>
      <c r="F187" s="263"/>
      <c r="G187" s="258"/>
      <c r="H187" s="258"/>
      <c r="I187" s="260">
        <f t="shared" si="5"/>
        <v>0</v>
      </c>
      <c r="N187" s="227" t="s">
        <v>418</v>
      </c>
      <c r="O187" s="227" t="s">
        <v>418</v>
      </c>
      <c r="P187" s="68" t="s">
        <v>418</v>
      </c>
      <c r="Q187" s="227" t="s">
        <v>418</v>
      </c>
      <c r="R187" s="69" t="s">
        <v>418</v>
      </c>
      <c r="S187" s="69" t="s">
        <v>418</v>
      </c>
      <c r="T187" s="227" t="s">
        <v>418</v>
      </c>
      <c r="U187" s="86" t="s">
        <v>418</v>
      </c>
      <c r="V187" s="86" t="s">
        <v>418</v>
      </c>
    </row>
    <row r="188" spans="1:22" hidden="1">
      <c r="A188" s="239">
        <f t="shared" si="6"/>
        <v>183</v>
      </c>
      <c r="B188" s="256"/>
      <c r="C188" s="257"/>
      <c r="D188" s="262"/>
      <c r="E188" s="263"/>
      <c r="F188" s="263"/>
      <c r="G188" s="258"/>
      <c r="H188" s="258"/>
      <c r="I188" s="260">
        <f t="shared" si="5"/>
        <v>0</v>
      </c>
      <c r="N188" s="227" t="s">
        <v>418</v>
      </c>
      <c r="O188" s="227" t="s">
        <v>418</v>
      </c>
      <c r="P188" s="68" t="s">
        <v>418</v>
      </c>
      <c r="Q188" s="227" t="s">
        <v>418</v>
      </c>
      <c r="R188" s="69" t="s">
        <v>418</v>
      </c>
      <c r="S188" s="69" t="s">
        <v>418</v>
      </c>
      <c r="T188" s="227" t="s">
        <v>418</v>
      </c>
      <c r="U188" s="86" t="s">
        <v>418</v>
      </c>
      <c r="V188" s="86" t="s">
        <v>418</v>
      </c>
    </row>
    <row r="189" spans="1:22" hidden="1">
      <c r="A189" s="239">
        <f t="shared" si="6"/>
        <v>184</v>
      </c>
      <c r="B189" s="256"/>
      <c r="C189" s="257"/>
      <c r="D189" s="262"/>
      <c r="E189" s="263"/>
      <c r="F189" s="263"/>
      <c r="G189" s="258"/>
      <c r="H189" s="258"/>
      <c r="I189" s="260">
        <f t="shared" si="5"/>
        <v>0</v>
      </c>
      <c r="N189" s="227" t="s">
        <v>418</v>
      </c>
      <c r="O189" s="227" t="s">
        <v>418</v>
      </c>
      <c r="P189" s="68" t="s">
        <v>418</v>
      </c>
      <c r="Q189" s="227" t="s">
        <v>418</v>
      </c>
      <c r="R189" s="69" t="s">
        <v>418</v>
      </c>
      <c r="S189" s="69" t="s">
        <v>418</v>
      </c>
      <c r="T189" s="227" t="s">
        <v>418</v>
      </c>
      <c r="U189" s="86" t="s">
        <v>418</v>
      </c>
      <c r="V189" s="86" t="s">
        <v>418</v>
      </c>
    </row>
    <row r="190" spans="1:22" hidden="1">
      <c r="A190" s="239">
        <f t="shared" si="6"/>
        <v>185</v>
      </c>
      <c r="B190" s="256"/>
      <c r="C190" s="257"/>
      <c r="D190" s="262"/>
      <c r="E190" s="263"/>
      <c r="F190" s="263"/>
      <c r="G190" s="258"/>
      <c r="H190" s="258"/>
      <c r="I190" s="260">
        <f t="shared" si="5"/>
        <v>0</v>
      </c>
      <c r="N190" s="227" t="s">
        <v>418</v>
      </c>
      <c r="O190" s="227" t="s">
        <v>418</v>
      </c>
      <c r="P190" s="68" t="s">
        <v>418</v>
      </c>
      <c r="Q190" s="227" t="s">
        <v>418</v>
      </c>
      <c r="R190" s="69" t="s">
        <v>418</v>
      </c>
      <c r="S190" s="69" t="s">
        <v>418</v>
      </c>
      <c r="T190" s="227" t="s">
        <v>418</v>
      </c>
      <c r="U190" s="86" t="s">
        <v>418</v>
      </c>
      <c r="V190" s="86" t="s">
        <v>418</v>
      </c>
    </row>
    <row r="191" spans="1:22" hidden="1">
      <c r="A191" s="239">
        <f t="shared" si="6"/>
        <v>186</v>
      </c>
      <c r="B191" s="256"/>
      <c r="C191" s="257"/>
      <c r="D191" s="262"/>
      <c r="E191" s="263"/>
      <c r="F191" s="263"/>
      <c r="G191" s="258"/>
      <c r="H191" s="258"/>
      <c r="I191" s="260">
        <f t="shared" si="5"/>
        <v>0</v>
      </c>
      <c r="N191" s="227" t="s">
        <v>418</v>
      </c>
      <c r="O191" s="227" t="s">
        <v>418</v>
      </c>
      <c r="P191" s="68" t="s">
        <v>418</v>
      </c>
      <c r="Q191" s="227" t="s">
        <v>418</v>
      </c>
      <c r="R191" s="69" t="s">
        <v>418</v>
      </c>
      <c r="S191" s="69" t="s">
        <v>418</v>
      </c>
      <c r="T191" s="227" t="s">
        <v>418</v>
      </c>
      <c r="U191" s="86" t="s">
        <v>418</v>
      </c>
      <c r="V191" s="86" t="s">
        <v>418</v>
      </c>
    </row>
    <row r="192" spans="1:22" hidden="1">
      <c r="A192" s="239">
        <f t="shared" si="6"/>
        <v>187</v>
      </c>
      <c r="B192" s="256"/>
      <c r="C192" s="257"/>
      <c r="D192" s="262"/>
      <c r="E192" s="263"/>
      <c r="F192" s="263"/>
      <c r="G192" s="258"/>
      <c r="H192" s="258"/>
      <c r="I192" s="260">
        <f t="shared" si="5"/>
        <v>0</v>
      </c>
      <c r="N192" s="227" t="s">
        <v>418</v>
      </c>
      <c r="O192" s="227" t="s">
        <v>418</v>
      </c>
      <c r="P192" s="68" t="s">
        <v>418</v>
      </c>
      <c r="Q192" s="227" t="s">
        <v>418</v>
      </c>
      <c r="R192" s="69" t="s">
        <v>418</v>
      </c>
      <c r="S192" s="69" t="s">
        <v>418</v>
      </c>
      <c r="T192" s="227" t="s">
        <v>418</v>
      </c>
      <c r="U192" s="86" t="s">
        <v>418</v>
      </c>
      <c r="V192" s="86" t="s">
        <v>418</v>
      </c>
    </row>
    <row r="193" spans="1:22" hidden="1">
      <c r="A193" s="239">
        <f t="shared" si="6"/>
        <v>188</v>
      </c>
      <c r="B193" s="256"/>
      <c r="C193" s="257"/>
      <c r="D193" s="262"/>
      <c r="E193" s="263"/>
      <c r="F193" s="263"/>
      <c r="G193" s="258"/>
      <c r="H193" s="258"/>
      <c r="I193" s="260">
        <f t="shared" si="5"/>
        <v>0</v>
      </c>
      <c r="N193" s="227" t="s">
        <v>418</v>
      </c>
      <c r="O193" s="227" t="s">
        <v>418</v>
      </c>
      <c r="P193" s="68" t="s">
        <v>418</v>
      </c>
      <c r="Q193" s="227" t="s">
        <v>418</v>
      </c>
      <c r="R193" s="69" t="s">
        <v>418</v>
      </c>
      <c r="S193" s="69" t="s">
        <v>418</v>
      </c>
      <c r="T193" s="227" t="s">
        <v>418</v>
      </c>
      <c r="U193" s="86" t="s">
        <v>418</v>
      </c>
      <c r="V193" s="86" t="s">
        <v>418</v>
      </c>
    </row>
    <row r="194" spans="1:22" hidden="1">
      <c r="A194" s="239">
        <f t="shared" si="6"/>
        <v>189</v>
      </c>
      <c r="B194" s="256"/>
      <c r="C194" s="257"/>
      <c r="D194" s="262"/>
      <c r="E194" s="263"/>
      <c r="F194" s="263"/>
      <c r="G194" s="258"/>
      <c r="H194" s="258"/>
      <c r="I194" s="260">
        <f t="shared" si="5"/>
        <v>0</v>
      </c>
      <c r="N194" s="227" t="s">
        <v>418</v>
      </c>
      <c r="O194" s="227" t="s">
        <v>418</v>
      </c>
      <c r="P194" s="68" t="s">
        <v>418</v>
      </c>
      <c r="Q194" s="227" t="s">
        <v>418</v>
      </c>
      <c r="R194" s="69" t="s">
        <v>418</v>
      </c>
      <c r="S194" s="69" t="s">
        <v>418</v>
      </c>
      <c r="T194" s="227" t="s">
        <v>418</v>
      </c>
      <c r="U194" s="86" t="s">
        <v>418</v>
      </c>
      <c r="V194" s="86" t="s">
        <v>418</v>
      </c>
    </row>
    <row r="195" spans="1:22" hidden="1">
      <c r="A195" s="239">
        <f t="shared" si="6"/>
        <v>190</v>
      </c>
      <c r="B195" s="256"/>
      <c r="C195" s="257"/>
      <c r="D195" s="262"/>
      <c r="E195" s="263"/>
      <c r="F195" s="263"/>
      <c r="G195" s="258"/>
      <c r="H195" s="258"/>
      <c r="I195" s="260">
        <f t="shared" si="5"/>
        <v>0</v>
      </c>
      <c r="N195" s="227" t="s">
        <v>418</v>
      </c>
      <c r="O195" s="227" t="s">
        <v>418</v>
      </c>
      <c r="P195" s="68" t="s">
        <v>418</v>
      </c>
      <c r="Q195" s="227" t="s">
        <v>418</v>
      </c>
      <c r="R195" s="69" t="s">
        <v>418</v>
      </c>
      <c r="S195" s="69" t="s">
        <v>418</v>
      </c>
      <c r="T195" s="227" t="s">
        <v>418</v>
      </c>
      <c r="U195" s="86" t="s">
        <v>418</v>
      </c>
      <c r="V195" s="86" t="s">
        <v>418</v>
      </c>
    </row>
    <row r="196" spans="1:22" hidden="1">
      <c r="A196" s="239">
        <f t="shared" si="6"/>
        <v>191</v>
      </c>
      <c r="B196" s="256"/>
      <c r="C196" s="257"/>
      <c r="D196" s="262"/>
      <c r="E196" s="263"/>
      <c r="F196" s="263"/>
      <c r="G196" s="258"/>
      <c r="H196" s="258"/>
      <c r="I196" s="260">
        <f t="shared" si="5"/>
        <v>0</v>
      </c>
      <c r="N196" s="227" t="s">
        <v>418</v>
      </c>
      <c r="O196" s="227" t="s">
        <v>418</v>
      </c>
      <c r="P196" s="68" t="s">
        <v>418</v>
      </c>
      <c r="Q196" s="227" t="s">
        <v>418</v>
      </c>
      <c r="R196" s="69" t="s">
        <v>418</v>
      </c>
      <c r="S196" s="69" t="s">
        <v>418</v>
      </c>
      <c r="T196" s="227" t="s">
        <v>418</v>
      </c>
      <c r="U196" s="86" t="s">
        <v>418</v>
      </c>
      <c r="V196" s="86" t="s">
        <v>418</v>
      </c>
    </row>
    <row r="197" spans="1:22" hidden="1">
      <c r="A197" s="239">
        <f t="shared" si="6"/>
        <v>192</v>
      </c>
      <c r="B197" s="256"/>
      <c r="C197" s="257"/>
      <c r="D197" s="262"/>
      <c r="E197" s="263"/>
      <c r="F197" s="263"/>
      <c r="G197" s="258"/>
      <c r="H197" s="258"/>
      <c r="I197" s="260">
        <f t="shared" si="5"/>
        <v>0</v>
      </c>
      <c r="N197" s="227" t="s">
        <v>418</v>
      </c>
      <c r="O197" s="227" t="s">
        <v>418</v>
      </c>
      <c r="P197" s="68" t="s">
        <v>418</v>
      </c>
      <c r="Q197" s="227" t="s">
        <v>418</v>
      </c>
      <c r="R197" s="69" t="s">
        <v>418</v>
      </c>
      <c r="S197" s="69" t="s">
        <v>418</v>
      </c>
      <c r="T197" s="227" t="s">
        <v>418</v>
      </c>
      <c r="U197" s="86" t="s">
        <v>418</v>
      </c>
      <c r="V197" s="86" t="s">
        <v>418</v>
      </c>
    </row>
    <row r="198" spans="1:22" hidden="1">
      <c r="A198" s="239">
        <f t="shared" si="6"/>
        <v>193</v>
      </c>
      <c r="B198" s="256"/>
      <c r="C198" s="257"/>
      <c r="D198" s="262"/>
      <c r="E198" s="263"/>
      <c r="F198" s="263"/>
      <c r="G198" s="258"/>
      <c r="H198" s="258"/>
      <c r="I198" s="260">
        <f t="shared" ref="I198:I211" si="7">H198*G198</f>
        <v>0</v>
      </c>
      <c r="N198" s="227" t="s">
        <v>418</v>
      </c>
      <c r="O198" s="227" t="s">
        <v>418</v>
      </c>
      <c r="P198" s="68" t="s">
        <v>418</v>
      </c>
      <c r="Q198" s="227" t="s">
        <v>418</v>
      </c>
      <c r="R198" s="69" t="s">
        <v>418</v>
      </c>
      <c r="S198" s="69" t="s">
        <v>418</v>
      </c>
      <c r="T198" s="227" t="s">
        <v>418</v>
      </c>
      <c r="U198" s="86" t="s">
        <v>418</v>
      </c>
      <c r="V198" s="86" t="s">
        <v>418</v>
      </c>
    </row>
    <row r="199" spans="1:22" hidden="1">
      <c r="A199" s="239">
        <f t="shared" si="6"/>
        <v>194</v>
      </c>
      <c r="B199" s="256"/>
      <c r="C199" s="257"/>
      <c r="D199" s="262"/>
      <c r="E199" s="263"/>
      <c r="F199" s="263"/>
      <c r="G199" s="258"/>
      <c r="H199" s="258"/>
      <c r="I199" s="260">
        <f t="shared" si="7"/>
        <v>0</v>
      </c>
      <c r="N199" s="227" t="s">
        <v>418</v>
      </c>
      <c r="O199" s="227" t="s">
        <v>418</v>
      </c>
      <c r="P199" s="68" t="s">
        <v>418</v>
      </c>
      <c r="Q199" s="227" t="s">
        <v>418</v>
      </c>
      <c r="R199" s="69" t="s">
        <v>418</v>
      </c>
      <c r="S199" s="69" t="s">
        <v>418</v>
      </c>
      <c r="T199" s="227" t="s">
        <v>418</v>
      </c>
      <c r="U199" s="86" t="s">
        <v>418</v>
      </c>
      <c r="V199" s="86" t="s">
        <v>418</v>
      </c>
    </row>
    <row r="200" spans="1:22" hidden="1">
      <c r="A200" s="239">
        <f t="shared" ref="A200:A211" si="8">+A199+1</f>
        <v>195</v>
      </c>
      <c r="B200" s="256"/>
      <c r="C200" s="257"/>
      <c r="D200" s="262"/>
      <c r="E200" s="263"/>
      <c r="F200" s="263"/>
      <c r="G200" s="258"/>
      <c r="H200" s="258"/>
      <c r="I200" s="260">
        <f t="shared" si="7"/>
        <v>0</v>
      </c>
      <c r="N200" s="227" t="s">
        <v>418</v>
      </c>
      <c r="O200" s="227" t="s">
        <v>418</v>
      </c>
      <c r="P200" s="68" t="s">
        <v>418</v>
      </c>
      <c r="Q200" s="227" t="s">
        <v>418</v>
      </c>
      <c r="R200" s="69" t="s">
        <v>418</v>
      </c>
      <c r="S200" s="69" t="s">
        <v>418</v>
      </c>
      <c r="T200" s="227" t="s">
        <v>418</v>
      </c>
      <c r="U200" s="86" t="s">
        <v>418</v>
      </c>
      <c r="V200" s="86" t="s">
        <v>418</v>
      </c>
    </row>
    <row r="201" spans="1:22" hidden="1">
      <c r="A201" s="239">
        <f t="shared" si="8"/>
        <v>196</v>
      </c>
      <c r="B201" s="256"/>
      <c r="C201" s="257"/>
      <c r="D201" s="262"/>
      <c r="E201" s="263"/>
      <c r="F201" s="263"/>
      <c r="G201" s="258"/>
      <c r="H201" s="258"/>
      <c r="I201" s="260">
        <f t="shared" si="7"/>
        <v>0</v>
      </c>
      <c r="N201" s="227" t="s">
        <v>418</v>
      </c>
      <c r="O201" s="227" t="s">
        <v>418</v>
      </c>
      <c r="P201" s="68" t="s">
        <v>418</v>
      </c>
      <c r="Q201" s="227" t="s">
        <v>418</v>
      </c>
      <c r="R201" s="69" t="s">
        <v>418</v>
      </c>
      <c r="S201" s="69" t="s">
        <v>418</v>
      </c>
      <c r="T201" s="227" t="s">
        <v>418</v>
      </c>
      <c r="U201" s="86" t="s">
        <v>418</v>
      </c>
      <c r="V201" s="86" t="s">
        <v>418</v>
      </c>
    </row>
    <row r="202" spans="1:22" hidden="1">
      <c r="A202" s="239">
        <f t="shared" si="8"/>
        <v>197</v>
      </c>
      <c r="B202" s="256"/>
      <c r="C202" s="257"/>
      <c r="D202" s="262"/>
      <c r="E202" s="263"/>
      <c r="F202" s="263"/>
      <c r="G202" s="258"/>
      <c r="H202" s="258"/>
      <c r="I202" s="260">
        <f t="shared" si="7"/>
        <v>0</v>
      </c>
      <c r="N202" s="227" t="s">
        <v>418</v>
      </c>
      <c r="O202" s="227" t="s">
        <v>418</v>
      </c>
      <c r="P202" s="68" t="s">
        <v>418</v>
      </c>
      <c r="Q202" s="227" t="s">
        <v>418</v>
      </c>
      <c r="R202" s="69" t="s">
        <v>418</v>
      </c>
      <c r="S202" s="69" t="s">
        <v>418</v>
      </c>
      <c r="T202" s="227" t="s">
        <v>418</v>
      </c>
      <c r="U202" s="86" t="s">
        <v>418</v>
      </c>
      <c r="V202" s="86" t="s">
        <v>418</v>
      </c>
    </row>
    <row r="203" spans="1:22" hidden="1">
      <c r="A203" s="239">
        <f t="shared" si="8"/>
        <v>198</v>
      </c>
      <c r="B203" s="256"/>
      <c r="C203" s="257"/>
      <c r="D203" s="262"/>
      <c r="E203" s="263"/>
      <c r="F203" s="263"/>
      <c r="G203" s="258"/>
      <c r="H203" s="258"/>
      <c r="I203" s="260">
        <f t="shared" si="7"/>
        <v>0</v>
      </c>
      <c r="N203" s="227" t="s">
        <v>418</v>
      </c>
      <c r="O203" s="227" t="s">
        <v>418</v>
      </c>
      <c r="P203" s="68" t="s">
        <v>418</v>
      </c>
      <c r="Q203" s="227" t="s">
        <v>418</v>
      </c>
      <c r="R203" s="69" t="s">
        <v>418</v>
      </c>
      <c r="S203" s="69" t="s">
        <v>418</v>
      </c>
      <c r="T203" s="227" t="s">
        <v>418</v>
      </c>
      <c r="U203" s="86" t="s">
        <v>418</v>
      </c>
      <c r="V203" s="86" t="s">
        <v>418</v>
      </c>
    </row>
    <row r="204" spans="1:22" hidden="1">
      <c r="A204" s="239">
        <f t="shared" si="8"/>
        <v>199</v>
      </c>
      <c r="B204" s="256"/>
      <c r="C204" s="257"/>
      <c r="D204" s="262"/>
      <c r="E204" s="263"/>
      <c r="F204" s="263"/>
      <c r="G204" s="258"/>
      <c r="H204" s="258"/>
      <c r="I204" s="260">
        <f t="shared" si="7"/>
        <v>0</v>
      </c>
      <c r="N204" s="227" t="s">
        <v>418</v>
      </c>
      <c r="O204" s="227" t="s">
        <v>418</v>
      </c>
      <c r="P204" s="68" t="s">
        <v>418</v>
      </c>
      <c r="Q204" s="227" t="s">
        <v>418</v>
      </c>
      <c r="R204" s="69" t="s">
        <v>418</v>
      </c>
      <c r="S204" s="69" t="s">
        <v>418</v>
      </c>
      <c r="T204" s="227" t="s">
        <v>418</v>
      </c>
      <c r="U204" s="86" t="s">
        <v>418</v>
      </c>
      <c r="V204" s="86" t="s">
        <v>418</v>
      </c>
    </row>
    <row r="205" spans="1:22" hidden="1">
      <c r="A205" s="239">
        <f t="shared" si="8"/>
        <v>200</v>
      </c>
      <c r="B205" s="256"/>
      <c r="C205" s="257"/>
      <c r="D205" s="262"/>
      <c r="E205" s="263"/>
      <c r="F205" s="263"/>
      <c r="G205" s="258"/>
      <c r="H205" s="258"/>
      <c r="I205" s="260">
        <f t="shared" si="7"/>
        <v>0</v>
      </c>
      <c r="N205" s="227" t="s">
        <v>418</v>
      </c>
      <c r="O205" s="227" t="s">
        <v>418</v>
      </c>
      <c r="P205" s="68" t="s">
        <v>418</v>
      </c>
      <c r="Q205" s="227" t="s">
        <v>418</v>
      </c>
      <c r="R205" s="69" t="s">
        <v>418</v>
      </c>
      <c r="S205" s="69" t="s">
        <v>418</v>
      </c>
      <c r="T205" s="227" t="s">
        <v>418</v>
      </c>
      <c r="U205" s="86" t="s">
        <v>418</v>
      </c>
      <c r="V205" s="86" t="s">
        <v>418</v>
      </c>
    </row>
    <row r="206" spans="1:22" hidden="1">
      <c r="A206" s="239">
        <f t="shared" si="8"/>
        <v>201</v>
      </c>
      <c r="B206" s="256"/>
      <c r="C206" s="257"/>
      <c r="D206" s="262"/>
      <c r="E206" s="263"/>
      <c r="F206" s="263"/>
      <c r="G206" s="258"/>
      <c r="H206" s="258"/>
      <c r="I206" s="260">
        <f t="shared" si="7"/>
        <v>0</v>
      </c>
      <c r="N206" s="227" t="s">
        <v>418</v>
      </c>
      <c r="O206" s="227" t="s">
        <v>418</v>
      </c>
      <c r="P206" s="68" t="s">
        <v>418</v>
      </c>
      <c r="Q206" s="227" t="s">
        <v>418</v>
      </c>
      <c r="R206" s="69" t="s">
        <v>418</v>
      </c>
      <c r="S206" s="69" t="s">
        <v>418</v>
      </c>
      <c r="T206" s="227" t="s">
        <v>418</v>
      </c>
      <c r="U206" s="86" t="s">
        <v>418</v>
      </c>
      <c r="V206" s="86" t="s">
        <v>418</v>
      </c>
    </row>
    <row r="207" spans="1:22" hidden="1">
      <c r="A207" s="239">
        <f t="shared" si="8"/>
        <v>202</v>
      </c>
      <c r="B207" s="256"/>
      <c r="C207" s="257"/>
      <c r="D207" s="262"/>
      <c r="E207" s="263"/>
      <c r="F207" s="263"/>
      <c r="G207" s="258"/>
      <c r="H207" s="258"/>
      <c r="I207" s="260">
        <f t="shared" si="7"/>
        <v>0</v>
      </c>
      <c r="N207" s="227" t="s">
        <v>418</v>
      </c>
      <c r="O207" s="227" t="s">
        <v>418</v>
      </c>
      <c r="P207" s="68" t="s">
        <v>418</v>
      </c>
      <c r="Q207" s="227" t="s">
        <v>418</v>
      </c>
      <c r="R207" s="69" t="s">
        <v>418</v>
      </c>
      <c r="S207" s="69" t="s">
        <v>418</v>
      </c>
      <c r="T207" s="227" t="s">
        <v>418</v>
      </c>
      <c r="U207" s="86" t="s">
        <v>418</v>
      </c>
      <c r="V207" s="86" t="s">
        <v>418</v>
      </c>
    </row>
    <row r="208" spans="1:22" hidden="1">
      <c r="A208" s="239">
        <f t="shared" si="8"/>
        <v>203</v>
      </c>
      <c r="B208" s="256"/>
      <c r="C208" s="257"/>
      <c r="D208" s="262"/>
      <c r="E208" s="263"/>
      <c r="F208" s="263"/>
      <c r="G208" s="258"/>
      <c r="H208" s="258"/>
      <c r="I208" s="260">
        <f t="shared" si="7"/>
        <v>0</v>
      </c>
      <c r="N208" s="227" t="s">
        <v>418</v>
      </c>
      <c r="O208" s="227" t="s">
        <v>418</v>
      </c>
      <c r="P208" s="68" t="s">
        <v>418</v>
      </c>
      <c r="Q208" s="227" t="s">
        <v>418</v>
      </c>
      <c r="R208" s="69" t="s">
        <v>418</v>
      </c>
      <c r="S208" s="69" t="s">
        <v>418</v>
      </c>
      <c r="T208" s="227" t="s">
        <v>418</v>
      </c>
      <c r="U208" s="86" t="s">
        <v>418</v>
      </c>
      <c r="V208" s="86" t="s">
        <v>418</v>
      </c>
    </row>
    <row r="209" spans="1:22" hidden="1">
      <c r="A209" s="239">
        <f t="shared" si="8"/>
        <v>204</v>
      </c>
      <c r="B209" s="256"/>
      <c r="C209" s="257"/>
      <c r="D209" s="262"/>
      <c r="E209" s="263"/>
      <c r="F209" s="263"/>
      <c r="G209" s="258"/>
      <c r="H209" s="258"/>
      <c r="I209" s="260">
        <f t="shared" si="7"/>
        <v>0</v>
      </c>
      <c r="N209" s="227" t="s">
        <v>418</v>
      </c>
      <c r="O209" s="227" t="s">
        <v>418</v>
      </c>
      <c r="P209" s="68" t="s">
        <v>418</v>
      </c>
      <c r="Q209" s="227" t="s">
        <v>418</v>
      </c>
      <c r="R209" s="69" t="s">
        <v>418</v>
      </c>
      <c r="S209" s="69" t="s">
        <v>418</v>
      </c>
      <c r="T209" s="227" t="s">
        <v>418</v>
      </c>
      <c r="U209" s="86" t="s">
        <v>418</v>
      </c>
      <c r="V209" s="86" t="s">
        <v>418</v>
      </c>
    </row>
    <row r="210" spans="1:22" hidden="1">
      <c r="A210" s="239">
        <f t="shared" si="8"/>
        <v>205</v>
      </c>
      <c r="B210" s="256"/>
      <c r="C210" s="257"/>
      <c r="D210" s="262"/>
      <c r="E210" s="263"/>
      <c r="F210" s="263"/>
      <c r="G210" s="258"/>
      <c r="H210" s="258"/>
      <c r="I210" s="260">
        <f t="shared" si="7"/>
        <v>0</v>
      </c>
      <c r="N210" s="227" t="s">
        <v>418</v>
      </c>
      <c r="O210" s="227" t="s">
        <v>418</v>
      </c>
      <c r="P210" s="68" t="s">
        <v>418</v>
      </c>
      <c r="Q210" s="227" t="s">
        <v>418</v>
      </c>
      <c r="R210" s="69" t="s">
        <v>418</v>
      </c>
      <c r="S210" s="69" t="s">
        <v>418</v>
      </c>
      <c r="T210" s="227" t="s">
        <v>418</v>
      </c>
      <c r="U210" s="86" t="s">
        <v>418</v>
      </c>
      <c r="V210" s="86" t="s">
        <v>418</v>
      </c>
    </row>
    <row r="211" spans="1:22" hidden="1">
      <c r="A211" s="239">
        <f t="shared" si="8"/>
        <v>206</v>
      </c>
      <c r="B211" s="256"/>
      <c r="C211" s="257"/>
      <c r="D211" s="262"/>
      <c r="E211" s="263"/>
      <c r="F211" s="263"/>
      <c r="G211" s="258"/>
      <c r="H211" s="258"/>
      <c r="I211" s="260">
        <f t="shared" si="7"/>
        <v>0</v>
      </c>
      <c r="N211" s="227" t="s">
        <v>418</v>
      </c>
      <c r="O211" s="227" t="s">
        <v>418</v>
      </c>
      <c r="P211" s="68" t="s">
        <v>418</v>
      </c>
      <c r="Q211" s="227" t="s">
        <v>418</v>
      </c>
      <c r="R211" s="69" t="s">
        <v>418</v>
      </c>
      <c r="S211" s="69" t="s">
        <v>418</v>
      </c>
      <c r="T211" s="227" t="s">
        <v>418</v>
      </c>
      <c r="U211" s="86" t="s">
        <v>418</v>
      </c>
      <c r="V211" s="86" t="s">
        <v>418</v>
      </c>
    </row>
    <row r="213" spans="1:22">
      <c r="D213" s="259" t="str">
        <f>IF(C213="","",VLOOKUP(C213,'RELACION VTAS - CHS'!F:H,3,FALSE))</f>
        <v/>
      </c>
      <c r="E213" s="259" t="str">
        <f>IF(C213="","",VLOOKUP(C213,'RELACION VTAS - CHS'!F:H,2,FALSE))</f>
        <v/>
      </c>
      <c r="G213" s="259" t="str">
        <f>IF(C213="","",VLOOKUP(C213,'RELACION VTAS - CHS'!F:V,16,FALSE))</f>
        <v/>
      </c>
      <c r="H213" s="259">
        <f>IF($C213="",0,VLOOKUP($C213,COBRANZA!$B$7:$H$201,7,FALSE))</f>
        <v>0</v>
      </c>
      <c r="N213" s="232" t="str">
        <f>IF($B213="","",E213)</f>
        <v/>
      </c>
      <c r="O213" s="232" t="str">
        <f>IF($B213="","",IF(B213="INGRESO",D213,C213))</f>
        <v/>
      </c>
      <c r="P213" s="74" t="str">
        <f>IF($B213="","",IF(B213="INGRESO",C213,D213))</f>
        <v/>
      </c>
      <c r="Q213" s="232" t="str">
        <f>IF($B213="","","EFECTIVO")</f>
        <v/>
      </c>
      <c r="R213" s="233" t="str">
        <f>IF($B213="","",H213)</f>
        <v/>
      </c>
      <c r="S213" s="233" t="str">
        <f>IF($B213="","",IF($B213="INGRESO",I213,-I213))</f>
        <v/>
      </c>
      <c r="T213" s="232" t="str">
        <f>IF($B213="","","CORO")</f>
        <v/>
      </c>
      <c r="U213" s="232" t="str">
        <f>IF($B213="","",CONCATENATE(O213,P213))</f>
        <v/>
      </c>
      <c r="V213" s="233" t="str">
        <f>IF($B213="","",F213)</f>
        <v/>
      </c>
    </row>
    <row r="214" spans="1:22">
      <c r="I214" s="259">
        <f>H214*G214</f>
        <v>0</v>
      </c>
    </row>
  </sheetData>
  <autoFilter ref="B5:I211">
    <filterColumn colId="1">
      <filters>
        <filter val="RAY"/>
      </filters>
    </filterColumn>
  </autoFilter>
  <conditionalFormatting sqref="D14 D16 D210:F210 D18 D127 D131:E131 D135 D147:F147 D164:F208 F158 D136:E137 D139">
    <cfRule type="expression" dxfId="1234" priority="13299">
      <formula>IF(#REF!="FICTICIO",1,0)</formula>
    </cfRule>
  </conditionalFormatting>
  <conditionalFormatting sqref="D14">
    <cfRule type="expression" dxfId="1233" priority="13355">
      <formula>IF(#REF!="FICTICIO",1,0)</formula>
    </cfRule>
  </conditionalFormatting>
  <conditionalFormatting sqref="D16 D18">
    <cfRule type="expression" dxfId="1232" priority="13383">
      <formula>IF(#REF!="FICTICIO",1,0)</formula>
    </cfRule>
  </conditionalFormatting>
  <conditionalFormatting sqref="D6">
    <cfRule type="expression" dxfId="1231" priority="3941">
      <formula>IF(#REF!="FICTICIO",1,0)</formula>
    </cfRule>
  </conditionalFormatting>
  <conditionalFormatting sqref="D6">
    <cfRule type="expression" dxfId="1230" priority="3942">
      <formula>IF(#REF!="FICTICIO",1,0)</formula>
    </cfRule>
  </conditionalFormatting>
  <conditionalFormatting sqref="D27 D29">
    <cfRule type="expression" dxfId="1229" priority="3888">
      <formula>IF(#REF!="FICTICIO",1,0)</formula>
    </cfRule>
  </conditionalFormatting>
  <conditionalFormatting sqref="D27 D29">
    <cfRule type="expression" dxfId="1228" priority="3889">
      <formula>IF(#REF!="FICTICIO",1,0)</formula>
    </cfRule>
  </conditionalFormatting>
  <conditionalFormatting sqref="D58">
    <cfRule type="expression" dxfId="1227" priority="3791">
      <formula>IF(#REF!="FICTICIO",1,0)</formula>
    </cfRule>
  </conditionalFormatting>
  <conditionalFormatting sqref="D58">
    <cfRule type="expression" dxfId="1226" priority="3792">
      <formula>IF(#REF!="FICTICIO",1,0)</formula>
    </cfRule>
  </conditionalFormatting>
  <conditionalFormatting sqref="D40">
    <cfRule type="expression" dxfId="1225" priority="3377">
      <formula>IF(#REF!="FICTICIO",1,0)</formula>
    </cfRule>
  </conditionalFormatting>
  <conditionalFormatting sqref="D40">
    <cfRule type="expression" dxfId="1224" priority="3378">
      <formula>IF(#REF!="FICTICIO",1,0)</formula>
    </cfRule>
  </conditionalFormatting>
  <conditionalFormatting sqref="D213:G213">
    <cfRule type="expression" dxfId="1223" priority="3172">
      <formula>IF(#REF!="FICTICIO",1,0)</formula>
    </cfRule>
  </conditionalFormatting>
  <conditionalFormatting sqref="I214">
    <cfRule type="expression" dxfId="1222" priority="3171">
      <formula>IF(#REF!="FICTICIO",1,0)</formula>
    </cfRule>
  </conditionalFormatting>
  <conditionalFormatting sqref="H213">
    <cfRule type="expression" dxfId="1221" priority="3170">
      <formula>IF(#REF!="FICTICIO",1,0)</formula>
    </cfRule>
  </conditionalFormatting>
  <conditionalFormatting sqref="E6">
    <cfRule type="expression" dxfId="1220" priority="3169">
      <formula>IF(#REF!="FICTICIO",1,0)</formula>
    </cfRule>
  </conditionalFormatting>
  <conditionalFormatting sqref="D18">
    <cfRule type="expression" dxfId="1219" priority="3140">
      <formula>IF(#REF!="FICTICIO",1,0)</formula>
    </cfRule>
  </conditionalFormatting>
  <conditionalFormatting sqref="D18">
    <cfRule type="expression" dxfId="1218" priority="3141">
      <formula>IF(#REF!="FICTICIO",1,0)</formula>
    </cfRule>
  </conditionalFormatting>
  <conditionalFormatting sqref="D21">
    <cfRule type="expression" dxfId="1217" priority="2883">
      <formula>IF(#REF!="FICTICIO",1,0)</formula>
    </cfRule>
  </conditionalFormatting>
  <conditionalFormatting sqref="D27">
    <cfRule type="expression" dxfId="1216" priority="2855">
      <formula>IF(#REF!="FICTICIO",1,0)</formula>
    </cfRule>
  </conditionalFormatting>
  <conditionalFormatting sqref="D27">
    <cfRule type="expression" dxfId="1215" priority="2856">
      <formula>IF(#REF!="FICTICIO",1,0)</formula>
    </cfRule>
  </conditionalFormatting>
  <conditionalFormatting sqref="D29">
    <cfRule type="expression" dxfId="1214" priority="2846">
      <formula>IF(#REF!="FICTICIO",1,0)</formula>
    </cfRule>
  </conditionalFormatting>
  <conditionalFormatting sqref="D29">
    <cfRule type="expression" dxfId="1213" priority="2847">
      <formula>IF(#REF!="FICTICIO",1,0)</formula>
    </cfRule>
  </conditionalFormatting>
  <conditionalFormatting sqref="D40">
    <cfRule type="expression" dxfId="1212" priority="2814">
      <formula>IF(#REF!="FICTICIO",1,0)</formula>
    </cfRule>
  </conditionalFormatting>
  <conditionalFormatting sqref="D40">
    <cfRule type="expression" dxfId="1211" priority="2815">
      <formula>IF(#REF!="FICTICIO",1,0)</formula>
    </cfRule>
  </conditionalFormatting>
  <conditionalFormatting sqref="D209:F209">
    <cfRule type="expression" dxfId="1210" priority="2805">
      <formula>IF(#REF!="FICTICIO",1,0)</formula>
    </cfRule>
  </conditionalFormatting>
  <conditionalFormatting sqref="F6">
    <cfRule type="expression" dxfId="1209" priority="2469">
      <formula>IF(#REF!="FICTICIO",1,0)</formula>
    </cfRule>
  </conditionalFormatting>
  <conditionalFormatting sqref="F18">
    <cfRule type="expression" dxfId="1208" priority="2432">
      <formula>IF(#REF!="FICTICIO",1,0)</formula>
    </cfRule>
  </conditionalFormatting>
  <conditionalFormatting sqref="F19">
    <cfRule type="expression" dxfId="1207" priority="2430">
      <formula>IF(#REF!="FICTICIO",1,0)</formula>
    </cfRule>
  </conditionalFormatting>
  <conditionalFormatting sqref="F19">
    <cfRule type="expression" dxfId="1206" priority="2431">
      <formula>IF(#REF!="FICTICIO",1,0)</formula>
    </cfRule>
  </conditionalFormatting>
  <conditionalFormatting sqref="D19">
    <cfRule type="expression" dxfId="1205" priority="2427">
      <formula>IF(#REF!="FICTICIO",1,0)</formula>
    </cfRule>
  </conditionalFormatting>
  <conditionalFormatting sqref="D19">
    <cfRule type="expression" dxfId="1204" priority="2428">
      <formula>IF(#REF!="FICTICIO",1,0)</formula>
    </cfRule>
  </conditionalFormatting>
  <conditionalFormatting sqref="D19">
    <cfRule type="expression" dxfId="1203" priority="2425">
      <formula>IF(#REF!="FICTICIO",1,0)</formula>
    </cfRule>
  </conditionalFormatting>
  <conditionalFormatting sqref="D19">
    <cfRule type="expression" dxfId="1202" priority="2426">
      <formula>IF(#REF!="FICTICIO",1,0)</formula>
    </cfRule>
  </conditionalFormatting>
  <conditionalFormatting sqref="F21">
    <cfRule type="expression" dxfId="1201" priority="2421">
      <formula>IF(#REF!="FICTICIO",1,0)</formula>
    </cfRule>
  </conditionalFormatting>
  <conditionalFormatting sqref="F27">
    <cfRule type="expression" dxfId="1200" priority="2397">
      <formula>IF(#REF!="FICTICIO",1,0)</formula>
    </cfRule>
  </conditionalFormatting>
  <conditionalFormatting sqref="F27">
    <cfRule type="expression" dxfId="1199" priority="2398">
      <formula>IF(#REF!="FICTICIO",1,0)</formula>
    </cfRule>
  </conditionalFormatting>
  <conditionalFormatting sqref="F29">
    <cfRule type="expression" dxfId="1198" priority="2389">
      <formula>IF(#REF!="FICTICIO",1,0)</formula>
    </cfRule>
  </conditionalFormatting>
  <conditionalFormatting sqref="F29">
    <cfRule type="expression" dxfId="1197" priority="2390">
      <formula>IF(#REF!="FICTICIO",1,0)</formula>
    </cfRule>
  </conditionalFormatting>
  <conditionalFormatting sqref="F35">
    <cfRule type="expression" dxfId="1196" priority="2368">
      <formula>IF(#REF!="FICTICIO",1,0)</formula>
    </cfRule>
  </conditionalFormatting>
  <conditionalFormatting sqref="F35">
    <cfRule type="expression" dxfId="1195" priority="2369">
      <formula>IF(#REF!="FICTICIO",1,0)</formula>
    </cfRule>
  </conditionalFormatting>
  <conditionalFormatting sqref="F54">
    <cfRule type="expression" dxfId="1194" priority="2291">
      <formula>IF(#REF!="FICTICIO",1,0)</formula>
    </cfRule>
  </conditionalFormatting>
  <conditionalFormatting sqref="F54">
    <cfRule type="expression" dxfId="1193" priority="2290">
      <formula>IF(#REF!="FICTICIO",1,0)</formula>
    </cfRule>
  </conditionalFormatting>
  <conditionalFormatting sqref="D54">
    <cfRule type="expression" dxfId="1192" priority="2288">
      <formula>IF(#REF!="FICTICIO",1,0)</formula>
    </cfRule>
  </conditionalFormatting>
  <conditionalFormatting sqref="D54">
    <cfRule type="expression" dxfId="1191" priority="2289">
      <formula>IF(#REF!="FICTICIO",1,0)</formula>
    </cfRule>
  </conditionalFormatting>
  <conditionalFormatting sqref="F56">
    <cfRule type="expression" dxfId="1190" priority="2281">
      <formula>IF(#REF!="FICTICIO",1,0)</formula>
    </cfRule>
  </conditionalFormatting>
  <conditionalFormatting sqref="F56">
    <cfRule type="expression" dxfId="1189" priority="2280">
      <formula>IF(#REF!="FICTICIO",1,0)</formula>
    </cfRule>
  </conditionalFormatting>
  <conditionalFormatting sqref="D56">
    <cfRule type="expression" dxfId="1188" priority="2278">
      <formula>IF(#REF!="FICTICIO",1,0)</formula>
    </cfRule>
  </conditionalFormatting>
  <conditionalFormatting sqref="D56">
    <cfRule type="expression" dxfId="1187" priority="2279">
      <formula>IF(#REF!="FICTICIO",1,0)</formula>
    </cfRule>
  </conditionalFormatting>
  <conditionalFormatting sqref="D64">
    <cfRule type="expression" dxfId="1186" priority="2267">
      <formula>IF(#REF!="FICTICIO",1,0)</formula>
    </cfRule>
  </conditionalFormatting>
  <conditionalFormatting sqref="D64">
    <cfRule type="expression" dxfId="1185" priority="2268">
      <formula>IF(#REF!="FICTICIO",1,0)</formula>
    </cfRule>
  </conditionalFormatting>
  <conditionalFormatting sqref="D64">
    <cfRule type="expression" dxfId="1184" priority="2258">
      <formula>IF(#REF!="FICTICIO",1,0)</formula>
    </cfRule>
  </conditionalFormatting>
  <conditionalFormatting sqref="D64">
    <cfRule type="expression" dxfId="1183" priority="2259">
      <formula>IF(#REF!="FICTICIO",1,0)</formula>
    </cfRule>
  </conditionalFormatting>
  <conditionalFormatting sqref="D120 F120">
    <cfRule type="expression" dxfId="1182" priority="2070">
      <formula>IF(#REF!="FICTICIO",1,0)</formula>
    </cfRule>
  </conditionalFormatting>
  <conditionalFormatting sqref="E131">
    <cfRule type="expression" dxfId="1181" priority="2050">
      <formula>IF(#REF!="FICTICIO",1,0)</formula>
    </cfRule>
  </conditionalFormatting>
  <conditionalFormatting sqref="E131">
    <cfRule type="expression" dxfId="1180" priority="2049">
      <formula>IF(#REF!="FICTICIO",1,0)</formula>
    </cfRule>
  </conditionalFormatting>
  <conditionalFormatting sqref="F127">
    <cfRule type="expression" dxfId="1179" priority="2047">
      <formula>IF(#REF!="FICTICIO",1,0)</formula>
    </cfRule>
  </conditionalFormatting>
  <conditionalFormatting sqref="F127">
    <cfRule type="expression" dxfId="1178" priority="2048">
      <formula>IF(#REF!="FICTICIO",1,0)</formula>
    </cfRule>
  </conditionalFormatting>
  <conditionalFormatting sqref="F129">
    <cfRule type="expression" dxfId="1177" priority="2032">
      <formula>IF(#REF!="FICTICIO",1,0)</formula>
    </cfRule>
  </conditionalFormatting>
  <conditionalFormatting sqref="F129">
    <cfRule type="expression" dxfId="1176" priority="2033">
      <formula>IF(#REF!="FICTICIO",1,0)</formula>
    </cfRule>
  </conditionalFormatting>
  <conditionalFormatting sqref="D129">
    <cfRule type="expression" dxfId="1175" priority="2028">
      <formula>IF(#REF!="FICTICIO",1,0)</formula>
    </cfRule>
  </conditionalFormatting>
  <conditionalFormatting sqref="D129">
    <cfRule type="expression" dxfId="1174" priority="2029">
      <formula>IF(#REF!="FICTICIO",1,0)</formula>
    </cfRule>
  </conditionalFormatting>
  <conditionalFormatting sqref="E129">
    <cfRule type="expression" dxfId="1173" priority="2027">
      <formula>IF(#REF!="FICTICIO",1,0)</formula>
    </cfRule>
  </conditionalFormatting>
  <conditionalFormatting sqref="E129">
    <cfRule type="expression" dxfId="1172" priority="2026">
      <formula>IF(#REF!="FICTICIO",1,0)</formula>
    </cfRule>
  </conditionalFormatting>
  <conditionalFormatting sqref="E129">
    <cfRule type="expression" dxfId="1171" priority="2025">
      <formula>IF(#REF!="FICTICIO",1,0)</formula>
    </cfRule>
  </conditionalFormatting>
  <conditionalFormatting sqref="E129">
    <cfRule type="expression" dxfId="1170" priority="2024">
      <formula>IF(#REF!="FICTICIO",1,0)</formula>
    </cfRule>
  </conditionalFormatting>
  <conditionalFormatting sqref="E129">
    <cfRule type="expression" dxfId="1169" priority="2022">
      <formula>IF(#REF!="FICTICIO",1,0)</formula>
    </cfRule>
  </conditionalFormatting>
  <conditionalFormatting sqref="E129">
    <cfRule type="expression" dxfId="1168" priority="2023">
      <formula>IF(#REF!="FICTICIO",1,0)</formula>
    </cfRule>
  </conditionalFormatting>
  <conditionalFormatting sqref="F130">
    <cfRule type="expression" dxfId="1167" priority="2015">
      <formula>IF(#REF!="FICTICIO",1,0)</formula>
    </cfRule>
  </conditionalFormatting>
  <conditionalFormatting sqref="F130">
    <cfRule type="expression" dxfId="1166" priority="2013">
      <formula>IF(#REF!="FICTICIO",1,0)</formula>
    </cfRule>
  </conditionalFormatting>
  <conditionalFormatting sqref="F130">
    <cfRule type="expression" dxfId="1165" priority="2014">
      <formula>IF(#REF!="FICTICIO",1,0)</formula>
    </cfRule>
  </conditionalFormatting>
  <conditionalFormatting sqref="D130">
    <cfRule type="expression" dxfId="1164" priority="2009">
      <formula>IF(#REF!="FICTICIO",1,0)</formula>
    </cfRule>
  </conditionalFormatting>
  <conditionalFormatting sqref="D130">
    <cfRule type="expression" dxfId="1163" priority="2010">
      <formula>IF(#REF!="FICTICIO",1,0)</formula>
    </cfRule>
  </conditionalFormatting>
  <conditionalFormatting sqref="E130">
    <cfRule type="expression" dxfId="1162" priority="2008">
      <formula>IF(#REF!="FICTICIO",1,0)</formula>
    </cfRule>
  </conditionalFormatting>
  <conditionalFormatting sqref="E130">
    <cfRule type="expression" dxfId="1161" priority="2007">
      <formula>IF(#REF!="FICTICIO",1,0)</formula>
    </cfRule>
  </conditionalFormatting>
  <conditionalFormatting sqref="E130">
    <cfRule type="expression" dxfId="1160" priority="2006">
      <formula>IF(#REF!="FICTICIO",1,0)</formula>
    </cfRule>
  </conditionalFormatting>
  <conditionalFormatting sqref="E130">
    <cfRule type="expression" dxfId="1159" priority="2005">
      <formula>IF(#REF!="FICTICIO",1,0)</formula>
    </cfRule>
  </conditionalFormatting>
  <conditionalFormatting sqref="E130">
    <cfRule type="expression" dxfId="1158" priority="2003">
      <formula>IF(#REF!="FICTICIO",1,0)</formula>
    </cfRule>
  </conditionalFormatting>
  <conditionalFormatting sqref="E130">
    <cfRule type="expression" dxfId="1157" priority="2004">
      <formula>IF(#REF!="FICTICIO",1,0)</formula>
    </cfRule>
  </conditionalFormatting>
  <conditionalFormatting sqref="F131">
    <cfRule type="expression" dxfId="1156" priority="2002">
      <formula>IF(#REF!="FICTICIO",1,0)</formula>
    </cfRule>
  </conditionalFormatting>
  <conditionalFormatting sqref="F131">
    <cfRule type="expression" dxfId="1155" priority="2000">
      <formula>IF(#REF!="FICTICIO",1,0)</formula>
    </cfRule>
  </conditionalFormatting>
  <conditionalFormatting sqref="F131">
    <cfRule type="expression" dxfId="1154" priority="2001">
      <formula>IF(#REF!="FICTICIO",1,0)</formula>
    </cfRule>
  </conditionalFormatting>
  <conditionalFormatting sqref="D133:E133">
    <cfRule type="expression" dxfId="1153" priority="1999">
      <formula>IF(#REF!="FICTICIO",1,0)</formula>
    </cfRule>
  </conditionalFormatting>
  <conditionalFormatting sqref="E133">
    <cfRule type="expression" dxfId="1152" priority="1998">
      <formula>IF(#REF!="FICTICIO",1,0)</formula>
    </cfRule>
  </conditionalFormatting>
  <conditionalFormatting sqref="E133">
    <cfRule type="expression" dxfId="1151" priority="1997">
      <formula>IF(#REF!="FICTICIO",1,0)</formula>
    </cfRule>
  </conditionalFormatting>
  <conditionalFormatting sqref="F133">
    <cfRule type="expression" dxfId="1150" priority="1985">
      <formula>IF(#REF!="FICTICIO",1,0)</formula>
    </cfRule>
  </conditionalFormatting>
  <conditionalFormatting sqref="F133">
    <cfRule type="expression" dxfId="1149" priority="1983">
      <formula>IF(#REF!="FICTICIO",1,0)</formula>
    </cfRule>
  </conditionalFormatting>
  <conditionalFormatting sqref="F133">
    <cfRule type="expression" dxfId="1148" priority="1984">
      <formula>IF(#REF!="FICTICIO",1,0)</formula>
    </cfRule>
  </conditionalFormatting>
  <conditionalFormatting sqref="F135">
    <cfRule type="expression" dxfId="1147" priority="1971">
      <formula>IF(#REF!="FICTICIO",1,0)</formula>
    </cfRule>
  </conditionalFormatting>
  <conditionalFormatting sqref="F135">
    <cfRule type="expression" dxfId="1146" priority="1969">
      <formula>IF(#REF!="FICTICIO",1,0)</formula>
    </cfRule>
  </conditionalFormatting>
  <conditionalFormatting sqref="F135">
    <cfRule type="expression" dxfId="1145" priority="1970">
      <formula>IF(#REF!="FICTICIO",1,0)</formula>
    </cfRule>
  </conditionalFormatting>
  <conditionalFormatting sqref="E135">
    <cfRule type="expression" dxfId="1144" priority="1968">
      <formula>IF(#REF!="FICTICIO",1,0)</formula>
    </cfRule>
  </conditionalFormatting>
  <conditionalFormatting sqref="E135">
    <cfRule type="expression" dxfId="1143" priority="1967">
      <formula>IF(#REF!="FICTICIO",1,0)</formula>
    </cfRule>
  </conditionalFormatting>
  <conditionalFormatting sqref="E135">
    <cfRule type="expression" dxfId="1142" priority="1966">
      <formula>IF(#REF!="FICTICIO",1,0)</formula>
    </cfRule>
  </conditionalFormatting>
  <conditionalFormatting sqref="E135">
    <cfRule type="expression" dxfId="1141" priority="1965">
      <formula>IF(#REF!="FICTICIO",1,0)</formula>
    </cfRule>
  </conditionalFormatting>
  <conditionalFormatting sqref="E135">
    <cfRule type="expression" dxfId="1140" priority="1963">
      <formula>IF(#REF!="FICTICIO",1,0)</formula>
    </cfRule>
  </conditionalFormatting>
  <conditionalFormatting sqref="E135">
    <cfRule type="expression" dxfId="1139" priority="1964">
      <formula>IF(#REF!="FICTICIO",1,0)</formula>
    </cfRule>
  </conditionalFormatting>
  <conditionalFormatting sqref="D138:E138">
    <cfRule type="expression" dxfId="1138" priority="1962">
      <formula>IF(#REF!="FICTICIO",1,0)</formula>
    </cfRule>
  </conditionalFormatting>
  <conditionalFormatting sqref="D158">
    <cfRule type="expression" dxfId="1137" priority="1913">
      <formula>IF(#REF!="FICTICIO",1,0)</formula>
    </cfRule>
  </conditionalFormatting>
  <conditionalFormatting sqref="D35">
    <cfRule type="expression" dxfId="1136" priority="1899">
      <formula>IF(#REF!="FICTICIO",1,0)</formula>
    </cfRule>
  </conditionalFormatting>
  <conditionalFormatting sqref="D35">
    <cfRule type="expression" dxfId="1135" priority="1900">
      <formula>IF(#REF!="FICTICIO",1,0)</formula>
    </cfRule>
  </conditionalFormatting>
  <conditionalFormatting sqref="D37">
    <cfRule type="expression" dxfId="1134" priority="1896">
      <formula>IF(#REF!="FICTICIO",1,0)</formula>
    </cfRule>
  </conditionalFormatting>
  <conditionalFormatting sqref="D37">
    <cfRule type="expression" dxfId="1133" priority="1897">
      <formula>IF(#REF!="FICTICIO",1,0)</formula>
    </cfRule>
  </conditionalFormatting>
  <conditionalFormatting sqref="D37">
    <cfRule type="expression" dxfId="1132" priority="1894">
      <formula>IF(#REF!="FICTICIO",1,0)</formula>
    </cfRule>
  </conditionalFormatting>
  <conditionalFormatting sqref="D37">
    <cfRule type="expression" dxfId="1131" priority="1895">
      <formula>IF(#REF!="FICTICIO",1,0)</formula>
    </cfRule>
  </conditionalFormatting>
  <conditionalFormatting sqref="D39">
    <cfRule type="expression" dxfId="1130" priority="1890">
      <formula>IF(#REF!="FICTICIO",1,0)</formula>
    </cfRule>
  </conditionalFormatting>
  <conditionalFormatting sqref="D39">
    <cfRule type="expression" dxfId="1129" priority="1891">
      <formula>IF(#REF!="FICTICIO",1,0)</formula>
    </cfRule>
  </conditionalFormatting>
  <conditionalFormatting sqref="E37">
    <cfRule type="expression" dxfId="1128" priority="1848">
      <formula>IF(#REF!="FICTICIO",1,0)</formula>
    </cfRule>
  </conditionalFormatting>
  <conditionalFormatting sqref="E56 E58">
    <cfRule type="expression" dxfId="1127" priority="1819">
      <formula>IF(#REF!="FICTICIO",1,0)</formula>
    </cfRule>
  </conditionalFormatting>
  <conditionalFormatting sqref="E56 E58:G58">
    <cfRule type="expression" dxfId="1126" priority="1818">
      <formula>IF(#REF!="FICTICIO",1,0)</formula>
    </cfRule>
  </conditionalFormatting>
  <conditionalFormatting sqref="D60">
    <cfRule type="expression" dxfId="1125" priority="1808">
      <formula>IF(#REF!="FICTICIO",1,0)</formula>
    </cfRule>
  </conditionalFormatting>
  <conditionalFormatting sqref="D60">
    <cfRule type="expression" dxfId="1124" priority="1809">
      <formula>IF(#REF!="FICTICIO",1,0)</formula>
    </cfRule>
  </conditionalFormatting>
  <conditionalFormatting sqref="D66">
    <cfRule type="expression" dxfId="1123" priority="1790">
      <formula>IF(#REF!="FICTICIO",1,0)</formula>
    </cfRule>
  </conditionalFormatting>
  <conditionalFormatting sqref="D66">
    <cfRule type="expression" dxfId="1122" priority="1791">
      <formula>IF(#REF!="FICTICIO",1,0)</formula>
    </cfRule>
  </conditionalFormatting>
  <conditionalFormatting sqref="D66">
    <cfRule type="expression" dxfId="1121" priority="1788">
      <formula>IF(#REF!="FICTICIO",1,0)</formula>
    </cfRule>
  </conditionalFormatting>
  <conditionalFormatting sqref="D66">
    <cfRule type="expression" dxfId="1120" priority="1789">
      <formula>IF(#REF!="FICTICIO",1,0)</formula>
    </cfRule>
  </conditionalFormatting>
  <conditionalFormatting sqref="F68">
    <cfRule type="expression" dxfId="1119" priority="1780">
      <formula>IF(#REF!="FICTICIO",1,0)</formula>
    </cfRule>
  </conditionalFormatting>
  <conditionalFormatting sqref="F68">
    <cfRule type="expression" dxfId="1118" priority="1779">
      <formula>IF(#REF!="FICTICIO",1,0)</formula>
    </cfRule>
  </conditionalFormatting>
  <conditionalFormatting sqref="D68">
    <cfRule type="expression" dxfId="1117" priority="1777">
      <formula>IF(#REF!="FICTICIO",1,0)</formula>
    </cfRule>
  </conditionalFormatting>
  <conditionalFormatting sqref="D68">
    <cfRule type="expression" dxfId="1116" priority="1778">
      <formula>IF(#REF!="FICTICIO",1,0)</formula>
    </cfRule>
  </conditionalFormatting>
  <conditionalFormatting sqref="E94 E96 E100:E101">
    <cfRule type="expression" dxfId="1115" priority="1664">
      <formula>IF(#REF!="FICTICIO",1,0)</formula>
    </cfRule>
  </conditionalFormatting>
  <conditionalFormatting sqref="E94 E96 E100:E101">
    <cfRule type="expression" dxfId="1114" priority="1663">
      <formula>IF(#REF!="FICTICIO",1,0)</formula>
    </cfRule>
  </conditionalFormatting>
  <conditionalFormatting sqref="E94 E96 E100:E101">
    <cfRule type="expression" dxfId="1113" priority="1649">
      <formula>IF(#REF!="FICTICIO",1,0)</formula>
    </cfRule>
  </conditionalFormatting>
  <conditionalFormatting sqref="E94 E96 E100:E101">
    <cfRule type="expression" dxfId="1112" priority="1648">
      <formula>IF(#REF!="FICTICIO",1,0)</formula>
    </cfRule>
  </conditionalFormatting>
  <conditionalFormatting sqref="E94 E96 E100:E101">
    <cfRule type="expression" dxfId="1111" priority="1644">
      <formula>IF(#REF!="FICTICIO",1,0)</formula>
    </cfRule>
  </conditionalFormatting>
  <conditionalFormatting sqref="E94 E96 E100:E101">
    <cfRule type="expression" dxfId="1110" priority="1645">
      <formula>IF(#REF!="FICTICIO",1,0)</formula>
    </cfRule>
  </conditionalFormatting>
  <conditionalFormatting sqref="E96 E100:E101">
    <cfRule type="expression" dxfId="1109" priority="1640">
      <formula>IF(#REF!="FICTICIO",1,0)</formula>
    </cfRule>
  </conditionalFormatting>
  <conditionalFormatting sqref="E96 E100:E101">
    <cfRule type="expression" dxfId="1108" priority="1639">
      <formula>IF(#REF!="FICTICIO",1,0)</formula>
    </cfRule>
  </conditionalFormatting>
  <conditionalFormatting sqref="E96 E100:E101">
    <cfRule type="expression" dxfId="1107" priority="1635">
      <formula>IF(#REF!="FICTICIO",1,0)</formula>
    </cfRule>
  </conditionalFormatting>
  <conditionalFormatting sqref="E96 E100:E101">
    <cfRule type="expression" dxfId="1106" priority="1636">
      <formula>IF(#REF!="FICTICIO",1,0)</formula>
    </cfRule>
  </conditionalFormatting>
  <conditionalFormatting sqref="E100:E101">
    <cfRule type="expression" dxfId="1105" priority="1614">
      <formula>IF(#REF!="FICTICIO",1,0)</formula>
    </cfRule>
  </conditionalFormatting>
  <conditionalFormatting sqref="E100:E101">
    <cfRule type="expression" dxfId="1104" priority="1613">
      <formula>IF(#REF!="FICTICIO",1,0)</formula>
    </cfRule>
  </conditionalFormatting>
  <conditionalFormatting sqref="E100:E101">
    <cfRule type="expression" dxfId="1103" priority="1611">
      <formula>IF(#REF!="FICTICIO",1,0)</formula>
    </cfRule>
  </conditionalFormatting>
  <conditionalFormatting sqref="E100:E101">
    <cfRule type="expression" dxfId="1102" priority="1612">
      <formula>IF(#REF!="FICTICIO",1,0)</formula>
    </cfRule>
  </conditionalFormatting>
  <conditionalFormatting sqref="D100:E100">
    <cfRule type="expression" dxfId="1101" priority="1604">
      <formula>IF(#REF!="FICTICIO",1,0)</formula>
    </cfRule>
  </conditionalFormatting>
  <conditionalFormatting sqref="F100">
    <cfRule type="expression" dxfId="1100" priority="1603">
      <formula>IF(#REF!="FICTICIO",1,0)</formula>
    </cfRule>
  </conditionalFormatting>
  <conditionalFormatting sqref="D116">
    <cfRule type="expression" dxfId="1099" priority="1541">
      <formula>IF(#REF!="FICTICIO",1,0)</formula>
    </cfRule>
  </conditionalFormatting>
  <conditionalFormatting sqref="D116">
    <cfRule type="expression" dxfId="1098" priority="1542">
      <formula>IF(#REF!="FICTICIO",1,0)</formula>
    </cfRule>
  </conditionalFormatting>
  <conditionalFormatting sqref="E116:E117">
    <cfRule type="expression" dxfId="1097" priority="1540">
      <formula>IF(#REF!="FICTICIO",1,0)</formula>
    </cfRule>
  </conditionalFormatting>
  <conditionalFormatting sqref="E116:E117">
    <cfRule type="expression" dxfId="1096" priority="1539">
      <formula>IF(#REF!="FICTICIO",1,0)</formula>
    </cfRule>
  </conditionalFormatting>
  <conditionalFormatting sqref="E116:E117">
    <cfRule type="expression" dxfId="1095" priority="1538">
      <formula>IF(#REF!="FICTICIO",1,0)</formula>
    </cfRule>
  </conditionalFormatting>
  <conditionalFormatting sqref="D117">
    <cfRule type="expression" dxfId="1094" priority="1531">
      <formula>IF(#REF!="FICTICIO",1,0)</formula>
    </cfRule>
  </conditionalFormatting>
  <conditionalFormatting sqref="D117">
    <cfRule type="expression" dxfId="1093" priority="1532">
      <formula>IF(#REF!="FICTICIO",1,0)</formula>
    </cfRule>
  </conditionalFormatting>
  <conditionalFormatting sqref="D117">
    <cfRule type="expression" dxfId="1092" priority="1529">
      <formula>IF(#REF!="FICTICIO",1,0)</formula>
    </cfRule>
  </conditionalFormatting>
  <conditionalFormatting sqref="D117">
    <cfRule type="expression" dxfId="1091" priority="1530">
      <formula>IF(#REF!="FICTICIO",1,0)</formula>
    </cfRule>
  </conditionalFormatting>
  <conditionalFormatting sqref="E117">
    <cfRule type="expression" dxfId="1090" priority="1528">
      <formula>IF(#REF!="FICTICIO",1,0)</formula>
    </cfRule>
  </conditionalFormatting>
  <conditionalFormatting sqref="E117">
    <cfRule type="expression" dxfId="1089" priority="1527">
      <formula>IF(#REF!="FICTICIO",1,0)</formula>
    </cfRule>
  </conditionalFormatting>
  <conditionalFormatting sqref="E124">
    <cfRule type="expression" dxfId="1088" priority="1514">
      <formula>IF(#REF!="FICTICIO",1,0)</formula>
    </cfRule>
  </conditionalFormatting>
  <conditionalFormatting sqref="E124">
    <cfRule type="expression" dxfId="1087" priority="1513">
      <formula>IF(#REF!="FICTICIO",1,0)</formula>
    </cfRule>
  </conditionalFormatting>
  <conditionalFormatting sqref="E124">
    <cfRule type="expression" dxfId="1086" priority="1512">
      <formula>IF(#REF!="FICTICIO",1,0)</formula>
    </cfRule>
  </conditionalFormatting>
  <conditionalFormatting sqref="E124">
    <cfRule type="expression" dxfId="1085" priority="1511">
      <formula>IF(#REF!="FICTICIO",1,0)</formula>
    </cfRule>
  </conditionalFormatting>
  <conditionalFormatting sqref="E124">
    <cfRule type="expression" dxfId="1084" priority="1510">
      <formula>IF(#REF!="FICTICIO",1,0)</formula>
    </cfRule>
  </conditionalFormatting>
  <conditionalFormatting sqref="E124">
    <cfRule type="expression" dxfId="1083" priority="1505">
      <formula>IF(#REF!="FICTICIO",1,0)</formula>
    </cfRule>
  </conditionalFormatting>
  <conditionalFormatting sqref="E124">
    <cfRule type="expression" dxfId="1082" priority="1504">
      <formula>IF(#REF!="FICTICIO",1,0)</formula>
    </cfRule>
  </conditionalFormatting>
  <conditionalFormatting sqref="D124 F124">
    <cfRule type="expression" dxfId="1081" priority="1503">
      <formula>IF(#REF!="FICTICIO",1,0)</formula>
    </cfRule>
  </conditionalFormatting>
  <conditionalFormatting sqref="E124">
    <cfRule type="expression" dxfId="1080" priority="1502">
      <formula>IF(#REF!="FICTICIO",1,0)</formula>
    </cfRule>
  </conditionalFormatting>
  <conditionalFormatting sqref="E124">
    <cfRule type="expression" dxfId="1079" priority="1501">
      <formula>IF(#REF!="FICTICIO",1,0)</formula>
    </cfRule>
  </conditionalFormatting>
  <conditionalFormatting sqref="E124">
    <cfRule type="expression" dxfId="1078" priority="1500">
      <formula>IF(#REF!="FICTICIO",1,0)</formula>
    </cfRule>
  </conditionalFormatting>
  <conditionalFormatting sqref="E124">
    <cfRule type="expression" dxfId="1077" priority="1499">
      <formula>IF(#REF!="FICTICIO",1,0)</formula>
    </cfRule>
  </conditionalFormatting>
  <conditionalFormatting sqref="E124">
    <cfRule type="expression" dxfId="1076" priority="1498">
      <formula>IF(#REF!="FICTICIO",1,0)</formula>
    </cfRule>
  </conditionalFormatting>
  <conditionalFormatting sqref="E124">
    <cfRule type="expression" dxfId="1075" priority="1497">
      <formula>IF(#REF!="FICTICIO",1,0)</formula>
    </cfRule>
  </conditionalFormatting>
  <conditionalFormatting sqref="E124">
    <cfRule type="expression" dxfId="1074" priority="1496">
      <formula>IF(#REF!="FICTICIO",1,0)</formula>
    </cfRule>
  </conditionalFormatting>
  <conditionalFormatting sqref="D126">
    <cfRule type="expression" dxfId="1073" priority="1495">
      <formula>IF(#REF!="FICTICIO",1,0)</formula>
    </cfRule>
  </conditionalFormatting>
  <conditionalFormatting sqref="E126">
    <cfRule type="expression" dxfId="1072" priority="1494">
      <formula>IF(#REF!="FICTICIO",1,0)</formula>
    </cfRule>
  </conditionalFormatting>
  <conditionalFormatting sqref="E126">
    <cfRule type="expression" dxfId="1071" priority="1493">
      <formula>IF(#REF!="FICTICIO",1,0)</formula>
    </cfRule>
  </conditionalFormatting>
  <conditionalFormatting sqref="F126">
    <cfRule type="expression" dxfId="1070" priority="1491">
      <formula>IF(#REF!="FICTICIO",1,0)</formula>
    </cfRule>
  </conditionalFormatting>
  <conditionalFormatting sqref="F126">
    <cfRule type="expression" dxfId="1069" priority="1492">
      <formula>IF(#REF!="FICTICIO",1,0)</formula>
    </cfRule>
  </conditionalFormatting>
  <conditionalFormatting sqref="E126">
    <cfRule type="expression" dxfId="1068" priority="1490">
      <formula>IF(#REF!="FICTICIO",1,0)</formula>
    </cfRule>
  </conditionalFormatting>
  <conditionalFormatting sqref="E126">
    <cfRule type="expression" dxfId="1067" priority="1489">
      <formula>IF(#REF!="FICTICIO",1,0)</formula>
    </cfRule>
  </conditionalFormatting>
  <conditionalFormatting sqref="E126">
    <cfRule type="expression" dxfId="1066" priority="1488">
      <formula>IF(#REF!="FICTICIO",1,0)</formula>
    </cfRule>
  </conditionalFormatting>
  <conditionalFormatting sqref="E126">
    <cfRule type="expression" dxfId="1065" priority="1487">
      <formula>IF(#REF!="FICTICIO",1,0)</formula>
    </cfRule>
  </conditionalFormatting>
  <conditionalFormatting sqref="E126">
    <cfRule type="expression" dxfId="1064" priority="1486">
      <formula>IF(#REF!="FICTICIO",1,0)</formula>
    </cfRule>
  </conditionalFormatting>
  <conditionalFormatting sqref="E127">
    <cfRule type="expression" dxfId="1063" priority="1485">
      <formula>IF(#REF!="FICTICIO",1,0)</formula>
    </cfRule>
  </conditionalFormatting>
  <conditionalFormatting sqref="E127">
    <cfRule type="expression" dxfId="1062" priority="1484">
      <formula>IF(#REF!="FICTICIO",1,0)</formula>
    </cfRule>
  </conditionalFormatting>
  <conditionalFormatting sqref="E127">
    <cfRule type="expression" dxfId="1061" priority="1483">
      <formula>IF(#REF!="FICTICIO",1,0)</formula>
    </cfRule>
  </conditionalFormatting>
  <conditionalFormatting sqref="E127">
    <cfRule type="expression" dxfId="1060" priority="1482">
      <formula>IF(#REF!="FICTICIO",1,0)</formula>
    </cfRule>
  </conditionalFormatting>
  <conditionalFormatting sqref="E127">
    <cfRule type="expression" dxfId="1059" priority="1481">
      <formula>IF(#REF!="FICTICIO",1,0)</formula>
    </cfRule>
  </conditionalFormatting>
  <conditionalFormatting sqref="E127">
    <cfRule type="expression" dxfId="1058" priority="1480">
      <formula>IF(#REF!="FICTICIO",1,0)</formula>
    </cfRule>
  </conditionalFormatting>
  <conditionalFormatting sqref="E127">
    <cfRule type="expression" dxfId="1057" priority="1479">
      <formula>IF(#REF!="FICTICIO",1,0)</formula>
    </cfRule>
  </conditionalFormatting>
  <conditionalFormatting sqref="F128">
    <cfRule type="expression" dxfId="1056" priority="1477">
      <formula>IF(#REF!="FICTICIO",1,0)</formula>
    </cfRule>
  </conditionalFormatting>
  <conditionalFormatting sqref="F128">
    <cfRule type="expression" dxfId="1055" priority="1478">
      <formula>IF(#REF!="FICTICIO",1,0)</formula>
    </cfRule>
  </conditionalFormatting>
  <conditionalFormatting sqref="D128">
    <cfRule type="expression" dxfId="1054" priority="1475">
      <formula>IF(#REF!="FICTICIO",1,0)</formula>
    </cfRule>
  </conditionalFormatting>
  <conditionalFormatting sqref="D128">
    <cfRule type="expression" dxfId="1053" priority="1476">
      <formula>IF(#REF!="FICTICIO",1,0)</formula>
    </cfRule>
  </conditionalFormatting>
  <conditionalFormatting sqref="E128">
    <cfRule type="expression" dxfId="1052" priority="1474">
      <formula>IF(#REF!="FICTICIO",1,0)</formula>
    </cfRule>
  </conditionalFormatting>
  <conditionalFormatting sqref="E128">
    <cfRule type="expression" dxfId="1051" priority="1473">
      <formula>IF(#REF!="FICTICIO",1,0)</formula>
    </cfRule>
  </conditionalFormatting>
  <conditionalFormatting sqref="E128">
    <cfRule type="expression" dxfId="1050" priority="1472">
      <formula>IF(#REF!="FICTICIO",1,0)</formula>
    </cfRule>
  </conditionalFormatting>
  <conditionalFormatting sqref="E128">
    <cfRule type="expression" dxfId="1049" priority="1471">
      <formula>IF(#REF!="FICTICIO",1,0)</formula>
    </cfRule>
  </conditionalFormatting>
  <conditionalFormatting sqref="E128">
    <cfRule type="expression" dxfId="1048" priority="1469">
      <formula>IF(#REF!="FICTICIO",1,0)</formula>
    </cfRule>
  </conditionalFormatting>
  <conditionalFormatting sqref="E128">
    <cfRule type="expression" dxfId="1047" priority="1470">
      <formula>IF(#REF!="FICTICIO",1,0)</formula>
    </cfRule>
  </conditionalFormatting>
  <conditionalFormatting sqref="D211:F211">
    <cfRule type="expression" dxfId="1046" priority="1468">
      <formula>IF(#REF!="FICTICIO",1,0)</formula>
    </cfRule>
  </conditionalFormatting>
  <conditionalFormatting sqref="D9">
    <cfRule type="expression" dxfId="1045" priority="1466">
      <formula>IF(#REF!="FICTICIO",1,0)</formula>
    </cfRule>
  </conditionalFormatting>
  <conditionalFormatting sqref="D9">
    <cfRule type="expression" dxfId="1044" priority="1467">
      <formula>IF(#REF!="FICTICIO",1,0)</formula>
    </cfRule>
  </conditionalFormatting>
  <conditionalFormatting sqref="D11">
    <cfRule type="expression" dxfId="1043" priority="1460">
      <formula>IF(#REF!="FICTICIO",1,0)</formula>
    </cfRule>
  </conditionalFormatting>
  <conditionalFormatting sqref="D11">
    <cfRule type="expression" dxfId="1042" priority="1461">
      <formula>IF(#REF!="FICTICIO",1,0)</formula>
    </cfRule>
  </conditionalFormatting>
  <conditionalFormatting sqref="E11">
    <cfRule type="expression" dxfId="1041" priority="1459">
      <formula>IF(#REF!="FICTICIO",1,0)</formula>
    </cfRule>
  </conditionalFormatting>
  <conditionalFormatting sqref="D17:D21">
    <cfRule type="expression" dxfId="1040" priority="1445">
      <formula>IF(#REF!="FICTICIO",1,0)</formula>
    </cfRule>
  </conditionalFormatting>
  <conditionalFormatting sqref="D17:D21">
    <cfRule type="expression" dxfId="1039" priority="1446">
      <formula>IF(#REF!="FICTICIO",1,0)</formula>
    </cfRule>
  </conditionalFormatting>
  <conditionalFormatting sqref="D17:D21">
    <cfRule type="expression" dxfId="1038" priority="1443">
      <formula>IF(#REF!="FICTICIO",1,0)</formula>
    </cfRule>
  </conditionalFormatting>
  <conditionalFormatting sqref="D17:D21">
    <cfRule type="expression" dxfId="1037" priority="1444">
      <formula>IF(#REF!="FICTICIO",1,0)</formula>
    </cfRule>
  </conditionalFormatting>
  <conditionalFormatting sqref="F17">
    <cfRule type="expression" dxfId="1036" priority="1441">
      <formula>IF(#REF!="FICTICIO",1,0)</formula>
    </cfRule>
  </conditionalFormatting>
  <conditionalFormatting sqref="D20">
    <cfRule type="expression" dxfId="1035" priority="1439">
      <formula>IF(#REF!="FICTICIO",1,0)</formula>
    </cfRule>
  </conditionalFormatting>
  <conditionalFormatting sqref="F20">
    <cfRule type="expression" dxfId="1034" priority="1437">
      <formula>IF(#REF!="FICTICIO",1,0)</formula>
    </cfRule>
  </conditionalFormatting>
  <conditionalFormatting sqref="D31">
    <cfRule type="expression" dxfId="1033" priority="1426">
      <formula>IF(#REF!="FICTICIO",1,0)</formula>
    </cfRule>
  </conditionalFormatting>
  <conditionalFormatting sqref="F31">
    <cfRule type="expression" dxfId="1032" priority="1423">
      <formula>IF(#REF!="FICTICIO",1,0)</formula>
    </cfRule>
  </conditionalFormatting>
  <conditionalFormatting sqref="F31">
    <cfRule type="expression" dxfId="1031" priority="1424">
      <formula>IF(#REF!="FICTICIO",1,0)</formula>
    </cfRule>
  </conditionalFormatting>
  <conditionalFormatting sqref="F33">
    <cfRule type="expression" dxfId="1030" priority="1419">
      <formula>IF(#REF!="FICTICIO",1,0)</formula>
    </cfRule>
  </conditionalFormatting>
  <conditionalFormatting sqref="F33">
    <cfRule type="expression" dxfId="1029" priority="1420">
      <formula>IF(#REF!="FICTICIO",1,0)</formula>
    </cfRule>
  </conditionalFormatting>
  <conditionalFormatting sqref="D33">
    <cfRule type="expression" dxfId="1028" priority="1417">
      <formula>IF(#REF!="FICTICIO",1,0)</formula>
    </cfRule>
  </conditionalFormatting>
  <conditionalFormatting sqref="D33">
    <cfRule type="expression" dxfId="1027" priority="1418">
      <formula>IF(#REF!="FICTICIO",1,0)</formula>
    </cfRule>
  </conditionalFormatting>
  <conditionalFormatting sqref="E35:E37">
    <cfRule type="expression" dxfId="1026" priority="1411">
      <formula>IF(#REF!="FICTICIO",1,0)</formula>
    </cfRule>
  </conditionalFormatting>
  <conditionalFormatting sqref="F37">
    <cfRule type="expression" dxfId="1025" priority="1402">
      <formula>IF(#REF!="FICTICIO",1,0)</formula>
    </cfRule>
  </conditionalFormatting>
  <conditionalFormatting sqref="F37">
    <cfRule type="expression" dxfId="1024" priority="1400">
      <formula>IF(#REF!="FICTICIO",1,0)</formula>
    </cfRule>
  </conditionalFormatting>
  <conditionalFormatting sqref="F37">
    <cfRule type="expression" dxfId="1023" priority="1401">
      <formula>IF(#REF!="FICTICIO",1,0)</formula>
    </cfRule>
  </conditionalFormatting>
  <conditionalFormatting sqref="E39">
    <cfRule type="expression" dxfId="1022" priority="1396">
      <formula>IF(#REF!="FICTICIO",1,0)</formula>
    </cfRule>
  </conditionalFormatting>
  <conditionalFormatting sqref="F39">
    <cfRule type="expression" dxfId="1021" priority="1395">
      <formula>IF(#REF!="FICTICIO",1,0)</formula>
    </cfRule>
  </conditionalFormatting>
  <conditionalFormatting sqref="F39">
    <cfRule type="expression" dxfId="1020" priority="1393">
      <formula>IF(#REF!="FICTICIO",1,0)</formula>
    </cfRule>
  </conditionalFormatting>
  <conditionalFormatting sqref="F39">
    <cfRule type="expression" dxfId="1019" priority="1394">
      <formula>IF(#REF!="FICTICIO",1,0)</formula>
    </cfRule>
  </conditionalFormatting>
  <conditionalFormatting sqref="E40:E47">
    <cfRule type="expression" dxfId="1018" priority="1392">
      <formula>IF(#REF!="FICTICIO",1,0)</formula>
    </cfRule>
  </conditionalFormatting>
  <conditionalFormatting sqref="D48 D51">
    <cfRule type="expression" dxfId="1017" priority="1347">
      <formula>IF(#REF!="FICTICIO",1,0)</formula>
    </cfRule>
  </conditionalFormatting>
  <conditionalFormatting sqref="D48 D51">
    <cfRule type="expression" dxfId="1016" priority="1348">
      <formula>IF(#REF!="FICTICIO",1,0)</formula>
    </cfRule>
  </conditionalFormatting>
  <conditionalFormatting sqref="E51">
    <cfRule type="expression" dxfId="1015" priority="1346">
      <formula>IF(#REF!="FICTICIO",1,0)</formula>
    </cfRule>
  </conditionalFormatting>
  <conditionalFormatting sqref="E51">
    <cfRule type="expression" dxfId="1014" priority="1345">
      <formula>IF(#REF!="FICTICIO",1,0)</formula>
    </cfRule>
  </conditionalFormatting>
  <conditionalFormatting sqref="D48">
    <cfRule type="expression" dxfId="1013" priority="1343">
      <formula>IF(#REF!="FICTICIO",1,0)</formula>
    </cfRule>
  </conditionalFormatting>
  <conditionalFormatting sqref="D48">
    <cfRule type="expression" dxfId="1012" priority="1344">
      <formula>IF(#REF!="FICTICIO",1,0)</formula>
    </cfRule>
  </conditionalFormatting>
  <conditionalFormatting sqref="D51">
    <cfRule type="expression" dxfId="1011" priority="1318">
      <formula>IF(#REF!="FICTICIO",1,0)</formula>
    </cfRule>
  </conditionalFormatting>
  <conditionalFormatting sqref="D51">
    <cfRule type="expression" dxfId="1010" priority="1319">
      <formula>IF(#REF!="FICTICIO",1,0)</formula>
    </cfRule>
  </conditionalFormatting>
  <conditionalFormatting sqref="E51">
    <cfRule type="expression" dxfId="1009" priority="1317">
      <formula>IF(#REF!="FICTICIO",1,0)</formula>
    </cfRule>
  </conditionalFormatting>
  <conditionalFormatting sqref="F51">
    <cfRule type="expression" dxfId="1008" priority="1315">
      <formula>IF(#REF!="FICTICIO",1,0)</formula>
    </cfRule>
  </conditionalFormatting>
  <conditionalFormatting sqref="F51">
    <cfRule type="expression" dxfId="1007" priority="1316">
      <formula>IF(#REF!="FICTICIO",1,0)</formula>
    </cfRule>
  </conditionalFormatting>
  <conditionalFormatting sqref="E51">
    <cfRule type="expression" dxfId="1006" priority="1314">
      <formula>IF(#REF!="FICTICIO",1,0)</formula>
    </cfRule>
  </conditionalFormatting>
  <conditionalFormatting sqref="D52">
    <cfRule type="expression" dxfId="1005" priority="1312">
      <formula>IF(#REF!="FICTICIO",1,0)</formula>
    </cfRule>
  </conditionalFormatting>
  <conditionalFormatting sqref="D52">
    <cfRule type="expression" dxfId="1004" priority="1313">
      <formula>IF(#REF!="FICTICIO",1,0)</formula>
    </cfRule>
  </conditionalFormatting>
  <conditionalFormatting sqref="E56">
    <cfRule type="expression" dxfId="1003" priority="1300">
      <formula>IF(#REF!="FICTICIO",1,0)</formula>
    </cfRule>
  </conditionalFormatting>
  <conditionalFormatting sqref="E56">
    <cfRule type="expression" dxfId="1002" priority="1299">
      <formula>IF(#REF!="FICTICIO",1,0)</formula>
    </cfRule>
  </conditionalFormatting>
  <conditionalFormatting sqref="E56">
    <cfRule type="expression" dxfId="1001" priority="1298">
      <formula>IF(#REF!="FICTICIO",1,0)</formula>
    </cfRule>
  </conditionalFormatting>
  <conditionalFormatting sqref="F57">
    <cfRule type="expression" dxfId="1000" priority="1283">
      <formula>IF(#REF!="FICTICIO",1,0)</formula>
    </cfRule>
  </conditionalFormatting>
  <conditionalFormatting sqref="F57">
    <cfRule type="expression" dxfId="999" priority="1282">
      <formula>IF(#REF!="FICTICIO",1,0)</formula>
    </cfRule>
  </conditionalFormatting>
  <conditionalFormatting sqref="D59">
    <cfRule type="expression" dxfId="998" priority="1276">
      <formula>IF(#REF!="FICTICIO",1,0)</formula>
    </cfRule>
  </conditionalFormatting>
  <conditionalFormatting sqref="D59">
    <cfRule type="expression" dxfId="997" priority="1277">
      <formula>IF(#REF!="FICTICIO",1,0)</formula>
    </cfRule>
  </conditionalFormatting>
  <conditionalFormatting sqref="D62">
    <cfRule type="expression" dxfId="996" priority="1265">
      <formula>IF(#REF!="FICTICIO",1,0)</formula>
    </cfRule>
  </conditionalFormatting>
  <conditionalFormatting sqref="D62">
    <cfRule type="expression" dxfId="995" priority="1266">
      <formula>IF(#REF!="FICTICIO",1,0)</formula>
    </cfRule>
  </conditionalFormatting>
  <conditionalFormatting sqref="E62">
    <cfRule type="expression" dxfId="994" priority="1264">
      <formula>IF(#REF!="FICTICIO",1,0)</formula>
    </cfRule>
  </conditionalFormatting>
  <conditionalFormatting sqref="E62">
    <cfRule type="expression" dxfId="993" priority="1263">
      <formula>IF(#REF!="FICTICIO",1,0)</formula>
    </cfRule>
  </conditionalFormatting>
  <conditionalFormatting sqref="E64">
    <cfRule type="expression" dxfId="992" priority="1260">
      <formula>IF(#REF!="FICTICIO",1,0)</formula>
    </cfRule>
  </conditionalFormatting>
  <conditionalFormatting sqref="E64">
    <cfRule type="expression" dxfId="991" priority="1259">
      <formula>IF(#REF!="FICTICIO",1,0)</formula>
    </cfRule>
  </conditionalFormatting>
  <conditionalFormatting sqref="F64">
    <cfRule type="expression" dxfId="990" priority="1258">
      <formula>IF(#REF!="FICTICIO",1,0)</formula>
    </cfRule>
  </conditionalFormatting>
  <conditionalFormatting sqref="F64">
    <cfRule type="expression" dxfId="989" priority="1257">
      <formula>IF(#REF!="FICTICIO",1,0)</formula>
    </cfRule>
  </conditionalFormatting>
  <conditionalFormatting sqref="F66">
    <cfRule type="expression" dxfId="988" priority="1250">
      <formula>IF(#REF!="FICTICIO",1,0)</formula>
    </cfRule>
  </conditionalFormatting>
  <conditionalFormatting sqref="F66">
    <cfRule type="expression" dxfId="987" priority="1249">
      <formula>IF(#REF!="FICTICIO",1,0)</formula>
    </cfRule>
  </conditionalFormatting>
  <conditionalFormatting sqref="F70">
    <cfRule type="expression" dxfId="986" priority="1236">
      <formula>IF(#REF!="FICTICIO",1,0)</formula>
    </cfRule>
  </conditionalFormatting>
  <conditionalFormatting sqref="F70">
    <cfRule type="expression" dxfId="985" priority="1237">
      <formula>IF(#REF!="FICTICIO",1,0)</formula>
    </cfRule>
  </conditionalFormatting>
  <conditionalFormatting sqref="E70">
    <cfRule type="expression" dxfId="984" priority="1235">
      <formula>IF(#REF!="FICTICIO",1,0)</formula>
    </cfRule>
  </conditionalFormatting>
  <conditionalFormatting sqref="E70">
    <cfRule type="expression" dxfId="983" priority="1234">
      <formula>IF(#REF!="FICTICIO",1,0)</formula>
    </cfRule>
  </conditionalFormatting>
  <conditionalFormatting sqref="D70">
    <cfRule type="expression" dxfId="982" priority="1233">
      <formula>IF(#REF!="FICTICIO",1,0)</formula>
    </cfRule>
  </conditionalFormatting>
  <conditionalFormatting sqref="D70">
    <cfRule type="expression" dxfId="981" priority="1231">
      <formula>IF(#REF!="FICTICIO",1,0)</formula>
    </cfRule>
  </conditionalFormatting>
  <conditionalFormatting sqref="D70">
    <cfRule type="expression" dxfId="980" priority="1232">
      <formula>IF(#REF!="FICTICIO",1,0)</formula>
    </cfRule>
  </conditionalFormatting>
  <conditionalFormatting sqref="D70">
    <cfRule type="expression" dxfId="979" priority="1229">
      <formula>IF(#REF!="FICTICIO",1,0)</formula>
    </cfRule>
  </conditionalFormatting>
  <conditionalFormatting sqref="D70">
    <cfRule type="expression" dxfId="978" priority="1230">
      <formula>IF(#REF!="FICTICIO",1,0)</formula>
    </cfRule>
  </conditionalFormatting>
  <conditionalFormatting sqref="F74">
    <cfRule type="expression" dxfId="977" priority="1193">
      <formula>IF(#REF!="FICTICIO",1,0)</formula>
    </cfRule>
  </conditionalFormatting>
  <conditionalFormatting sqref="F74">
    <cfRule type="expression" dxfId="976" priority="1194">
      <formula>IF(#REF!="FICTICIO",1,0)</formula>
    </cfRule>
  </conditionalFormatting>
  <conditionalFormatting sqref="D74">
    <cfRule type="expression" dxfId="975" priority="1191">
      <formula>IF(#REF!="FICTICIO",1,0)</formula>
    </cfRule>
  </conditionalFormatting>
  <conditionalFormatting sqref="D74">
    <cfRule type="expression" dxfId="974" priority="1189">
      <formula>IF(#REF!="FICTICIO",1,0)</formula>
    </cfRule>
  </conditionalFormatting>
  <conditionalFormatting sqref="D74">
    <cfRule type="expression" dxfId="973" priority="1190">
      <formula>IF(#REF!="FICTICIO",1,0)</formula>
    </cfRule>
  </conditionalFormatting>
  <conditionalFormatting sqref="D74">
    <cfRule type="expression" dxfId="972" priority="1187">
      <formula>IF(#REF!="FICTICIO",1,0)</formula>
    </cfRule>
  </conditionalFormatting>
  <conditionalFormatting sqref="D74">
    <cfRule type="expression" dxfId="971" priority="1188">
      <formula>IF(#REF!="FICTICIO",1,0)</formula>
    </cfRule>
  </conditionalFormatting>
  <conditionalFormatting sqref="F76">
    <cfRule type="expression" dxfId="970" priority="1179">
      <formula>IF(#REF!="FICTICIO",1,0)</formula>
    </cfRule>
  </conditionalFormatting>
  <conditionalFormatting sqref="F76">
    <cfRule type="expression" dxfId="969" priority="1180">
      <formula>IF(#REF!="FICTICIO",1,0)</formula>
    </cfRule>
  </conditionalFormatting>
  <conditionalFormatting sqref="D76">
    <cfRule type="expression" dxfId="968" priority="1177">
      <formula>IF(#REF!="FICTICIO",1,0)</formula>
    </cfRule>
  </conditionalFormatting>
  <conditionalFormatting sqref="D76">
    <cfRule type="expression" dxfId="967" priority="1178">
      <formula>IF(#REF!="FICTICIO",1,0)</formula>
    </cfRule>
  </conditionalFormatting>
  <conditionalFormatting sqref="E87">
    <cfRule type="expression" dxfId="966" priority="1128">
      <formula>IF(#REF!="FICTICIO",1,0)</formula>
    </cfRule>
  </conditionalFormatting>
  <conditionalFormatting sqref="E87">
    <cfRule type="expression" dxfId="965" priority="1127">
      <formula>IF(#REF!="FICTICIO",1,0)</formula>
    </cfRule>
  </conditionalFormatting>
  <conditionalFormatting sqref="E87">
    <cfRule type="expression" dxfId="964" priority="1126">
      <formula>IF(#REF!="FICTICIO",1,0)</formula>
    </cfRule>
  </conditionalFormatting>
  <conditionalFormatting sqref="E87">
    <cfRule type="expression" dxfId="963" priority="1125">
      <formula>IF(#REF!="FICTICIO",1,0)</formula>
    </cfRule>
  </conditionalFormatting>
  <conditionalFormatting sqref="E87">
    <cfRule type="expression" dxfId="962" priority="1124">
      <formula>IF(#REF!="FICTICIO",1,0)</formula>
    </cfRule>
  </conditionalFormatting>
  <conditionalFormatting sqref="E87">
    <cfRule type="expression" dxfId="961" priority="1123">
      <formula>IF(#REF!="FICTICIO",1,0)</formula>
    </cfRule>
  </conditionalFormatting>
  <conditionalFormatting sqref="D87">
    <cfRule type="expression" dxfId="960" priority="1121">
      <formula>IF(#REF!="FICTICIO",1,0)</formula>
    </cfRule>
  </conditionalFormatting>
  <conditionalFormatting sqref="D87">
    <cfRule type="expression" dxfId="959" priority="1122">
      <formula>IF(#REF!="FICTICIO",1,0)</formula>
    </cfRule>
  </conditionalFormatting>
  <conditionalFormatting sqref="E87">
    <cfRule type="expression" dxfId="958" priority="1120">
      <formula>IF(#REF!="FICTICIO",1,0)</formula>
    </cfRule>
  </conditionalFormatting>
  <conditionalFormatting sqref="E87">
    <cfRule type="expression" dxfId="957" priority="1119">
      <formula>IF(#REF!="FICTICIO",1,0)</formula>
    </cfRule>
  </conditionalFormatting>
  <conditionalFormatting sqref="D87">
    <cfRule type="expression" dxfId="956" priority="1117">
      <formula>IF(#REF!="FICTICIO",1,0)</formula>
    </cfRule>
  </conditionalFormatting>
  <conditionalFormatting sqref="D87">
    <cfRule type="expression" dxfId="955" priority="1118">
      <formula>IF(#REF!="FICTICIO",1,0)</formula>
    </cfRule>
  </conditionalFormatting>
  <conditionalFormatting sqref="E87">
    <cfRule type="expression" dxfId="954" priority="1116">
      <formula>IF(#REF!="FICTICIO",1,0)</formula>
    </cfRule>
  </conditionalFormatting>
  <conditionalFormatting sqref="E87">
    <cfRule type="expression" dxfId="953" priority="1113">
      <formula>IF(#REF!="FICTICIO",1,0)</formula>
    </cfRule>
  </conditionalFormatting>
  <conditionalFormatting sqref="E90:E94">
    <cfRule type="expression" dxfId="952" priority="1104">
      <formula>IF(#REF!="FICTICIO",1,0)</formula>
    </cfRule>
  </conditionalFormatting>
  <conditionalFormatting sqref="E90:E94">
    <cfRule type="expression" dxfId="951" priority="1103">
      <formula>IF(#REF!="FICTICIO",1,0)</formula>
    </cfRule>
  </conditionalFormatting>
  <conditionalFormatting sqref="E90:E94">
    <cfRule type="expression" dxfId="950" priority="1102">
      <formula>IF(#REF!="FICTICIO",1,0)</formula>
    </cfRule>
  </conditionalFormatting>
  <conditionalFormatting sqref="E90:E94">
    <cfRule type="expression" dxfId="949" priority="1101">
      <formula>IF(#REF!="FICTICIO",1,0)</formula>
    </cfRule>
  </conditionalFormatting>
  <conditionalFormatting sqref="F90">
    <cfRule type="expression" dxfId="948" priority="1100">
      <formula>IF(#REF!="FICTICIO",1,0)</formula>
    </cfRule>
  </conditionalFormatting>
  <conditionalFormatting sqref="F90">
    <cfRule type="expression" dxfId="947" priority="1098">
      <formula>IF(#REF!="FICTICIO",1,0)</formula>
    </cfRule>
  </conditionalFormatting>
  <conditionalFormatting sqref="F90">
    <cfRule type="expression" dxfId="946" priority="1099">
      <formula>IF(#REF!="FICTICIO",1,0)</formula>
    </cfRule>
  </conditionalFormatting>
  <conditionalFormatting sqref="E90:E94">
    <cfRule type="expression" dxfId="945" priority="1096">
      <formula>IF(#REF!="FICTICIO",1,0)</formula>
    </cfRule>
  </conditionalFormatting>
  <conditionalFormatting sqref="E90:E94">
    <cfRule type="expression" dxfId="944" priority="1097">
      <formula>IF(#REF!="FICTICIO",1,0)</formula>
    </cfRule>
  </conditionalFormatting>
  <conditionalFormatting sqref="D90">
    <cfRule type="expression" dxfId="943" priority="1094">
      <formula>IF(#REF!="FICTICIO",1,0)</formula>
    </cfRule>
  </conditionalFormatting>
  <conditionalFormatting sqref="D90">
    <cfRule type="expression" dxfId="942" priority="1095">
      <formula>IF(#REF!="FICTICIO",1,0)</formula>
    </cfRule>
  </conditionalFormatting>
  <conditionalFormatting sqref="E92:E94 E96 E100:E101">
    <cfRule type="expression" dxfId="941" priority="1093">
      <formula>IF(#REF!="FICTICIO",1,0)</formula>
    </cfRule>
  </conditionalFormatting>
  <conditionalFormatting sqref="E92:E94 E96 E100:E101">
    <cfRule type="expression" dxfId="940" priority="1092">
      <formula>IF(#REF!="FICTICIO",1,0)</formula>
    </cfRule>
  </conditionalFormatting>
  <conditionalFormatting sqref="E92:E94 E96 E100:E101">
    <cfRule type="expression" dxfId="939" priority="1091">
      <formula>IF(#REF!="FICTICIO",1,0)</formula>
    </cfRule>
  </conditionalFormatting>
  <conditionalFormatting sqref="E92:E94 E96 E100:E101">
    <cfRule type="expression" dxfId="938" priority="1090">
      <formula>IF(#REF!="FICTICIO",1,0)</formula>
    </cfRule>
  </conditionalFormatting>
  <conditionalFormatting sqref="E92:E94 E96 E100:E101">
    <cfRule type="expression" dxfId="937" priority="1088">
      <formula>IF(#REF!="FICTICIO",1,0)</formula>
    </cfRule>
  </conditionalFormatting>
  <conditionalFormatting sqref="E92:E94 E96 E100:E101">
    <cfRule type="expression" dxfId="936" priority="1089">
      <formula>IF(#REF!="FICTICIO",1,0)</formula>
    </cfRule>
  </conditionalFormatting>
  <conditionalFormatting sqref="E92:E94">
    <cfRule type="expression" dxfId="935" priority="1087">
      <formula>IF(#REF!="FICTICIO",1,0)</formula>
    </cfRule>
  </conditionalFormatting>
  <conditionalFormatting sqref="E92:E94">
    <cfRule type="expression" dxfId="934" priority="1086">
      <formula>IF(#REF!="FICTICIO",1,0)</formula>
    </cfRule>
  </conditionalFormatting>
  <conditionalFormatting sqref="E92:E94">
    <cfRule type="expression" dxfId="933" priority="1085">
      <formula>IF(#REF!="FICTICIO",1,0)</formula>
    </cfRule>
  </conditionalFormatting>
  <conditionalFormatting sqref="E92:E94">
    <cfRule type="expression" dxfId="932" priority="1084">
      <formula>IF(#REF!="FICTICIO",1,0)</formula>
    </cfRule>
  </conditionalFormatting>
  <conditionalFormatting sqref="F92">
    <cfRule type="expression" dxfId="931" priority="1082">
      <formula>IF(#REF!="FICTICIO",1,0)</formula>
    </cfRule>
  </conditionalFormatting>
  <conditionalFormatting sqref="F92">
    <cfRule type="expression" dxfId="930" priority="1083">
      <formula>IF(#REF!="FICTICIO",1,0)</formula>
    </cfRule>
  </conditionalFormatting>
  <conditionalFormatting sqref="E92:E94">
    <cfRule type="expression" dxfId="929" priority="1080">
      <formula>IF(#REF!="FICTICIO",1,0)</formula>
    </cfRule>
  </conditionalFormatting>
  <conditionalFormatting sqref="E92:E94">
    <cfRule type="expression" dxfId="928" priority="1081">
      <formula>IF(#REF!="FICTICIO",1,0)</formula>
    </cfRule>
  </conditionalFormatting>
  <conditionalFormatting sqref="D92">
    <cfRule type="expression" dxfId="927" priority="1078">
      <formula>IF(#REF!="FICTICIO",1,0)</formula>
    </cfRule>
  </conditionalFormatting>
  <conditionalFormatting sqref="D92">
    <cfRule type="expression" dxfId="926" priority="1079">
      <formula>IF(#REF!="FICTICIO",1,0)</formula>
    </cfRule>
  </conditionalFormatting>
  <conditionalFormatting sqref="D94">
    <cfRule type="expression" dxfId="925" priority="1077">
      <formula>IF(#REF!="FICTICIO",1,0)</formula>
    </cfRule>
  </conditionalFormatting>
  <conditionalFormatting sqref="E94">
    <cfRule type="expression" dxfId="924" priority="1076">
      <formula>IF(#REF!="FICTICIO",1,0)</formula>
    </cfRule>
  </conditionalFormatting>
  <conditionalFormatting sqref="E94">
    <cfRule type="expression" dxfId="923" priority="1075">
      <formula>IF(#REF!="FICTICIO",1,0)</formula>
    </cfRule>
  </conditionalFormatting>
  <conditionalFormatting sqref="F94">
    <cfRule type="expression" dxfId="922" priority="1073">
      <formula>IF(#REF!="FICTICIO",1,0)</formula>
    </cfRule>
  </conditionalFormatting>
  <conditionalFormatting sqref="F94">
    <cfRule type="expression" dxfId="921" priority="1074">
      <formula>IF(#REF!="FICTICIO",1,0)</formula>
    </cfRule>
  </conditionalFormatting>
  <conditionalFormatting sqref="E94">
    <cfRule type="expression" dxfId="920" priority="1071">
      <formula>IF(#REF!="FICTICIO",1,0)</formula>
    </cfRule>
  </conditionalFormatting>
  <conditionalFormatting sqref="E94">
    <cfRule type="expression" dxfId="919" priority="1072">
      <formula>IF(#REF!="FICTICIO",1,0)</formula>
    </cfRule>
  </conditionalFormatting>
  <conditionalFormatting sqref="D96">
    <cfRule type="expression" dxfId="918" priority="1070">
      <formula>IF(#REF!="FICTICIO",1,0)</formula>
    </cfRule>
  </conditionalFormatting>
  <conditionalFormatting sqref="E96 E100:E101">
    <cfRule type="expression" dxfId="917" priority="1069">
      <formula>IF(#REF!="FICTICIO",1,0)</formula>
    </cfRule>
  </conditionalFormatting>
  <conditionalFormatting sqref="E96 E100:E101">
    <cfRule type="expression" dxfId="916" priority="1068">
      <formula>IF(#REF!="FICTICIO",1,0)</formula>
    </cfRule>
  </conditionalFormatting>
  <conditionalFormatting sqref="E96 E100:E101">
    <cfRule type="expression" dxfId="915" priority="1066">
      <formula>IF(#REF!="FICTICIO",1,0)</formula>
    </cfRule>
  </conditionalFormatting>
  <conditionalFormatting sqref="E96 E100:E101">
    <cfRule type="expression" dxfId="914" priority="1067">
      <formula>IF(#REF!="FICTICIO",1,0)</formula>
    </cfRule>
  </conditionalFormatting>
  <conditionalFormatting sqref="F96">
    <cfRule type="expression" dxfId="913" priority="1064">
      <formula>IF(#REF!="FICTICIO",1,0)</formula>
    </cfRule>
  </conditionalFormatting>
  <conditionalFormatting sqref="F96">
    <cfRule type="expression" dxfId="912" priority="1065">
      <formula>IF(#REF!="FICTICIO",1,0)</formula>
    </cfRule>
  </conditionalFormatting>
  <conditionalFormatting sqref="D101">
    <cfRule type="expression" dxfId="911" priority="1033">
      <formula>IF(#REF!="FICTICIO",1,0)</formula>
    </cfRule>
  </conditionalFormatting>
  <conditionalFormatting sqref="D101">
    <cfRule type="expression" dxfId="910" priority="1034">
      <formula>IF(#REF!="FICTICIO",1,0)</formula>
    </cfRule>
  </conditionalFormatting>
  <conditionalFormatting sqref="F101">
    <cfRule type="expression" dxfId="909" priority="1032">
      <formula>IF(#REF!="FICTICIO",1,0)</formula>
    </cfRule>
  </conditionalFormatting>
  <conditionalFormatting sqref="F101">
    <cfRule type="expression" dxfId="908" priority="1030">
      <formula>IF(#REF!="FICTICIO",1,0)</formula>
    </cfRule>
  </conditionalFormatting>
  <conditionalFormatting sqref="F101">
    <cfRule type="expression" dxfId="907" priority="1031">
      <formula>IF(#REF!="FICTICIO",1,0)</formula>
    </cfRule>
  </conditionalFormatting>
  <conditionalFormatting sqref="E101">
    <cfRule type="expression" dxfId="906" priority="1029">
      <formula>IF(#REF!="FICTICIO",1,0)</formula>
    </cfRule>
  </conditionalFormatting>
  <conditionalFormatting sqref="D132:E132">
    <cfRule type="expression" dxfId="905" priority="1001">
      <formula>IF(#REF!="FICTICIO",1,0)</formula>
    </cfRule>
  </conditionalFormatting>
  <conditionalFormatting sqref="E132">
    <cfRule type="expression" dxfId="904" priority="1000">
      <formula>IF(#REF!="FICTICIO",1,0)</formula>
    </cfRule>
  </conditionalFormatting>
  <conditionalFormatting sqref="E132">
    <cfRule type="expression" dxfId="903" priority="999">
      <formula>IF(#REF!="FICTICIO",1,0)</formula>
    </cfRule>
  </conditionalFormatting>
  <conditionalFormatting sqref="F132">
    <cfRule type="expression" dxfId="902" priority="998">
      <formula>IF(#REF!="FICTICIO",1,0)</formula>
    </cfRule>
  </conditionalFormatting>
  <conditionalFormatting sqref="F132">
    <cfRule type="expression" dxfId="901" priority="996">
      <formula>IF(#REF!="FICTICIO",1,0)</formula>
    </cfRule>
  </conditionalFormatting>
  <conditionalFormatting sqref="F132">
    <cfRule type="expression" dxfId="900" priority="997">
      <formula>IF(#REF!="FICTICIO",1,0)</formula>
    </cfRule>
  </conditionalFormatting>
  <conditionalFormatting sqref="D134">
    <cfRule type="expression" dxfId="899" priority="995">
      <formula>IF(#REF!="FICTICIO",1,0)</formula>
    </cfRule>
  </conditionalFormatting>
  <conditionalFormatting sqref="F134">
    <cfRule type="expression" dxfId="898" priority="994">
      <formula>IF(#REF!="FICTICIO",1,0)</formula>
    </cfRule>
  </conditionalFormatting>
  <conditionalFormatting sqref="F134">
    <cfRule type="expression" dxfId="897" priority="992">
      <formula>IF(#REF!="FICTICIO",1,0)</formula>
    </cfRule>
  </conditionalFormatting>
  <conditionalFormatting sqref="F134">
    <cfRule type="expression" dxfId="896" priority="993">
      <formula>IF(#REF!="FICTICIO",1,0)</formula>
    </cfRule>
  </conditionalFormatting>
  <conditionalFormatting sqref="E132:E134">
    <cfRule type="expression" dxfId="895" priority="991">
      <formula>IF(#REF!="FICTICIO",1,0)</formula>
    </cfRule>
  </conditionalFormatting>
  <conditionalFormatting sqref="E132:E134">
    <cfRule type="expression" dxfId="894" priority="990">
      <formula>IF(#REF!="FICTICIO",1,0)</formula>
    </cfRule>
  </conditionalFormatting>
  <conditionalFormatting sqref="E132:E134">
    <cfRule type="expression" dxfId="893" priority="989">
      <formula>IF(#REF!="FICTICIO",1,0)</formula>
    </cfRule>
  </conditionalFormatting>
  <conditionalFormatting sqref="E132:E134">
    <cfRule type="expression" dxfId="892" priority="988">
      <formula>IF(#REF!="FICTICIO",1,0)</formula>
    </cfRule>
  </conditionalFormatting>
  <conditionalFormatting sqref="E132:E134">
    <cfRule type="expression" dxfId="891" priority="986">
      <formula>IF(#REF!="FICTICIO",1,0)</formula>
    </cfRule>
  </conditionalFormatting>
  <conditionalFormatting sqref="E132:E134">
    <cfRule type="expression" dxfId="890" priority="987">
      <formula>IF(#REF!="FICTICIO",1,0)</formula>
    </cfRule>
  </conditionalFormatting>
  <conditionalFormatting sqref="F136">
    <cfRule type="expression" dxfId="889" priority="985">
      <formula>IF(#REF!="FICTICIO",1,0)</formula>
    </cfRule>
  </conditionalFormatting>
  <conditionalFormatting sqref="F136">
    <cfRule type="expression" dxfId="888" priority="983">
      <formula>IF(#REF!="FICTICIO",1,0)</formula>
    </cfRule>
  </conditionalFormatting>
  <conditionalFormatting sqref="F136">
    <cfRule type="expression" dxfId="887" priority="984">
      <formula>IF(#REF!="FICTICIO",1,0)</formula>
    </cfRule>
  </conditionalFormatting>
  <conditionalFormatting sqref="F137">
    <cfRule type="expression" dxfId="886" priority="982">
      <formula>IF(#REF!="FICTICIO",1,0)</formula>
    </cfRule>
  </conditionalFormatting>
  <conditionalFormatting sqref="F137">
    <cfRule type="expression" dxfId="885" priority="980">
      <formula>IF(#REF!="FICTICIO",1,0)</formula>
    </cfRule>
  </conditionalFormatting>
  <conditionalFormatting sqref="F137">
    <cfRule type="expression" dxfId="884" priority="981">
      <formula>IF(#REF!="FICTICIO",1,0)</formula>
    </cfRule>
  </conditionalFormatting>
  <conditionalFormatting sqref="F138">
    <cfRule type="expression" dxfId="883" priority="979">
      <formula>IF(#REF!="FICTICIO",1,0)</formula>
    </cfRule>
  </conditionalFormatting>
  <conditionalFormatting sqref="F138">
    <cfRule type="expression" dxfId="882" priority="977">
      <formula>IF(#REF!="FICTICIO",1,0)</formula>
    </cfRule>
  </conditionalFormatting>
  <conditionalFormatting sqref="F138">
    <cfRule type="expression" dxfId="881" priority="978">
      <formula>IF(#REF!="FICTICIO",1,0)</formula>
    </cfRule>
  </conditionalFormatting>
  <conditionalFormatting sqref="E139">
    <cfRule type="expression" dxfId="880" priority="976">
      <formula>IF(#REF!="FICTICIO",1,0)</formula>
    </cfRule>
  </conditionalFormatting>
  <conditionalFormatting sqref="F139">
    <cfRule type="expression" dxfId="879" priority="975">
      <formula>IF(#REF!="FICTICIO",1,0)</formula>
    </cfRule>
  </conditionalFormatting>
  <conditionalFormatting sqref="F139">
    <cfRule type="expression" dxfId="878" priority="973">
      <formula>IF(#REF!="FICTICIO",1,0)</formula>
    </cfRule>
  </conditionalFormatting>
  <conditionalFormatting sqref="F139">
    <cfRule type="expression" dxfId="877" priority="974">
      <formula>IF(#REF!="FICTICIO",1,0)</formula>
    </cfRule>
  </conditionalFormatting>
  <conditionalFormatting sqref="D140">
    <cfRule type="expression" dxfId="876" priority="972">
      <formula>IF(#REF!="FICTICIO",1,0)</formula>
    </cfRule>
  </conditionalFormatting>
  <conditionalFormatting sqref="E140:F140">
    <cfRule type="expression" dxfId="875" priority="971">
      <formula>IF(#REF!="FICTICIO",1,0)</formula>
    </cfRule>
  </conditionalFormatting>
  <conditionalFormatting sqref="D141">
    <cfRule type="expression" dxfId="874" priority="970">
      <formula>IF(#REF!="FICTICIO",1,0)</formula>
    </cfRule>
  </conditionalFormatting>
  <conditionalFormatting sqref="E141">
    <cfRule type="expression" dxfId="873" priority="969">
      <formula>IF(#REF!="FICTICIO",1,0)</formula>
    </cfRule>
  </conditionalFormatting>
  <conditionalFormatting sqref="F141">
    <cfRule type="expression" dxfId="872" priority="968">
      <formula>IF(#REF!="FICTICIO",1,0)</formula>
    </cfRule>
  </conditionalFormatting>
  <conditionalFormatting sqref="D142">
    <cfRule type="expression" dxfId="871" priority="967">
      <formula>IF(#REF!="FICTICIO",1,0)</formula>
    </cfRule>
  </conditionalFormatting>
  <conditionalFormatting sqref="E142">
    <cfRule type="expression" dxfId="870" priority="966">
      <formula>IF(#REF!="FICTICIO",1,0)</formula>
    </cfRule>
  </conditionalFormatting>
  <conditionalFormatting sqref="F142">
    <cfRule type="expression" dxfId="869" priority="965">
      <formula>IF(#REF!="FICTICIO",1,0)</formula>
    </cfRule>
  </conditionalFormatting>
  <conditionalFormatting sqref="D143 F143">
    <cfRule type="expression" dxfId="868" priority="964">
      <formula>IF(#REF!="FICTICIO",1,0)</formula>
    </cfRule>
  </conditionalFormatting>
  <conditionalFormatting sqref="E143">
    <cfRule type="expression" dxfId="867" priority="963">
      <formula>IF(#REF!="FICTICIO",1,0)</formula>
    </cfRule>
  </conditionalFormatting>
  <conditionalFormatting sqref="D144:F144 E144:E147">
    <cfRule type="expression" dxfId="866" priority="962">
      <formula>IF(#REF!="FICTICIO",1,0)</formula>
    </cfRule>
  </conditionalFormatting>
  <conditionalFormatting sqref="D145:F145">
    <cfRule type="expression" dxfId="865" priority="961">
      <formula>IF(#REF!="FICTICIO",1,0)</formula>
    </cfRule>
  </conditionalFormatting>
  <conditionalFormatting sqref="D146:F146">
    <cfRule type="expression" dxfId="864" priority="960">
      <formula>IF(#REF!="FICTICIO",1,0)</formula>
    </cfRule>
  </conditionalFormatting>
  <conditionalFormatting sqref="D149 D151:D152">
    <cfRule type="expression" dxfId="863" priority="958">
      <formula>IF(#REF!="FICTICIO",1,0)</formula>
    </cfRule>
  </conditionalFormatting>
  <conditionalFormatting sqref="E150">
    <cfRule type="expression" dxfId="862" priority="957">
      <formula>IF(#REF!="FICTICIO",1,0)</formula>
    </cfRule>
  </conditionalFormatting>
  <conditionalFormatting sqref="E150">
    <cfRule type="expression" dxfId="861" priority="956">
      <formula>IF(#REF!="FICTICIO",1,0)</formula>
    </cfRule>
  </conditionalFormatting>
  <conditionalFormatting sqref="E148:E152">
    <cfRule type="expression" dxfId="860" priority="953">
      <formula>IF(#REF!="FICTICIO",1,0)</formula>
    </cfRule>
  </conditionalFormatting>
  <conditionalFormatting sqref="E148:E152">
    <cfRule type="expression" dxfId="859" priority="952">
      <formula>IF(#REF!="FICTICIO",1,0)</formula>
    </cfRule>
  </conditionalFormatting>
  <conditionalFormatting sqref="E148:E152">
    <cfRule type="expression" dxfId="858" priority="951">
      <formula>IF(#REF!="FICTICIO",1,0)</formula>
    </cfRule>
  </conditionalFormatting>
  <conditionalFormatting sqref="E148:E152">
    <cfRule type="expression" dxfId="857" priority="950">
      <formula>IF(#REF!="FICTICIO",1,0)</formula>
    </cfRule>
  </conditionalFormatting>
  <conditionalFormatting sqref="E148:E152">
    <cfRule type="expression" dxfId="856" priority="949">
      <formula>IF(#REF!="FICTICIO",1,0)</formula>
    </cfRule>
  </conditionalFormatting>
  <conditionalFormatting sqref="D149">
    <cfRule type="expression" dxfId="855" priority="948">
      <formula>IF(#REF!="FICTICIO",1,0)</formula>
    </cfRule>
  </conditionalFormatting>
  <conditionalFormatting sqref="E149">
    <cfRule type="expression" dxfId="854" priority="947">
      <formula>IF(#REF!="FICTICIO",1,0)</formula>
    </cfRule>
  </conditionalFormatting>
  <conditionalFormatting sqref="E149">
    <cfRule type="expression" dxfId="853" priority="946">
      <formula>IF(#REF!="FICTICIO",1,0)</formula>
    </cfRule>
  </conditionalFormatting>
  <conditionalFormatting sqref="D151">
    <cfRule type="expression" dxfId="852" priority="945">
      <formula>IF(#REF!="FICTICIO",1,0)</formula>
    </cfRule>
  </conditionalFormatting>
  <conditionalFormatting sqref="E151:E152">
    <cfRule type="expression" dxfId="851" priority="944">
      <formula>IF(#REF!="FICTICIO",1,0)</formula>
    </cfRule>
  </conditionalFormatting>
  <conditionalFormatting sqref="E151:E152">
    <cfRule type="expression" dxfId="850" priority="943">
      <formula>IF(#REF!="FICTICIO",1,0)</formula>
    </cfRule>
  </conditionalFormatting>
  <conditionalFormatting sqref="D152">
    <cfRule type="expression" dxfId="849" priority="942">
      <formula>IF(#REF!="FICTICIO",1,0)</formula>
    </cfRule>
  </conditionalFormatting>
  <conditionalFormatting sqref="E152">
    <cfRule type="expression" dxfId="848" priority="941">
      <formula>IF(#REF!="FICTICIO",1,0)</formula>
    </cfRule>
  </conditionalFormatting>
  <conditionalFormatting sqref="E152">
    <cfRule type="expression" dxfId="847" priority="940">
      <formula>IF(#REF!="FICTICIO",1,0)</formula>
    </cfRule>
  </conditionalFormatting>
  <conditionalFormatting sqref="E152">
    <cfRule type="expression" dxfId="846" priority="939">
      <formula>IF(#REF!="FICTICIO",1,0)</formula>
    </cfRule>
  </conditionalFormatting>
  <conditionalFormatting sqref="E152">
    <cfRule type="expression" dxfId="845" priority="938">
      <formula>IF(#REF!="FICTICIO",1,0)</formula>
    </cfRule>
  </conditionalFormatting>
  <conditionalFormatting sqref="E152">
    <cfRule type="expression" dxfId="844" priority="937">
      <formula>IF(#REF!="FICTICIO",1,0)</formula>
    </cfRule>
  </conditionalFormatting>
  <conditionalFormatting sqref="E152">
    <cfRule type="expression" dxfId="843" priority="936">
      <formula>IF(#REF!="FICTICIO",1,0)</formula>
    </cfRule>
  </conditionalFormatting>
  <conditionalFormatting sqref="E152">
    <cfRule type="expression" dxfId="842" priority="935">
      <formula>IF(#REF!="FICTICIO",1,0)</formula>
    </cfRule>
  </conditionalFormatting>
  <conditionalFormatting sqref="D154 F154">
    <cfRule type="expression" dxfId="841" priority="934">
      <formula>IF(#REF!="FICTICIO",1,0)</formula>
    </cfRule>
  </conditionalFormatting>
  <conditionalFormatting sqref="D154">
    <cfRule type="expression" dxfId="840" priority="933">
      <formula>IF(#REF!="FICTICIO",1,0)</formula>
    </cfRule>
  </conditionalFormatting>
  <conditionalFormatting sqref="E154">
    <cfRule type="expression" dxfId="839" priority="932">
      <formula>IF(#REF!="FICTICIO",1,0)</formula>
    </cfRule>
  </conditionalFormatting>
  <conditionalFormatting sqref="E154">
    <cfRule type="expression" dxfId="838" priority="931">
      <formula>IF(#REF!="FICTICIO",1,0)</formula>
    </cfRule>
  </conditionalFormatting>
  <conditionalFormatting sqref="E154">
    <cfRule type="expression" dxfId="837" priority="930">
      <formula>IF(#REF!="FICTICIO",1,0)</formula>
    </cfRule>
  </conditionalFormatting>
  <conditionalFormatting sqref="E154">
    <cfRule type="expression" dxfId="836" priority="929">
      <formula>IF(#REF!="FICTICIO",1,0)</formula>
    </cfRule>
  </conditionalFormatting>
  <conditionalFormatting sqref="E154">
    <cfRule type="expression" dxfId="835" priority="928">
      <formula>IF(#REF!="FICTICIO",1,0)</formula>
    </cfRule>
  </conditionalFormatting>
  <conditionalFormatting sqref="E154">
    <cfRule type="expression" dxfId="834" priority="927">
      <formula>IF(#REF!="FICTICIO",1,0)</formula>
    </cfRule>
  </conditionalFormatting>
  <conditionalFormatting sqref="E154">
    <cfRule type="expression" dxfId="833" priority="926">
      <formula>IF(#REF!="FICTICIO",1,0)</formula>
    </cfRule>
  </conditionalFormatting>
  <conditionalFormatting sqref="E154">
    <cfRule type="expression" dxfId="832" priority="925">
      <formula>IF(#REF!="FICTICIO",1,0)</formula>
    </cfRule>
  </conditionalFormatting>
  <conditionalFormatting sqref="E154">
    <cfRule type="expression" dxfId="831" priority="924">
      <formula>IF(#REF!="FICTICIO",1,0)</formula>
    </cfRule>
  </conditionalFormatting>
  <conditionalFormatting sqref="F9">
    <cfRule type="expression" dxfId="830" priority="901">
      <formula>IF(#REF!="FICTICIO",1,0)</formula>
    </cfRule>
  </conditionalFormatting>
  <conditionalFormatting sqref="F9">
    <cfRule type="expression" dxfId="829" priority="900">
      <formula>IF(#REF!="FICTICIO",1,0)</formula>
    </cfRule>
  </conditionalFormatting>
  <conditionalFormatting sqref="F11">
    <cfRule type="expression" dxfId="828" priority="894">
      <formula>IF(#REF!="FICTICIO",1,0)</formula>
    </cfRule>
  </conditionalFormatting>
  <conditionalFormatting sqref="F11">
    <cfRule type="expression" dxfId="827" priority="893">
      <formula>IF(#REF!="FICTICIO",1,0)</formula>
    </cfRule>
  </conditionalFormatting>
  <conditionalFormatting sqref="D15">
    <cfRule type="expression" dxfId="826" priority="883">
      <formula>IF(#REF!="FICTICIO",1,0)</formula>
    </cfRule>
  </conditionalFormatting>
  <conditionalFormatting sqref="D15">
    <cfRule type="expression" dxfId="825" priority="884">
      <formula>IF(#REF!="FICTICIO",1,0)</formula>
    </cfRule>
  </conditionalFormatting>
  <conditionalFormatting sqref="F16">
    <cfRule type="expression" dxfId="824" priority="876">
      <formula>IF(#REF!="FICTICIO",1,0)</formula>
    </cfRule>
  </conditionalFormatting>
  <conditionalFormatting sqref="D148">
    <cfRule type="expression" dxfId="823" priority="875">
      <formula>IF(#REF!="FICTICIO",1,0)</formula>
    </cfRule>
  </conditionalFormatting>
  <conditionalFormatting sqref="F148">
    <cfRule type="expression" dxfId="822" priority="874">
      <formula>IF(#REF!="FICTICIO",1,0)</formula>
    </cfRule>
  </conditionalFormatting>
  <conditionalFormatting sqref="F149">
    <cfRule type="expression" dxfId="821" priority="873">
      <formula>IF(#REF!="FICTICIO",1,0)</formula>
    </cfRule>
  </conditionalFormatting>
  <conditionalFormatting sqref="D150">
    <cfRule type="expression" dxfId="820" priority="872">
      <formula>IF(#REF!="FICTICIO",1,0)</formula>
    </cfRule>
  </conditionalFormatting>
  <conditionalFormatting sqref="D150">
    <cfRule type="expression" dxfId="819" priority="871">
      <formula>IF(#REF!="FICTICIO",1,0)</formula>
    </cfRule>
  </conditionalFormatting>
  <conditionalFormatting sqref="E150">
    <cfRule type="expression" dxfId="818" priority="870">
      <formula>IF(#REF!="FICTICIO",1,0)</formula>
    </cfRule>
  </conditionalFormatting>
  <conditionalFormatting sqref="E150">
    <cfRule type="expression" dxfId="817" priority="869">
      <formula>IF(#REF!="FICTICIO",1,0)</formula>
    </cfRule>
  </conditionalFormatting>
  <conditionalFormatting sqref="F150">
    <cfRule type="expression" dxfId="816" priority="868">
      <formula>IF(#REF!="FICTICIO",1,0)</formula>
    </cfRule>
  </conditionalFormatting>
  <conditionalFormatting sqref="E151">
    <cfRule type="expression" dxfId="815" priority="867">
      <formula>IF(#REF!="FICTICIO",1,0)</formula>
    </cfRule>
  </conditionalFormatting>
  <conditionalFormatting sqref="E151">
    <cfRule type="expression" dxfId="814" priority="866">
      <formula>IF(#REF!="FICTICIO",1,0)</formula>
    </cfRule>
  </conditionalFormatting>
  <conditionalFormatting sqref="E151">
    <cfRule type="expression" dxfId="813" priority="865">
      <formula>IF(#REF!="FICTICIO",1,0)</formula>
    </cfRule>
  </conditionalFormatting>
  <conditionalFormatting sqref="E151">
    <cfRule type="expression" dxfId="812" priority="864">
      <formula>IF(#REF!="FICTICIO",1,0)</formula>
    </cfRule>
  </conditionalFormatting>
  <conditionalFormatting sqref="F151">
    <cfRule type="expression" dxfId="811" priority="863">
      <formula>IF(#REF!="FICTICIO",1,0)</formula>
    </cfRule>
  </conditionalFormatting>
  <conditionalFormatting sqref="E152">
    <cfRule type="expression" dxfId="810" priority="862">
      <formula>IF(#REF!="FICTICIO",1,0)</formula>
    </cfRule>
  </conditionalFormatting>
  <conditionalFormatting sqref="E152">
    <cfRule type="expression" dxfId="809" priority="861">
      <formula>IF(#REF!="FICTICIO",1,0)</formula>
    </cfRule>
  </conditionalFormatting>
  <conditionalFormatting sqref="E152">
    <cfRule type="expression" dxfId="808" priority="860">
      <formula>IF(#REF!="FICTICIO",1,0)</formula>
    </cfRule>
  </conditionalFormatting>
  <conditionalFormatting sqref="E152">
    <cfRule type="expression" dxfId="807" priority="859">
      <formula>IF(#REF!="FICTICIO",1,0)</formula>
    </cfRule>
  </conditionalFormatting>
  <conditionalFormatting sqref="F152">
    <cfRule type="expression" dxfId="806" priority="858">
      <formula>IF(#REF!="FICTICIO",1,0)</formula>
    </cfRule>
  </conditionalFormatting>
  <conditionalFormatting sqref="D153 F153">
    <cfRule type="expression" dxfId="805" priority="857">
      <formula>IF(#REF!="FICTICIO",1,0)</formula>
    </cfRule>
  </conditionalFormatting>
  <conditionalFormatting sqref="D153">
    <cfRule type="expression" dxfId="804" priority="856">
      <formula>IF(#REF!="FICTICIO",1,0)</formula>
    </cfRule>
  </conditionalFormatting>
  <conditionalFormatting sqref="E153">
    <cfRule type="expression" dxfId="803" priority="855">
      <formula>IF(#REF!="FICTICIO",1,0)</formula>
    </cfRule>
  </conditionalFormatting>
  <conditionalFormatting sqref="E153">
    <cfRule type="expression" dxfId="802" priority="854">
      <formula>IF(#REF!="FICTICIO",1,0)</formula>
    </cfRule>
  </conditionalFormatting>
  <conditionalFormatting sqref="E153">
    <cfRule type="expression" dxfId="801" priority="853">
      <formula>IF(#REF!="FICTICIO",1,0)</formula>
    </cfRule>
  </conditionalFormatting>
  <conditionalFormatting sqref="E153">
    <cfRule type="expression" dxfId="800" priority="852">
      <formula>IF(#REF!="FICTICIO",1,0)</formula>
    </cfRule>
  </conditionalFormatting>
  <conditionalFormatting sqref="E153">
    <cfRule type="expression" dxfId="799" priority="851">
      <formula>IF(#REF!="FICTICIO",1,0)</formula>
    </cfRule>
  </conditionalFormatting>
  <conditionalFormatting sqref="E153">
    <cfRule type="expression" dxfId="798" priority="850">
      <formula>IF(#REF!="FICTICIO",1,0)</formula>
    </cfRule>
  </conditionalFormatting>
  <conditionalFormatting sqref="E153">
    <cfRule type="expression" dxfId="797" priority="849">
      <formula>IF(#REF!="FICTICIO",1,0)</formula>
    </cfRule>
  </conditionalFormatting>
  <conditionalFormatting sqref="E153">
    <cfRule type="expression" dxfId="796" priority="848">
      <formula>IF(#REF!="FICTICIO",1,0)</formula>
    </cfRule>
  </conditionalFormatting>
  <conditionalFormatting sqref="E153">
    <cfRule type="expression" dxfId="795" priority="847">
      <formula>IF(#REF!="FICTICIO",1,0)</formula>
    </cfRule>
  </conditionalFormatting>
  <conditionalFormatting sqref="D155:E155">
    <cfRule type="expression" dxfId="794" priority="846">
      <formula>IF(#REF!="FICTICIO",1,0)</formula>
    </cfRule>
  </conditionalFormatting>
  <conditionalFormatting sqref="E155">
    <cfRule type="expression" dxfId="793" priority="845">
      <formula>IF(#REF!="FICTICIO",1,0)</formula>
    </cfRule>
  </conditionalFormatting>
  <conditionalFormatting sqref="D155">
    <cfRule type="expression" dxfId="792" priority="843">
      <formula>IF(#REF!="FICTICIO",1,0)</formula>
    </cfRule>
  </conditionalFormatting>
  <conditionalFormatting sqref="D155">
    <cfRule type="expression" dxfId="791" priority="844">
      <formula>IF(#REF!="FICTICIO",1,0)</formula>
    </cfRule>
  </conditionalFormatting>
  <conditionalFormatting sqref="F155">
    <cfRule type="expression" dxfId="790" priority="842">
      <formula>IF(#REF!="FICTICIO",1,0)</formula>
    </cfRule>
  </conditionalFormatting>
  <conditionalFormatting sqref="F155">
    <cfRule type="expression" dxfId="789" priority="840">
      <formula>IF(#REF!="FICTICIO",1,0)</formula>
    </cfRule>
  </conditionalFormatting>
  <conditionalFormatting sqref="F155">
    <cfRule type="expression" dxfId="788" priority="841">
      <formula>IF(#REF!="FICTICIO",1,0)</formula>
    </cfRule>
  </conditionalFormatting>
  <conditionalFormatting sqref="F156">
    <cfRule type="expression" dxfId="787" priority="839">
      <formula>IF(#REF!="FICTICIO",1,0)</formula>
    </cfRule>
  </conditionalFormatting>
  <conditionalFormatting sqref="D156">
    <cfRule type="expression" dxfId="786" priority="838">
      <formula>IF(#REF!="FICTICIO",1,0)</formula>
    </cfRule>
  </conditionalFormatting>
  <conditionalFormatting sqref="E156">
    <cfRule type="expression" dxfId="785" priority="837">
      <formula>IF(#REF!="FICTICIO",1,0)</formula>
    </cfRule>
  </conditionalFormatting>
  <conditionalFormatting sqref="E156">
    <cfRule type="expression" dxfId="784" priority="836">
      <formula>IF(#REF!="FICTICIO",1,0)</formula>
    </cfRule>
  </conditionalFormatting>
  <conditionalFormatting sqref="F157">
    <cfRule type="expression" dxfId="783" priority="835">
      <formula>IF(#REF!="FICTICIO",1,0)</formula>
    </cfRule>
  </conditionalFormatting>
  <conditionalFormatting sqref="D157">
    <cfRule type="expression" dxfId="782" priority="834">
      <formula>IF(#REF!="FICTICIO",1,0)</formula>
    </cfRule>
  </conditionalFormatting>
  <conditionalFormatting sqref="E157:E158">
    <cfRule type="expression" dxfId="781" priority="833">
      <formula>IF(#REF!="FICTICIO",1,0)</formula>
    </cfRule>
  </conditionalFormatting>
  <conditionalFormatting sqref="E157:E158">
    <cfRule type="expression" dxfId="780" priority="832">
      <formula>IF(#REF!="FICTICIO",1,0)</formula>
    </cfRule>
  </conditionalFormatting>
  <conditionalFormatting sqref="D159 F159">
    <cfRule type="expression" dxfId="779" priority="831">
      <formula>IF(#REF!="FICTICIO",1,0)</formula>
    </cfRule>
  </conditionalFormatting>
  <conditionalFormatting sqref="E159:E160">
    <cfRule type="expression" dxfId="778" priority="830">
      <formula>IF(#REF!="FICTICIO",1,0)</formula>
    </cfRule>
  </conditionalFormatting>
  <conditionalFormatting sqref="E159:E160">
    <cfRule type="expression" dxfId="777" priority="829">
      <formula>IF(#REF!="FICTICIO",1,0)</formula>
    </cfRule>
  </conditionalFormatting>
  <conditionalFormatting sqref="D160:F160">
    <cfRule type="expression" dxfId="776" priority="828">
      <formula>IF(#REF!="FICTICIO",1,0)</formula>
    </cfRule>
  </conditionalFormatting>
  <conditionalFormatting sqref="D161">
    <cfRule type="expression" dxfId="775" priority="827">
      <formula>IF(#REF!="FICTICIO",1,0)</formula>
    </cfRule>
  </conditionalFormatting>
  <conditionalFormatting sqref="E161">
    <cfRule type="expression" dxfId="774" priority="826">
      <formula>IF(#REF!="FICTICIO",1,0)</formula>
    </cfRule>
  </conditionalFormatting>
  <conditionalFormatting sqref="E161">
    <cfRule type="expression" dxfId="773" priority="825">
      <formula>IF(#REF!="FICTICIO",1,0)</formula>
    </cfRule>
  </conditionalFormatting>
  <conditionalFormatting sqref="E161">
    <cfRule type="expression" dxfId="772" priority="824">
      <formula>IF(#REF!="FICTICIO",1,0)</formula>
    </cfRule>
  </conditionalFormatting>
  <conditionalFormatting sqref="D162">
    <cfRule type="expression" dxfId="771" priority="823">
      <formula>IF(#REF!="FICTICIO",1,0)</formula>
    </cfRule>
  </conditionalFormatting>
  <conditionalFormatting sqref="E162">
    <cfRule type="expression" dxfId="770" priority="822">
      <formula>IF(#REF!="FICTICIO",1,0)</formula>
    </cfRule>
  </conditionalFormatting>
  <conditionalFormatting sqref="E162">
    <cfRule type="expression" dxfId="769" priority="821">
      <formula>IF(#REF!="FICTICIO",1,0)</formula>
    </cfRule>
  </conditionalFormatting>
  <conditionalFormatting sqref="E162">
    <cfRule type="expression" dxfId="768" priority="820">
      <formula>IF(#REF!="FICTICIO",1,0)</formula>
    </cfRule>
  </conditionalFormatting>
  <conditionalFormatting sqref="F161:F162">
    <cfRule type="expression" dxfId="767" priority="816">
      <formula>IF(#REF!="FICTICIO",1,0)</formula>
    </cfRule>
  </conditionalFormatting>
  <conditionalFormatting sqref="F163">
    <cfRule type="expression" dxfId="766" priority="814">
      <formula>IF(#REF!="FICTICIO",1,0)</formula>
    </cfRule>
  </conditionalFormatting>
  <conditionalFormatting sqref="F163">
    <cfRule type="expression" dxfId="765" priority="815">
      <formula>IF(#REF!="FICTICIO",1,0)</formula>
    </cfRule>
  </conditionalFormatting>
  <conditionalFormatting sqref="D163">
    <cfRule type="expression" dxfId="764" priority="812">
      <formula>IF(#REF!="FICTICIO",1,0)</formula>
    </cfRule>
  </conditionalFormatting>
  <conditionalFormatting sqref="D163">
    <cfRule type="expression" dxfId="763" priority="813">
      <formula>IF(#REF!="FICTICIO",1,0)</formula>
    </cfRule>
  </conditionalFormatting>
  <conditionalFormatting sqref="E163">
    <cfRule type="expression" dxfId="762" priority="805">
      <formula>IF(#REF!="FICTICIO",1,0)</formula>
    </cfRule>
  </conditionalFormatting>
  <conditionalFormatting sqref="E163">
    <cfRule type="expression" dxfId="761" priority="804">
      <formula>IF(#REF!="FICTICIO",1,0)</formula>
    </cfRule>
  </conditionalFormatting>
  <conditionalFormatting sqref="E163">
    <cfRule type="expression" dxfId="760" priority="803">
      <formula>IF(#REF!="FICTICIO",1,0)</formula>
    </cfRule>
  </conditionalFormatting>
  <conditionalFormatting sqref="D7">
    <cfRule type="expression" dxfId="759" priority="801">
      <formula>IF(#REF!="FICTICIO",1,0)</formula>
    </cfRule>
  </conditionalFormatting>
  <conditionalFormatting sqref="D7">
    <cfRule type="expression" dxfId="758" priority="802">
      <formula>IF(#REF!="FICTICIO",1,0)</formula>
    </cfRule>
  </conditionalFormatting>
  <conditionalFormatting sqref="E7">
    <cfRule type="expression" dxfId="757" priority="800">
      <formula>IF(#REF!="FICTICIO",1,0)</formula>
    </cfRule>
  </conditionalFormatting>
  <conditionalFormatting sqref="E7">
    <cfRule type="expression" dxfId="756" priority="799">
      <formula>IF(#REF!="FICTICIO",1,0)</formula>
    </cfRule>
  </conditionalFormatting>
  <conditionalFormatting sqref="E7">
    <cfRule type="expression" dxfId="755" priority="798">
      <formula>IF(#REF!="FICTICIO",1,0)</formula>
    </cfRule>
  </conditionalFormatting>
  <conditionalFormatting sqref="E7">
    <cfRule type="expression" dxfId="754" priority="797">
      <formula>IF(#REF!="FICTICIO",1,0)</formula>
    </cfRule>
  </conditionalFormatting>
  <conditionalFormatting sqref="E7">
    <cfRule type="expression" dxfId="753" priority="795">
      <formula>IF(#REF!="FICTICIO",1,0)</formula>
    </cfRule>
  </conditionalFormatting>
  <conditionalFormatting sqref="E7">
    <cfRule type="expression" dxfId="752" priority="796">
      <formula>IF(#REF!="FICTICIO",1,0)</formula>
    </cfRule>
  </conditionalFormatting>
  <conditionalFormatting sqref="F7">
    <cfRule type="expression" dxfId="751" priority="794">
      <formula>IF(#REF!="FICTICIO",1,0)</formula>
    </cfRule>
  </conditionalFormatting>
  <conditionalFormatting sqref="F7">
    <cfRule type="expression" dxfId="750" priority="792">
      <formula>IF(#REF!="FICTICIO",1,0)</formula>
    </cfRule>
  </conditionalFormatting>
  <conditionalFormatting sqref="F7">
    <cfRule type="expression" dxfId="749" priority="793">
      <formula>IF(#REF!="FICTICIO",1,0)</formula>
    </cfRule>
  </conditionalFormatting>
  <conditionalFormatting sqref="D8">
    <cfRule type="expression" dxfId="748" priority="790">
      <formula>IF(#REF!="FICTICIO",1,0)</formula>
    </cfRule>
  </conditionalFormatting>
  <conditionalFormatting sqref="D8">
    <cfRule type="expression" dxfId="747" priority="791">
      <formula>IF(#REF!="FICTICIO",1,0)</formula>
    </cfRule>
  </conditionalFormatting>
  <conditionalFormatting sqref="E8">
    <cfRule type="expression" dxfId="746" priority="789">
      <formula>IF(#REF!="FICTICIO",1,0)</formula>
    </cfRule>
  </conditionalFormatting>
  <conditionalFormatting sqref="F8">
    <cfRule type="expression" dxfId="745" priority="788">
      <formula>IF(#REF!="FICTICIO",1,0)</formula>
    </cfRule>
  </conditionalFormatting>
  <conditionalFormatting sqref="F8">
    <cfRule type="expression" dxfId="744" priority="787">
      <formula>IF(#REF!="FICTICIO",1,0)</formula>
    </cfRule>
  </conditionalFormatting>
  <conditionalFormatting sqref="E9:E11">
    <cfRule type="expression" dxfId="743" priority="786">
      <formula>IF(#REF!="FICTICIO",1,0)</formula>
    </cfRule>
  </conditionalFormatting>
  <conditionalFormatting sqref="D10">
    <cfRule type="expression" dxfId="742" priority="784">
      <formula>IF(#REF!="FICTICIO",1,0)</formula>
    </cfRule>
  </conditionalFormatting>
  <conditionalFormatting sqref="D10">
    <cfRule type="expression" dxfId="741" priority="785">
      <formula>IF(#REF!="FICTICIO",1,0)</formula>
    </cfRule>
  </conditionalFormatting>
  <conditionalFormatting sqref="E10">
    <cfRule type="expression" dxfId="740" priority="783">
      <formula>IF(#REF!="FICTICIO",1,0)</formula>
    </cfRule>
  </conditionalFormatting>
  <conditionalFormatting sqref="F10">
    <cfRule type="expression" dxfId="739" priority="782">
      <formula>IF(#REF!="FICTICIO",1,0)</formula>
    </cfRule>
  </conditionalFormatting>
  <conditionalFormatting sqref="F10">
    <cfRule type="expression" dxfId="738" priority="781">
      <formula>IF(#REF!="FICTICIO",1,0)</formula>
    </cfRule>
  </conditionalFormatting>
  <conditionalFormatting sqref="E12">
    <cfRule type="expression" dxfId="737" priority="780">
      <formula>IF(#REF!="FICTICIO",1,0)</formula>
    </cfRule>
  </conditionalFormatting>
  <conditionalFormatting sqref="D12">
    <cfRule type="expression" dxfId="736" priority="778">
      <formula>IF(#REF!="FICTICIO",1,0)</formula>
    </cfRule>
  </conditionalFormatting>
  <conditionalFormatting sqref="D12">
    <cfRule type="expression" dxfId="735" priority="779">
      <formula>IF(#REF!="FICTICIO",1,0)</formula>
    </cfRule>
  </conditionalFormatting>
  <conditionalFormatting sqref="E12">
    <cfRule type="expression" dxfId="734" priority="777">
      <formula>IF(#REF!="FICTICIO",1,0)</formula>
    </cfRule>
  </conditionalFormatting>
  <conditionalFormatting sqref="F12">
    <cfRule type="expression" dxfId="733" priority="776">
      <formula>IF(#REF!="FICTICIO",1,0)</formula>
    </cfRule>
  </conditionalFormatting>
  <conditionalFormatting sqref="E12">
    <cfRule type="expression" dxfId="732" priority="775">
      <formula>IF(#REF!="FICTICIO",1,0)</formula>
    </cfRule>
  </conditionalFormatting>
  <conditionalFormatting sqref="D13">
    <cfRule type="expression" dxfId="731" priority="773">
      <formula>IF(#REF!="FICTICIO",1,0)</formula>
    </cfRule>
  </conditionalFormatting>
  <conditionalFormatting sqref="D13">
    <cfRule type="expression" dxfId="730" priority="774">
      <formula>IF(#REF!="FICTICIO",1,0)</formula>
    </cfRule>
  </conditionalFormatting>
  <conditionalFormatting sqref="E13">
    <cfRule type="expression" dxfId="729" priority="772">
      <formula>IF(#REF!="FICTICIO",1,0)</formula>
    </cfRule>
  </conditionalFormatting>
  <conditionalFormatting sqref="F13">
    <cfRule type="expression" dxfId="728" priority="771">
      <formula>IF(#REF!="FICTICIO",1,0)</formula>
    </cfRule>
  </conditionalFormatting>
  <conditionalFormatting sqref="E13">
    <cfRule type="expression" dxfId="727" priority="770">
      <formula>IF(#REF!="FICTICIO",1,0)</formula>
    </cfRule>
  </conditionalFormatting>
  <conditionalFormatting sqref="E13">
    <cfRule type="expression" dxfId="726" priority="769">
      <formula>IF(#REF!="FICTICIO",1,0)</formula>
    </cfRule>
  </conditionalFormatting>
  <conditionalFormatting sqref="E14">
    <cfRule type="expression" dxfId="725" priority="768">
      <formula>IF(#REF!="FICTICIO",1,0)</formula>
    </cfRule>
  </conditionalFormatting>
  <conditionalFormatting sqref="F14">
    <cfRule type="expression" dxfId="724" priority="767">
      <formula>IF(#REF!="FICTICIO",1,0)</formula>
    </cfRule>
  </conditionalFormatting>
  <conditionalFormatting sqref="E14">
    <cfRule type="expression" dxfId="723" priority="766">
      <formula>IF(#REF!="FICTICIO",1,0)</formula>
    </cfRule>
  </conditionalFormatting>
  <conditionalFormatting sqref="E14">
    <cfRule type="expression" dxfId="722" priority="765">
      <formula>IF(#REF!="FICTICIO",1,0)</formula>
    </cfRule>
  </conditionalFormatting>
  <conditionalFormatting sqref="E15">
    <cfRule type="expression" dxfId="721" priority="764">
      <formula>IF(#REF!="FICTICIO",1,0)</formula>
    </cfRule>
  </conditionalFormatting>
  <conditionalFormatting sqref="E15">
    <cfRule type="expression" dxfId="720" priority="763">
      <formula>IF(#REF!="FICTICIO",1,0)</formula>
    </cfRule>
  </conditionalFormatting>
  <conditionalFormatting sqref="E15">
    <cfRule type="expression" dxfId="719" priority="762">
      <formula>IF(#REF!="FICTICIO",1,0)</formula>
    </cfRule>
  </conditionalFormatting>
  <conditionalFormatting sqref="F15">
    <cfRule type="expression" dxfId="718" priority="761">
      <formula>IF(#REF!="FICTICIO",1,0)</formula>
    </cfRule>
  </conditionalFormatting>
  <conditionalFormatting sqref="E16:E21">
    <cfRule type="expression" dxfId="717" priority="760">
      <formula>IF(#REF!="FICTICIO",1,0)</formula>
    </cfRule>
  </conditionalFormatting>
  <conditionalFormatting sqref="E16:E21">
    <cfRule type="expression" dxfId="716" priority="759">
      <formula>IF(#REF!="FICTICIO",1,0)</formula>
    </cfRule>
  </conditionalFormatting>
  <conditionalFormatting sqref="E16:E21">
    <cfRule type="expression" dxfId="715" priority="758">
      <formula>IF(#REF!="FICTICIO",1,0)</formula>
    </cfRule>
  </conditionalFormatting>
  <conditionalFormatting sqref="D22">
    <cfRule type="expression" dxfId="714" priority="757">
      <formula>IF(#REF!="FICTICIO",1,0)</formula>
    </cfRule>
  </conditionalFormatting>
  <conditionalFormatting sqref="F22">
    <cfRule type="expression" dxfId="713" priority="756">
      <formula>IF(#REF!="FICTICIO",1,0)</formula>
    </cfRule>
  </conditionalFormatting>
  <conditionalFormatting sqref="D22">
    <cfRule type="expression" dxfId="712" priority="754">
      <formula>IF(#REF!="FICTICIO",1,0)</formula>
    </cfRule>
  </conditionalFormatting>
  <conditionalFormatting sqref="D22">
    <cfRule type="expression" dxfId="711" priority="755">
      <formula>IF(#REF!="FICTICIO",1,0)</formula>
    </cfRule>
  </conditionalFormatting>
  <conditionalFormatting sqref="D22">
    <cfRule type="expression" dxfId="710" priority="752">
      <formula>IF(#REF!="FICTICIO",1,0)</formula>
    </cfRule>
  </conditionalFormatting>
  <conditionalFormatting sqref="D22">
    <cfRule type="expression" dxfId="709" priority="753">
      <formula>IF(#REF!="FICTICIO",1,0)</formula>
    </cfRule>
  </conditionalFormatting>
  <conditionalFormatting sqref="E22">
    <cfRule type="expression" dxfId="708" priority="751">
      <formula>IF(#REF!="FICTICIO",1,0)</formula>
    </cfRule>
  </conditionalFormatting>
  <conditionalFormatting sqref="E22">
    <cfRule type="expression" dxfId="707" priority="750">
      <formula>IF(#REF!="FICTICIO",1,0)</formula>
    </cfRule>
  </conditionalFormatting>
  <conditionalFormatting sqref="E22">
    <cfRule type="expression" dxfId="706" priority="749">
      <formula>IF(#REF!="FICTICIO",1,0)</formula>
    </cfRule>
  </conditionalFormatting>
  <conditionalFormatting sqref="D23">
    <cfRule type="expression" dxfId="705" priority="747">
      <formula>IF(#REF!="FICTICIO",1,0)</formula>
    </cfRule>
  </conditionalFormatting>
  <conditionalFormatting sqref="D23">
    <cfRule type="expression" dxfId="704" priority="748">
      <formula>IF(#REF!="FICTICIO",1,0)</formula>
    </cfRule>
  </conditionalFormatting>
  <conditionalFormatting sqref="E23">
    <cfRule type="expression" dxfId="703" priority="746">
      <formula>IF(#REF!="FICTICIO",1,0)</formula>
    </cfRule>
  </conditionalFormatting>
  <conditionalFormatting sqref="E23">
    <cfRule type="expression" dxfId="702" priority="745">
      <formula>IF(#REF!="FICTICIO",1,0)</formula>
    </cfRule>
  </conditionalFormatting>
  <conditionalFormatting sqref="F23">
    <cfRule type="expression" dxfId="701" priority="743">
      <formula>IF(#REF!="FICTICIO",1,0)</formula>
    </cfRule>
  </conditionalFormatting>
  <conditionalFormatting sqref="F23">
    <cfRule type="expression" dxfId="700" priority="744">
      <formula>IF(#REF!="FICTICIO",1,0)</formula>
    </cfRule>
  </conditionalFormatting>
  <conditionalFormatting sqref="E23">
    <cfRule type="expression" dxfId="699" priority="742">
      <formula>IF(#REF!="FICTICIO",1,0)</formula>
    </cfRule>
  </conditionalFormatting>
  <conditionalFormatting sqref="D24">
    <cfRule type="expression" dxfId="698" priority="740">
      <formula>IF(#REF!="FICTICIO",1,0)</formula>
    </cfRule>
  </conditionalFormatting>
  <conditionalFormatting sqref="D24">
    <cfRule type="expression" dxfId="697" priority="741">
      <formula>IF(#REF!="FICTICIO",1,0)</formula>
    </cfRule>
  </conditionalFormatting>
  <conditionalFormatting sqref="E24">
    <cfRule type="expression" dxfId="696" priority="739">
      <formula>IF(#REF!="FICTICIO",1,0)</formula>
    </cfRule>
  </conditionalFormatting>
  <conditionalFormatting sqref="E24">
    <cfRule type="expression" dxfId="695" priority="738">
      <formula>IF(#REF!="FICTICIO",1,0)</formula>
    </cfRule>
  </conditionalFormatting>
  <conditionalFormatting sqref="F24">
    <cfRule type="expression" dxfId="694" priority="736">
      <formula>IF(#REF!="FICTICIO",1,0)</formula>
    </cfRule>
  </conditionalFormatting>
  <conditionalFormatting sqref="F24">
    <cfRule type="expression" dxfId="693" priority="737">
      <formula>IF(#REF!="FICTICIO",1,0)</formula>
    </cfRule>
  </conditionalFormatting>
  <conditionalFormatting sqref="E24">
    <cfRule type="expression" dxfId="692" priority="735">
      <formula>IF(#REF!="FICTICIO",1,0)</formula>
    </cfRule>
  </conditionalFormatting>
  <conditionalFormatting sqref="D25">
    <cfRule type="expression" dxfId="691" priority="733">
      <formula>IF(#REF!="FICTICIO",1,0)</formula>
    </cfRule>
  </conditionalFormatting>
  <conditionalFormatting sqref="D25">
    <cfRule type="expression" dxfId="690" priority="734">
      <formula>IF(#REF!="FICTICIO",1,0)</formula>
    </cfRule>
  </conditionalFormatting>
  <conditionalFormatting sqref="F25">
    <cfRule type="expression" dxfId="689" priority="731">
      <formula>IF(#REF!="FICTICIO",1,0)</formula>
    </cfRule>
  </conditionalFormatting>
  <conditionalFormatting sqref="F25">
    <cfRule type="expression" dxfId="688" priority="732">
      <formula>IF(#REF!="FICTICIO",1,0)</formula>
    </cfRule>
  </conditionalFormatting>
  <conditionalFormatting sqref="D25">
    <cfRule type="expression" dxfId="687" priority="729">
      <formula>IF(#REF!="FICTICIO",1,0)</formula>
    </cfRule>
  </conditionalFormatting>
  <conditionalFormatting sqref="D25">
    <cfRule type="expression" dxfId="686" priority="730">
      <formula>IF(#REF!="FICTICIO",1,0)</formula>
    </cfRule>
  </conditionalFormatting>
  <conditionalFormatting sqref="E25">
    <cfRule type="expression" dxfId="685" priority="728">
      <formula>IF(#REF!="FICTICIO",1,0)</formula>
    </cfRule>
  </conditionalFormatting>
  <conditionalFormatting sqref="E25">
    <cfRule type="expression" dxfId="684" priority="727">
      <formula>IF(#REF!="FICTICIO",1,0)</formula>
    </cfRule>
  </conditionalFormatting>
  <conditionalFormatting sqref="E25">
    <cfRule type="expression" dxfId="683" priority="726">
      <formula>IF(#REF!="FICTICIO",1,0)</formula>
    </cfRule>
  </conditionalFormatting>
  <conditionalFormatting sqref="D26">
    <cfRule type="expression" dxfId="682" priority="724">
      <formula>IF(#REF!="FICTICIO",1,0)</formula>
    </cfRule>
  </conditionalFormatting>
  <conditionalFormatting sqref="D26">
    <cfRule type="expression" dxfId="681" priority="725">
      <formula>IF(#REF!="FICTICIO",1,0)</formula>
    </cfRule>
  </conditionalFormatting>
  <conditionalFormatting sqref="D26">
    <cfRule type="expression" dxfId="680" priority="722">
      <formula>IF(#REF!="FICTICIO",1,0)</formula>
    </cfRule>
  </conditionalFormatting>
  <conditionalFormatting sqref="D26">
    <cfRule type="expression" dxfId="679" priority="723">
      <formula>IF(#REF!="FICTICIO",1,0)</formula>
    </cfRule>
  </conditionalFormatting>
  <conditionalFormatting sqref="F26">
    <cfRule type="expression" dxfId="678" priority="718">
      <formula>IF(#REF!="FICTICIO",1,0)</formula>
    </cfRule>
  </conditionalFormatting>
  <conditionalFormatting sqref="F26">
    <cfRule type="expression" dxfId="677" priority="719">
      <formula>IF(#REF!="FICTICIO",1,0)</formula>
    </cfRule>
  </conditionalFormatting>
  <conditionalFormatting sqref="E26">
    <cfRule type="expression" dxfId="676" priority="716">
      <formula>IF(#REF!="FICTICIO",1,0)</formula>
    </cfRule>
  </conditionalFormatting>
  <conditionalFormatting sqref="E26">
    <cfRule type="expression" dxfId="675" priority="715">
      <formula>IF(#REF!="FICTICIO",1,0)</formula>
    </cfRule>
  </conditionalFormatting>
  <conditionalFormatting sqref="E26">
    <cfRule type="expression" dxfId="674" priority="714">
      <formula>IF(#REF!="FICTICIO",1,0)</formula>
    </cfRule>
  </conditionalFormatting>
  <conditionalFormatting sqref="E27">
    <cfRule type="expression" dxfId="673" priority="713">
      <formula>IF(#REF!="FICTICIO",1,0)</formula>
    </cfRule>
  </conditionalFormatting>
  <conditionalFormatting sqref="E27">
    <cfRule type="expression" dxfId="672" priority="712">
      <formula>IF(#REF!="FICTICIO",1,0)</formula>
    </cfRule>
  </conditionalFormatting>
  <conditionalFormatting sqref="E27">
    <cfRule type="expression" dxfId="671" priority="711">
      <formula>IF(#REF!="FICTICIO",1,0)</formula>
    </cfRule>
  </conditionalFormatting>
  <conditionalFormatting sqref="D28">
    <cfRule type="expression" dxfId="670" priority="709">
      <formula>IF(#REF!="FICTICIO",1,0)</formula>
    </cfRule>
  </conditionalFormatting>
  <conditionalFormatting sqref="D28">
    <cfRule type="expression" dxfId="669" priority="710">
      <formula>IF(#REF!="FICTICIO",1,0)</formula>
    </cfRule>
  </conditionalFormatting>
  <conditionalFormatting sqref="D28">
    <cfRule type="expression" dxfId="668" priority="707">
      <formula>IF(#REF!="FICTICIO",1,0)</formula>
    </cfRule>
  </conditionalFormatting>
  <conditionalFormatting sqref="D28">
    <cfRule type="expression" dxfId="667" priority="708">
      <formula>IF(#REF!="FICTICIO",1,0)</formula>
    </cfRule>
  </conditionalFormatting>
  <conditionalFormatting sqref="F28">
    <cfRule type="expression" dxfId="666" priority="704">
      <formula>IF(#REF!="FICTICIO",1,0)</formula>
    </cfRule>
  </conditionalFormatting>
  <conditionalFormatting sqref="F28">
    <cfRule type="expression" dxfId="665" priority="705">
      <formula>IF(#REF!="FICTICIO",1,0)</formula>
    </cfRule>
  </conditionalFormatting>
  <conditionalFormatting sqref="E28">
    <cfRule type="expression" dxfId="664" priority="702">
      <formula>IF(#REF!="FICTICIO",1,0)</formula>
    </cfRule>
  </conditionalFormatting>
  <conditionalFormatting sqref="E28">
    <cfRule type="expression" dxfId="663" priority="701">
      <formula>IF(#REF!="FICTICIO",1,0)</formula>
    </cfRule>
  </conditionalFormatting>
  <conditionalFormatting sqref="E28">
    <cfRule type="expression" dxfId="662" priority="700">
      <formula>IF(#REF!="FICTICIO",1,0)</formula>
    </cfRule>
  </conditionalFormatting>
  <conditionalFormatting sqref="E29">
    <cfRule type="expression" dxfId="661" priority="699">
      <formula>IF(#REF!="FICTICIO",1,0)</formula>
    </cfRule>
  </conditionalFormatting>
  <conditionalFormatting sqref="E29">
    <cfRule type="expression" dxfId="660" priority="698">
      <formula>IF(#REF!="FICTICIO",1,0)</formula>
    </cfRule>
  </conditionalFormatting>
  <conditionalFormatting sqref="E29">
    <cfRule type="expression" dxfId="659" priority="697">
      <formula>IF(#REF!="FICTICIO",1,0)</formula>
    </cfRule>
  </conditionalFormatting>
  <conditionalFormatting sqref="D30">
    <cfRule type="expression" dxfId="658" priority="696">
      <formula>IF(#REF!="FICTICIO",1,0)</formula>
    </cfRule>
  </conditionalFormatting>
  <conditionalFormatting sqref="E30">
    <cfRule type="expression" dxfId="657" priority="695">
      <formula>IF(#REF!="FICTICIO",1,0)</formula>
    </cfRule>
  </conditionalFormatting>
  <conditionalFormatting sqref="F30">
    <cfRule type="expression" dxfId="656" priority="693">
      <formula>IF(#REF!="FICTICIO",1,0)</formula>
    </cfRule>
  </conditionalFormatting>
  <conditionalFormatting sqref="F30">
    <cfRule type="expression" dxfId="655" priority="694">
      <formula>IF(#REF!="FICTICIO",1,0)</formula>
    </cfRule>
  </conditionalFormatting>
  <conditionalFormatting sqref="E31">
    <cfRule type="expression" dxfId="654" priority="692">
      <formula>IF(#REF!="FICTICIO",1,0)</formula>
    </cfRule>
  </conditionalFormatting>
  <conditionalFormatting sqref="E32">
    <cfRule type="expression" dxfId="653" priority="691">
      <formula>IF(#REF!="FICTICIO",1,0)</formula>
    </cfRule>
  </conditionalFormatting>
  <conditionalFormatting sqref="F32">
    <cfRule type="expression" dxfId="652" priority="689">
      <formula>IF(#REF!="FICTICIO",1,0)</formula>
    </cfRule>
  </conditionalFormatting>
  <conditionalFormatting sqref="F32">
    <cfRule type="expression" dxfId="651" priority="690">
      <formula>IF(#REF!="FICTICIO",1,0)</formula>
    </cfRule>
  </conditionalFormatting>
  <conditionalFormatting sqref="D32">
    <cfRule type="expression" dxfId="650" priority="687">
      <formula>IF(#REF!="FICTICIO",1,0)</formula>
    </cfRule>
  </conditionalFormatting>
  <conditionalFormatting sqref="D32">
    <cfRule type="expression" dxfId="649" priority="688">
      <formula>IF(#REF!="FICTICIO",1,0)</formula>
    </cfRule>
  </conditionalFormatting>
  <conditionalFormatting sqref="E33:E37">
    <cfRule type="expression" dxfId="648" priority="686">
      <formula>IF(#REF!="FICTICIO",1,0)</formula>
    </cfRule>
  </conditionalFormatting>
  <conditionalFormatting sqref="F34">
    <cfRule type="expression" dxfId="647" priority="684">
      <formula>IF(#REF!="FICTICIO",1,0)</formula>
    </cfRule>
  </conditionalFormatting>
  <conditionalFormatting sqref="F34">
    <cfRule type="expression" dxfId="646" priority="685">
      <formula>IF(#REF!="FICTICIO",1,0)</formula>
    </cfRule>
  </conditionalFormatting>
  <conditionalFormatting sqref="D34">
    <cfRule type="expression" dxfId="645" priority="682">
      <formula>IF(#REF!="FICTICIO",1,0)</formula>
    </cfRule>
  </conditionalFormatting>
  <conditionalFormatting sqref="D34">
    <cfRule type="expression" dxfId="644" priority="683">
      <formula>IF(#REF!="FICTICIO",1,0)</formula>
    </cfRule>
  </conditionalFormatting>
  <conditionalFormatting sqref="E34">
    <cfRule type="expression" dxfId="643" priority="681">
      <formula>IF(#REF!="FICTICIO",1,0)</formula>
    </cfRule>
  </conditionalFormatting>
  <conditionalFormatting sqref="D36">
    <cfRule type="expression" dxfId="642" priority="679">
      <formula>IF(#REF!="FICTICIO",1,0)</formula>
    </cfRule>
  </conditionalFormatting>
  <conditionalFormatting sqref="D36">
    <cfRule type="expression" dxfId="641" priority="680">
      <formula>IF(#REF!="FICTICIO",1,0)</formula>
    </cfRule>
  </conditionalFormatting>
  <conditionalFormatting sqref="D36">
    <cfRule type="expression" dxfId="640" priority="677">
      <formula>IF(#REF!="FICTICIO",1,0)</formula>
    </cfRule>
  </conditionalFormatting>
  <conditionalFormatting sqref="D36">
    <cfRule type="expression" dxfId="639" priority="678">
      <formula>IF(#REF!="FICTICIO",1,0)</formula>
    </cfRule>
  </conditionalFormatting>
  <conditionalFormatting sqref="E36">
    <cfRule type="expression" dxfId="638" priority="676">
      <formula>IF(#REF!="FICTICIO",1,0)</formula>
    </cfRule>
  </conditionalFormatting>
  <conditionalFormatting sqref="F36">
    <cfRule type="expression" dxfId="637" priority="675">
      <formula>IF(#REF!="FICTICIO",1,0)</formula>
    </cfRule>
  </conditionalFormatting>
  <conditionalFormatting sqref="F36">
    <cfRule type="expression" dxfId="636" priority="673">
      <formula>IF(#REF!="FICTICIO",1,0)</formula>
    </cfRule>
  </conditionalFormatting>
  <conditionalFormatting sqref="F36">
    <cfRule type="expression" dxfId="635" priority="674">
      <formula>IF(#REF!="FICTICIO",1,0)</formula>
    </cfRule>
  </conditionalFormatting>
  <conditionalFormatting sqref="D38">
    <cfRule type="expression" dxfId="634" priority="671">
      <formula>IF(#REF!="FICTICIO",1,0)</formula>
    </cfRule>
  </conditionalFormatting>
  <conditionalFormatting sqref="D38">
    <cfRule type="expression" dxfId="633" priority="672">
      <formula>IF(#REF!="FICTICIO",1,0)</formula>
    </cfRule>
  </conditionalFormatting>
  <conditionalFormatting sqref="E38">
    <cfRule type="expression" dxfId="632" priority="670">
      <formula>IF(#REF!="FICTICIO",1,0)</formula>
    </cfRule>
  </conditionalFormatting>
  <conditionalFormatting sqref="F38">
    <cfRule type="expression" dxfId="631" priority="669">
      <formula>IF(#REF!="FICTICIO",1,0)</formula>
    </cfRule>
  </conditionalFormatting>
  <conditionalFormatting sqref="F38">
    <cfRule type="expression" dxfId="630" priority="667">
      <formula>IF(#REF!="FICTICIO",1,0)</formula>
    </cfRule>
  </conditionalFormatting>
  <conditionalFormatting sqref="F38">
    <cfRule type="expression" dxfId="629" priority="668">
      <formula>IF(#REF!="FICTICIO",1,0)</formula>
    </cfRule>
  </conditionalFormatting>
  <conditionalFormatting sqref="F40">
    <cfRule type="expression" dxfId="628" priority="666">
      <formula>IF(#REF!="FICTICIO",1,0)</formula>
    </cfRule>
  </conditionalFormatting>
  <conditionalFormatting sqref="F40">
    <cfRule type="expression" dxfId="627" priority="664">
      <formula>IF(#REF!="FICTICIO",1,0)</formula>
    </cfRule>
  </conditionalFormatting>
  <conditionalFormatting sqref="F40">
    <cfRule type="expression" dxfId="626" priority="665">
      <formula>IF(#REF!="FICTICIO",1,0)</formula>
    </cfRule>
  </conditionalFormatting>
  <conditionalFormatting sqref="D41 D43">
    <cfRule type="expression" dxfId="625" priority="662">
      <formula>IF(#REF!="FICTICIO",1,0)</formula>
    </cfRule>
  </conditionalFormatting>
  <conditionalFormatting sqref="D41 D43">
    <cfRule type="expression" dxfId="624" priority="663">
      <formula>IF(#REF!="FICTICIO",1,0)</formula>
    </cfRule>
  </conditionalFormatting>
  <conditionalFormatting sqref="D43">
    <cfRule type="expression" dxfId="623" priority="660">
      <formula>IF(#REF!="FICTICIO",1,0)</formula>
    </cfRule>
  </conditionalFormatting>
  <conditionalFormatting sqref="D43">
    <cfRule type="expression" dxfId="622" priority="661">
      <formula>IF(#REF!="FICTICIO",1,0)</formula>
    </cfRule>
  </conditionalFormatting>
  <conditionalFormatting sqref="D46">
    <cfRule type="expression" dxfId="621" priority="659">
      <formula>IF(#REF!="FICTICIO",1,0)</formula>
    </cfRule>
  </conditionalFormatting>
  <conditionalFormatting sqref="F43">
    <cfRule type="expression" dxfId="620" priority="658">
      <formula>IF(#REF!="FICTICIO",1,0)</formula>
    </cfRule>
  </conditionalFormatting>
  <conditionalFormatting sqref="F44">
    <cfRule type="expression" dxfId="619" priority="656">
      <formula>IF(#REF!="FICTICIO",1,0)</formula>
    </cfRule>
  </conditionalFormatting>
  <conditionalFormatting sqref="F44">
    <cfRule type="expression" dxfId="618" priority="657">
      <formula>IF(#REF!="FICTICIO",1,0)</formula>
    </cfRule>
  </conditionalFormatting>
  <conditionalFormatting sqref="D44">
    <cfRule type="expression" dxfId="617" priority="654">
      <formula>IF(#REF!="FICTICIO",1,0)</formula>
    </cfRule>
  </conditionalFormatting>
  <conditionalFormatting sqref="D44">
    <cfRule type="expression" dxfId="616" priority="655">
      <formula>IF(#REF!="FICTICIO",1,0)</formula>
    </cfRule>
  </conditionalFormatting>
  <conditionalFormatting sqref="D44">
    <cfRule type="expression" dxfId="615" priority="652">
      <formula>IF(#REF!="FICTICIO",1,0)</formula>
    </cfRule>
  </conditionalFormatting>
  <conditionalFormatting sqref="D44">
    <cfRule type="expression" dxfId="614" priority="653">
      <formula>IF(#REF!="FICTICIO",1,0)</formula>
    </cfRule>
  </conditionalFormatting>
  <conditionalFormatting sqref="F46">
    <cfRule type="expression" dxfId="613" priority="651">
      <formula>IF(#REF!="FICTICIO",1,0)</formula>
    </cfRule>
  </conditionalFormatting>
  <conditionalFormatting sqref="D42:D47">
    <cfRule type="expression" dxfId="612" priority="649">
      <formula>IF(#REF!="FICTICIO",1,0)</formula>
    </cfRule>
  </conditionalFormatting>
  <conditionalFormatting sqref="D42:D47">
    <cfRule type="expression" dxfId="611" priority="650">
      <formula>IF(#REF!="FICTICIO",1,0)</formula>
    </cfRule>
  </conditionalFormatting>
  <conditionalFormatting sqref="D42:D47">
    <cfRule type="expression" dxfId="610" priority="647">
      <formula>IF(#REF!="FICTICIO",1,0)</formula>
    </cfRule>
  </conditionalFormatting>
  <conditionalFormatting sqref="D42:D47">
    <cfRule type="expression" dxfId="609" priority="648">
      <formula>IF(#REF!="FICTICIO",1,0)</formula>
    </cfRule>
  </conditionalFormatting>
  <conditionalFormatting sqref="F42">
    <cfRule type="expression" dxfId="608" priority="646">
      <formula>IF(#REF!="FICTICIO",1,0)</formula>
    </cfRule>
  </conditionalFormatting>
  <conditionalFormatting sqref="D45">
    <cfRule type="expression" dxfId="607" priority="645">
      <formula>IF(#REF!="FICTICIO",1,0)</formula>
    </cfRule>
  </conditionalFormatting>
  <conditionalFormatting sqref="F45">
    <cfRule type="expression" dxfId="606" priority="644">
      <formula>IF(#REF!="FICTICIO",1,0)</formula>
    </cfRule>
  </conditionalFormatting>
  <conditionalFormatting sqref="F41">
    <cfRule type="expression" dxfId="605" priority="643">
      <formula>IF(#REF!="FICTICIO",1,0)</formula>
    </cfRule>
  </conditionalFormatting>
  <conditionalFormatting sqref="E41:E46">
    <cfRule type="expression" dxfId="604" priority="642">
      <formula>IF(#REF!="FICTICIO",1,0)</formula>
    </cfRule>
  </conditionalFormatting>
  <conditionalFormatting sqref="E41:E46">
    <cfRule type="expression" dxfId="603" priority="641">
      <formula>IF(#REF!="FICTICIO",1,0)</formula>
    </cfRule>
  </conditionalFormatting>
  <conditionalFormatting sqref="E41:E46">
    <cfRule type="expression" dxfId="602" priority="640">
      <formula>IF(#REF!="FICTICIO",1,0)</formula>
    </cfRule>
  </conditionalFormatting>
  <conditionalFormatting sqref="D47">
    <cfRule type="expression" dxfId="601" priority="639">
      <formula>IF(#REF!="FICTICIO",1,0)</formula>
    </cfRule>
  </conditionalFormatting>
  <conditionalFormatting sqref="F47">
    <cfRule type="expression" dxfId="600" priority="638">
      <formula>IF(#REF!="FICTICIO",1,0)</formula>
    </cfRule>
  </conditionalFormatting>
  <conditionalFormatting sqref="D47">
    <cfRule type="expression" dxfId="599" priority="636">
      <formula>IF(#REF!="FICTICIO",1,0)</formula>
    </cfRule>
  </conditionalFormatting>
  <conditionalFormatting sqref="D47">
    <cfRule type="expression" dxfId="598" priority="637">
      <formula>IF(#REF!="FICTICIO",1,0)</formula>
    </cfRule>
  </conditionalFormatting>
  <conditionalFormatting sqref="D47">
    <cfRule type="expression" dxfId="597" priority="634">
      <formula>IF(#REF!="FICTICIO",1,0)</formula>
    </cfRule>
  </conditionalFormatting>
  <conditionalFormatting sqref="D47">
    <cfRule type="expression" dxfId="596" priority="635">
      <formula>IF(#REF!="FICTICIO",1,0)</formula>
    </cfRule>
  </conditionalFormatting>
  <conditionalFormatting sqref="E47">
    <cfRule type="expression" dxfId="595" priority="633">
      <formula>IF(#REF!="FICTICIO",1,0)</formula>
    </cfRule>
  </conditionalFormatting>
  <conditionalFormatting sqref="E47">
    <cfRule type="expression" dxfId="594" priority="632">
      <formula>IF(#REF!="FICTICIO",1,0)</formula>
    </cfRule>
  </conditionalFormatting>
  <conditionalFormatting sqref="E47">
    <cfRule type="expression" dxfId="593" priority="631">
      <formula>IF(#REF!="FICTICIO",1,0)</formula>
    </cfRule>
  </conditionalFormatting>
  <conditionalFormatting sqref="E48">
    <cfRule type="expression" dxfId="592" priority="630">
      <formula>IF(#REF!="FICTICIO",1,0)</formula>
    </cfRule>
  </conditionalFormatting>
  <conditionalFormatting sqref="F48">
    <cfRule type="expression" dxfId="591" priority="629">
      <formula>IF(#REF!="FICTICIO",1,0)</formula>
    </cfRule>
  </conditionalFormatting>
  <conditionalFormatting sqref="E48">
    <cfRule type="expression" dxfId="590" priority="628">
      <formula>IF(#REF!="FICTICIO",1,0)</formula>
    </cfRule>
  </conditionalFormatting>
  <conditionalFormatting sqref="E48">
    <cfRule type="expression" dxfId="589" priority="627">
      <formula>IF(#REF!="FICTICIO",1,0)</formula>
    </cfRule>
  </conditionalFormatting>
  <conditionalFormatting sqref="E48">
    <cfRule type="expression" dxfId="588" priority="626">
      <formula>IF(#REF!="FICTICIO",1,0)</formula>
    </cfRule>
  </conditionalFormatting>
  <conditionalFormatting sqref="D49">
    <cfRule type="expression" dxfId="587" priority="624">
      <formula>IF(#REF!="FICTICIO",1,0)</formula>
    </cfRule>
  </conditionalFormatting>
  <conditionalFormatting sqref="D49">
    <cfRule type="expression" dxfId="586" priority="625">
      <formula>IF(#REF!="FICTICIO",1,0)</formula>
    </cfRule>
  </conditionalFormatting>
  <conditionalFormatting sqref="D49">
    <cfRule type="expression" dxfId="585" priority="622">
      <formula>IF(#REF!="FICTICIO",1,0)</formula>
    </cfRule>
  </conditionalFormatting>
  <conditionalFormatting sqref="D49">
    <cfRule type="expression" dxfId="584" priority="623">
      <formula>IF(#REF!="FICTICIO",1,0)</formula>
    </cfRule>
  </conditionalFormatting>
  <conditionalFormatting sqref="D49">
    <cfRule type="expression" dxfId="583" priority="621">
      <formula>IF(#REF!="FICTICIO",1,0)</formula>
    </cfRule>
  </conditionalFormatting>
  <conditionalFormatting sqref="D49">
    <cfRule type="expression" dxfId="582" priority="619">
      <formula>IF(#REF!="FICTICIO",1,0)</formula>
    </cfRule>
  </conditionalFormatting>
  <conditionalFormatting sqref="D49">
    <cfRule type="expression" dxfId="581" priority="620">
      <formula>IF(#REF!="FICTICIO",1,0)</formula>
    </cfRule>
  </conditionalFormatting>
  <conditionalFormatting sqref="D49">
    <cfRule type="expression" dxfId="580" priority="617">
      <formula>IF(#REF!="FICTICIO",1,0)</formula>
    </cfRule>
  </conditionalFormatting>
  <conditionalFormatting sqref="D49">
    <cfRule type="expression" dxfId="579" priority="618">
      <formula>IF(#REF!="FICTICIO",1,0)</formula>
    </cfRule>
  </conditionalFormatting>
  <conditionalFormatting sqref="E49:E51">
    <cfRule type="expression" dxfId="578" priority="616">
      <formula>IF(#REF!="FICTICIO",1,0)</formula>
    </cfRule>
  </conditionalFormatting>
  <conditionalFormatting sqref="E49:E51">
    <cfRule type="expression" dxfId="577" priority="615">
      <formula>IF(#REF!="FICTICIO",1,0)</formula>
    </cfRule>
  </conditionalFormatting>
  <conditionalFormatting sqref="E49:E51">
    <cfRule type="expression" dxfId="576" priority="614">
      <formula>IF(#REF!="FICTICIO",1,0)</formula>
    </cfRule>
  </conditionalFormatting>
  <conditionalFormatting sqref="E49:E51">
    <cfRule type="expression" dxfId="575" priority="613">
      <formula>IF(#REF!="FICTICIO",1,0)</formula>
    </cfRule>
  </conditionalFormatting>
  <conditionalFormatting sqref="F49">
    <cfRule type="expression" dxfId="574" priority="612">
      <formula>IF(#REF!="FICTICIO",1,0)</formula>
    </cfRule>
  </conditionalFormatting>
  <conditionalFormatting sqref="D50">
    <cfRule type="expression" dxfId="573" priority="610">
      <formula>IF(#REF!="FICTICIO",1,0)</formula>
    </cfRule>
  </conditionalFormatting>
  <conditionalFormatting sqref="D50">
    <cfRule type="expression" dxfId="572" priority="611">
      <formula>IF(#REF!="FICTICIO",1,0)</formula>
    </cfRule>
  </conditionalFormatting>
  <conditionalFormatting sqref="E50">
    <cfRule type="expression" dxfId="571" priority="609">
      <formula>IF(#REF!="FICTICIO",1,0)</formula>
    </cfRule>
  </conditionalFormatting>
  <conditionalFormatting sqref="E50">
    <cfRule type="expression" dxfId="570" priority="608">
      <formula>IF(#REF!="FICTICIO",1,0)</formula>
    </cfRule>
  </conditionalFormatting>
  <conditionalFormatting sqref="D50">
    <cfRule type="expression" dxfId="569" priority="606">
      <formula>IF(#REF!="FICTICIO",1,0)</formula>
    </cfRule>
  </conditionalFormatting>
  <conditionalFormatting sqref="D50">
    <cfRule type="expression" dxfId="568" priority="607">
      <formula>IF(#REF!="FICTICIO",1,0)</formula>
    </cfRule>
  </conditionalFormatting>
  <conditionalFormatting sqref="E50">
    <cfRule type="expression" dxfId="567" priority="605">
      <formula>IF(#REF!="FICTICIO",1,0)</formula>
    </cfRule>
  </conditionalFormatting>
  <conditionalFormatting sqref="F50">
    <cfRule type="expression" dxfId="566" priority="603">
      <formula>IF(#REF!="FICTICIO",1,0)</formula>
    </cfRule>
  </conditionalFormatting>
  <conditionalFormatting sqref="F50">
    <cfRule type="expression" dxfId="565" priority="604">
      <formula>IF(#REF!="FICTICIO",1,0)</formula>
    </cfRule>
  </conditionalFormatting>
  <conditionalFormatting sqref="E50">
    <cfRule type="expression" dxfId="564" priority="602">
      <formula>IF(#REF!="FICTICIO",1,0)</formula>
    </cfRule>
  </conditionalFormatting>
  <conditionalFormatting sqref="E52">
    <cfRule type="expression" dxfId="563" priority="601">
      <formula>IF(#REF!="FICTICIO",1,0)</formula>
    </cfRule>
  </conditionalFormatting>
  <conditionalFormatting sqref="E52">
    <cfRule type="expression" dxfId="562" priority="600">
      <formula>IF(#REF!="FICTICIO",1,0)</formula>
    </cfRule>
  </conditionalFormatting>
  <conditionalFormatting sqref="E52">
    <cfRule type="expression" dxfId="561" priority="599">
      <formula>IF(#REF!="FICTICIO",1,0)</formula>
    </cfRule>
  </conditionalFormatting>
  <conditionalFormatting sqref="E52">
    <cfRule type="expression" dxfId="560" priority="598">
      <formula>IF(#REF!="FICTICIO",1,0)</formula>
    </cfRule>
  </conditionalFormatting>
  <conditionalFormatting sqref="E52">
    <cfRule type="expression" dxfId="559" priority="597">
      <formula>IF(#REF!="FICTICIO",1,0)</formula>
    </cfRule>
  </conditionalFormatting>
  <conditionalFormatting sqref="E52">
    <cfRule type="expression" dxfId="558" priority="596">
      <formula>IF(#REF!="FICTICIO",1,0)</formula>
    </cfRule>
  </conditionalFormatting>
  <conditionalFormatting sqref="E52">
    <cfRule type="expression" dxfId="557" priority="595">
      <formula>IF(#REF!="FICTICIO",1,0)</formula>
    </cfRule>
  </conditionalFormatting>
  <conditionalFormatting sqref="E52">
    <cfRule type="expression" dxfId="556" priority="594">
      <formula>IF(#REF!="FICTICIO",1,0)</formula>
    </cfRule>
  </conditionalFormatting>
  <conditionalFormatting sqref="F52">
    <cfRule type="expression" dxfId="555" priority="592">
      <formula>IF(#REF!="FICTICIO",1,0)</formula>
    </cfRule>
  </conditionalFormatting>
  <conditionalFormatting sqref="F52">
    <cfRule type="expression" dxfId="554" priority="593">
      <formula>IF(#REF!="FICTICIO",1,0)</formula>
    </cfRule>
  </conditionalFormatting>
  <conditionalFormatting sqref="F53">
    <cfRule type="expression" dxfId="553" priority="591">
      <formula>IF(#REF!="FICTICIO",1,0)</formula>
    </cfRule>
  </conditionalFormatting>
  <conditionalFormatting sqref="F53">
    <cfRule type="expression" dxfId="552" priority="590">
      <formula>IF(#REF!="FICTICIO",1,0)</formula>
    </cfRule>
  </conditionalFormatting>
  <conditionalFormatting sqref="D53">
    <cfRule type="expression" dxfId="551" priority="588">
      <formula>IF(#REF!="FICTICIO",1,0)</formula>
    </cfRule>
  </conditionalFormatting>
  <conditionalFormatting sqref="D53">
    <cfRule type="expression" dxfId="550" priority="589">
      <formula>IF(#REF!="FICTICIO",1,0)</formula>
    </cfRule>
  </conditionalFormatting>
  <conditionalFormatting sqref="E53">
    <cfRule type="expression" dxfId="549" priority="584">
      <formula>IF(#REF!="FICTICIO",1,0)</formula>
    </cfRule>
  </conditionalFormatting>
  <conditionalFormatting sqref="E53">
    <cfRule type="expression" dxfId="548" priority="583">
      <formula>IF(#REF!="FICTICIO",1,0)</formula>
    </cfRule>
  </conditionalFormatting>
  <conditionalFormatting sqref="E53">
    <cfRule type="expression" dxfId="547" priority="582">
      <formula>IF(#REF!="FICTICIO",1,0)</formula>
    </cfRule>
  </conditionalFormatting>
  <conditionalFormatting sqref="E53">
    <cfRule type="expression" dxfId="546" priority="581">
      <formula>IF(#REF!="FICTICIO",1,0)</formula>
    </cfRule>
  </conditionalFormatting>
  <conditionalFormatting sqref="E53">
    <cfRule type="expression" dxfId="545" priority="580">
      <formula>IF(#REF!="FICTICIO",1,0)</formula>
    </cfRule>
  </conditionalFormatting>
  <conditionalFormatting sqref="E53">
    <cfRule type="expression" dxfId="544" priority="579">
      <formula>IF(#REF!="FICTICIO",1,0)</formula>
    </cfRule>
  </conditionalFormatting>
  <conditionalFormatting sqref="E53">
    <cfRule type="expression" dxfId="543" priority="578">
      <formula>IF(#REF!="FICTICIO",1,0)</formula>
    </cfRule>
  </conditionalFormatting>
  <conditionalFormatting sqref="E53">
    <cfRule type="expression" dxfId="542" priority="577">
      <formula>IF(#REF!="FICTICIO",1,0)</formula>
    </cfRule>
  </conditionalFormatting>
  <conditionalFormatting sqref="E54">
    <cfRule type="expression" dxfId="541" priority="576">
      <formula>IF(#REF!="FICTICIO",1,0)</formula>
    </cfRule>
  </conditionalFormatting>
  <conditionalFormatting sqref="E54">
    <cfRule type="expression" dxfId="540" priority="575">
      <formula>IF(#REF!="FICTICIO",1,0)</formula>
    </cfRule>
  </conditionalFormatting>
  <conditionalFormatting sqref="E54">
    <cfRule type="expression" dxfId="539" priority="574">
      <formula>IF(#REF!="FICTICIO",1,0)</formula>
    </cfRule>
  </conditionalFormatting>
  <conditionalFormatting sqref="E54">
    <cfRule type="expression" dxfId="538" priority="573">
      <formula>IF(#REF!="FICTICIO",1,0)</formula>
    </cfRule>
  </conditionalFormatting>
  <conditionalFormatting sqref="E54">
    <cfRule type="expression" dxfId="537" priority="572">
      <formula>IF(#REF!="FICTICIO",1,0)</formula>
    </cfRule>
  </conditionalFormatting>
  <conditionalFormatting sqref="E54">
    <cfRule type="expression" dxfId="536" priority="571">
      <formula>IF(#REF!="FICTICIO",1,0)</formula>
    </cfRule>
  </conditionalFormatting>
  <conditionalFormatting sqref="E54">
    <cfRule type="expression" dxfId="535" priority="570">
      <formula>IF(#REF!="FICTICIO",1,0)</formula>
    </cfRule>
  </conditionalFormatting>
  <conditionalFormatting sqref="E54">
    <cfRule type="expression" dxfId="534" priority="569">
      <formula>IF(#REF!="FICTICIO",1,0)</formula>
    </cfRule>
  </conditionalFormatting>
  <conditionalFormatting sqref="F55">
    <cfRule type="expression" dxfId="533" priority="568">
      <formula>IF(#REF!="FICTICIO",1,0)</formula>
    </cfRule>
  </conditionalFormatting>
  <conditionalFormatting sqref="F55">
    <cfRule type="expression" dxfId="532" priority="567">
      <formula>IF(#REF!="FICTICIO",1,0)</formula>
    </cfRule>
  </conditionalFormatting>
  <conditionalFormatting sqref="D55">
    <cfRule type="expression" dxfId="531" priority="565">
      <formula>IF(#REF!="FICTICIO",1,0)</formula>
    </cfRule>
  </conditionalFormatting>
  <conditionalFormatting sqref="D55">
    <cfRule type="expression" dxfId="530" priority="566">
      <formula>IF(#REF!="FICTICIO",1,0)</formula>
    </cfRule>
  </conditionalFormatting>
  <conditionalFormatting sqref="E55">
    <cfRule type="expression" dxfId="529" priority="564">
      <formula>IF(#REF!="FICTICIO",1,0)</formula>
    </cfRule>
  </conditionalFormatting>
  <conditionalFormatting sqref="E55">
    <cfRule type="expression" dxfId="528" priority="563">
      <formula>IF(#REF!="FICTICIO",1,0)</formula>
    </cfRule>
  </conditionalFormatting>
  <conditionalFormatting sqref="E55">
    <cfRule type="expression" dxfId="527" priority="562">
      <formula>IF(#REF!="FICTICIO",1,0)</formula>
    </cfRule>
  </conditionalFormatting>
  <conditionalFormatting sqref="E55">
    <cfRule type="expression" dxfId="526" priority="561">
      <formula>IF(#REF!="FICTICIO",1,0)</formula>
    </cfRule>
  </conditionalFormatting>
  <conditionalFormatting sqref="E55">
    <cfRule type="expression" dxfId="525" priority="560">
      <formula>IF(#REF!="FICTICIO",1,0)</formula>
    </cfRule>
  </conditionalFormatting>
  <conditionalFormatting sqref="D57">
    <cfRule type="expression" dxfId="524" priority="558">
      <formula>IF(#REF!="FICTICIO",1,0)</formula>
    </cfRule>
  </conditionalFormatting>
  <conditionalFormatting sqref="D57">
    <cfRule type="expression" dxfId="523" priority="559">
      <formula>IF(#REF!="FICTICIO",1,0)</formula>
    </cfRule>
  </conditionalFormatting>
  <conditionalFormatting sqref="D57">
    <cfRule type="expression" dxfId="522" priority="556">
      <formula>IF(#REF!="FICTICIO",1,0)</formula>
    </cfRule>
  </conditionalFormatting>
  <conditionalFormatting sqref="D57">
    <cfRule type="expression" dxfId="521" priority="557">
      <formula>IF(#REF!="FICTICIO",1,0)</formula>
    </cfRule>
  </conditionalFormatting>
  <conditionalFormatting sqref="E57">
    <cfRule type="expression" dxfId="520" priority="555">
      <formula>IF(#REF!="FICTICIO",1,0)</formula>
    </cfRule>
  </conditionalFormatting>
  <conditionalFormatting sqref="E57">
    <cfRule type="expression" dxfId="519" priority="554">
      <formula>IF(#REF!="FICTICIO",1,0)</formula>
    </cfRule>
  </conditionalFormatting>
  <conditionalFormatting sqref="E57">
    <cfRule type="expression" dxfId="518" priority="553">
      <formula>IF(#REF!="FICTICIO",1,0)</formula>
    </cfRule>
  </conditionalFormatting>
  <conditionalFormatting sqref="E57">
    <cfRule type="expression" dxfId="517" priority="552">
      <formula>IF(#REF!="FICTICIO",1,0)</formula>
    </cfRule>
  </conditionalFormatting>
  <conditionalFormatting sqref="E57">
    <cfRule type="expression" dxfId="516" priority="551">
      <formula>IF(#REF!="FICTICIO",1,0)</formula>
    </cfRule>
  </conditionalFormatting>
  <conditionalFormatting sqref="F58">
    <cfRule type="expression" dxfId="515" priority="550">
      <formula>IF(#REF!="FICTICIO",1,0)</formula>
    </cfRule>
  </conditionalFormatting>
  <conditionalFormatting sqref="F58">
    <cfRule type="expression" dxfId="514" priority="549">
      <formula>IF(#REF!="FICTICIO",1,0)</formula>
    </cfRule>
  </conditionalFormatting>
  <conditionalFormatting sqref="E59">
    <cfRule type="expression" dxfId="513" priority="548">
      <formula>IF(#REF!="FICTICIO",1,0)</formula>
    </cfRule>
  </conditionalFormatting>
  <conditionalFormatting sqref="E59">
    <cfRule type="expression" dxfId="512" priority="547">
      <formula>IF(#REF!="FICTICIO",1,0)</formula>
    </cfRule>
  </conditionalFormatting>
  <conditionalFormatting sqref="F59">
    <cfRule type="expression" dxfId="511" priority="546">
      <formula>IF(#REF!="FICTICIO",1,0)</formula>
    </cfRule>
  </conditionalFormatting>
  <conditionalFormatting sqref="F59">
    <cfRule type="expression" dxfId="510" priority="545">
      <formula>IF(#REF!="FICTICIO",1,0)</formula>
    </cfRule>
  </conditionalFormatting>
  <conditionalFormatting sqref="F59">
    <cfRule type="expression" dxfId="509" priority="544">
      <formula>IF(#REF!="FICTICIO",1,0)</formula>
    </cfRule>
  </conditionalFormatting>
  <conditionalFormatting sqref="E60">
    <cfRule type="expression" dxfId="508" priority="543">
      <formula>IF(#REF!="FICTICIO",1,0)</formula>
    </cfRule>
  </conditionalFormatting>
  <conditionalFormatting sqref="E60">
    <cfRule type="expression" dxfId="507" priority="542">
      <formula>IF(#REF!="FICTICIO",1,0)</formula>
    </cfRule>
  </conditionalFormatting>
  <conditionalFormatting sqref="F60">
    <cfRule type="expression" dxfId="506" priority="541">
      <formula>IF(#REF!="FICTICIO",1,0)</formula>
    </cfRule>
  </conditionalFormatting>
  <conditionalFormatting sqref="F60">
    <cfRule type="expression" dxfId="505" priority="540">
      <formula>IF(#REF!="FICTICIO",1,0)</formula>
    </cfRule>
  </conditionalFormatting>
  <conditionalFormatting sqref="F60">
    <cfRule type="expression" dxfId="504" priority="539">
      <formula>IF(#REF!="FICTICIO",1,0)</formula>
    </cfRule>
  </conditionalFormatting>
  <conditionalFormatting sqref="D61">
    <cfRule type="expression" dxfId="503" priority="537">
      <formula>IF(#REF!="FICTICIO",1,0)</formula>
    </cfRule>
  </conditionalFormatting>
  <conditionalFormatting sqref="D61">
    <cfRule type="expression" dxfId="502" priority="538">
      <formula>IF(#REF!="FICTICIO",1,0)</formula>
    </cfRule>
  </conditionalFormatting>
  <conditionalFormatting sqref="F61">
    <cfRule type="expression" dxfId="501" priority="534">
      <formula>IF(#REF!="FICTICIO",1,0)</formula>
    </cfRule>
  </conditionalFormatting>
  <conditionalFormatting sqref="F61">
    <cfRule type="expression" dxfId="500" priority="533">
      <formula>IF(#REF!="FICTICIO",1,0)</formula>
    </cfRule>
  </conditionalFormatting>
  <conditionalFormatting sqref="E61">
    <cfRule type="expression" dxfId="499" priority="532">
      <formula>IF(#REF!="FICTICIO",1,0)</formula>
    </cfRule>
  </conditionalFormatting>
  <conditionalFormatting sqref="E61">
    <cfRule type="expression" dxfId="498" priority="531">
      <formula>IF(#REF!="FICTICIO",1,0)</formula>
    </cfRule>
  </conditionalFormatting>
  <conditionalFormatting sqref="F62">
    <cfRule type="expression" dxfId="497" priority="530">
      <formula>IF(#REF!="FICTICIO",1,0)</formula>
    </cfRule>
  </conditionalFormatting>
  <conditionalFormatting sqref="F62">
    <cfRule type="expression" dxfId="496" priority="529">
      <formula>IF(#REF!="FICTICIO",1,0)</formula>
    </cfRule>
  </conditionalFormatting>
  <conditionalFormatting sqref="D63">
    <cfRule type="expression" dxfId="495" priority="527">
      <formula>IF(#REF!="FICTICIO",1,0)</formula>
    </cfRule>
  </conditionalFormatting>
  <conditionalFormatting sqref="D63">
    <cfRule type="expression" dxfId="494" priority="528">
      <formula>IF(#REF!="FICTICIO",1,0)</formula>
    </cfRule>
  </conditionalFormatting>
  <conditionalFormatting sqref="D63">
    <cfRule type="expression" dxfId="493" priority="525">
      <formula>IF(#REF!="FICTICIO",1,0)</formula>
    </cfRule>
  </conditionalFormatting>
  <conditionalFormatting sqref="D63">
    <cfRule type="expression" dxfId="492" priority="526">
      <formula>IF(#REF!="FICTICIO",1,0)</formula>
    </cfRule>
  </conditionalFormatting>
  <conditionalFormatting sqref="E63">
    <cfRule type="expression" dxfId="491" priority="524">
      <formula>IF(#REF!="FICTICIO",1,0)</formula>
    </cfRule>
  </conditionalFormatting>
  <conditionalFormatting sqref="E63">
    <cfRule type="expression" dxfId="490" priority="523">
      <formula>IF(#REF!="FICTICIO",1,0)</formula>
    </cfRule>
  </conditionalFormatting>
  <conditionalFormatting sqref="F63">
    <cfRule type="expression" dxfId="489" priority="522">
      <formula>IF(#REF!="FICTICIO",1,0)</formula>
    </cfRule>
  </conditionalFormatting>
  <conditionalFormatting sqref="F63">
    <cfRule type="expression" dxfId="488" priority="521">
      <formula>IF(#REF!="FICTICIO",1,0)</formula>
    </cfRule>
  </conditionalFormatting>
  <conditionalFormatting sqref="D65">
    <cfRule type="expression" dxfId="487" priority="519">
      <formula>IF(#REF!="FICTICIO",1,0)</formula>
    </cfRule>
  </conditionalFormatting>
  <conditionalFormatting sqref="D65">
    <cfRule type="expression" dxfId="486" priority="520">
      <formula>IF(#REF!="FICTICIO",1,0)</formula>
    </cfRule>
  </conditionalFormatting>
  <conditionalFormatting sqref="D65">
    <cfRule type="expression" dxfId="485" priority="517">
      <formula>IF(#REF!="FICTICIO",1,0)</formula>
    </cfRule>
  </conditionalFormatting>
  <conditionalFormatting sqref="D65">
    <cfRule type="expression" dxfId="484" priority="518">
      <formula>IF(#REF!="FICTICIO",1,0)</formula>
    </cfRule>
  </conditionalFormatting>
  <conditionalFormatting sqref="E65">
    <cfRule type="expression" dxfId="483" priority="516">
      <formula>IF(#REF!="FICTICIO",1,0)</formula>
    </cfRule>
  </conditionalFormatting>
  <conditionalFormatting sqref="E65">
    <cfRule type="expression" dxfId="482" priority="515">
      <formula>IF(#REF!="FICTICIO",1,0)</formula>
    </cfRule>
  </conditionalFormatting>
  <conditionalFormatting sqref="F65">
    <cfRule type="expression" dxfId="481" priority="514">
      <formula>IF(#REF!="FICTICIO",1,0)</formula>
    </cfRule>
  </conditionalFormatting>
  <conditionalFormatting sqref="F65">
    <cfRule type="expression" dxfId="480" priority="513">
      <formula>IF(#REF!="FICTICIO",1,0)</formula>
    </cfRule>
  </conditionalFormatting>
  <conditionalFormatting sqref="E66">
    <cfRule type="expression" dxfId="479" priority="512">
      <formula>IF(#REF!="FICTICIO",1,0)</formula>
    </cfRule>
  </conditionalFormatting>
  <conditionalFormatting sqref="E66">
    <cfRule type="expression" dxfId="478" priority="511">
      <formula>IF(#REF!="FICTICIO",1,0)</formula>
    </cfRule>
  </conditionalFormatting>
  <conditionalFormatting sqref="F67">
    <cfRule type="expression" dxfId="477" priority="510">
      <formula>IF(#REF!="FICTICIO",1,0)</formula>
    </cfRule>
  </conditionalFormatting>
  <conditionalFormatting sqref="F67">
    <cfRule type="expression" dxfId="476" priority="509">
      <formula>IF(#REF!="FICTICIO",1,0)</formula>
    </cfRule>
  </conditionalFormatting>
  <conditionalFormatting sqref="D67">
    <cfRule type="expression" dxfId="475" priority="507">
      <formula>IF(#REF!="FICTICIO",1,0)</formula>
    </cfRule>
  </conditionalFormatting>
  <conditionalFormatting sqref="D67">
    <cfRule type="expression" dxfId="474" priority="508">
      <formula>IF(#REF!="FICTICIO",1,0)</formula>
    </cfRule>
  </conditionalFormatting>
  <conditionalFormatting sqref="E67">
    <cfRule type="expression" dxfId="473" priority="504">
      <formula>IF(#REF!="FICTICIO",1,0)</formula>
    </cfRule>
  </conditionalFormatting>
  <conditionalFormatting sqref="E67">
    <cfRule type="expression" dxfId="472" priority="503">
      <formula>IF(#REF!="FICTICIO",1,0)</formula>
    </cfRule>
  </conditionalFormatting>
  <conditionalFormatting sqref="E68:E70">
    <cfRule type="expression" dxfId="471" priority="502">
      <formula>IF(#REF!="FICTICIO",1,0)</formula>
    </cfRule>
  </conditionalFormatting>
  <conditionalFormatting sqref="E68:E70">
    <cfRule type="expression" dxfId="470" priority="501">
      <formula>IF(#REF!="FICTICIO",1,0)</formula>
    </cfRule>
  </conditionalFormatting>
  <conditionalFormatting sqref="F69">
    <cfRule type="expression" dxfId="469" priority="499">
      <formula>IF(#REF!="FICTICIO",1,0)</formula>
    </cfRule>
  </conditionalFormatting>
  <conditionalFormatting sqref="F69">
    <cfRule type="expression" dxfId="468" priority="500">
      <formula>IF(#REF!="FICTICIO",1,0)</formula>
    </cfRule>
  </conditionalFormatting>
  <conditionalFormatting sqref="E69">
    <cfRule type="expression" dxfId="467" priority="498">
      <formula>IF(#REF!="FICTICIO",1,0)</formula>
    </cfRule>
  </conditionalFormatting>
  <conditionalFormatting sqref="E69">
    <cfRule type="expression" dxfId="466" priority="497">
      <formula>IF(#REF!="FICTICIO",1,0)</formula>
    </cfRule>
  </conditionalFormatting>
  <conditionalFormatting sqref="D69">
    <cfRule type="expression" dxfId="465" priority="496">
      <formula>IF(#REF!="FICTICIO",1,0)</formula>
    </cfRule>
  </conditionalFormatting>
  <conditionalFormatting sqref="D69">
    <cfRule type="expression" dxfId="464" priority="494">
      <formula>IF(#REF!="FICTICIO",1,0)</formula>
    </cfRule>
  </conditionalFormatting>
  <conditionalFormatting sqref="D69">
    <cfRule type="expression" dxfId="463" priority="495">
      <formula>IF(#REF!="FICTICIO",1,0)</formula>
    </cfRule>
  </conditionalFormatting>
  <conditionalFormatting sqref="D69">
    <cfRule type="expression" dxfId="462" priority="492">
      <formula>IF(#REF!="FICTICIO",1,0)</formula>
    </cfRule>
  </conditionalFormatting>
  <conditionalFormatting sqref="D69">
    <cfRule type="expression" dxfId="461" priority="493">
      <formula>IF(#REF!="FICTICIO",1,0)</formula>
    </cfRule>
  </conditionalFormatting>
  <conditionalFormatting sqref="F71">
    <cfRule type="expression" dxfId="460" priority="490">
      <formula>IF(#REF!="FICTICIO",1,0)</formula>
    </cfRule>
  </conditionalFormatting>
  <conditionalFormatting sqref="F71">
    <cfRule type="expression" dxfId="459" priority="491">
      <formula>IF(#REF!="FICTICIO",1,0)</formula>
    </cfRule>
  </conditionalFormatting>
  <conditionalFormatting sqref="D71">
    <cfRule type="expression" dxfId="458" priority="489">
      <formula>IF(#REF!="FICTICIO",1,0)</formula>
    </cfRule>
  </conditionalFormatting>
  <conditionalFormatting sqref="D71">
    <cfRule type="expression" dxfId="457" priority="487">
      <formula>IF(#REF!="FICTICIO",1,0)</formula>
    </cfRule>
  </conditionalFormatting>
  <conditionalFormatting sqref="D71">
    <cfRule type="expression" dxfId="456" priority="488">
      <formula>IF(#REF!="FICTICIO",1,0)</formula>
    </cfRule>
  </conditionalFormatting>
  <conditionalFormatting sqref="D71">
    <cfRule type="expression" dxfId="455" priority="485">
      <formula>IF(#REF!="FICTICIO",1,0)</formula>
    </cfRule>
  </conditionalFormatting>
  <conditionalFormatting sqref="D71">
    <cfRule type="expression" dxfId="454" priority="486">
      <formula>IF(#REF!="FICTICIO",1,0)</formula>
    </cfRule>
  </conditionalFormatting>
  <conditionalFormatting sqref="E72">
    <cfRule type="expression" dxfId="453" priority="482">
      <formula>IF(#REF!="FICTICIO",1,0)</formula>
    </cfRule>
  </conditionalFormatting>
  <conditionalFormatting sqref="F72">
    <cfRule type="expression" dxfId="452" priority="480">
      <formula>IF(#REF!="FICTICIO",1,0)</formula>
    </cfRule>
  </conditionalFormatting>
  <conditionalFormatting sqref="F72">
    <cfRule type="expression" dxfId="451" priority="481">
      <formula>IF(#REF!="FICTICIO",1,0)</formula>
    </cfRule>
  </conditionalFormatting>
  <conditionalFormatting sqref="E72">
    <cfRule type="expression" dxfId="450" priority="479">
      <formula>IF(#REF!="FICTICIO",1,0)</formula>
    </cfRule>
  </conditionalFormatting>
  <conditionalFormatting sqref="D72">
    <cfRule type="expression" dxfId="449" priority="478">
      <formula>IF(#REF!="FICTICIO",1,0)</formula>
    </cfRule>
  </conditionalFormatting>
  <conditionalFormatting sqref="D72">
    <cfRule type="expression" dxfId="448" priority="476">
      <formula>IF(#REF!="FICTICIO",1,0)</formula>
    </cfRule>
  </conditionalFormatting>
  <conditionalFormatting sqref="D72">
    <cfRule type="expression" dxfId="447" priority="477">
      <formula>IF(#REF!="FICTICIO",1,0)</formula>
    </cfRule>
  </conditionalFormatting>
  <conditionalFormatting sqref="D72">
    <cfRule type="expression" dxfId="446" priority="474">
      <formula>IF(#REF!="FICTICIO",1,0)</formula>
    </cfRule>
  </conditionalFormatting>
  <conditionalFormatting sqref="D72">
    <cfRule type="expression" dxfId="445" priority="475">
      <formula>IF(#REF!="FICTICIO",1,0)</formula>
    </cfRule>
  </conditionalFormatting>
  <conditionalFormatting sqref="F73">
    <cfRule type="expression" dxfId="444" priority="472">
      <formula>IF(#REF!="FICTICIO",1,0)</formula>
    </cfRule>
  </conditionalFormatting>
  <conditionalFormatting sqref="F73">
    <cfRule type="expression" dxfId="443" priority="473">
      <formula>IF(#REF!="FICTICIO",1,0)</formula>
    </cfRule>
  </conditionalFormatting>
  <conditionalFormatting sqref="D73">
    <cfRule type="expression" dxfId="442" priority="471">
      <formula>IF(#REF!="FICTICIO",1,0)</formula>
    </cfRule>
  </conditionalFormatting>
  <conditionalFormatting sqref="D73">
    <cfRule type="expression" dxfId="441" priority="469">
      <formula>IF(#REF!="FICTICIO",1,0)</formula>
    </cfRule>
  </conditionalFormatting>
  <conditionalFormatting sqref="D73">
    <cfRule type="expression" dxfId="440" priority="470">
      <formula>IF(#REF!="FICTICIO",1,0)</formula>
    </cfRule>
  </conditionalFormatting>
  <conditionalFormatting sqref="D73">
    <cfRule type="expression" dxfId="439" priority="467">
      <formula>IF(#REF!="FICTICIO",1,0)</formula>
    </cfRule>
  </conditionalFormatting>
  <conditionalFormatting sqref="D73">
    <cfRule type="expression" dxfId="438" priority="468">
      <formula>IF(#REF!="FICTICIO",1,0)</formula>
    </cfRule>
  </conditionalFormatting>
  <conditionalFormatting sqref="E71">
    <cfRule type="expression" dxfId="437" priority="464">
      <formula>IF(#REF!="FICTICIO",1,0)</formula>
    </cfRule>
  </conditionalFormatting>
  <conditionalFormatting sqref="E71">
    <cfRule type="expression" dxfId="436" priority="463">
      <formula>IF(#REF!="FICTICIO",1,0)</formula>
    </cfRule>
  </conditionalFormatting>
  <conditionalFormatting sqref="E73">
    <cfRule type="expression" dxfId="435" priority="462">
      <formula>IF(#REF!="FICTICIO",1,0)</formula>
    </cfRule>
  </conditionalFormatting>
  <conditionalFormatting sqref="E73">
    <cfRule type="expression" dxfId="434" priority="461">
      <formula>IF(#REF!="FICTICIO",1,0)</formula>
    </cfRule>
  </conditionalFormatting>
  <conditionalFormatting sqref="E74">
    <cfRule type="expression" dxfId="433" priority="460">
      <formula>IF(#REF!="FICTICIO",1,0)</formula>
    </cfRule>
  </conditionalFormatting>
  <conditionalFormatting sqref="E74">
    <cfRule type="expression" dxfId="432" priority="459">
      <formula>IF(#REF!="FICTICIO",1,0)</formula>
    </cfRule>
  </conditionalFormatting>
  <conditionalFormatting sqref="F75">
    <cfRule type="expression" dxfId="431" priority="457">
      <formula>IF(#REF!="FICTICIO",1,0)</formula>
    </cfRule>
  </conditionalFormatting>
  <conditionalFormatting sqref="F75">
    <cfRule type="expression" dxfId="430" priority="458">
      <formula>IF(#REF!="FICTICIO",1,0)</formula>
    </cfRule>
  </conditionalFormatting>
  <conditionalFormatting sqref="D75">
    <cfRule type="expression" dxfId="429" priority="455">
      <formula>IF(#REF!="FICTICIO",1,0)</formula>
    </cfRule>
  </conditionalFormatting>
  <conditionalFormatting sqref="D75">
    <cfRule type="expression" dxfId="428" priority="456">
      <formula>IF(#REF!="FICTICIO",1,0)</formula>
    </cfRule>
  </conditionalFormatting>
  <conditionalFormatting sqref="E75">
    <cfRule type="expression" dxfId="427" priority="454">
      <formula>IF(#REF!="FICTICIO",1,0)</formula>
    </cfRule>
  </conditionalFormatting>
  <conditionalFormatting sqref="E75">
    <cfRule type="expression" dxfId="426" priority="453">
      <formula>IF(#REF!="FICTICIO",1,0)</formula>
    </cfRule>
  </conditionalFormatting>
  <conditionalFormatting sqref="D77 D79">
    <cfRule type="expression" dxfId="425" priority="451">
      <formula>IF(#REF!="FICTICIO",1,0)</formula>
    </cfRule>
  </conditionalFormatting>
  <conditionalFormatting sqref="D77 D79">
    <cfRule type="expression" dxfId="424" priority="452">
      <formula>IF(#REF!="FICTICIO",1,0)</formula>
    </cfRule>
  </conditionalFormatting>
  <conditionalFormatting sqref="D79">
    <cfRule type="expression" dxfId="423" priority="449">
      <formula>IF(#REF!="FICTICIO",1,0)</formula>
    </cfRule>
  </conditionalFormatting>
  <conditionalFormatting sqref="D79">
    <cfRule type="expression" dxfId="422" priority="450">
      <formula>IF(#REF!="FICTICIO",1,0)</formula>
    </cfRule>
  </conditionalFormatting>
  <conditionalFormatting sqref="D82">
    <cfRule type="expression" dxfId="421" priority="448">
      <formula>IF(#REF!="FICTICIO",1,0)</formula>
    </cfRule>
  </conditionalFormatting>
  <conditionalFormatting sqref="F79">
    <cfRule type="expression" dxfId="420" priority="447">
      <formula>IF(#REF!="FICTICIO",1,0)</formula>
    </cfRule>
  </conditionalFormatting>
  <conditionalFormatting sqref="F80">
    <cfRule type="expression" dxfId="419" priority="445">
      <formula>IF(#REF!="FICTICIO",1,0)</formula>
    </cfRule>
  </conditionalFormatting>
  <conditionalFormatting sqref="F80">
    <cfRule type="expression" dxfId="418" priority="446">
      <formula>IF(#REF!="FICTICIO",1,0)</formula>
    </cfRule>
  </conditionalFormatting>
  <conditionalFormatting sqref="D80">
    <cfRule type="expression" dxfId="417" priority="443">
      <formula>IF(#REF!="FICTICIO",1,0)</formula>
    </cfRule>
  </conditionalFormatting>
  <conditionalFormatting sqref="D80">
    <cfRule type="expression" dxfId="416" priority="444">
      <formula>IF(#REF!="FICTICIO",1,0)</formula>
    </cfRule>
  </conditionalFormatting>
  <conditionalFormatting sqref="D80">
    <cfRule type="expression" dxfId="415" priority="441">
      <formula>IF(#REF!="FICTICIO",1,0)</formula>
    </cfRule>
  </conditionalFormatting>
  <conditionalFormatting sqref="D80">
    <cfRule type="expression" dxfId="414" priority="442">
      <formula>IF(#REF!="FICTICIO",1,0)</formula>
    </cfRule>
  </conditionalFormatting>
  <conditionalFormatting sqref="F82">
    <cfRule type="expression" dxfId="413" priority="440">
      <formula>IF(#REF!="FICTICIO",1,0)</formula>
    </cfRule>
  </conditionalFormatting>
  <conditionalFormatting sqref="D78:D83">
    <cfRule type="expression" dxfId="412" priority="438">
      <formula>IF(#REF!="FICTICIO",1,0)</formula>
    </cfRule>
  </conditionalFormatting>
  <conditionalFormatting sqref="D78:D83">
    <cfRule type="expression" dxfId="411" priority="439">
      <formula>IF(#REF!="FICTICIO",1,0)</formula>
    </cfRule>
  </conditionalFormatting>
  <conditionalFormatting sqref="D78:D83">
    <cfRule type="expression" dxfId="410" priority="436">
      <formula>IF(#REF!="FICTICIO",1,0)</formula>
    </cfRule>
  </conditionalFormatting>
  <conditionalFormatting sqref="D78:D83">
    <cfRule type="expression" dxfId="409" priority="437">
      <formula>IF(#REF!="FICTICIO",1,0)</formula>
    </cfRule>
  </conditionalFormatting>
  <conditionalFormatting sqref="F78">
    <cfRule type="expression" dxfId="408" priority="435">
      <formula>IF(#REF!="FICTICIO",1,0)</formula>
    </cfRule>
  </conditionalFormatting>
  <conditionalFormatting sqref="D81">
    <cfRule type="expression" dxfId="407" priority="434">
      <formula>IF(#REF!="FICTICIO",1,0)</formula>
    </cfRule>
  </conditionalFormatting>
  <conditionalFormatting sqref="F81">
    <cfRule type="expression" dxfId="406" priority="433">
      <formula>IF(#REF!="FICTICIO",1,0)</formula>
    </cfRule>
  </conditionalFormatting>
  <conditionalFormatting sqref="F77">
    <cfRule type="expression" dxfId="405" priority="432">
      <formula>IF(#REF!="FICTICIO",1,0)</formula>
    </cfRule>
  </conditionalFormatting>
  <conditionalFormatting sqref="E77:E82">
    <cfRule type="expression" dxfId="404" priority="431">
      <formula>IF(#REF!="FICTICIO",1,0)</formula>
    </cfRule>
  </conditionalFormatting>
  <conditionalFormatting sqref="E77:E82">
    <cfRule type="expression" dxfId="403" priority="430">
      <formula>IF(#REF!="FICTICIO",1,0)</formula>
    </cfRule>
  </conditionalFormatting>
  <conditionalFormatting sqref="E77:E82">
    <cfRule type="expression" dxfId="402" priority="429">
      <formula>IF(#REF!="FICTICIO",1,0)</formula>
    </cfRule>
  </conditionalFormatting>
  <conditionalFormatting sqref="D83">
    <cfRule type="expression" dxfId="401" priority="428">
      <formula>IF(#REF!="FICTICIO",1,0)</formula>
    </cfRule>
  </conditionalFormatting>
  <conditionalFormatting sqref="F83">
    <cfRule type="expression" dxfId="400" priority="427">
      <formula>IF(#REF!="FICTICIO",1,0)</formula>
    </cfRule>
  </conditionalFormatting>
  <conditionalFormatting sqref="D83">
    <cfRule type="expression" dxfId="399" priority="425">
      <formula>IF(#REF!="FICTICIO",1,0)</formula>
    </cfRule>
  </conditionalFormatting>
  <conditionalFormatting sqref="D83">
    <cfRule type="expression" dxfId="398" priority="426">
      <formula>IF(#REF!="FICTICIO",1,0)</formula>
    </cfRule>
  </conditionalFormatting>
  <conditionalFormatting sqref="D83">
    <cfRule type="expression" dxfId="397" priority="423">
      <formula>IF(#REF!="FICTICIO",1,0)</formula>
    </cfRule>
  </conditionalFormatting>
  <conditionalFormatting sqref="D83">
    <cfRule type="expression" dxfId="396" priority="424">
      <formula>IF(#REF!="FICTICIO",1,0)</formula>
    </cfRule>
  </conditionalFormatting>
  <conditionalFormatting sqref="E83">
    <cfRule type="expression" dxfId="395" priority="422">
      <formula>IF(#REF!="FICTICIO",1,0)</formula>
    </cfRule>
  </conditionalFormatting>
  <conditionalFormatting sqref="E83">
    <cfRule type="expression" dxfId="394" priority="421">
      <formula>IF(#REF!="FICTICIO",1,0)</formula>
    </cfRule>
  </conditionalFormatting>
  <conditionalFormatting sqref="E83">
    <cfRule type="expression" dxfId="393" priority="420">
      <formula>IF(#REF!="FICTICIO",1,0)</formula>
    </cfRule>
  </conditionalFormatting>
  <conditionalFormatting sqref="E76:E83">
    <cfRule type="expression" dxfId="392" priority="419">
      <formula>IF(#REF!="FICTICIO",1,0)</formula>
    </cfRule>
  </conditionalFormatting>
  <conditionalFormatting sqref="E76:E83">
    <cfRule type="expression" dxfId="391" priority="418">
      <formula>IF(#REF!="FICTICIO",1,0)</formula>
    </cfRule>
  </conditionalFormatting>
  <conditionalFormatting sqref="E84">
    <cfRule type="expression" dxfId="390" priority="417">
      <formula>IF(#REF!="FICTICIO",1,0)</formula>
    </cfRule>
  </conditionalFormatting>
  <conditionalFormatting sqref="E84">
    <cfRule type="expression" dxfId="389" priority="416">
      <formula>IF(#REF!="FICTICIO",1,0)</formula>
    </cfRule>
  </conditionalFormatting>
  <conditionalFormatting sqref="E84">
    <cfRule type="expression" dxfId="388" priority="415">
      <formula>IF(#REF!="FICTICIO",1,0)</formula>
    </cfRule>
  </conditionalFormatting>
  <conditionalFormatting sqref="E84">
    <cfRule type="expression" dxfId="387" priority="414">
      <formula>IF(#REF!="FICTICIO",1,0)</formula>
    </cfRule>
  </conditionalFormatting>
  <conditionalFormatting sqref="E84">
    <cfRule type="expression" dxfId="386" priority="413">
      <formula>IF(#REF!="FICTICIO",1,0)</formula>
    </cfRule>
  </conditionalFormatting>
  <conditionalFormatting sqref="E84">
    <cfRule type="expression" dxfId="385" priority="412">
      <formula>IF(#REF!="FICTICIO",1,0)</formula>
    </cfRule>
  </conditionalFormatting>
  <conditionalFormatting sqref="D84">
    <cfRule type="expression" dxfId="384" priority="410">
      <formula>IF(#REF!="FICTICIO",1,0)</formula>
    </cfRule>
  </conditionalFormatting>
  <conditionalFormatting sqref="D84">
    <cfRule type="expression" dxfId="383" priority="411">
      <formula>IF(#REF!="FICTICIO",1,0)</formula>
    </cfRule>
  </conditionalFormatting>
  <conditionalFormatting sqref="E84">
    <cfRule type="expression" dxfId="382" priority="409">
      <formula>IF(#REF!="FICTICIO",1,0)</formula>
    </cfRule>
  </conditionalFormatting>
  <conditionalFormatting sqref="E84">
    <cfRule type="expression" dxfId="381" priority="408">
      <formula>IF(#REF!="FICTICIO",1,0)</formula>
    </cfRule>
  </conditionalFormatting>
  <conditionalFormatting sqref="F84">
    <cfRule type="expression" dxfId="380" priority="406">
      <formula>IF(#REF!="FICTICIO",1,0)</formula>
    </cfRule>
  </conditionalFormatting>
  <conditionalFormatting sqref="F84">
    <cfRule type="expression" dxfId="379" priority="407">
      <formula>IF(#REF!="FICTICIO",1,0)</formula>
    </cfRule>
  </conditionalFormatting>
  <conditionalFormatting sqref="E84">
    <cfRule type="expression" dxfId="378" priority="405">
      <formula>IF(#REF!="FICTICIO",1,0)</formula>
    </cfRule>
  </conditionalFormatting>
  <conditionalFormatting sqref="E84">
    <cfRule type="expression" dxfId="377" priority="404">
      <formula>IF(#REF!="FICTICIO",1,0)</formula>
    </cfRule>
  </conditionalFormatting>
  <conditionalFormatting sqref="D84">
    <cfRule type="expression" dxfId="376" priority="402">
      <formula>IF(#REF!="FICTICIO",1,0)</formula>
    </cfRule>
  </conditionalFormatting>
  <conditionalFormatting sqref="D84">
    <cfRule type="expression" dxfId="375" priority="403">
      <formula>IF(#REF!="FICTICIO",1,0)</formula>
    </cfRule>
  </conditionalFormatting>
  <conditionalFormatting sqref="E84">
    <cfRule type="expression" dxfId="374" priority="401">
      <formula>IF(#REF!="FICTICIO",1,0)</formula>
    </cfRule>
  </conditionalFormatting>
  <conditionalFormatting sqref="E85">
    <cfRule type="expression" dxfId="373" priority="400">
      <formula>IF(#REF!="FICTICIO",1,0)</formula>
    </cfRule>
  </conditionalFormatting>
  <conditionalFormatting sqref="E85">
    <cfRule type="expression" dxfId="372" priority="399">
      <formula>IF(#REF!="FICTICIO",1,0)</formula>
    </cfRule>
  </conditionalFormatting>
  <conditionalFormatting sqref="E85">
    <cfRule type="expression" dxfId="371" priority="398">
      <formula>IF(#REF!="FICTICIO",1,0)</formula>
    </cfRule>
  </conditionalFormatting>
  <conditionalFormatting sqref="E85">
    <cfRule type="expression" dxfId="370" priority="397">
      <formula>IF(#REF!="FICTICIO",1,0)</formula>
    </cfRule>
  </conditionalFormatting>
  <conditionalFormatting sqref="E85">
    <cfRule type="expression" dxfId="369" priority="396">
      <formula>IF(#REF!="FICTICIO",1,0)</formula>
    </cfRule>
  </conditionalFormatting>
  <conditionalFormatting sqref="E85">
    <cfRule type="expression" dxfId="368" priority="395">
      <formula>IF(#REF!="FICTICIO",1,0)</formula>
    </cfRule>
  </conditionalFormatting>
  <conditionalFormatting sqref="D85">
    <cfRule type="expression" dxfId="367" priority="393">
      <formula>IF(#REF!="FICTICIO",1,0)</formula>
    </cfRule>
  </conditionalFormatting>
  <conditionalFormatting sqref="D85">
    <cfRule type="expression" dxfId="366" priority="394">
      <formula>IF(#REF!="FICTICIO",1,0)</formula>
    </cfRule>
  </conditionalFormatting>
  <conditionalFormatting sqref="E85">
    <cfRule type="expression" dxfId="365" priority="392">
      <formula>IF(#REF!="FICTICIO",1,0)</formula>
    </cfRule>
  </conditionalFormatting>
  <conditionalFormatting sqref="E85">
    <cfRule type="expression" dxfId="364" priority="391">
      <formula>IF(#REF!="FICTICIO",1,0)</formula>
    </cfRule>
  </conditionalFormatting>
  <conditionalFormatting sqref="F85">
    <cfRule type="expression" dxfId="363" priority="389">
      <formula>IF(#REF!="FICTICIO",1,0)</formula>
    </cfRule>
  </conditionalFormatting>
  <conditionalFormatting sqref="F85">
    <cfRule type="expression" dxfId="362" priority="390">
      <formula>IF(#REF!="FICTICIO",1,0)</formula>
    </cfRule>
  </conditionalFormatting>
  <conditionalFormatting sqref="E85">
    <cfRule type="expression" dxfId="361" priority="388">
      <formula>IF(#REF!="FICTICIO",1,0)</formula>
    </cfRule>
  </conditionalFormatting>
  <conditionalFormatting sqref="E85">
    <cfRule type="expression" dxfId="360" priority="387">
      <formula>IF(#REF!="FICTICIO",1,0)</formula>
    </cfRule>
  </conditionalFormatting>
  <conditionalFormatting sqref="D85">
    <cfRule type="expression" dxfId="359" priority="385">
      <formula>IF(#REF!="FICTICIO",1,0)</formula>
    </cfRule>
  </conditionalFormatting>
  <conditionalFormatting sqref="D85">
    <cfRule type="expression" dxfId="358" priority="386">
      <formula>IF(#REF!="FICTICIO",1,0)</formula>
    </cfRule>
  </conditionalFormatting>
  <conditionalFormatting sqref="E85">
    <cfRule type="expression" dxfId="357" priority="384">
      <formula>IF(#REF!="FICTICIO",1,0)</formula>
    </cfRule>
  </conditionalFormatting>
  <conditionalFormatting sqref="D86">
    <cfRule type="expression" dxfId="356" priority="376">
      <formula>IF(#REF!="FICTICIO",1,0)</formula>
    </cfRule>
  </conditionalFormatting>
  <conditionalFormatting sqref="D86">
    <cfRule type="expression" dxfId="355" priority="377">
      <formula>IF(#REF!="FICTICIO",1,0)</formula>
    </cfRule>
  </conditionalFormatting>
  <conditionalFormatting sqref="D86">
    <cfRule type="expression" dxfId="354" priority="372">
      <formula>IF(#REF!="FICTICIO",1,0)</formula>
    </cfRule>
  </conditionalFormatting>
  <conditionalFormatting sqref="D86">
    <cfRule type="expression" dxfId="353" priority="373">
      <formula>IF(#REF!="FICTICIO",1,0)</formula>
    </cfRule>
  </conditionalFormatting>
  <conditionalFormatting sqref="F86">
    <cfRule type="expression" dxfId="352" priority="369">
      <formula>IF(#REF!="FICTICIO",1,0)</formula>
    </cfRule>
  </conditionalFormatting>
  <conditionalFormatting sqref="F86">
    <cfRule type="expression" dxfId="351" priority="370">
      <formula>IF(#REF!="FICTICIO",1,0)</formula>
    </cfRule>
  </conditionalFormatting>
  <conditionalFormatting sqref="E86">
    <cfRule type="expression" dxfId="350" priority="367">
      <formula>IF(#REF!="FICTICIO",1,0)</formula>
    </cfRule>
  </conditionalFormatting>
  <conditionalFormatting sqref="E86">
    <cfRule type="expression" dxfId="349" priority="366">
      <formula>IF(#REF!="FICTICIO",1,0)</formula>
    </cfRule>
  </conditionalFormatting>
  <conditionalFormatting sqref="E86">
    <cfRule type="expression" dxfId="348" priority="365">
      <formula>IF(#REF!="FICTICIO",1,0)</formula>
    </cfRule>
  </conditionalFormatting>
  <conditionalFormatting sqref="E86">
    <cfRule type="expression" dxfId="347" priority="364">
      <formula>IF(#REF!="FICTICIO",1,0)</formula>
    </cfRule>
  </conditionalFormatting>
  <conditionalFormatting sqref="E86">
    <cfRule type="expression" dxfId="346" priority="363">
      <formula>IF(#REF!="FICTICIO",1,0)</formula>
    </cfRule>
  </conditionalFormatting>
  <conditionalFormatting sqref="E86">
    <cfRule type="expression" dxfId="345" priority="362">
      <formula>IF(#REF!="FICTICIO",1,0)</formula>
    </cfRule>
  </conditionalFormatting>
  <conditionalFormatting sqref="E86">
    <cfRule type="expression" dxfId="344" priority="361">
      <formula>IF(#REF!="FICTICIO",1,0)</formula>
    </cfRule>
  </conditionalFormatting>
  <conditionalFormatting sqref="E86">
    <cfRule type="expression" dxfId="343" priority="360">
      <formula>IF(#REF!="FICTICIO",1,0)</formula>
    </cfRule>
  </conditionalFormatting>
  <conditionalFormatting sqref="E86">
    <cfRule type="expression" dxfId="342" priority="359">
      <formula>IF(#REF!="FICTICIO",1,0)</formula>
    </cfRule>
  </conditionalFormatting>
  <conditionalFormatting sqref="E86">
    <cfRule type="expression" dxfId="341" priority="358">
      <formula>IF(#REF!="FICTICIO",1,0)</formula>
    </cfRule>
  </conditionalFormatting>
  <conditionalFormatting sqref="E86">
    <cfRule type="expression" dxfId="340" priority="357">
      <formula>IF(#REF!="FICTICIO",1,0)</formula>
    </cfRule>
  </conditionalFormatting>
  <conditionalFormatting sqref="F87">
    <cfRule type="expression" dxfId="339" priority="355">
      <formula>IF(#REF!="FICTICIO",1,0)</formula>
    </cfRule>
  </conditionalFormatting>
  <conditionalFormatting sqref="F87">
    <cfRule type="expression" dxfId="338" priority="356">
      <formula>IF(#REF!="FICTICIO",1,0)</formula>
    </cfRule>
  </conditionalFormatting>
  <conditionalFormatting sqref="D88">
    <cfRule type="expression" dxfId="337" priority="353">
      <formula>IF(#REF!="FICTICIO",1,0)</formula>
    </cfRule>
  </conditionalFormatting>
  <conditionalFormatting sqref="D88">
    <cfRule type="expression" dxfId="336" priority="354">
      <formula>IF(#REF!="FICTICIO",1,0)</formula>
    </cfRule>
  </conditionalFormatting>
  <conditionalFormatting sqref="E88:E94">
    <cfRule type="expression" dxfId="335" priority="352">
      <formula>IF(#REF!="FICTICIO",1,0)</formula>
    </cfRule>
  </conditionalFormatting>
  <conditionalFormatting sqref="E88:E94">
    <cfRule type="expression" dxfId="334" priority="351">
      <formula>IF(#REF!="FICTICIO",1,0)</formula>
    </cfRule>
  </conditionalFormatting>
  <conditionalFormatting sqref="F88">
    <cfRule type="expression" dxfId="333" priority="350">
      <formula>IF(#REF!="FICTICIO",1,0)</formula>
    </cfRule>
  </conditionalFormatting>
  <conditionalFormatting sqref="F88">
    <cfRule type="expression" dxfId="332" priority="349">
      <formula>IF(#REF!="FICTICIO",1,0)</formula>
    </cfRule>
  </conditionalFormatting>
  <conditionalFormatting sqref="F88">
    <cfRule type="expression" dxfId="331" priority="348">
      <formula>IF(#REF!="FICTICIO",1,0)</formula>
    </cfRule>
  </conditionalFormatting>
  <conditionalFormatting sqref="F88">
    <cfRule type="expression" dxfId="330" priority="347">
      <formula>IF(#REF!="FICTICIO",1,0)</formula>
    </cfRule>
  </conditionalFormatting>
  <conditionalFormatting sqref="E89">
    <cfRule type="expression" dxfId="329" priority="346">
      <formula>IF(#REF!="FICTICIO",1,0)</formula>
    </cfRule>
  </conditionalFormatting>
  <conditionalFormatting sqref="E89">
    <cfRule type="expression" dxfId="328" priority="345">
      <formula>IF(#REF!="FICTICIO",1,0)</formula>
    </cfRule>
  </conditionalFormatting>
  <conditionalFormatting sqref="E89">
    <cfRule type="expression" dxfId="327" priority="344">
      <formula>IF(#REF!="FICTICIO",1,0)</formula>
    </cfRule>
  </conditionalFormatting>
  <conditionalFormatting sqref="E89">
    <cfRule type="expression" dxfId="326" priority="343">
      <formula>IF(#REF!="FICTICIO",1,0)</formula>
    </cfRule>
  </conditionalFormatting>
  <conditionalFormatting sqref="F89">
    <cfRule type="expression" dxfId="325" priority="342">
      <formula>IF(#REF!="FICTICIO",1,0)</formula>
    </cfRule>
  </conditionalFormatting>
  <conditionalFormatting sqref="F89">
    <cfRule type="expression" dxfId="324" priority="340">
      <formula>IF(#REF!="FICTICIO",1,0)</formula>
    </cfRule>
  </conditionalFormatting>
  <conditionalFormatting sqref="F89">
    <cfRule type="expression" dxfId="323" priority="341">
      <formula>IF(#REF!="FICTICIO",1,0)</formula>
    </cfRule>
  </conditionalFormatting>
  <conditionalFormatting sqref="E89">
    <cfRule type="expression" dxfId="322" priority="338">
      <formula>IF(#REF!="FICTICIO",1,0)</formula>
    </cfRule>
  </conditionalFormatting>
  <conditionalFormatting sqref="E89">
    <cfRule type="expression" dxfId="321" priority="339">
      <formula>IF(#REF!="FICTICIO",1,0)</formula>
    </cfRule>
  </conditionalFormatting>
  <conditionalFormatting sqref="D89">
    <cfRule type="expression" dxfId="320" priority="336">
      <formula>IF(#REF!="FICTICIO",1,0)</formula>
    </cfRule>
  </conditionalFormatting>
  <conditionalFormatting sqref="D89">
    <cfRule type="expression" dxfId="319" priority="337">
      <formula>IF(#REF!="FICTICIO",1,0)</formula>
    </cfRule>
  </conditionalFormatting>
  <conditionalFormatting sqref="E91">
    <cfRule type="expression" dxfId="318" priority="335">
      <formula>IF(#REF!="FICTICIO",1,0)</formula>
    </cfRule>
  </conditionalFormatting>
  <conditionalFormatting sqref="E91">
    <cfRule type="expression" dxfId="317" priority="334">
      <formula>IF(#REF!="FICTICIO",1,0)</formula>
    </cfRule>
  </conditionalFormatting>
  <conditionalFormatting sqref="E91">
    <cfRule type="expression" dxfId="316" priority="333">
      <formula>IF(#REF!="FICTICIO",1,0)</formula>
    </cfRule>
  </conditionalFormatting>
  <conditionalFormatting sqref="E91">
    <cfRule type="expression" dxfId="315" priority="332">
      <formula>IF(#REF!="FICTICIO",1,0)</formula>
    </cfRule>
  </conditionalFormatting>
  <conditionalFormatting sqref="E91">
    <cfRule type="expression" dxfId="314" priority="330">
      <formula>IF(#REF!="FICTICIO",1,0)</formula>
    </cfRule>
  </conditionalFormatting>
  <conditionalFormatting sqref="E91">
    <cfRule type="expression" dxfId="313" priority="331">
      <formula>IF(#REF!="FICTICIO",1,0)</formula>
    </cfRule>
  </conditionalFormatting>
  <conditionalFormatting sqref="E91">
    <cfRule type="expression" dxfId="312" priority="329">
      <formula>IF(#REF!="FICTICIO",1,0)</formula>
    </cfRule>
  </conditionalFormatting>
  <conditionalFormatting sqref="E91">
    <cfRule type="expression" dxfId="311" priority="328">
      <formula>IF(#REF!="FICTICIO",1,0)</formula>
    </cfRule>
  </conditionalFormatting>
  <conditionalFormatting sqref="E91">
    <cfRule type="expression" dxfId="310" priority="327">
      <formula>IF(#REF!="FICTICIO",1,0)</formula>
    </cfRule>
  </conditionalFormatting>
  <conditionalFormatting sqref="E91">
    <cfRule type="expression" dxfId="309" priority="326">
      <formula>IF(#REF!="FICTICIO",1,0)</formula>
    </cfRule>
  </conditionalFormatting>
  <conditionalFormatting sqref="F91">
    <cfRule type="expression" dxfId="308" priority="324">
      <formula>IF(#REF!="FICTICIO",1,0)</formula>
    </cfRule>
  </conditionalFormatting>
  <conditionalFormatting sqref="F91">
    <cfRule type="expression" dxfId="307" priority="325">
      <formula>IF(#REF!="FICTICIO",1,0)</formula>
    </cfRule>
  </conditionalFormatting>
  <conditionalFormatting sqref="E91">
    <cfRule type="expression" dxfId="306" priority="322">
      <formula>IF(#REF!="FICTICIO",1,0)</formula>
    </cfRule>
  </conditionalFormatting>
  <conditionalFormatting sqref="E91">
    <cfRule type="expression" dxfId="305" priority="323">
      <formula>IF(#REF!="FICTICIO",1,0)</formula>
    </cfRule>
  </conditionalFormatting>
  <conditionalFormatting sqref="D91">
    <cfRule type="expression" dxfId="304" priority="320">
      <formula>IF(#REF!="FICTICIO",1,0)</formula>
    </cfRule>
  </conditionalFormatting>
  <conditionalFormatting sqref="D91">
    <cfRule type="expression" dxfId="303" priority="321">
      <formula>IF(#REF!="FICTICIO",1,0)</formula>
    </cfRule>
  </conditionalFormatting>
  <conditionalFormatting sqref="E93">
    <cfRule type="expression" dxfId="302" priority="319">
      <formula>IF(#REF!="FICTICIO",1,0)</formula>
    </cfRule>
  </conditionalFormatting>
  <conditionalFormatting sqref="E93">
    <cfRule type="expression" dxfId="301" priority="318">
      <formula>IF(#REF!="FICTICIO",1,0)</formula>
    </cfRule>
  </conditionalFormatting>
  <conditionalFormatting sqref="E93">
    <cfRule type="expression" dxfId="300" priority="317">
      <formula>IF(#REF!="FICTICIO",1,0)</formula>
    </cfRule>
  </conditionalFormatting>
  <conditionalFormatting sqref="E93">
    <cfRule type="expression" dxfId="299" priority="316">
      <formula>IF(#REF!="FICTICIO",1,0)</formula>
    </cfRule>
  </conditionalFormatting>
  <conditionalFormatting sqref="E93">
    <cfRule type="expression" dxfId="298" priority="314">
      <formula>IF(#REF!="FICTICIO",1,0)</formula>
    </cfRule>
  </conditionalFormatting>
  <conditionalFormatting sqref="E93">
    <cfRule type="expression" dxfId="297" priority="315">
      <formula>IF(#REF!="FICTICIO",1,0)</formula>
    </cfRule>
  </conditionalFormatting>
  <conditionalFormatting sqref="E93">
    <cfRule type="expression" dxfId="296" priority="313">
      <formula>IF(#REF!="FICTICIO",1,0)</formula>
    </cfRule>
  </conditionalFormatting>
  <conditionalFormatting sqref="E93">
    <cfRule type="expression" dxfId="295" priority="312">
      <formula>IF(#REF!="FICTICIO",1,0)</formula>
    </cfRule>
  </conditionalFormatting>
  <conditionalFormatting sqref="E93">
    <cfRule type="expression" dxfId="294" priority="311">
      <formula>IF(#REF!="FICTICIO",1,0)</formula>
    </cfRule>
  </conditionalFormatting>
  <conditionalFormatting sqref="E93">
    <cfRule type="expression" dxfId="293" priority="310">
      <formula>IF(#REF!="FICTICIO",1,0)</formula>
    </cfRule>
  </conditionalFormatting>
  <conditionalFormatting sqref="E93">
    <cfRule type="expression" dxfId="292" priority="308">
      <formula>IF(#REF!="FICTICIO",1,0)</formula>
    </cfRule>
  </conditionalFormatting>
  <conditionalFormatting sqref="E93">
    <cfRule type="expression" dxfId="291" priority="309">
      <formula>IF(#REF!="FICTICIO",1,0)</formula>
    </cfRule>
  </conditionalFormatting>
  <conditionalFormatting sqref="D93">
    <cfRule type="expression" dxfId="290" priority="307">
      <formula>IF(#REF!="FICTICIO",1,0)</formula>
    </cfRule>
  </conditionalFormatting>
  <conditionalFormatting sqref="E93">
    <cfRule type="expression" dxfId="289" priority="306">
      <formula>IF(#REF!="FICTICIO",1,0)</formula>
    </cfRule>
  </conditionalFormatting>
  <conditionalFormatting sqref="E93">
    <cfRule type="expression" dxfId="288" priority="305">
      <formula>IF(#REF!="FICTICIO",1,0)</formula>
    </cfRule>
  </conditionalFormatting>
  <conditionalFormatting sqref="F93">
    <cfRule type="expression" dxfId="287" priority="303">
      <formula>IF(#REF!="FICTICIO",1,0)</formula>
    </cfRule>
  </conditionalFormatting>
  <conditionalFormatting sqref="F93">
    <cfRule type="expression" dxfId="286" priority="304">
      <formula>IF(#REF!="FICTICIO",1,0)</formula>
    </cfRule>
  </conditionalFormatting>
  <conditionalFormatting sqref="E93">
    <cfRule type="expression" dxfId="285" priority="301">
      <formula>IF(#REF!="FICTICIO",1,0)</formula>
    </cfRule>
  </conditionalFormatting>
  <conditionalFormatting sqref="E93">
    <cfRule type="expression" dxfId="284" priority="302">
      <formula>IF(#REF!="FICTICIO",1,0)</formula>
    </cfRule>
  </conditionalFormatting>
  <conditionalFormatting sqref="E95">
    <cfRule type="expression" dxfId="283" priority="300">
      <formula>IF(#REF!="FICTICIO",1,0)</formula>
    </cfRule>
  </conditionalFormatting>
  <conditionalFormatting sqref="E95">
    <cfRule type="expression" dxfId="282" priority="299">
      <formula>IF(#REF!="FICTICIO",1,0)</formula>
    </cfRule>
  </conditionalFormatting>
  <conditionalFormatting sqref="E95">
    <cfRule type="expression" dxfId="281" priority="298">
      <formula>IF(#REF!="FICTICIO",1,0)</formula>
    </cfRule>
  </conditionalFormatting>
  <conditionalFormatting sqref="E95">
    <cfRule type="expression" dxfId="280" priority="297">
      <formula>IF(#REF!="FICTICIO",1,0)</formula>
    </cfRule>
  </conditionalFormatting>
  <conditionalFormatting sqref="E95">
    <cfRule type="expression" dxfId="279" priority="295">
      <formula>IF(#REF!="FICTICIO",1,0)</formula>
    </cfRule>
  </conditionalFormatting>
  <conditionalFormatting sqref="E95">
    <cfRule type="expression" dxfId="278" priority="296">
      <formula>IF(#REF!="FICTICIO",1,0)</formula>
    </cfRule>
  </conditionalFormatting>
  <conditionalFormatting sqref="E95">
    <cfRule type="expression" dxfId="277" priority="294">
      <formula>IF(#REF!="FICTICIO",1,0)</formula>
    </cfRule>
  </conditionalFormatting>
  <conditionalFormatting sqref="E95">
    <cfRule type="expression" dxfId="276" priority="293">
      <formula>IF(#REF!="FICTICIO",1,0)</formula>
    </cfRule>
  </conditionalFormatting>
  <conditionalFormatting sqref="E95">
    <cfRule type="expression" dxfId="275" priority="291">
      <formula>IF(#REF!="FICTICIO",1,0)</formula>
    </cfRule>
  </conditionalFormatting>
  <conditionalFormatting sqref="E95">
    <cfRule type="expression" dxfId="274" priority="292">
      <formula>IF(#REF!="FICTICIO",1,0)</formula>
    </cfRule>
  </conditionalFormatting>
  <conditionalFormatting sqref="E95">
    <cfRule type="expression" dxfId="273" priority="290">
      <formula>IF(#REF!="FICTICIO",1,0)</formula>
    </cfRule>
  </conditionalFormatting>
  <conditionalFormatting sqref="E95">
    <cfRule type="expression" dxfId="272" priority="289">
      <formula>IF(#REF!="FICTICIO",1,0)</formula>
    </cfRule>
  </conditionalFormatting>
  <conditionalFormatting sqref="E95">
    <cfRule type="expression" dxfId="271" priority="288">
      <formula>IF(#REF!="FICTICIO",1,0)</formula>
    </cfRule>
  </conditionalFormatting>
  <conditionalFormatting sqref="E95">
    <cfRule type="expression" dxfId="270" priority="287">
      <formula>IF(#REF!="FICTICIO",1,0)</formula>
    </cfRule>
  </conditionalFormatting>
  <conditionalFormatting sqref="E95">
    <cfRule type="expression" dxfId="269" priority="285">
      <formula>IF(#REF!="FICTICIO",1,0)</formula>
    </cfRule>
  </conditionalFormatting>
  <conditionalFormatting sqref="E95">
    <cfRule type="expression" dxfId="268" priority="286">
      <formula>IF(#REF!="FICTICIO",1,0)</formula>
    </cfRule>
  </conditionalFormatting>
  <conditionalFormatting sqref="D95">
    <cfRule type="expression" dxfId="267" priority="284">
      <formula>IF(#REF!="FICTICIO",1,0)</formula>
    </cfRule>
  </conditionalFormatting>
  <conditionalFormatting sqref="E95">
    <cfRule type="expression" dxfId="266" priority="283">
      <formula>IF(#REF!="FICTICIO",1,0)</formula>
    </cfRule>
  </conditionalFormatting>
  <conditionalFormatting sqref="E95">
    <cfRule type="expression" dxfId="265" priority="282">
      <formula>IF(#REF!="FICTICIO",1,0)</formula>
    </cfRule>
  </conditionalFormatting>
  <conditionalFormatting sqref="E95">
    <cfRule type="expression" dxfId="264" priority="280">
      <formula>IF(#REF!="FICTICIO",1,0)</formula>
    </cfRule>
  </conditionalFormatting>
  <conditionalFormatting sqref="E95">
    <cfRule type="expression" dxfId="263" priority="281">
      <formula>IF(#REF!="FICTICIO",1,0)</formula>
    </cfRule>
  </conditionalFormatting>
  <conditionalFormatting sqref="F95">
    <cfRule type="expression" dxfId="262" priority="278">
      <formula>IF(#REF!="FICTICIO",1,0)</formula>
    </cfRule>
  </conditionalFormatting>
  <conditionalFormatting sqref="F95">
    <cfRule type="expression" dxfId="261" priority="279">
      <formula>IF(#REF!="FICTICIO",1,0)</formula>
    </cfRule>
  </conditionalFormatting>
  <conditionalFormatting sqref="D97">
    <cfRule type="expression" dxfId="260" priority="277">
      <formula>IF(#REF!="FICTICIO",1,0)</formula>
    </cfRule>
  </conditionalFormatting>
  <conditionalFormatting sqref="D97">
    <cfRule type="expression" dxfId="259" priority="276">
      <formula>IF(#REF!="FICTICIO",1,0)</formula>
    </cfRule>
  </conditionalFormatting>
  <conditionalFormatting sqref="E97">
    <cfRule type="expression" dxfId="258" priority="275">
      <formula>IF(#REF!="FICTICIO",1,0)</formula>
    </cfRule>
  </conditionalFormatting>
  <conditionalFormatting sqref="E97">
    <cfRule type="expression" dxfId="257" priority="274">
      <formula>IF(#REF!="FICTICIO",1,0)</formula>
    </cfRule>
  </conditionalFormatting>
  <conditionalFormatting sqref="E97">
    <cfRule type="expression" dxfId="256" priority="273">
      <formula>IF(#REF!="FICTICIO",1,0)</formula>
    </cfRule>
  </conditionalFormatting>
  <conditionalFormatting sqref="E97">
    <cfRule type="expression" dxfId="255" priority="272">
      <formula>IF(#REF!="FICTICIO",1,0)</formula>
    </cfRule>
  </conditionalFormatting>
  <conditionalFormatting sqref="E97">
    <cfRule type="expression" dxfId="254" priority="270">
      <formula>IF(#REF!="FICTICIO",1,0)</formula>
    </cfRule>
  </conditionalFormatting>
  <conditionalFormatting sqref="E97">
    <cfRule type="expression" dxfId="253" priority="271">
      <formula>IF(#REF!="FICTICIO",1,0)</formula>
    </cfRule>
  </conditionalFormatting>
  <conditionalFormatting sqref="E97">
    <cfRule type="expression" dxfId="252" priority="269">
      <formula>IF(#REF!="FICTICIO",1,0)</formula>
    </cfRule>
  </conditionalFormatting>
  <conditionalFormatting sqref="E97">
    <cfRule type="expression" dxfId="251" priority="268">
      <formula>IF(#REF!="FICTICIO",1,0)</formula>
    </cfRule>
  </conditionalFormatting>
  <conditionalFormatting sqref="E97">
    <cfRule type="expression" dxfId="250" priority="266">
      <formula>IF(#REF!="FICTICIO",1,0)</formula>
    </cfRule>
  </conditionalFormatting>
  <conditionalFormatting sqref="E97">
    <cfRule type="expression" dxfId="249" priority="267">
      <formula>IF(#REF!="FICTICIO",1,0)</formula>
    </cfRule>
  </conditionalFormatting>
  <conditionalFormatting sqref="F97">
    <cfRule type="expression" dxfId="248" priority="264">
      <formula>IF(#REF!="FICTICIO",1,0)</formula>
    </cfRule>
  </conditionalFormatting>
  <conditionalFormatting sqref="F97">
    <cfRule type="expression" dxfId="247" priority="265">
      <formula>IF(#REF!="FICTICIO",1,0)</formula>
    </cfRule>
  </conditionalFormatting>
  <conditionalFormatting sqref="E97">
    <cfRule type="expression" dxfId="246" priority="263">
      <formula>IF(#REF!="FICTICIO",1,0)</formula>
    </cfRule>
  </conditionalFormatting>
  <conditionalFormatting sqref="E97">
    <cfRule type="expression" dxfId="245" priority="262">
      <formula>IF(#REF!="FICTICIO",1,0)</formula>
    </cfRule>
  </conditionalFormatting>
  <conditionalFormatting sqref="E97">
    <cfRule type="expression" dxfId="244" priority="260">
      <formula>IF(#REF!="FICTICIO",1,0)</formula>
    </cfRule>
  </conditionalFormatting>
  <conditionalFormatting sqref="E97">
    <cfRule type="expression" dxfId="243" priority="261">
      <formula>IF(#REF!="FICTICIO",1,0)</formula>
    </cfRule>
  </conditionalFormatting>
  <conditionalFormatting sqref="E97">
    <cfRule type="expression" dxfId="242" priority="259">
      <formula>IF(#REF!="FICTICIO",1,0)</formula>
    </cfRule>
  </conditionalFormatting>
  <conditionalFormatting sqref="E97">
    <cfRule type="expression" dxfId="241" priority="258">
      <formula>IF(#REF!="FICTICIO",1,0)</formula>
    </cfRule>
  </conditionalFormatting>
  <conditionalFormatting sqref="E97">
    <cfRule type="expression" dxfId="240" priority="257">
      <formula>IF(#REF!="FICTICIO",1,0)</formula>
    </cfRule>
  </conditionalFormatting>
  <conditionalFormatting sqref="E97">
    <cfRule type="expression" dxfId="239" priority="256">
      <formula>IF(#REF!="FICTICIO",1,0)</formula>
    </cfRule>
  </conditionalFormatting>
  <conditionalFormatting sqref="E97">
    <cfRule type="expression" dxfId="238" priority="254">
      <formula>IF(#REF!="FICTICIO",1,0)</formula>
    </cfRule>
  </conditionalFormatting>
  <conditionalFormatting sqref="E97">
    <cfRule type="expression" dxfId="237" priority="255">
      <formula>IF(#REF!="FICTICIO",1,0)</formula>
    </cfRule>
  </conditionalFormatting>
  <conditionalFormatting sqref="E97">
    <cfRule type="expression" dxfId="236" priority="253">
      <formula>IF(#REF!="FICTICIO",1,0)</formula>
    </cfRule>
  </conditionalFormatting>
  <conditionalFormatting sqref="E97">
    <cfRule type="expression" dxfId="235" priority="252">
      <formula>IF(#REF!="FICTICIO",1,0)</formula>
    </cfRule>
  </conditionalFormatting>
  <conditionalFormatting sqref="E97">
    <cfRule type="expression" dxfId="234" priority="250">
      <formula>IF(#REF!="FICTICIO",1,0)</formula>
    </cfRule>
  </conditionalFormatting>
  <conditionalFormatting sqref="E97">
    <cfRule type="expression" dxfId="233" priority="251">
      <formula>IF(#REF!="FICTICIO",1,0)</formula>
    </cfRule>
  </conditionalFormatting>
  <conditionalFormatting sqref="D98">
    <cfRule type="expression" dxfId="232" priority="249">
      <formula>IF(#REF!="FICTICIO",1,0)</formula>
    </cfRule>
  </conditionalFormatting>
  <conditionalFormatting sqref="D98">
    <cfRule type="expression" dxfId="231" priority="248">
      <formula>IF(#REF!="FICTICIO",1,0)</formula>
    </cfRule>
  </conditionalFormatting>
  <conditionalFormatting sqref="E98">
    <cfRule type="expression" dxfId="230" priority="247">
      <formula>IF(#REF!="FICTICIO",1,0)</formula>
    </cfRule>
  </conditionalFormatting>
  <conditionalFormatting sqref="E98">
    <cfRule type="expression" dxfId="229" priority="246">
      <formula>IF(#REF!="FICTICIO",1,0)</formula>
    </cfRule>
  </conditionalFormatting>
  <conditionalFormatting sqref="E98">
    <cfRule type="expression" dxfId="228" priority="245">
      <formula>IF(#REF!="FICTICIO",1,0)</formula>
    </cfRule>
  </conditionalFormatting>
  <conditionalFormatting sqref="E98">
    <cfRule type="expression" dxfId="227" priority="244">
      <formula>IF(#REF!="FICTICIO",1,0)</formula>
    </cfRule>
  </conditionalFormatting>
  <conditionalFormatting sqref="E98">
    <cfRule type="expression" dxfId="226" priority="242">
      <formula>IF(#REF!="FICTICIO",1,0)</formula>
    </cfRule>
  </conditionalFormatting>
  <conditionalFormatting sqref="E98">
    <cfRule type="expression" dxfId="225" priority="243">
      <formula>IF(#REF!="FICTICIO",1,0)</formula>
    </cfRule>
  </conditionalFormatting>
  <conditionalFormatting sqref="E98">
    <cfRule type="expression" dxfId="224" priority="241">
      <formula>IF(#REF!="FICTICIO",1,0)</formula>
    </cfRule>
  </conditionalFormatting>
  <conditionalFormatting sqref="E98">
    <cfRule type="expression" dxfId="223" priority="240">
      <formula>IF(#REF!="FICTICIO",1,0)</formula>
    </cfRule>
  </conditionalFormatting>
  <conditionalFormatting sqref="E98">
    <cfRule type="expression" dxfId="222" priority="238">
      <formula>IF(#REF!="FICTICIO",1,0)</formula>
    </cfRule>
  </conditionalFormatting>
  <conditionalFormatting sqref="E98">
    <cfRule type="expression" dxfId="221" priority="239">
      <formula>IF(#REF!="FICTICIO",1,0)</formula>
    </cfRule>
  </conditionalFormatting>
  <conditionalFormatting sqref="F98">
    <cfRule type="expression" dxfId="220" priority="236">
      <formula>IF(#REF!="FICTICIO",1,0)</formula>
    </cfRule>
  </conditionalFormatting>
  <conditionalFormatting sqref="F98">
    <cfRule type="expression" dxfId="219" priority="237">
      <formula>IF(#REF!="FICTICIO",1,0)</formula>
    </cfRule>
  </conditionalFormatting>
  <conditionalFormatting sqref="E98">
    <cfRule type="expression" dxfId="218" priority="235">
      <formula>IF(#REF!="FICTICIO",1,0)</formula>
    </cfRule>
  </conditionalFormatting>
  <conditionalFormatting sqref="E98">
    <cfRule type="expression" dxfId="217" priority="234">
      <formula>IF(#REF!="FICTICIO",1,0)</formula>
    </cfRule>
  </conditionalFormatting>
  <conditionalFormatting sqref="E98">
    <cfRule type="expression" dxfId="216" priority="232">
      <formula>IF(#REF!="FICTICIO",1,0)</formula>
    </cfRule>
  </conditionalFormatting>
  <conditionalFormatting sqref="E98">
    <cfRule type="expression" dxfId="215" priority="233">
      <formula>IF(#REF!="FICTICIO",1,0)</formula>
    </cfRule>
  </conditionalFormatting>
  <conditionalFormatting sqref="E98">
    <cfRule type="expression" dxfId="214" priority="231">
      <formula>IF(#REF!="FICTICIO",1,0)</formula>
    </cfRule>
  </conditionalFormatting>
  <conditionalFormatting sqref="E98">
    <cfRule type="expression" dxfId="213" priority="230">
      <formula>IF(#REF!="FICTICIO",1,0)</formula>
    </cfRule>
  </conditionalFormatting>
  <conditionalFormatting sqref="E98">
    <cfRule type="expression" dxfId="212" priority="229">
      <formula>IF(#REF!="FICTICIO",1,0)</formula>
    </cfRule>
  </conditionalFormatting>
  <conditionalFormatting sqref="E98">
    <cfRule type="expression" dxfId="211" priority="228">
      <formula>IF(#REF!="FICTICIO",1,0)</formula>
    </cfRule>
  </conditionalFormatting>
  <conditionalFormatting sqref="E98">
    <cfRule type="expression" dxfId="210" priority="226">
      <formula>IF(#REF!="FICTICIO",1,0)</formula>
    </cfRule>
  </conditionalFormatting>
  <conditionalFormatting sqref="E98">
    <cfRule type="expression" dxfId="209" priority="227">
      <formula>IF(#REF!="FICTICIO",1,0)</formula>
    </cfRule>
  </conditionalFormatting>
  <conditionalFormatting sqref="E98">
    <cfRule type="expression" dxfId="208" priority="225">
      <formula>IF(#REF!="FICTICIO",1,0)</formula>
    </cfRule>
  </conditionalFormatting>
  <conditionalFormatting sqref="E98">
    <cfRule type="expression" dxfId="207" priority="224">
      <formula>IF(#REF!="FICTICIO",1,0)</formula>
    </cfRule>
  </conditionalFormatting>
  <conditionalFormatting sqref="E98">
    <cfRule type="expression" dxfId="206" priority="222">
      <formula>IF(#REF!="FICTICIO",1,0)</formula>
    </cfRule>
  </conditionalFormatting>
  <conditionalFormatting sqref="E98">
    <cfRule type="expression" dxfId="205" priority="223">
      <formula>IF(#REF!="FICTICIO",1,0)</formula>
    </cfRule>
  </conditionalFormatting>
  <conditionalFormatting sqref="E99">
    <cfRule type="expression" dxfId="204" priority="221">
      <formula>IF(#REF!="FICTICIO",1,0)</formula>
    </cfRule>
  </conditionalFormatting>
  <conditionalFormatting sqref="E99">
    <cfRule type="expression" dxfId="203" priority="220">
      <formula>IF(#REF!="FICTICIO",1,0)</formula>
    </cfRule>
  </conditionalFormatting>
  <conditionalFormatting sqref="E99">
    <cfRule type="expression" dxfId="202" priority="219">
      <formula>IF(#REF!="FICTICIO",1,0)</formula>
    </cfRule>
  </conditionalFormatting>
  <conditionalFormatting sqref="E99">
    <cfRule type="expression" dxfId="201" priority="218">
      <formula>IF(#REF!="FICTICIO",1,0)</formula>
    </cfRule>
  </conditionalFormatting>
  <conditionalFormatting sqref="E99">
    <cfRule type="expression" dxfId="200" priority="216">
      <formula>IF(#REF!="FICTICIO",1,0)</formula>
    </cfRule>
  </conditionalFormatting>
  <conditionalFormatting sqref="E99">
    <cfRule type="expression" dxfId="199" priority="217">
      <formula>IF(#REF!="FICTICIO",1,0)</formula>
    </cfRule>
  </conditionalFormatting>
  <conditionalFormatting sqref="E99">
    <cfRule type="expression" dxfId="198" priority="215">
      <formula>IF(#REF!="FICTICIO",1,0)</formula>
    </cfRule>
  </conditionalFormatting>
  <conditionalFormatting sqref="E99">
    <cfRule type="expression" dxfId="197" priority="214">
      <formula>IF(#REF!="FICTICIO",1,0)</formula>
    </cfRule>
  </conditionalFormatting>
  <conditionalFormatting sqref="E99">
    <cfRule type="expression" dxfId="196" priority="212">
      <formula>IF(#REF!="FICTICIO",1,0)</formula>
    </cfRule>
  </conditionalFormatting>
  <conditionalFormatting sqref="E99">
    <cfRule type="expression" dxfId="195" priority="213">
      <formula>IF(#REF!="FICTICIO",1,0)</formula>
    </cfRule>
  </conditionalFormatting>
  <conditionalFormatting sqref="E99">
    <cfRule type="expression" dxfId="194" priority="211">
      <formula>IF(#REF!="FICTICIO",1,0)</formula>
    </cfRule>
  </conditionalFormatting>
  <conditionalFormatting sqref="E99">
    <cfRule type="expression" dxfId="193" priority="210">
      <formula>IF(#REF!="FICTICIO",1,0)</formula>
    </cfRule>
  </conditionalFormatting>
  <conditionalFormatting sqref="E99">
    <cfRule type="expression" dxfId="192" priority="208">
      <formula>IF(#REF!="FICTICIO",1,0)</formula>
    </cfRule>
  </conditionalFormatting>
  <conditionalFormatting sqref="E99">
    <cfRule type="expression" dxfId="191" priority="209">
      <formula>IF(#REF!="FICTICIO",1,0)</formula>
    </cfRule>
  </conditionalFormatting>
  <conditionalFormatting sqref="D99:E99">
    <cfRule type="expression" dxfId="190" priority="207">
      <formula>IF(#REF!="FICTICIO",1,0)</formula>
    </cfRule>
  </conditionalFormatting>
  <conditionalFormatting sqref="F99">
    <cfRule type="expression" dxfId="189" priority="206">
      <formula>IF(#REF!="FICTICIO",1,0)</formula>
    </cfRule>
  </conditionalFormatting>
  <conditionalFormatting sqref="E99">
    <cfRule type="expression" dxfId="188" priority="205">
      <formula>IF(#REF!="FICTICIO",1,0)</formula>
    </cfRule>
  </conditionalFormatting>
  <conditionalFormatting sqref="E99">
    <cfRule type="expression" dxfId="187" priority="204">
      <formula>IF(#REF!="FICTICIO",1,0)</formula>
    </cfRule>
  </conditionalFormatting>
  <conditionalFormatting sqref="E99">
    <cfRule type="expression" dxfId="186" priority="203">
      <formula>IF(#REF!="FICTICIO",1,0)</formula>
    </cfRule>
  </conditionalFormatting>
  <conditionalFormatting sqref="E99">
    <cfRule type="expression" dxfId="185" priority="202">
      <formula>IF(#REF!="FICTICIO",1,0)</formula>
    </cfRule>
  </conditionalFormatting>
  <conditionalFormatting sqref="E99">
    <cfRule type="expression" dxfId="184" priority="200">
      <formula>IF(#REF!="FICTICIO",1,0)</formula>
    </cfRule>
  </conditionalFormatting>
  <conditionalFormatting sqref="E99">
    <cfRule type="expression" dxfId="183" priority="201">
      <formula>IF(#REF!="FICTICIO",1,0)</formula>
    </cfRule>
  </conditionalFormatting>
  <conditionalFormatting sqref="E99">
    <cfRule type="expression" dxfId="182" priority="199">
      <formula>IF(#REF!="FICTICIO",1,0)</formula>
    </cfRule>
  </conditionalFormatting>
  <conditionalFormatting sqref="E99">
    <cfRule type="expression" dxfId="181" priority="198">
      <formula>IF(#REF!="FICTICIO",1,0)</formula>
    </cfRule>
  </conditionalFormatting>
  <conditionalFormatting sqref="E99">
    <cfRule type="expression" dxfId="180" priority="196">
      <formula>IF(#REF!="FICTICIO",1,0)</formula>
    </cfRule>
  </conditionalFormatting>
  <conditionalFormatting sqref="E99">
    <cfRule type="expression" dxfId="179" priority="197">
      <formula>IF(#REF!="FICTICIO",1,0)</formula>
    </cfRule>
  </conditionalFormatting>
  <conditionalFormatting sqref="D102 D104">
    <cfRule type="expression" dxfId="178" priority="194">
      <formula>IF(#REF!="FICTICIO",1,0)</formula>
    </cfRule>
  </conditionalFormatting>
  <conditionalFormatting sqref="D102 D104">
    <cfRule type="expression" dxfId="177" priority="195">
      <formula>IF(#REF!="FICTICIO",1,0)</formula>
    </cfRule>
  </conditionalFormatting>
  <conditionalFormatting sqref="D104">
    <cfRule type="expression" dxfId="176" priority="192">
      <formula>IF(#REF!="FICTICIO",1,0)</formula>
    </cfRule>
  </conditionalFormatting>
  <conditionalFormatting sqref="D104">
    <cfRule type="expression" dxfId="175" priority="193">
      <formula>IF(#REF!="FICTICIO",1,0)</formula>
    </cfRule>
  </conditionalFormatting>
  <conditionalFormatting sqref="D107">
    <cfRule type="expression" dxfId="174" priority="191">
      <formula>IF(#REF!="FICTICIO",1,0)</formula>
    </cfRule>
  </conditionalFormatting>
  <conditionalFormatting sqref="F104">
    <cfRule type="expression" dxfId="173" priority="190">
      <formula>IF(#REF!="FICTICIO",1,0)</formula>
    </cfRule>
  </conditionalFormatting>
  <conditionalFormatting sqref="F105">
    <cfRule type="expression" dxfId="172" priority="188">
      <formula>IF(#REF!="FICTICIO",1,0)</formula>
    </cfRule>
  </conditionalFormatting>
  <conditionalFormatting sqref="F105">
    <cfRule type="expression" dxfId="171" priority="189">
      <formula>IF(#REF!="FICTICIO",1,0)</formula>
    </cfRule>
  </conditionalFormatting>
  <conditionalFormatting sqref="D105">
    <cfRule type="expression" dxfId="170" priority="186">
      <formula>IF(#REF!="FICTICIO",1,0)</formula>
    </cfRule>
  </conditionalFormatting>
  <conditionalFormatting sqref="D105">
    <cfRule type="expression" dxfId="169" priority="187">
      <formula>IF(#REF!="FICTICIO",1,0)</formula>
    </cfRule>
  </conditionalFormatting>
  <conditionalFormatting sqref="D105">
    <cfRule type="expression" dxfId="168" priority="184">
      <formula>IF(#REF!="FICTICIO",1,0)</formula>
    </cfRule>
  </conditionalFormatting>
  <conditionalFormatting sqref="D105">
    <cfRule type="expression" dxfId="167" priority="185">
      <formula>IF(#REF!="FICTICIO",1,0)</formula>
    </cfRule>
  </conditionalFormatting>
  <conditionalFormatting sqref="F107">
    <cfRule type="expression" dxfId="166" priority="183">
      <formula>IF(#REF!="FICTICIO",1,0)</formula>
    </cfRule>
  </conditionalFormatting>
  <conditionalFormatting sqref="D103:D108">
    <cfRule type="expression" dxfId="165" priority="181">
      <formula>IF(#REF!="FICTICIO",1,0)</formula>
    </cfRule>
  </conditionalFormatting>
  <conditionalFormatting sqref="D103:D108">
    <cfRule type="expression" dxfId="164" priority="182">
      <formula>IF(#REF!="FICTICIO",1,0)</formula>
    </cfRule>
  </conditionalFormatting>
  <conditionalFormatting sqref="D103:D108">
    <cfRule type="expression" dxfId="163" priority="179">
      <formula>IF(#REF!="FICTICIO",1,0)</formula>
    </cfRule>
  </conditionalFormatting>
  <conditionalFormatting sqref="D103:D108">
    <cfRule type="expression" dxfId="162" priority="180">
      <formula>IF(#REF!="FICTICIO",1,0)</formula>
    </cfRule>
  </conditionalFormatting>
  <conditionalFormatting sqref="F103">
    <cfRule type="expression" dxfId="161" priority="178">
      <formula>IF(#REF!="FICTICIO",1,0)</formula>
    </cfRule>
  </conditionalFormatting>
  <conditionalFormatting sqref="D106">
    <cfRule type="expression" dxfId="160" priority="177">
      <formula>IF(#REF!="FICTICIO",1,0)</formula>
    </cfRule>
  </conditionalFormatting>
  <conditionalFormatting sqref="F106">
    <cfRule type="expression" dxfId="159" priority="176">
      <formula>IF(#REF!="FICTICIO",1,0)</formula>
    </cfRule>
  </conditionalFormatting>
  <conditionalFormatting sqref="F102">
    <cfRule type="expression" dxfId="158" priority="175">
      <formula>IF(#REF!="FICTICIO",1,0)</formula>
    </cfRule>
  </conditionalFormatting>
  <conditionalFormatting sqref="E102:E108">
    <cfRule type="expression" dxfId="157" priority="174">
      <formula>IF(#REF!="FICTICIO",1,0)</formula>
    </cfRule>
  </conditionalFormatting>
  <conditionalFormatting sqref="E102:E108">
    <cfRule type="expression" dxfId="156" priority="173">
      <formula>IF(#REF!="FICTICIO",1,0)</formula>
    </cfRule>
  </conditionalFormatting>
  <conditionalFormatting sqref="E102:E108">
    <cfRule type="expression" dxfId="155" priority="172">
      <formula>IF(#REF!="FICTICIO",1,0)</formula>
    </cfRule>
  </conditionalFormatting>
  <conditionalFormatting sqref="D108">
    <cfRule type="expression" dxfId="154" priority="171">
      <formula>IF(#REF!="FICTICIO",1,0)</formula>
    </cfRule>
  </conditionalFormatting>
  <conditionalFormatting sqref="F108">
    <cfRule type="expression" dxfId="153" priority="170">
      <formula>IF(#REF!="FICTICIO",1,0)</formula>
    </cfRule>
  </conditionalFormatting>
  <conditionalFormatting sqref="D108">
    <cfRule type="expression" dxfId="152" priority="168">
      <formula>IF(#REF!="FICTICIO",1,0)</formula>
    </cfRule>
  </conditionalFormatting>
  <conditionalFormatting sqref="D108">
    <cfRule type="expression" dxfId="151" priority="169">
      <formula>IF(#REF!="FICTICIO",1,0)</formula>
    </cfRule>
  </conditionalFormatting>
  <conditionalFormatting sqref="D108">
    <cfRule type="expression" dxfId="150" priority="166">
      <formula>IF(#REF!="FICTICIO",1,0)</formula>
    </cfRule>
  </conditionalFormatting>
  <conditionalFormatting sqref="D108">
    <cfRule type="expression" dxfId="149" priority="167">
      <formula>IF(#REF!="FICTICIO",1,0)</formula>
    </cfRule>
  </conditionalFormatting>
  <conditionalFormatting sqref="E108">
    <cfRule type="expression" dxfId="148" priority="165">
      <formula>IF(#REF!="FICTICIO",1,0)</formula>
    </cfRule>
  </conditionalFormatting>
  <conditionalFormatting sqref="E108">
    <cfRule type="expression" dxfId="147" priority="164">
      <formula>IF(#REF!="FICTICIO",1,0)</formula>
    </cfRule>
  </conditionalFormatting>
  <conditionalFormatting sqref="E108">
    <cfRule type="expression" dxfId="146" priority="163">
      <formula>IF(#REF!="FICTICIO",1,0)</formula>
    </cfRule>
  </conditionalFormatting>
  <conditionalFormatting sqref="E102:E108">
    <cfRule type="expression" dxfId="145" priority="162">
      <formula>IF(#REF!="FICTICIO",1,0)</formula>
    </cfRule>
  </conditionalFormatting>
  <conditionalFormatting sqref="E102:E108">
    <cfRule type="expression" dxfId="144" priority="161">
      <formula>IF(#REF!="FICTICIO",1,0)</formula>
    </cfRule>
  </conditionalFormatting>
  <conditionalFormatting sqref="D110">
    <cfRule type="expression" dxfId="143" priority="159">
      <formula>IF(#REF!="FICTICIO",1,0)</formula>
    </cfRule>
  </conditionalFormatting>
  <conditionalFormatting sqref="D110">
    <cfRule type="expression" dxfId="142" priority="160">
      <formula>IF(#REF!="FICTICIO",1,0)</formula>
    </cfRule>
  </conditionalFormatting>
  <conditionalFormatting sqref="D110">
    <cfRule type="expression" dxfId="141" priority="157">
      <formula>IF(#REF!="FICTICIO",1,0)</formula>
    </cfRule>
  </conditionalFormatting>
  <conditionalFormatting sqref="D110">
    <cfRule type="expression" dxfId="140" priority="158">
      <formula>IF(#REF!="FICTICIO",1,0)</formula>
    </cfRule>
  </conditionalFormatting>
  <conditionalFormatting sqref="D113">
    <cfRule type="expression" dxfId="139" priority="156">
      <formula>IF(#REF!="FICTICIO",1,0)</formula>
    </cfRule>
  </conditionalFormatting>
  <conditionalFormatting sqref="F110">
    <cfRule type="expression" dxfId="138" priority="155">
      <formula>IF(#REF!="FICTICIO",1,0)</formula>
    </cfRule>
  </conditionalFormatting>
  <conditionalFormatting sqref="F111">
    <cfRule type="expression" dxfId="137" priority="153">
      <formula>IF(#REF!="FICTICIO",1,0)</formula>
    </cfRule>
  </conditionalFormatting>
  <conditionalFormatting sqref="F111">
    <cfRule type="expression" dxfId="136" priority="154">
      <formula>IF(#REF!="FICTICIO",1,0)</formula>
    </cfRule>
  </conditionalFormatting>
  <conditionalFormatting sqref="D111">
    <cfRule type="expression" dxfId="135" priority="151">
      <formula>IF(#REF!="FICTICIO",1,0)</formula>
    </cfRule>
  </conditionalFormatting>
  <conditionalFormatting sqref="D111">
    <cfRule type="expression" dxfId="134" priority="152">
      <formula>IF(#REF!="FICTICIO",1,0)</formula>
    </cfRule>
  </conditionalFormatting>
  <conditionalFormatting sqref="D111">
    <cfRule type="expression" dxfId="133" priority="149">
      <formula>IF(#REF!="FICTICIO",1,0)</formula>
    </cfRule>
  </conditionalFormatting>
  <conditionalFormatting sqref="D111">
    <cfRule type="expression" dxfId="132" priority="150">
      <formula>IF(#REF!="FICTICIO",1,0)</formula>
    </cfRule>
  </conditionalFormatting>
  <conditionalFormatting sqref="F113">
    <cfRule type="expression" dxfId="131" priority="148">
      <formula>IF(#REF!="FICTICIO",1,0)</formula>
    </cfRule>
  </conditionalFormatting>
  <conditionalFormatting sqref="D109:D114">
    <cfRule type="expression" dxfId="130" priority="146">
      <formula>IF(#REF!="FICTICIO",1,0)</formula>
    </cfRule>
  </conditionalFormatting>
  <conditionalFormatting sqref="D109:D114">
    <cfRule type="expression" dxfId="129" priority="147">
      <formula>IF(#REF!="FICTICIO",1,0)</formula>
    </cfRule>
  </conditionalFormatting>
  <conditionalFormatting sqref="D109:D114">
    <cfRule type="expression" dxfId="128" priority="144">
      <formula>IF(#REF!="FICTICIO",1,0)</formula>
    </cfRule>
  </conditionalFormatting>
  <conditionalFormatting sqref="D109:D114">
    <cfRule type="expression" dxfId="127" priority="145">
      <formula>IF(#REF!="FICTICIO",1,0)</formula>
    </cfRule>
  </conditionalFormatting>
  <conditionalFormatting sqref="F109">
    <cfRule type="expression" dxfId="126" priority="143">
      <formula>IF(#REF!="FICTICIO",1,0)</formula>
    </cfRule>
  </conditionalFormatting>
  <conditionalFormatting sqref="D112">
    <cfRule type="expression" dxfId="125" priority="142">
      <formula>IF(#REF!="FICTICIO",1,0)</formula>
    </cfRule>
  </conditionalFormatting>
  <conditionalFormatting sqref="F112">
    <cfRule type="expression" dxfId="124" priority="141">
      <formula>IF(#REF!="FICTICIO",1,0)</formula>
    </cfRule>
  </conditionalFormatting>
  <conditionalFormatting sqref="E109:E116">
    <cfRule type="expression" dxfId="123" priority="140">
      <formula>IF(#REF!="FICTICIO",1,0)</formula>
    </cfRule>
  </conditionalFormatting>
  <conditionalFormatting sqref="E109:E116">
    <cfRule type="expression" dxfId="122" priority="139">
      <formula>IF(#REF!="FICTICIO",1,0)</formula>
    </cfRule>
  </conditionalFormatting>
  <conditionalFormatting sqref="E109:E116">
    <cfRule type="expression" dxfId="121" priority="138">
      <formula>IF(#REF!="FICTICIO",1,0)</formula>
    </cfRule>
  </conditionalFormatting>
  <conditionalFormatting sqref="D114">
    <cfRule type="expression" dxfId="120" priority="137">
      <formula>IF(#REF!="FICTICIO",1,0)</formula>
    </cfRule>
  </conditionalFormatting>
  <conditionalFormatting sqref="F114">
    <cfRule type="expression" dxfId="119" priority="136">
      <formula>IF(#REF!="FICTICIO",1,0)</formula>
    </cfRule>
  </conditionalFormatting>
  <conditionalFormatting sqref="D114">
    <cfRule type="expression" dxfId="118" priority="134">
      <formula>IF(#REF!="FICTICIO",1,0)</formula>
    </cfRule>
  </conditionalFormatting>
  <conditionalFormatting sqref="D114">
    <cfRule type="expression" dxfId="117" priority="135">
      <formula>IF(#REF!="FICTICIO",1,0)</formula>
    </cfRule>
  </conditionalFormatting>
  <conditionalFormatting sqref="D114">
    <cfRule type="expression" dxfId="116" priority="132">
      <formula>IF(#REF!="FICTICIO",1,0)</formula>
    </cfRule>
  </conditionalFormatting>
  <conditionalFormatting sqref="D114">
    <cfRule type="expression" dxfId="115" priority="133">
      <formula>IF(#REF!="FICTICIO",1,0)</formula>
    </cfRule>
  </conditionalFormatting>
  <conditionalFormatting sqref="E114:E116">
    <cfRule type="expression" dxfId="114" priority="131">
      <formula>IF(#REF!="FICTICIO",1,0)</formula>
    </cfRule>
  </conditionalFormatting>
  <conditionalFormatting sqref="E114:E116">
    <cfRule type="expression" dxfId="113" priority="130">
      <formula>IF(#REF!="FICTICIO",1,0)</formula>
    </cfRule>
  </conditionalFormatting>
  <conditionalFormatting sqref="E114:E116">
    <cfRule type="expression" dxfId="112" priority="129">
      <formula>IF(#REF!="FICTICIO",1,0)</formula>
    </cfRule>
  </conditionalFormatting>
  <conditionalFormatting sqref="E109:E116">
    <cfRule type="expression" dxfId="111" priority="128">
      <formula>IF(#REF!="FICTICIO",1,0)</formula>
    </cfRule>
  </conditionalFormatting>
  <conditionalFormatting sqref="E109:E116">
    <cfRule type="expression" dxfId="110" priority="127">
      <formula>IF(#REF!="FICTICIO",1,0)</formula>
    </cfRule>
  </conditionalFormatting>
  <conditionalFormatting sqref="D115">
    <cfRule type="expression" dxfId="109" priority="125">
      <formula>IF(#REF!="FICTICIO",1,0)</formula>
    </cfRule>
  </conditionalFormatting>
  <conditionalFormatting sqref="D115">
    <cfRule type="expression" dxfId="108" priority="126">
      <formula>IF(#REF!="FICTICIO",1,0)</formula>
    </cfRule>
  </conditionalFormatting>
  <conditionalFormatting sqref="E115">
    <cfRule type="expression" dxfId="107" priority="124">
      <formula>IF(#REF!="FICTICIO",1,0)</formula>
    </cfRule>
  </conditionalFormatting>
  <conditionalFormatting sqref="E115">
    <cfRule type="expression" dxfId="106" priority="123">
      <formula>IF(#REF!="FICTICIO",1,0)</formula>
    </cfRule>
  </conditionalFormatting>
  <conditionalFormatting sqref="E115">
    <cfRule type="expression" dxfId="105" priority="122">
      <formula>IF(#REF!="FICTICIO",1,0)</formula>
    </cfRule>
  </conditionalFormatting>
  <conditionalFormatting sqref="F115">
    <cfRule type="expression" dxfId="104" priority="120">
      <formula>IF(#REF!="FICTICIO",1,0)</formula>
    </cfRule>
  </conditionalFormatting>
  <conditionalFormatting sqref="F115">
    <cfRule type="expression" dxfId="103" priority="121">
      <formula>IF(#REF!="FICTICIO",1,0)</formula>
    </cfRule>
  </conditionalFormatting>
  <conditionalFormatting sqref="F116">
    <cfRule type="expression" dxfId="102" priority="118">
      <formula>IF(#REF!="FICTICIO",1,0)</formula>
    </cfRule>
  </conditionalFormatting>
  <conditionalFormatting sqref="F116">
    <cfRule type="expression" dxfId="101" priority="119">
      <formula>IF(#REF!="FICTICIO",1,0)</formula>
    </cfRule>
  </conditionalFormatting>
  <conditionalFormatting sqref="E117">
    <cfRule type="expression" dxfId="100" priority="117">
      <formula>IF(#REF!="FICTICIO",1,0)</formula>
    </cfRule>
  </conditionalFormatting>
  <conditionalFormatting sqref="E117">
    <cfRule type="expression" dxfId="99" priority="116">
      <formula>IF(#REF!="FICTICIO",1,0)</formula>
    </cfRule>
  </conditionalFormatting>
  <conditionalFormatting sqref="E117">
    <cfRule type="expression" dxfId="98" priority="115">
      <formula>IF(#REF!="FICTICIO",1,0)</formula>
    </cfRule>
  </conditionalFormatting>
  <conditionalFormatting sqref="E117">
    <cfRule type="expression" dxfId="97" priority="114">
      <formula>IF(#REF!="FICTICIO",1,0)</formula>
    </cfRule>
  </conditionalFormatting>
  <conditionalFormatting sqref="E117">
    <cfRule type="expression" dxfId="96" priority="113">
      <formula>IF(#REF!="FICTICIO",1,0)</formula>
    </cfRule>
  </conditionalFormatting>
  <conditionalFormatting sqref="E117">
    <cfRule type="expression" dxfId="95" priority="112">
      <formula>IF(#REF!="FICTICIO",1,0)</formula>
    </cfRule>
  </conditionalFormatting>
  <conditionalFormatting sqref="E117">
    <cfRule type="expression" dxfId="94" priority="111">
      <formula>IF(#REF!="FICTICIO",1,0)</formula>
    </cfRule>
  </conditionalFormatting>
  <conditionalFormatting sqref="E117">
    <cfRule type="expression" dxfId="93" priority="110">
      <formula>IF(#REF!="FICTICIO",1,0)</formula>
    </cfRule>
  </conditionalFormatting>
  <conditionalFormatting sqref="F117">
    <cfRule type="expression" dxfId="92" priority="108">
      <formula>IF(#REF!="FICTICIO",1,0)</formula>
    </cfRule>
  </conditionalFormatting>
  <conditionalFormatting sqref="F117">
    <cfRule type="expression" dxfId="91" priority="109">
      <formula>IF(#REF!="FICTICIO",1,0)</formula>
    </cfRule>
  </conditionalFormatting>
  <conditionalFormatting sqref="D118">
    <cfRule type="expression" dxfId="90" priority="106">
      <formula>IF(#REF!="FICTICIO",1,0)</formula>
    </cfRule>
  </conditionalFormatting>
  <conditionalFormatting sqref="D118">
    <cfRule type="expression" dxfId="89" priority="107">
      <formula>IF(#REF!="FICTICIO",1,0)</formula>
    </cfRule>
  </conditionalFormatting>
  <conditionalFormatting sqref="D118">
    <cfRule type="expression" dxfId="88" priority="104">
      <formula>IF(#REF!="FICTICIO",1,0)</formula>
    </cfRule>
  </conditionalFormatting>
  <conditionalFormatting sqref="D118">
    <cfRule type="expression" dxfId="87" priority="105">
      <formula>IF(#REF!="FICTICIO",1,0)</formula>
    </cfRule>
  </conditionalFormatting>
  <conditionalFormatting sqref="D118">
    <cfRule type="expression" dxfId="86" priority="103">
      <formula>IF(#REF!="FICTICIO",1,0)</formula>
    </cfRule>
  </conditionalFormatting>
  <conditionalFormatting sqref="D118">
    <cfRule type="expression" dxfId="85" priority="101">
      <formula>IF(#REF!="FICTICIO",1,0)</formula>
    </cfRule>
  </conditionalFormatting>
  <conditionalFormatting sqref="D118">
    <cfRule type="expression" dxfId="84" priority="102">
      <formula>IF(#REF!="FICTICIO",1,0)</formula>
    </cfRule>
  </conditionalFormatting>
  <conditionalFormatting sqref="D118">
    <cfRule type="expression" dxfId="83" priority="99">
      <formula>IF(#REF!="FICTICIO",1,0)</formula>
    </cfRule>
  </conditionalFormatting>
  <conditionalFormatting sqref="D118">
    <cfRule type="expression" dxfId="82" priority="100">
      <formula>IF(#REF!="FICTICIO",1,0)</formula>
    </cfRule>
  </conditionalFormatting>
  <conditionalFormatting sqref="F118">
    <cfRule type="expression" dxfId="81" priority="94">
      <formula>IF(#REF!="FICTICIO",1,0)</formula>
    </cfRule>
  </conditionalFormatting>
  <conditionalFormatting sqref="E118">
    <cfRule type="expression" dxfId="80" priority="93">
      <formula>IF(#REF!="FICTICIO",1,0)</formula>
    </cfRule>
  </conditionalFormatting>
  <conditionalFormatting sqref="E118">
    <cfRule type="expression" dxfId="79" priority="92">
      <formula>IF(#REF!="FICTICIO",1,0)</formula>
    </cfRule>
  </conditionalFormatting>
  <conditionalFormatting sqref="E118">
    <cfRule type="expression" dxfId="78" priority="91">
      <formula>IF(#REF!="FICTICIO",1,0)</formula>
    </cfRule>
  </conditionalFormatting>
  <conditionalFormatting sqref="E118">
    <cfRule type="expression" dxfId="77" priority="90">
      <formula>IF(#REF!="FICTICIO",1,0)</formula>
    </cfRule>
  </conditionalFormatting>
  <conditionalFormatting sqref="E118">
    <cfRule type="expression" dxfId="76" priority="89">
      <formula>IF(#REF!="FICTICIO",1,0)</formula>
    </cfRule>
  </conditionalFormatting>
  <conditionalFormatting sqref="E118">
    <cfRule type="expression" dxfId="75" priority="88">
      <formula>IF(#REF!="FICTICIO",1,0)</formula>
    </cfRule>
  </conditionalFormatting>
  <conditionalFormatting sqref="E118">
    <cfRule type="expression" dxfId="74" priority="87">
      <formula>IF(#REF!="FICTICIO",1,0)</formula>
    </cfRule>
  </conditionalFormatting>
  <conditionalFormatting sqref="E118">
    <cfRule type="expression" dxfId="73" priority="86">
      <formula>IF(#REF!="FICTICIO",1,0)</formula>
    </cfRule>
  </conditionalFormatting>
  <conditionalFormatting sqref="E118">
    <cfRule type="expression" dxfId="72" priority="85">
      <formula>IF(#REF!="FICTICIO",1,0)</formula>
    </cfRule>
  </conditionalFormatting>
  <conditionalFormatting sqref="E118">
    <cfRule type="expression" dxfId="71" priority="84">
      <formula>IF(#REF!="FICTICIO",1,0)</formula>
    </cfRule>
  </conditionalFormatting>
  <conditionalFormatting sqref="E118">
    <cfRule type="expression" dxfId="70" priority="83">
      <formula>IF(#REF!="FICTICIO",1,0)</formula>
    </cfRule>
  </conditionalFormatting>
  <conditionalFormatting sqref="E118">
    <cfRule type="expression" dxfId="69" priority="82">
      <formula>IF(#REF!="FICTICIO",1,0)</formula>
    </cfRule>
  </conditionalFormatting>
  <conditionalFormatting sqref="E118">
    <cfRule type="expression" dxfId="68" priority="81">
      <formula>IF(#REF!="FICTICIO",1,0)</formula>
    </cfRule>
  </conditionalFormatting>
  <conditionalFormatting sqref="D119 F119">
    <cfRule type="expression" dxfId="67" priority="80">
      <formula>IF(#REF!="FICTICIO",1,0)</formula>
    </cfRule>
  </conditionalFormatting>
  <conditionalFormatting sqref="E119">
    <cfRule type="expression" dxfId="66" priority="74">
      <formula>IF(#REF!="FICTICIO",1,0)</formula>
    </cfRule>
  </conditionalFormatting>
  <conditionalFormatting sqref="E119">
    <cfRule type="expression" dxfId="65" priority="73">
      <formula>IF(#REF!="FICTICIO",1,0)</formula>
    </cfRule>
  </conditionalFormatting>
  <conditionalFormatting sqref="E119">
    <cfRule type="expression" dxfId="64" priority="72">
      <formula>IF(#REF!="FICTICIO",1,0)</formula>
    </cfRule>
  </conditionalFormatting>
  <conditionalFormatting sqref="E119">
    <cfRule type="expression" dxfId="63" priority="71">
      <formula>IF(#REF!="FICTICIO",1,0)</formula>
    </cfRule>
  </conditionalFormatting>
  <conditionalFormatting sqref="E119">
    <cfRule type="expression" dxfId="62" priority="70">
      <formula>IF(#REF!="FICTICIO",1,0)</formula>
    </cfRule>
  </conditionalFormatting>
  <conditionalFormatting sqref="E119">
    <cfRule type="expression" dxfId="61" priority="69">
      <formula>IF(#REF!="FICTICIO",1,0)</formula>
    </cfRule>
  </conditionalFormatting>
  <conditionalFormatting sqref="E119">
    <cfRule type="expression" dxfId="60" priority="68">
      <formula>IF(#REF!="FICTICIO",1,0)</formula>
    </cfRule>
  </conditionalFormatting>
  <conditionalFormatting sqref="E119">
    <cfRule type="expression" dxfId="59" priority="67">
      <formula>IF(#REF!="FICTICIO",1,0)</formula>
    </cfRule>
  </conditionalFormatting>
  <conditionalFormatting sqref="E119">
    <cfRule type="expression" dxfId="58" priority="66">
      <formula>IF(#REF!="FICTICIO",1,0)</formula>
    </cfRule>
  </conditionalFormatting>
  <conditionalFormatting sqref="E119">
    <cfRule type="expression" dxfId="57" priority="65">
      <formula>IF(#REF!="FICTICIO",1,0)</formula>
    </cfRule>
  </conditionalFormatting>
  <conditionalFormatting sqref="E119">
    <cfRule type="expression" dxfId="56" priority="64">
      <formula>IF(#REF!="FICTICIO",1,0)</formula>
    </cfRule>
  </conditionalFormatting>
  <conditionalFormatting sqref="E119">
    <cfRule type="expression" dxfId="55" priority="63">
      <formula>IF(#REF!="FICTICIO",1,0)</formula>
    </cfRule>
  </conditionalFormatting>
  <conditionalFormatting sqref="E119">
    <cfRule type="expression" dxfId="54" priority="62">
      <formula>IF(#REF!="FICTICIO",1,0)</formula>
    </cfRule>
  </conditionalFormatting>
  <conditionalFormatting sqref="E120">
    <cfRule type="expression" dxfId="53" priority="61">
      <formula>IF(#REF!="FICTICIO",1,0)</formula>
    </cfRule>
  </conditionalFormatting>
  <conditionalFormatting sqref="E120">
    <cfRule type="expression" dxfId="52" priority="60">
      <formula>IF(#REF!="FICTICIO",1,0)</formula>
    </cfRule>
  </conditionalFormatting>
  <conditionalFormatting sqref="E120">
    <cfRule type="expression" dxfId="51" priority="59">
      <formula>IF(#REF!="FICTICIO",1,0)</formula>
    </cfRule>
  </conditionalFormatting>
  <conditionalFormatting sqref="E120">
    <cfRule type="expression" dxfId="50" priority="58">
      <formula>IF(#REF!="FICTICIO",1,0)</formula>
    </cfRule>
  </conditionalFormatting>
  <conditionalFormatting sqref="E120">
    <cfRule type="expression" dxfId="49" priority="57">
      <formula>IF(#REF!="FICTICIO",1,0)</formula>
    </cfRule>
  </conditionalFormatting>
  <conditionalFormatting sqref="E120">
    <cfRule type="expression" dxfId="48" priority="56">
      <formula>IF(#REF!="FICTICIO",1,0)</formula>
    </cfRule>
  </conditionalFormatting>
  <conditionalFormatting sqref="E120">
    <cfRule type="expression" dxfId="47" priority="55">
      <formula>IF(#REF!="FICTICIO",1,0)</formula>
    </cfRule>
  </conditionalFormatting>
  <conditionalFormatting sqref="E120">
    <cfRule type="expression" dxfId="46" priority="54">
      <formula>IF(#REF!="FICTICIO",1,0)</formula>
    </cfRule>
  </conditionalFormatting>
  <conditionalFormatting sqref="E120">
    <cfRule type="expression" dxfId="45" priority="53">
      <formula>IF(#REF!="FICTICIO",1,0)</formula>
    </cfRule>
  </conditionalFormatting>
  <conditionalFormatting sqref="E120">
    <cfRule type="expression" dxfId="44" priority="52">
      <formula>IF(#REF!="FICTICIO",1,0)</formula>
    </cfRule>
  </conditionalFormatting>
  <conditionalFormatting sqref="E120">
    <cfRule type="expression" dxfId="43" priority="51">
      <formula>IF(#REF!="FICTICIO",1,0)</formula>
    </cfRule>
  </conditionalFormatting>
  <conditionalFormatting sqref="E120">
    <cfRule type="expression" dxfId="42" priority="50">
      <formula>IF(#REF!="FICTICIO",1,0)</formula>
    </cfRule>
  </conditionalFormatting>
  <conditionalFormatting sqref="E120">
    <cfRule type="expression" dxfId="41" priority="49">
      <formula>IF(#REF!="FICTICIO",1,0)</formula>
    </cfRule>
  </conditionalFormatting>
  <conditionalFormatting sqref="D121 F121">
    <cfRule type="expression" dxfId="40" priority="48">
      <formula>IF(#REF!="FICTICIO",1,0)</formula>
    </cfRule>
  </conditionalFormatting>
  <conditionalFormatting sqref="E121">
    <cfRule type="expression" dxfId="39" priority="47">
      <formula>IF(#REF!="FICTICIO",1,0)</formula>
    </cfRule>
  </conditionalFormatting>
  <conditionalFormatting sqref="E121">
    <cfRule type="expression" dxfId="38" priority="46">
      <formula>IF(#REF!="FICTICIO",1,0)</formula>
    </cfRule>
  </conditionalFormatting>
  <conditionalFormatting sqref="E121">
    <cfRule type="expression" dxfId="37" priority="45">
      <formula>IF(#REF!="FICTICIO",1,0)</formula>
    </cfRule>
  </conditionalFormatting>
  <conditionalFormatting sqref="E121">
    <cfRule type="expression" dxfId="36" priority="44">
      <formula>IF(#REF!="FICTICIO",1,0)</formula>
    </cfRule>
  </conditionalFormatting>
  <conditionalFormatting sqref="E121">
    <cfRule type="expression" dxfId="35" priority="43">
      <formula>IF(#REF!="FICTICIO",1,0)</formula>
    </cfRule>
  </conditionalFormatting>
  <conditionalFormatting sqref="E121">
    <cfRule type="expression" dxfId="34" priority="42">
      <formula>IF(#REF!="FICTICIO",1,0)</formula>
    </cfRule>
  </conditionalFormatting>
  <conditionalFormatting sqref="E121">
    <cfRule type="expression" dxfId="33" priority="41">
      <formula>IF(#REF!="FICTICIO",1,0)</formula>
    </cfRule>
  </conditionalFormatting>
  <conditionalFormatting sqref="D122 F122">
    <cfRule type="expression" dxfId="32" priority="35">
      <formula>IF(#REF!="FICTICIO",1,0)</formula>
    </cfRule>
  </conditionalFormatting>
  <conditionalFormatting sqref="E122:E124">
    <cfRule type="expression" dxfId="31" priority="32">
      <formula>IF(#REF!="FICTICIO",1,0)</formula>
    </cfRule>
  </conditionalFormatting>
  <conditionalFormatting sqref="E122:E124">
    <cfRule type="expression" dxfId="30" priority="31">
      <formula>IF(#REF!="FICTICIO",1,0)</formula>
    </cfRule>
  </conditionalFormatting>
  <conditionalFormatting sqref="E122:E124">
    <cfRule type="expression" dxfId="29" priority="30">
      <formula>IF(#REF!="FICTICIO",1,0)</formula>
    </cfRule>
  </conditionalFormatting>
  <conditionalFormatting sqref="E122:E124">
    <cfRule type="expression" dxfId="28" priority="29">
      <formula>IF(#REF!="FICTICIO",1,0)</formula>
    </cfRule>
  </conditionalFormatting>
  <conditionalFormatting sqref="E122:E124">
    <cfRule type="expression" dxfId="27" priority="28">
      <formula>IF(#REF!="FICTICIO",1,0)</formula>
    </cfRule>
  </conditionalFormatting>
  <conditionalFormatting sqref="E122:E124">
    <cfRule type="expression" dxfId="26" priority="27">
      <formula>IF(#REF!="FICTICIO",1,0)</formula>
    </cfRule>
  </conditionalFormatting>
  <conditionalFormatting sqref="E122:E124">
    <cfRule type="expression" dxfId="25" priority="26">
      <formula>IF(#REF!="FICTICIO",1,0)</formula>
    </cfRule>
  </conditionalFormatting>
  <conditionalFormatting sqref="E123">
    <cfRule type="expression" dxfId="24" priority="25">
      <formula>IF(#REF!="FICTICIO",1,0)</formula>
    </cfRule>
  </conditionalFormatting>
  <conditionalFormatting sqref="E123">
    <cfRule type="expression" dxfId="23" priority="24">
      <formula>IF(#REF!="FICTICIO",1,0)</formula>
    </cfRule>
  </conditionalFormatting>
  <conditionalFormatting sqref="E123">
    <cfRule type="expression" dxfId="22" priority="23">
      <formula>IF(#REF!="FICTICIO",1,0)</formula>
    </cfRule>
  </conditionalFormatting>
  <conditionalFormatting sqref="E123">
    <cfRule type="expression" dxfId="21" priority="22">
      <formula>IF(#REF!="FICTICIO",1,0)</formula>
    </cfRule>
  </conditionalFormatting>
  <conditionalFormatting sqref="E123">
    <cfRule type="expression" dxfId="20" priority="21">
      <formula>IF(#REF!="FICTICIO",1,0)</formula>
    </cfRule>
  </conditionalFormatting>
  <conditionalFormatting sqref="E123">
    <cfRule type="expression" dxfId="19" priority="20">
      <formula>IF(#REF!="FICTICIO",1,0)</formula>
    </cfRule>
  </conditionalFormatting>
  <conditionalFormatting sqref="E123">
    <cfRule type="expression" dxfId="18" priority="19">
      <formula>IF(#REF!="FICTICIO",1,0)</formula>
    </cfRule>
  </conditionalFormatting>
  <conditionalFormatting sqref="D123 F123">
    <cfRule type="expression" dxfId="17" priority="18">
      <formula>IF(#REF!="FICTICIO",1,0)</formula>
    </cfRule>
  </conditionalFormatting>
  <conditionalFormatting sqref="E123">
    <cfRule type="expression" dxfId="16" priority="17">
      <formula>IF(#REF!="FICTICIO",1,0)</formula>
    </cfRule>
  </conditionalFormatting>
  <conditionalFormatting sqref="E123">
    <cfRule type="expression" dxfId="15" priority="16">
      <formula>IF(#REF!="FICTICIO",1,0)</formula>
    </cfRule>
  </conditionalFormatting>
  <conditionalFormatting sqref="E123">
    <cfRule type="expression" dxfId="14" priority="15">
      <formula>IF(#REF!="FICTICIO",1,0)</formula>
    </cfRule>
  </conditionalFormatting>
  <conditionalFormatting sqref="E123">
    <cfRule type="expression" dxfId="13" priority="14">
      <formula>IF(#REF!="FICTICIO",1,0)</formula>
    </cfRule>
  </conditionalFormatting>
  <conditionalFormatting sqref="E123">
    <cfRule type="expression" dxfId="12" priority="13">
      <formula>IF(#REF!="FICTICIO",1,0)</formula>
    </cfRule>
  </conditionalFormatting>
  <conditionalFormatting sqref="E123">
    <cfRule type="expression" dxfId="11" priority="12">
      <formula>IF(#REF!="FICTICIO",1,0)</formula>
    </cfRule>
  </conditionalFormatting>
  <conditionalFormatting sqref="E123">
    <cfRule type="expression" dxfId="10" priority="11">
      <formula>IF(#REF!="FICTICIO",1,0)</formula>
    </cfRule>
  </conditionalFormatting>
  <conditionalFormatting sqref="D125">
    <cfRule type="expression" dxfId="9" priority="10">
      <formula>IF(#REF!="FICTICIO",1,0)</formula>
    </cfRule>
  </conditionalFormatting>
  <conditionalFormatting sqref="E125">
    <cfRule type="expression" dxfId="8" priority="9">
      <formula>IF(#REF!="FICTICIO",1,0)</formula>
    </cfRule>
  </conditionalFormatting>
  <conditionalFormatting sqref="E125">
    <cfRule type="expression" dxfId="7" priority="8">
      <formula>IF(#REF!="FICTICIO",1,0)</formula>
    </cfRule>
  </conditionalFormatting>
  <conditionalFormatting sqref="F125">
    <cfRule type="expression" dxfId="6" priority="6">
      <formula>IF(#REF!="FICTICIO",1,0)</formula>
    </cfRule>
  </conditionalFormatting>
  <conditionalFormatting sqref="F125">
    <cfRule type="expression" dxfId="5" priority="7">
      <formula>IF(#REF!="FICTICIO",1,0)</formula>
    </cfRule>
  </conditionalFormatting>
  <conditionalFormatting sqref="E125">
    <cfRule type="expression" dxfId="4" priority="5">
      <formula>IF(#REF!="FICTICIO",1,0)</formula>
    </cfRule>
  </conditionalFormatting>
  <conditionalFormatting sqref="E125">
    <cfRule type="expression" dxfId="3" priority="4">
      <formula>IF(#REF!="FICTICIO",1,0)</formula>
    </cfRule>
  </conditionalFormatting>
  <conditionalFormatting sqref="E125">
    <cfRule type="expression" dxfId="2" priority="3">
      <formula>IF(#REF!="FICTICIO",1,0)</formula>
    </cfRule>
  </conditionalFormatting>
  <conditionalFormatting sqref="E125">
    <cfRule type="expression" dxfId="1" priority="2">
      <formula>IF(#REF!="FICTICIO",1,0)</formula>
    </cfRule>
  </conditionalFormatting>
  <conditionalFormatting sqref="E125">
    <cfRule type="expression" dxfId="0" priority="1">
      <formula>IF(#REF!="FICTICIO",1,0)</formula>
    </cfRule>
  </conditionalFormatting>
  <dataValidations count="2">
    <dataValidation type="list" allowBlank="1" showInputMessage="1" showErrorMessage="1" sqref="F6:F211">
      <formula1>"BS,USD"</formula1>
    </dataValidation>
    <dataValidation type="list" allowBlank="1" showInputMessage="1" showErrorMessage="1" sqref="B6:B211">
      <formula1>"INGRESO,EGRESO"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B249"/>
  <sheetViews>
    <sheetView topLeftCell="O1" workbookViewId="0">
      <selection activeCell="V1" sqref="V1:W2"/>
    </sheetView>
  </sheetViews>
  <sheetFormatPr baseColWidth="10" defaultRowHeight="15"/>
  <cols>
    <col min="1" max="1" width="3.5703125" style="86" bestFit="1" customWidth="1"/>
    <col min="2" max="2" width="5.7109375" customWidth="1"/>
    <col min="3" max="3" width="12.7109375" customWidth="1"/>
    <col min="4" max="5" width="13.7109375" customWidth="1"/>
    <col min="6" max="7" width="50.7109375" customWidth="1"/>
    <col min="8" max="8" width="11.7109375" customWidth="1"/>
    <col min="9" max="10" width="15.7109375" customWidth="1"/>
    <col min="12" max="12" width="11.85546875" bestFit="1" customWidth="1"/>
    <col min="13" max="13" width="11.7109375" customWidth="1"/>
    <col min="14" max="14" width="25.7109375" customWidth="1"/>
    <col min="15" max="19" width="15.7109375" customWidth="1"/>
  </cols>
  <sheetData>
    <row r="1" spans="1:28" ht="26.25">
      <c r="B1" s="228" t="s">
        <v>414</v>
      </c>
      <c r="C1" s="228" t="s">
        <v>419</v>
      </c>
      <c r="D1" s="228" t="s">
        <v>454</v>
      </c>
      <c r="E1" s="228" t="s">
        <v>455</v>
      </c>
      <c r="F1" s="228" t="s">
        <v>452</v>
      </c>
      <c r="G1" s="228" t="s">
        <v>456</v>
      </c>
      <c r="H1" s="228" t="s">
        <v>446</v>
      </c>
      <c r="I1" s="228" t="s">
        <v>930</v>
      </c>
      <c r="J1" s="228" t="s">
        <v>721</v>
      </c>
      <c r="M1" s="234" t="s">
        <v>77</v>
      </c>
      <c r="N1" s="234" t="s">
        <v>5</v>
      </c>
      <c r="O1" s="234" t="s">
        <v>230</v>
      </c>
      <c r="P1" s="234" t="s">
        <v>458</v>
      </c>
      <c r="Q1" s="234" t="s">
        <v>721</v>
      </c>
      <c r="R1" s="234" t="s">
        <v>963</v>
      </c>
      <c r="S1" s="234" t="s">
        <v>421</v>
      </c>
      <c r="V1" s="86" t="s">
        <v>949</v>
      </c>
      <c r="W1" s="86" t="s">
        <v>950</v>
      </c>
    </row>
    <row r="2" spans="1:28">
      <c r="A2" s="68">
        <v>1</v>
      </c>
      <c r="B2" s="30" t="s">
        <v>945</v>
      </c>
      <c r="C2" s="30" t="s">
        <v>964</v>
      </c>
      <c r="D2" s="30" t="s">
        <v>1256</v>
      </c>
      <c r="E2" s="230">
        <v>44595</v>
      </c>
      <c r="F2" s="30" t="s">
        <v>1207</v>
      </c>
      <c r="G2" s="30" t="s">
        <v>1021</v>
      </c>
      <c r="H2" s="229">
        <v>4</v>
      </c>
      <c r="I2" s="229">
        <v>5.6</v>
      </c>
      <c r="J2" s="229">
        <v>4.6000000000000005</v>
      </c>
      <c r="K2" t="s">
        <v>1309</v>
      </c>
      <c r="M2" s="254">
        <v>44620</v>
      </c>
      <c r="N2" s="30" t="s">
        <v>1282</v>
      </c>
      <c r="O2" s="30" t="s">
        <v>1115</v>
      </c>
      <c r="P2" s="30" t="s">
        <v>673</v>
      </c>
      <c r="Q2" s="30">
        <v>5.0999999999999996</v>
      </c>
      <c r="R2" s="30">
        <v>-6120</v>
      </c>
      <c r="S2" s="30" t="s">
        <v>416</v>
      </c>
      <c r="T2" t="s">
        <v>1373</v>
      </c>
      <c r="U2" t="s">
        <v>947</v>
      </c>
      <c r="V2">
        <v>-507.73</v>
      </c>
      <c r="W2">
        <v>-661.59000000000015</v>
      </c>
      <c r="X2">
        <f>IF(OR(Q2=0,Q2=""),0,R2/Q2)</f>
        <v>-1200</v>
      </c>
      <c r="AA2" t="s">
        <v>418</v>
      </c>
      <c r="AB2" t="s">
        <v>418</v>
      </c>
    </row>
    <row r="3" spans="1:28">
      <c r="A3" s="68">
        <v>2</v>
      </c>
      <c r="B3" s="30" t="s">
        <v>945</v>
      </c>
      <c r="C3" s="30" t="s">
        <v>964</v>
      </c>
      <c r="D3" s="30" t="s">
        <v>1256</v>
      </c>
      <c r="E3" s="230">
        <v>44595</v>
      </c>
      <c r="F3" s="30" t="s">
        <v>1207</v>
      </c>
      <c r="G3" s="30" t="s">
        <v>515</v>
      </c>
      <c r="H3" s="229">
        <v>1</v>
      </c>
      <c r="I3" s="229">
        <v>2.16</v>
      </c>
      <c r="J3" s="229">
        <v>4.6000000000000005</v>
      </c>
      <c r="K3" s="86" t="s">
        <v>1310</v>
      </c>
      <c r="L3" s="86"/>
      <c r="M3" s="254">
        <v>44594</v>
      </c>
      <c r="N3" s="30" t="s">
        <v>1196</v>
      </c>
      <c r="O3" s="30" t="s">
        <v>1235</v>
      </c>
      <c r="P3" s="30" t="s">
        <v>673</v>
      </c>
      <c r="Q3" s="30">
        <v>4.71</v>
      </c>
      <c r="R3" s="30">
        <v>-108.33</v>
      </c>
      <c r="S3" s="30" t="s">
        <v>416</v>
      </c>
      <c r="T3" t="s">
        <v>1374</v>
      </c>
      <c r="U3" t="s">
        <v>947</v>
      </c>
      <c r="X3" s="86">
        <f t="shared" ref="X3:X66" si="0">IF(OR(Q3=0,Q3=""),0,R3/Q3)</f>
        <v>-23</v>
      </c>
      <c r="AA3" s="86" t="s">
        <v>418</v>
      </c>
      <c r="AB3" s="86" t="s">
        <v>418</v>
      </c>
    </row>
    <row r="4" spans="1:28">
      <c r="A4" s="68">
        <v>3</v>
      </c>
      <c r="B4" s="30" t="s">
        <v>945</v>
      </c>
      <c r="C4" s="30" t="s">
        <v>964</v>
      </c>
      <c r="D4" s="30" t="s">
        <v>1237</v>
      </c>
      <c r="E4" s="230">
        <v>44596</v>
      </c>
      <c r="F4" s="30" t="s">
        <v>1198</v>
      </c>
      <c r="G4" s="30" t="s">
        <v>76</v>
      </c>
      <c r="H4" s="229">
        <v>4</v>
      </c>
      <c r="I4" s="229">
        <v>1.1200000000000001</v>
      </c>
      <c r="J4" s="229">
        <v>4.5999999999999996</v>
      </c>
      <c r="K4" s="86" t="s">
        <v>1205</v>
      </c>
      <c r="L4" s="86"/>
      <c r="M4" s="254">
        <v>44596</v>
      </c>
      <c r="N4" s="30" t="s">
        <v>1207</v>
      </c>
      <c r="O4" s="30" t="s">
        <v>1224</v>
      </c>
      <c r="P4" s="30" t="s">
        <v>673</v>
      </c>
      <c r="Q4" s="30">
        <v>4.5999999999999996</v>
      </c>
      <c r="R4" s="30">
        <v>50.599999999999994</v>
      </c>
      <c r="S4" s="30" t="s">
        <v>416</v>
      </c>
      <c r="T4" t="s">
        <v>1375</v>
      </c>
      <c r="U4" t="s">
        <v>947</v>
      </c>
      <c r="X4" s="86">
        <f t="shared" si="0"/>
        <v>11</v>
      </c>
      <c r="AA4" s="86" t="s">
        <v>418</v>
      </c>
      <c r="AB4" s="86" t="s">
        <v>418</v>
      </c>
    </row>
    <row r="5" spans="1:28">
      <c r="A5" s="68">
        <v>4</v>
      </c>
      <c r="B5" s="30" t="s">
        <v>945</v>
      </c>
      <c r="C5" s="30" t="s">
        <v>964</v>
      </c>
      <c r="D5" s="30" t="s">
        <v>1238</v>
      </c>
      <c r="E5" s="230">
        <v>44596</v>
      </c>
      <c r="F5" s="30" t="s">
        <v>865</v>
      </c>
      <c r="G5" s="30" t="s">
        <v>862</v>
      </c>
      <c r="H5" s="229">
        <v>20</v>
      </c>
      <c r="I5" s="229">
        <v>5</v>
      </c>
      <c r="J5" s="229">
        <v>4.5999999999999996</v>
      </c>
      <c r="K5" s="86" t="s">
        <v>1311</v>
      </c>
      <c r="L5" s="86"/>
      <c r="M5" s="254">
        <v>44596</v>
      </c>
      <c r="N5" s="30" t="s">
        <v>1207</v>
      </c>
      <c r="O5" s="30" t="s">
        <v>1224</v>
      </c>
      <c r="P5" s="30" t="s">
        <v>673</v>
      </c>
      <c r="Q5" s="30">
        <v>4.5999999999999996</v>
      </c>
      <c r="R5" s="30">
        <v>0.91999999999999993</v>
      </c>
      <c r="S5" s="30" t="s">
        <v>416</v>
      </c>
      <c r="T5" t="s">
        <v>1375</v>
      </c>
      <c r="U5" t="s">
        <v>1088</v>
      </c>
      <c r="X5" s="86">
        <f t="shared" si="0"/>
        <v>0.2</v>
      </c>
      <c r="AA5" s="86" t="s">
        <v>418</v>
      </c>
      <c r="AB5" s="86" t="s">
        <v>418</v>
      </c>
    </row>
    <row r="6" spans="1:28">
      <c r="A6" s="68">
        <v>5</v>
      </c>
      <c r="B6" s="30" t="s">
        <v>945</v>
      </c>
      <c r="C6" s="30" t="s">
        <v>964</v>
      </c>
      <c r="D6" s="30" t="s">
        <v>1238</v>
      </c>
      <c r="E6" s="230">
        <v>44596</v>
      </c>
      <c r="F6" s="30" t="s">
        <v>865</v>
      </c>
      <c r="G6" s="30" t="s">
        <v>1021</v>
      </c>
      <c r="H6" s="229">
        <v>10</v>
      </c>
      <c r="I6" s="229">
        <v>5.6</v>
      </c>
      <c r="J6" s="229">
        <v>4.5999999999999996</v>
      </c>
      <c r="K6" s="86" t="s">
        <v>1312</v>
      </c>
      <c r="L6" s="86"/>
      <c r="M6" s="254">
        <v>44596</v>
      </c>
      <c r="N6" s="30" t="s">
        <v>1217</v>
      </c>
      <c r="O6" s="30" t="s">
        <v>1228</v>
      </c>
      <c r="P6" s="30" t="s">
        <v>673</v>
      </c>
      <c r="Q6" s="30">
        <v>4.5999999999999996</v>
      </c>
      <c r="R6" s="30">
        <v>138</v>
      </c>
      <c r="S6" s="30" t="s">
        <v>416</v>
      </c>
      <c r="T6" t="s">
        <v>1376</v>
      </c>
      <c r="U6" t="s">
        <v>947</v>
      </c>
      <c r="X6" s="86">
        <f t="shared" si="0"/>
        <v>30.000000000000004</v>
      </c>
      <c r="AA6" s="86" t="s">
        <v>418</v>
      </c>
      <c r="AB6" s="86" t="s">
        <v>418</v>
      </c>
    </row>
    <row r="7" spans="1:28">
      <c r="A7" s="68">
        <v>6</v>
      </c>
      <c r="B7" s="30" t="s">
        <v>945</v>
      </c>
      <c r="C7" s="30" t="s">
        <v>964</v>
      </c>
      <c r="D7" s="30" t="s">
        <v>1313</v>
      </c>
      <c r="E7" s="230">
        <v>44597</v>
      </c>
      <c r="F7" s="30" t="s">
        <v>301</v>
      </c>
      <c r="G7" s="30" t="s">
        <v>76</v>
      </c>
      <c r="H7" s="229">
        <v>80</v>
      </c>
      <c r="I7" s="229">
        <v>1.1200000000000001</v>
      </c>
      <c r="J7" s="229">
        <v>5.0999999999999996</v>
      </c>
      <c r="K7" s="86" t="s">
        <v>1200</v>
      </c>
      <c r="L7" s="86"/>
      <c r="M7" s="254">
        <v>44596</v>
      </c>
      <c r="N7" s="30" t="s">
        <v>1217</v>
      </c>
      <c r="O7" s="30" t="s">
        <v>1228</v>
      </c>
      <c r="P7" s="30" t="s">
        <v>673</v>
      </c>
      <c r="Q7" s="30">
        <v>4.5999999999999996</v>
      </c>
      <c r="R7" s="30">
        <v>21.988</v>
      </c>
      <c r="S7" s="30" t="s">
        <v>416</v>
      </c>
      <c r="T7" t="s">
        <v>1376</v>
      </c>
      <c r="U7" t="s">
        <v>1088</v>
      </c>
      <c r="X7" s="86">
        <f t="shared" si="0"/>
        <v>4.78</v>
      </c>
      <c r="AA7" s="86" t="s">
        <v>418</v>
      </c>
      <c r="AB7" s="86" t="s">
        <v>418</v>
      </c>
    </row>
    <row r="8" spans="1:28">
      <c r="A8" s="68">
        <v>7</v>
      </c>
      <c r="B8" s="30" t="s">
        <v>945</v>
      </c>
      <c r="C8" s="30" t="s">
        <v>964</v>
      </c>
      <c r="D8" s="30" t="s">
        <v>1313</v>
      </c>
      <c r="E8" s="230">
        <v>44597</v>
      </c>
      <c r="F8" s="30" t="s">
        <v>301</v>
      </c>
      <c r="G8" s="30" t="s">
        <v>1021</v>
      </c>
      <c r="H8" s="229">
        <v>1</v>
      </c>
      <c r="I8" s="229">
        <v>5.6</v>
      </c>
      <c r="J8" s="229">
        <v>5.0999999999999996</v>
      </c>
      <c r="K8" s="86" t="s">
        <v>1314</v>
      </c>
      <c r="L8" s="86"/>
      <c r="M8" s="254">
        <v>44596</v>
      </c>
      <c r="N8" s="30" t="s">
        <v>1198</v>
      </c>
      <c r="O8" s="30" t="s">
        <v>1237</v>
      </c>
      <c r="P8" s="30" t="s">
        <v>673</v>
      </c>
      <c r="Q8" s="30">
        <v>4.5999999999999996</v>
      </c>
      <c r="R8" s="30">
        <v>20.608000000000001</v>
      </c>
      <c r="S8" s="30" t="s">
        <v>416</v>
      </c>
      <c r="T8" t="s">
        <v>1377</v>
      </c>
      <c r="U8" t="s">
        <v>1088</v>
      </c>
      <c r="X8" s="86">
        <f t="shared" si="0"/>
        <v>4.4800000000000004</v>
      </c>
      <c r="AA8" s="86" t="s">
        <v>418</v>
      </c>
      <c r="AB8" s="86" t="s">
        <v>418</v>
      </c>
    </row>
    <row r="9" spans="1:28">
      <c r="A9" s="68">
        <v>8</v>
      </c>
      <c r="B9" s="30" t="s">
        <v>945</v>
      </c>
      <c r="C9" s="30" t="s">
        <v>964</v>
      </c>
      <c r="D9" s="30" t="s">
        <v>1266</v>
      </c>
      <c r="E9" s="230">
        <v>44599</v>
      </c>
      <c r="F9" s="30" t="s">
        <v>1208</v>
      </c>
      <c r="G9" s="30" t="s">
        <v>1021</v>
      </c>
      <c r="H9" s="229">
        <v>10</v>
      </c>
      <c r="I9" s="229">
        <v>5.6</v>
      </c>
      <c r="J9" s="229">
        <v>4.4804305283757335</v>
      </c>
      <c r="K9" s="86" t="s">
        <v>1315</v>
      </c>
      <c r="L9" s="86"/>
      <c r="M9" s="254">
        <v>44596</v>
      </c>
      <c r="N9" s="30" t="s">
        <v>865</v>
      </c>
      <c r="O9" s="30" t="s">
        <v>1238</v>
      </c>
      <c r="P9" s="30" t="s">
        <v>673</v>
      </c>
      <c r="Q9" s="30">
        <v>4.5999999999999996</v>
      </c>
      <c r="R9" s="30">
        <v>717.59999999999991</v>
      </c>
      <c r="S9" s="30" t="s">
        <v>416</v>
      </c>
      <c r="T9" t="s">
        <v>1378</v>
      </c>
      <c r="U9" t="s">
        <v>947</v>
      </c>
      <c r="X9" s="86">
        <f t="shared" si="0"/>
        <v>156</v>
      </c>
      <c r="AA9" s="86" t="s">
        <v>418</v>
      </c>
      <c r="AB9" s="86" t="s">
        <v>418</v>
      </c>
    </row>
    <row r="10" spans="1:28">
      <c r="A10" s="68">
        <v>9</v>
      </c>
      <c r="B10" s="30" t="s">
        <v>945</v>
      </c>
      <c r="C10" s="30" t="s">
        <v>964</v>
      </c>
      <c r="D10" s="30" t="s">
        <v>1266</v>
      </c>
      <c r="E10" s="230">
        <v>44599</v>
      </c>
      <c r="F10" s="30" t="s">
        <v>1208</v>
      </c>
      <c r="G10" s="30" t="s">
        <v>524</v>
      </c>
      <c r="H10" s="229">
        <v>10</v>
      </c>
      <c r="I10" s="229">
        <v>1.1499999999999999</v>
      </c>
      <c r="J10" s="229">
        <v>4.4804305283757335</v>
      </c>
      <c r="K10" s="86" t="s">
        <v>1316</v>
      </c>
      <c r="L10" s="86"/>
      <c r="M10" s="254">
        <v>44596</v>
      </c>
      <c r="N10" s="30" t="s">
        <v>1092</v>
      </c>
      <c r="O10" s="30" t="s">
        <v>1239</v>
      </c>
      <c r="P10" s="30" t="s">
        <v>673</v>
      </c>
      <c r="Q10" s="30">
        <v>4.5999999999999996</v>
      </c>
      <c r="R10" s="30">
        <v>-919.99999999999989</v>
      </c>
      <c r="S10" s="30" t="s">
        <v>416</v>
      </c>
      <c r="T10" t="s">
        <v>1379</v>
      </c>
      <c r="U10" t="s">
        <v>947</v>
      </c>
      <c r="X10" s="86">
        <f t="shared" si="0"/>
        <v>-200</v>
      </c>
      <c r="AA10" s="86" t="s">
        <v>418</v>
      </c>
      <c r="AB10" s="86" t="s">
        <v>418</v>
      </c>
    </row>
    <row r="11" spans="1:28">
      <c r="A11" s="68">
        <v>10</v>
      </c>
      <c r="B11" s="30" t="s">
        <v>945</v>
      </c>
      <c r="C11" s="30" t="s">
        <v>964</v>
      </c>
      <c r="D11" s="30" t="s">
        <v>1266</v>
      </c>
      <c r="E11" s="230">
        <v>44599</v>
      </c>
      <c r="F11" s="30" t="s">
        <v>1208</v>
      </c>
      <c r="G11" s="30" t="s">
        <v>940</v>
      </c>
      <c r="H11" s="229">
        <v>10</v>
      </c>
      <c r="I11" s="229">
        <v>2.39</v>
      </c>
      <c r="J11" s="229">
        <v>4.4804305283757335</v>
      </c>
      <c r="K11" s="86" t="s">
        <v>1317</v>
      </c>
      <c r="L11" s="86"/>
      <c r="M11" s="254">
        <v>44596</v>
      </c>
      <c r="N11" s="30" t="s">
        <v>1240</v>
      </c>
      <c r="O11" s="30" t="s">
        <v>1241</v>
      </c>
      <c r="P11" s="30" t="s">
        <v>673</v>
      </c>
      <c r="Q11" s="30">
        <v>4.5999999999999996</v>
      </c>
      <c r="R11" s="30">
        <v>-1793.9999999999998</v>
      </c>
      <c r="S11" s="30" t="s">
        <v>416</v>
      </c>
      <c r="T11" t="s">
        <v>1380</v>
      </c>
      <c r="U11" t="s">
        <v>947</v>
      </c>
      <c r="X11" s="86">
        <f t="shared" si="0"/>
        <v>-390</v>
      </c>
      <c r="AA11" s="86" t="s">
        <v>418</v>
      </c>
      <c r="AB11" s="86" t="s">
        <v>418</v>
      </c>
    </row>
    <row r="12" spans="1:28">
      <c r="A12" s="68">
        <v>11</v>
      </c>
      <c r="B12" s="30" t="s">
        <v>945</v>
      </c>
      <c r="C12" s="30" t="s">
        <v>964</v>
      </c>
      <c r="D12" s="30" t="s">
        <v>1266</v>
      </c>
      <c r="E12" s="230">
        <v>44599</v>
      </c>
      <c r="F12" s="30" t="s">
        <v>1208</v>
      </c>
      <c r="G12" s="30" t="s">
        <v>515</v>
      </c>
      <c r="H12" s="229">
        <v>5</v>
      </c>
      <c r="I12" s="229">
        <v>2.16</v>
      </c>
      <c r="J12" s="229">
        <v>4.4804305283757335</v>
      </c>
      <c r="K12" s="86" t="s">
        <v>1318</v>
      </c>
      <c r="L12" s="86"/>
      <c r="M12" s="254">
        <v>44596</v>
      </c>
      <c r="N12" s="30" t="s">
        <v>1242</v>
      </c>
      <c r="O12" s="30" t="s">
        <v>1243</v>
      </c>
      <c r="P12" s="30" t="s">
        <v>673</v>
      </c>
      <c r="Q12" s="30">
        <v>4.5999999999999996</v>
      </c>
      <c r="R12" s="30">
        <v>-229.99999999999997</v>
      </c>
      <c r="S12" s="30" t="s">
        <v>416</v>
      </c>
      <c r="T12" t="s">
        <v>1381</v>
      </c>
      <c r="U12" t="s">
        <v>947</v>
      </c>
      <c r="X12" s="86">
        <f t="shared" si="0"/>
        <v>-50</v>
      </c>
      <c r="AA12" s="86" t="s">
        <v>418</v>
      </c>
      <c r="AB12" s="86" t="s">
        <v>418</v>
      </c>
    </row>
    <row r="13" spans="1:28">
      <c r="A13" s="68">
        <v>12</v>
      </c>
      <c r="B13" s="30" t="s">
        <v>945</v>
      </c>
      <c r="C13" s="30" t="s">
        <v>964</v>
      </c>
      <c r="D13" s="30" t="s">
        <v>1257</v>
      </c>
      <c r="E13" s="230">
        <v>44600</v>
      </c>
      <c r="F13" s="30" t="s">
        <v>823</v>
      </c>
      <c r="G13" s="30" t="s">
        <v>538</v>
      </c>
      <c r="H13" s="229">
        <v>50</v>
      </c>
      <c r="I13" s="229">
        <v>1.6600000000000001</v>
      </c>
      <c r="J13" s="229">
        <v>4.5999999999999996</v>
      </c>
      <c r="K13" s="86" t="s">
        <v>1319</v>
      </c>
      <c r="L13" s="86"/>
      <c r="M13" s="254">
        <v>44596</v>
      </c>
      <c r="N13" s="30" t="s">
        <v>1090</v>
      </c>
      <c r="O13" s="30" t="s">
        <v>1245</v>
      </c>
      <c r="P13" s="30" t="s">
        <v>673</v>
      </c>
      <c r="Q13" s="30">
        <v>4.5999999999999996</v>
      </c>
      <c r="R13" s="30">
        <v>-92</v>
      </c>
      <c r="S13" s="30" t="s">
        <v>416</v>
      </c>
      <c r="T13" t="s">
        <v>1382</v>
      </c>
      <c r="U13" t="s">
        <v>947</v>
      </c>
      <c r="X13" s="86">
        <f t="shared" si="0"/>
        <v>-20</v>
      </c>
      <c r="AA13" s="86" t="s">
        <v>418</v>
      </c>
      <c r="AB13" s="86" t="s">
        <v>418</v>
      </c>
    </row>
    <row r="14" spans="1:28">
      <c r="A14" s="68">
        <v>13</v>
      </c>
      <c r="B14" s="30" t="s">
        <v>945</v>
      </c>
      <c r="C14" s="30" t="s">
        <v>964</v>
      </c>
      <c r="D14" s="30" t="s">
        <v>1257</v>
      </c>
      <c r="E14" s="230">
        <v>44600</v>
      </c>
      <c r="F14" s="30" t="s">
        <v>823</v>
      </c>
      <c r="G14" s="30" t="s">
        <v>849</v>
      </c>
      <c r="H14" s="229">
        <v>20</v>
      </c>
      <c r="I14" s="229">
        <v>4.1900000000000004</v>
      </c>
      <c r="J14" s="229">
        <v>4.5999999999999996</v>
      </c>
      <c r="K14" s="86" t="s">
        <v>1320</v>
      </c>
      <c r="L14" s="86"/>
      <c r="M14" s="254">
        <v>44596</v>
      </c>
      <c r="N14" s="30" t="s">
        <v>1089</v>
      </c>
      <c r="O14" s="30" t="s">
        <v>1245</v>
      </c>
      <c r="P14" s="30" t="s">
        <v>673</v>
      </c>
      <c r="Q14" s="30">
        <v>4.5999999999999996</v>
      </c>
      <c r="R14" s="30">
        <v>-46</v>
      </c>
      <c r="S14" s="30" t="s">
        <v>416</v>
      </c>
      <c r="T14" t="s">
        <v>1383</v>
      </c>
      <c r="U14" t="s">
        <v>947</v>
      </c>
      <c r="X14" s="86">
        <f t="shared" si="0"/>
        <v>-10</v>
      </c>
      <c r="AA14" s="86" t="s">
        <v>418</v>
      </c>
      <c r="AB14" s="86" t="s">
        <v>418</v>
      </c>
    </row>
    <row r="15" spans="1:28">
      <c r="A15" s="68">
        <v>14</v>
      </c>
      <c r="B15" s="30" t="s">
        <v>945</v>
      </c>
      <c r="C15" s="30" t="s">
        <v>964</v>
      </c>
      <c r="D15" s="30" t="s">
        <v>1257</v>
      </c>
      <c r="E15" s="230">
        <v>44600</v>
      </c>
      <c r="F15" s="30" t="s">
        <v>823</v>
      </c>
      <c r="G15" s="30" t="s">
        <v>1002</v>
      </c>
      <c r="H15" s="229">
        <v>22</v>
      </c>
      <c r="I15" s="229">
        <v>5.4</v>
      </c>
      <c r="J15" s="229">
        <v>4.5999999999999996</v>
      </c>
      <c r="K15" s="86" t="s">
        <v>1321</v>
      </c>
      <c r="L15" s="86"/>
      <c r="M15" s="254">
        <v>44596</v>
      </c>
      <c r="N15" s="30" t="s">
        <v>962</v>
      </c>
      <c r="O15" s="30" t="s">
        <v>1245</v>
      </c>
      <c r="P15" s="30" t="s">
        <v>673</v>
      </c>
      <c r="Q15" s="30">
        <v>4.5999999999999996</v>
      </c>
      <c r="R15" s="30">
        <v>-92</v>
      </c>
      <c r="S15" s="30" t="s">
        <v>416</v>
      </c>
      <c r="T15" t="s">
        <v>1384</v>
      </c>
      <c r="U15" t="s">
        <v>947</v>
      </c>
      <c r="X15" s="86">
        <f t="shared" si="0"/>
        <v>-20</v>
      </c>
      <c r="AA15" s="86" t="s">
        <v>418</v>
      </c>
      <c r="AB15" s="86" t="s">
        <v>418</v>
      </c>
    </row>
    <row r="16" spans="1:28">
      <c r="A16" s="68">
        <v>15</v>
      </c>
      <c r="B16" s="30" t="s">
        <v>945</v>
      </c>
      <c r="C16" s="30" t="s">
        <v>964</v>
      </c>
      <c r="D16" s="30" t="s">
        <v>1283</v>
      </c>
      <c r="E16" s="230">
        <v>44600</v>
      </c>
      <c r="F16" s="30" t="s">
        <v>850</v>
      </c>
      <c r="G16" s="30" t="s">
        <v>849</v>
      </c>
      <c r="H16" s="229">
        <v>20</v>
      </c>
      <c r="I16" s="229">
        <v>4.1900000000000004</v>
      </c>
      <c r="J16" s="229">
        <v>4.4000000000000004</v>
      </c>
      <c r="K16" s="86" t="s">
        <v>1322</v>
      </c>
      <c r="L16" s="86"/>
      <c r="M16" s="254">
        <v>44596</v>
      </c>
      <c r="N16" s="30" t="s">
        <v>1244</v>
      </c>
      <c r="O16" s="30" t="s">
        <v>1245</v>
      </c>
      <c r="P16" s="30" t="s">
        <v>673</v>
      </c>
      <c r="Q16" s="30">
        <v>4.5999999999999996</v>
      </c>
      <c r="R16" s="30">
        <v>-23</v>
      </c>
      <c r="S16" s="30" t="s">
        <v>416</v>
      </c>
      <c r="T16" t="s">
        <v>1385</v>
      </c>
      <c r="U16" t="s">
        <v>947</v>
      </c>
      <c r="X16" s="86">
        <f t="shared" si="0"/>
        <v>-5</v>
      </c>
      <c r="AA16" s="86" t="s">
        <v>418</v>
      </c>
      <c r="AB16" s="86" t="s">
        <v>418</v>
      </c>
    </row>
    <row r="17" spans="1:28">
      <c r="A17" s="68">
        <v>16</v>
      </c>
      <c r="B17" s="30" t="s">
        <v>945</v>
      </c>
      <c r="C17" s="30" t="s">
        <v>964</v>
      </c>
      <c r="D17" s="30" t="s">
        <v>1249</v>
      </c>
      <c r="E17" s="230">
        <v>44600</v>
      </c>
      <c r="F17" s="30" t="s">
        <v>1188</v>
      </c>
      <c r="G17" s="30" t="s">
        <v>1002</v>
      </c>
      <c r="H17" s="229">
        <v>10</v>
      </c>
      <c r="I17" s="229">
        <v>5.4</v>
      </c>
      <c r="J17" s="229">
        <v>4.5955555555555554</v>
      </c>
      <c r="K17" s="86" t="s">
        <v>1202</v>
      </c>
      <c r="L17" s="86"/>
      <c r="M17" s="254">
        <v>44596</v>
      </c>
      <c r="N17" s="30" t="s">
        <v>1091</v>
      </c>
      <c r="O17" s="30" t="s">
        <v>1245</v>
      </c>
      <c r="P17" s="30" t="s">
        <v>673</v>
      </c>
      <c r="Q17" s="30">
        <v>4.5999999999999996</v>
      </c>
      <c r="R17" s="30">
        <v>-69</v>
      </c>
      <c r="S17" s="30" t="s">
        <v>416</v>
      </c>
      <c r="T17" t="s">
        <v>1386</v>
      </c>
      <c r="U17" t="s">
        <v>947</v>
      </c>
      <c r="X17" s="86">
        <f t="shared" si="0"/>
        <v>-15.000000000000002</v>
      </c>
      <c r="AA17" s="86" t="s">
        <v>418</v>
      </c>
      <c r="AB17" s="86" t="s">
        <v>418</v>
      </c>
    </row>
    <row r="18" spans="1:28">
      <c r="A18" s="68">
        <v>17</v>
      </c>
      <c r="B18" s="30" t="s">
        <v>945</v>
      </c>
      <c r="C18" s="30" t="s">
        <v>964</v>
      </c>
      <c r="D18" s="30" t="s">
        <v>1258</v>
      </c>
      <c r="E18" s="230">
        <v>44602</v>
      </c>
      <c r="F18" s="30" t="s">
        <v>865</v>
      </c>
      <c r="G18" s="30" t="s">
        <v>758</v>
      </c>
      <c r="H18" s="229">
        <v>39</v>
      </c>
      <c r="I18" s="229">
        <v>2.88</v>
      </c>
      <c r="J18" s="229">
        <v>4.6000000000000005</v>
      </c>
      <c r="K18" s="86" t="s">
        <v>1323</v>
      </c>
      <c r="L18" s="86"/>
      <c r="M18" s="254">
        <v>44596</v>
      </c>
      <c r="N18" s="30" t="s">
        <v>1170</v>
      </c>
      <c r="O18" s="30" t="s">
        <v>1245</v>
      </c>
      <c r="P18" s="30" t="s">
        <v>673</v>
      </c>
      <c r="Q18" s="30">
        <v>4.5999999999999996</v>
      </c>
      <c r="R18" s="30">
        <v>-32.199999999999996</v>
      </c>
      <c r="S18" s="30" t="s">
        <v>416</v>
      </c>
      <c r="T18" t="s">
        <v>1387</v>
      </c>
      <c r="U18" t="s">
        <v>947</v>
      </c>
      <c r="X18" s="86">
        <f t="shared" si="0"/>
        <v>-7</v>
      </c>
      <c r="AA18" s="86" t="s">
        <v>418</v>
      </c>
      <c r="AB18" s="86" t="s">
        <v>418</v>
      </c>
    </row>
    <row r="19" spans="1:28">
      <c r="A19" s="68">
        <v>18</v>
      </c>
      <c r="B19" s="30" t="s">
        <v>945</v>
      </c>
      <c r="C19" s="30" t="s">
        <v>964</v>
      </c>
      <c r="D19" s="30" t="s">
        <v>1258</v>
      </c>
      <c r="E19" s="230">
        <v>44602</v>
      </c>
      <c r="F19" s="30" t="s">
        <v>865</v>
      </c>
      <c r="G19" s="30" t="s">
        <v>480</v>
      </c>
      <c r="H19" s="229">
        <v>10</v>
      </c>
      <c r="I19" s="229">
        <v>0.54</v>
      </c>
      <c r="J19" s="229">
        <v>4.6000000000000005</v>
      </c>
      <c r="K19" s="86" t="s">
        <v>1324</v>
      </c>
      <c r="L19" s="86"/>
      <c r="M19" s="254">
        <v>44600</v>
      </c>
      <c r="N19" s="30" t="s">
        <v>237</v>
      </c>
      <c r="O19" s="30" t="s">
        <v>1210</v>
      </c>
      <c r="P19" s="30" t="s">
        <v>673</v>
      </c>
      <c r="Q19" s="30">
        <v>4.5999999999999996</v>
      </c>
      <c r="R19" s="30">
        <v>92</v>
      </c>
      <c r="S19" s="30" t="s">
        <v>416</v>
      </c>
      <c r="T19" t="s">
        <v>1388</v>
      </c>
      <c r="U19" t="s">
        <v>947</v>
      </c>
      <c r="X19" s="86">
        <f t="shared" si="0"/>
        <v>20</v>
      </c>
      <c r="AA19" s="86" t="s">
        <v>418</v>
      </c>
      <c r="AB19" s="86" t="s">
        <v>418</v>
      </c>
    </row>
    <row r="20" spans="1:28">
      <c r="A20" s="68">
        <v>19</v>
      </c>
      <c r="B20" s="30" t="s">
        <v>945</v>
      </c>
      <c r="C20" s="30" t="s">
        <v>964</v>
      </c>
      <c r="D20" s="30" t="s">
        <v>1258</v>
      </c>
      <c r="E20" s="230">
        <v>44602</v>
      </c>
      <c r="F20" s="30" t="s">
        <v>865</v>
      </c>
      <c r="G20" s="30" t="s">
        <v>76</v>
      </c>
      <c r="H20" s="229">
        <v>25</v>
      </c>
      <c r="I20" s="229">
        <v>1.1200000000000001</v>
      </c>
      <c r="J20" s="229">
        <v>4.6000000000000005</v>
      </c>
      <c r="K20" s="86" t="s">
        <v>1325</v>
      </c>
      <c r="L20" s="86"/>
      <c r="M20" s="254">
        <v>44600</v>
      </c>
      <c r="N20" s="30" t="s">
        <v>237</v>
      </c>
      <c r="O20" s="30" t="s">
        <v>1210</v>
      </c>
      <c r="P20" s="30" t="s">
        <v>673</v>
      </c>
      <c r="Q20" s="30">
        <v>4.5999999999999996</v>
      </c>
      <c r="R20" s="30">
        <v>22.54</v>
      </c>
      <c r="S20" s="30" t="s">
        <v>416</v>
      </c>
      <c r="T20" t="s">
        <v>1388</v>
      </c>
      <c r="U20" t="s">
        <v>1088</v>
      </c>
      <c r="X20" s="86">
        <f t="shared" si="0"/>
        <v>4.9000000000000004</v>
      </c>
      <c r="AA20" s="86" t="s">
        <v>418</v>
      </c>
      <c r="AB20" s="86" t="s">
        <v>418</v>
      </c>
    </row>
    <row r="21" spans="1:28">
      <c r="A21" s="68">
        <v>20</v>
      </c>
      <c r="B21" s="30" t="s">
        <v>945</v>
      </c>
      <c r="C21" s="30" t="s">
        <v>964</v>
      </c>
      <c r="D21" s="30" t="s">
        <v>1258</v>
      </c>
      <c r="E21" s="230">
        <v>44602</v>
      </c>
      <c r="F21" s="30" t="s">
        <v>865</v>
      </c>
      <c r="G21" s="30" t="s">
        <v>632</v>
      </c>
      <c r="H21" s="229">
        <v>2</v>
      </c>
      <c r="I21" s="229">
        <v>1.5499999999999998</v>
      </c>
      <c r="J21" s="229">
        <v>4.6000000000000005</v>
      </c>
      <c r="K21" s="86" t="s">
        <v>1326</v>
      </c>
      <c r="L21" s="86"/>
      <c r="M21" s="254">
        <v>44600</v>
      </c>
      <c r="N21" s="30" t="s">
        <v>850</v>
      </c>
      <c r="O21" s="30" t="s">
        <v>1226</v>
      </c>
      <c r="P21" s="30" t="s">
        <v>673</v>
      </c>
      <c r="Q21" s="30">
        <v>4.5999999999999996</v>
      </c>
      <c r="R21" s="30">
        <v>644</v>
      </c>
      <c r="S21" s="30" t="s">
        <v>416</v>
      </c>
      <c r="T21" t="s">
        <v>1389</v>
      </c>
      <c r="U21" t="s">
        <v>947</v>
      </c>
      <c r="X21" s="86">
        <f t="shared" si="0"/>
        <v>140</v>
      </c>
      <c r="AA21" s="86" t="s">
        <v>418</v>
      </c>
      <c r="AB21" s="86" t="s">
        <v>418</v>
      </c>
    </row>
    <row r="22" spans="1:28">
      <c r="A22" s="68">
        <v>21</v>
      </c>
      <c r="B22" s="30" t="s">
        <v>945</v>
      </c>
      <c r="C22" s="30" t="s">
        <v>964</v>
      </c>
      <c r="D22" s="30" t="s">
        <v>1306</v>
      </c>
      <c r="E22" s="230">
        <v>44602</v>
      </c>
      <c r="F22" s="30" t="s">
        <v>1252</v>
      </c>
      <c r="G22" s="30" t="s">
        <v>76</v>
      </c>
      <c r="H22" s="229">
        <v>70</v>
      </c>
      <c r="I22" s="229">
        <v>1.1200000000000001</v>
      </c>
      <c r="J22" s="229">
        <v>4.589999999999999</v>
      </c>
      <c r="K22" s="86" t="s">
        <v>1327</v>
      </c>
      <c r="L22" s="86"/>
      <c r="M22" s="254">
        <v>44600</v>
      </c>
      <c r="N22" s="30" t="s">
        <v>237</v>
      </c>
      <c r="O22" s="30" t="s">
        <v>1229</v>
      </c>
      <c r="P22" s="30" t="s">
        <v>673</v>
      </c>
      <c r="Q22" s="30">
        <v>4.5999999999999996</v>
      </c>
      <c r="R22" s="30">
        <v>529</v>
      </c>
      <c r="S22" s="30" t="s">
        <v>416</v>
      </c>
      <c r="T22" t="s">
        <v>1390</v>
      </c>
      <c r="U22" t="s">
        <v>947</v>
      </c>
      <c r="X22" s="86">
        <f t="shared" si="0"/>
        <v>115.00000000000001</v>
      </c>
      <c r="AA22" s="86" t="s">
        <v>418</v>
      </c>
      <c r="AB22" s="86" t="s">
        <v>418</v>
      </c>
    </row>
    <row r="23" spans="1:28">
      <c r="A23" s="68">
        <v>22</v>
      </c>
      <c r="B23" s="30" t="s">
        <v>945</v>
      </c>
      <c r="C23" s="30" t="s">
        <v>964</v>
      </c>
      <c r="D23" s="30" t="s">
        <v>1306</v>
      </c>
      <c r="E23" s="230">
        <v>44602</v>
      </c>
      <c r="F23" s="30" t="s">
        <v>1252</v>
      </c>
      <c r="G23" s="30" t="s">
        <v>1002</v>
      </c>
      <c r="H23" s="229">
        <v>10</v>
      </c>
      <c r="I23" s="229">
        <v>5.4</v>
      </c>
      <c r="J23" s="229">
        <v>4.589999999999999</v>
      </c>
      <c r="K23" s="86" t="s">
        <v>1328</v>
      </c>
      <c r="L23" s="86"/>
      <c r="M23" s="254">
        <v>44600</v>
      </c>
      <c r="N23" s="30" t="s">
        <v>237</v>
      </c>
      <c r="O23" s="30" t="s">
        <v>1229</v>
      </c>
      <c r="P23" s="30" t="s">
        <v>673</v>
      </c>
      <c r="Q23" s="30">
        <v>4.5999999999999996</v>
      </c>
      <c r="R23" s="30">
        <v>5.9799999999999995</v>
      </c>
      <c r="S23" s="30" t="s">
        <v>416</v>
      </c>
      <c r="T23" t="s">
        <v>1390</v>
      </c>
      <c r="U23" t="s">
        <v>1088</v>
      </c>
      <c r="X23" s="86">
        <f t="shared" si="0"/>
        <v>1.3</v>
      </c>
      <c r="AA23" s="86" t="s">
        <v>418</v>
      </c>
      <c r="AB23" s="86" t="s">
        <v>418</v>
      </c>
    </row>
    <row r="24" spans="1:28">
      <c r="A24" s="68">
        <v>23</v>
      </c>
      <c r="B24" s="30" t="s">
        <v>945</v>
      </c>
      <c r="C24" s="30" t="s">
        <v>964</v>
      </c>
      <c r="D24" s="30" t="s">
        <v>1267</v>
      </c>
      <c r="E24" s="230">
        <v>44603</v>
      </c>
      <c r="F24" s="30" t="s">
        <v>865</v>
      </c>
      <c r="G24" s="30" t="s">
        <v>940</v>
      </c>
      <c r="H24" s="229">
        <v>30</v>
      </c>
      <c r="I24" s="229">
        <v>2.39</v>
      </c>
      <c r="J24" s="229">
        <v>4.46</v>
      </c>
      <c r="K24" s="86" t="s">
        <v>1329</v>
      </c>
      <c r="L24" s="86"/>
      <c r="M24" s="254">
        <v>44600</v>
      </c>
      <c r="N24" s="30" t="s">
        <v>301</v>
      </c>
      <c r="O24" s="30" t="s">
        <v>1231</v>
      </c>
      <c r="P24" s="30" t="s">
        <v>673</v>
      </c>
      <c r="Q24" s="30">
        <v>4.5999999999999996</v>
      </c>
      <c r="R24" s="30">
        <v>390.99999999999994</v>
      </c>
      <c r="S24" s="30" t="s">
        <v>416</v>
      </c>
      <c r="T24" t="s">
        <v>1391</v>
      </c>
      <c r="U24" t="s">
        <v>947</v>
      </c>
      <c r="X24" s="86">
        <f t="shared" si="0"/>
        <v>85</v>
      </c>
      <c r="AA24" s="86" t="s">
        <v>418</v>
      </c>
      <c r="AB24" s="86" t="s">
        <v>418</v>
      </c>
    </row>
    <row r="25" spans="1:28">
      <c r="A25" s="68">
        <v>24</v>
      </c>
      <c r="B25" s="30" t="s">
        <v>945</v>
      </c>
      <c r="C25" s="30" t="s">
        <v>964</v>
      </c>
      <c r="D25" s="30" t="s">
        <v>1267</v>
      </c>
      <c r="E25" s="230">
        <v>44603</v>
      </c>
      <c r="F25" s="30" t="s">
        <v>865</v>
      </c>
      <c r="G25" s="30" t="s">
        <v>940</v>
      </c>
      <c r="H25" s="229">
        <v>3</v>
      </c>
      <c r="I25" s="229">
        <v>2.39</v>
      </c>
      <c r="J25" s="229">
        <v>4.46</v>
      </c>
      <c r="K25" s="86" t="s">
        <v>1330</v>
      </c>
      <c r="L25" s="86"/>
      <c r="M25" s="254">
        <v>44600</v>
      </c>
      <c r="N25" s="30" t="s">
        <v>301</v>
      </c>
      <c r="O25" s="30" t="s">
        <v>1231</v>
      </c>
      <c r="P25" s="30" t="s">
        <v>673</v>
      </c>
      <c r="Q25" s="30">
        <v>4.5999999999999996</v>
      </c>
      <c r="R25" s="30">
        <v>21.159999999999997</v>
      </c>
      <c r="S25" s="30" t="s">
        <v>416</v>
      </c>
      <c r="T25" t="s">
        <v>1391</v>
      </c>
      <c r="U25" t="s">
        <v>1088</v>
      </c>
      <c r="X25" s="86">
        <f t="shared" si="0"/>
        <v>4.5999999999999996</v>
      </c>
      <c r="AA25" s="86" t="s">
        <v>418</v>
      </c>
      <c r="AB25" s="86" t="s">
        <v>418</v>
      </c>
    </row>
    <row r="26" spans="1:28">
      <c r="A26" s="68">
        <v>25</v>
      </c>
      <c r="B26" s="30" t="s">
        <v>945</v>
      </c>
      <c r="C26" s="30" t="s">
        <v>964</v>
      </c>
      <c r="D26" s="30" t="s">
        <v>1304</v>
      </c>
      <c r="E26" s="230">
        <v>44606</v>
      </c>
      <c r="F26" s="30" t="s">
        <v>1069</v>
      </c>
      <c r="G26" s="30" t="s">
        <v>524</v>
      </c>
      <c r="H26" s="229">
        <v>11</v>
      </c>
      <c r="I26" s="229">
        <v>1.1499999999999999</v>
      </c>
      <c r="J26" s="229">
        <v>4.46</v>
      </c>
      <c r="K26" s="86" t="s">
        <v>1203</v>
      </c>
      <c r="L26" s="86"/>
      <c r="M26" s="254">
        <v>44600</v>
      </c>
      <c r="N26" s="30" t="s">
        <v>1188</v>
      </c>
      <c r="O26" s="30" t="s">
        <v>1249</v>
      </c>
      <c r="P26" s="30" t="s">
        <v>673</v>
      </c>
      <c r="Q26" s="30">
        <v>4.5999999999999996</v>
      </c>
      <c r="R26" s="30">
        <v>138</v>
      </c>
      <c r="S26" s="30" t="s">
        <v>416</v>
      </c>
      <c r="T26" t="s">
        <v>1392</v>
      </c>
      <c r="U26" t="s">
        <v>1088</v>
      </c>
      <c r="X26" s="86">
        <f t="shared" si="0"/>
        <v>30.000000000000004</v>
      </c>
      <c r="AA26" s="86" t="s">
        <v>418</v>
      </c>
      <c r="AB26" s="86" t="s">
        <v>418</v>
      </c>
    </row>
    <row r="27" spans="1:28">
      <c r="A27" s="68">
        <v>26</v>
      </c>
      <c r="B27" s="30" t="s">
        <v>945</v>
      </c>
      <c r="C27" s="30" t="s">
        <v>964</v>
      </c>
      <c r="D27" s="30" t="s">
        <v>1304</v>
      </c>
      <c r="E27" s="230">
        <v>44606</v>
      </c>
      <c r="F27" s="30" t="s">
        <v>1069</v>
      </c>
      <c r="G27" s="30" t="s">
        <v>632</v>
      </c>
      <c r="H27" s="229">
        <v>12</v>
      </c>
      <c r="I27" s="229">
        <v>1.5499999999999998</v>
      </c>
      <c r="J27" s="229">
        <v>4.46</v>
      </c>
      <c r="K27" s="86" t="s">
        <v>1331</v>
      </c>
      <c r="L27" s="86"/>
      <c r="M27" s="254">
        <v>44600</v>
      </c>
      <c r="N27" s="30" t="s">
        <v>1250</v>
      </c>
      <c r="O27" s="30" t="s">
        <v>1251</v>
      </c>
      <c r="P27" s="30" t="s">
        <v>673</v>
      </c>
      <c r="Q27" s="30">
        <v>4.5999999999999996</v>
      </c>
      <c r="R27" s="30">
        <v>-114.99999999999999</v>
      </c>
      <c r="S27" s="30" t="s">
        <v>416</v>
      </c>
      <c r="T27" t="s">
        <v>1393</v>
      </c>
      <c r="U27" t="s">
        <v>947</v>
      </c>
      <c r="X27" s="86">
        <f t="shared" si="0"/>
        <v>-25</v>
      </c>
      <c r="AA27" s="86" t="s">
        <v>418</v>
      </c>
      <c r="AB27" s="86" t="s">
        <v>418</v>
      </c>
    </row>
    <row r="28" spans="1:28">
      <c r="A28" s="68">
        <v>27</v>
      </c>
      <c r="B28" s="30" t="s">
        <v>945</v>
      </c>
      <c r="C28" s="30" t="s">
        <v>964</v>
      </c>
      <c r="D28" s="30" t="s">
        <v>1304</v>
      </c>
      <c r="E28" s="230">
        <v>44606</v>
      </c>
      <c r="F28" s="30" t="s">
        <v>1069</v>
      </c>
      <c r="G28" s="30" t="s">
        <v>512</v>
      </c>
      <c r="H28" s="229">
        <v>6</v>
      </c>
      <c r="I28" s="229">
        <v>1.9699999999999998</v>
      </c>
      <c r="J28" s="229">
        <v>4.46</v>
      </c>
      <c r="K28" s="86" t="s">
        <v>1332</v>
      </c>
      <c r="L28" s="86"/>
      <c r="M28" s="254">
        <v>44602</v>
      </c>
      <c r="N28" s="30" t="s">
        <v>1069</v>
      </c>
      <c r="O28" s="30" t="s">
        <v>1230</v>
      </c>
      <c r="P28" s="30" t="s">
        <v>673</v>
      </c>
      <c r="Q28" s="30">
        <v>4.5999999999999996</v>
      </c>
      <c r="R28" s="30">
        <v>322</v>
      </c>
      <c r="S28" s="30" t="s">
        <v>416</v>
      </c>
      <c r="T28" t="s">
        <v>1394</v>
      </c>
      <c r="U28" t="s">
        <v>947</v>
      </c>
      <c r="X28" s="86">
        <f t="shared" si="0"/>
        <v>70</v>
      </c>
      <c r="AA28" s="86" t="s">
        <v>418</v>
      </c>
      <c r="AB28" s="86" t="s">
        <v>418</v>
      </c>
    </row>
    <row r="29" spans="1:28">
      <c r="A29" s="68">
        <v>28</v>
      </c>
      <c r="B29" s="30" t="s">
        <v>945</v>
      </c>
      <c r="C29" s="30" t="s">
        <v>964</v>
      </c>
      <c r="D29" s="30" t="s">
        <v>1291</v>
      </c>
      <c r="E29" s="230">
        <v>44606</v>
      </c>
      <c r="F29" s="30" t="s">
        <v>1096</v>
      </c>
      <c r="G29" s="30" t="s">
        <v>1021</v>
      </c>
      <c r="H29" s="229">
        <v>10</v>
      </c>
      <c r="I29" s="229">
        <v>5.6</v>
      </c>
      <c r="J29" s="229">
        <v>4.46</v>
      </c>
      <c r="K29" s="86" t="s">
        <v>1177</v>
      </c>
      <c r="L29" s="86"/>
      <c r="M29" s="254">
        <v>44602</v>
      </c>
      <c r="N29" s="30" t="s">
        <v>1069</v>
      </c>
      <c r="O29" s="30" t="s">
        <v>1230</v>
      </c>
      <c r="P29" s="30" t="s">
        <v>673</v>
      </c>
      <c r="Q29" s="30">
        <v>4.5999999999999996</v>
      </c>
      <c r="R29" s="30">
        <v>18.032</v>
      </c>
      <c r="S29" s="30" t="s">
        <v>416</v>
      </c>
      <c r="T29" t="s">
        <v>1394</v>
      </c>
      <c r="U29" t="s">
        <v>1088</v>
      </c>
      <c r="X29" s="86">
        <f t="shared" si="0"/>
        <v>3.9200000000000004</v>
      </c>
      <c r="AA29" s="86" t="s">
        <v>418</v>
      </c>
      <c r="AB29" s="86" t="s">
        <v>418</v>
      </c>
    </row>
    <row r="30" spans="1:28">
      <c r="A30" s="68">
        <v>29</v>
      </c>
      <c r="B30" s="30" t="s">
        <v>945</v>
      </c>
      <c r="C30" s="30" t="s">
        <v>964</v>
      </c>
      <c r="D30" s="30" t="s">
        <v>1291</v>
      </c>
      <c r="E30" s="230">
        <v>44606</v>
      </c>
      <c r="F30" s="30" t="s">
        <v>1096</v>
      </c>
      <c r="G30" s="30" t="s">
        <v>862</v>
      </c>
      <c r="H30" s="229">
        <v>10</v>
      </c>
      <c r="I30" s="229">
        <v>5</v>
      </c>
      <c r="J30" s="229">
        <v>4.4000000000000004</v>
      </c>
      <c r="K30" s="86" t="s">
        <v>1201</v>
      </c>
      <c r="L30" s="86"/>
      <c r="M30" s="254">
        <v>44602</v>
      </c>
      <c r="N30" s="30" t="s">
        <v>1207</v>
      </c>
      <c r="O30" s="30" t="s">
        <v>1256</v>
      </c>
      <c r="P30" s="30" t="s">
        <v>673</v>
      </c>
      <c r="Q30" s="30">
        <v>4.5999999999999996</v>
      </c>
      <c r="R30" s="30">
        <v>92</v>
      </c>
      <c r="S30" s="30" t="s">
        <v>416</v>
      </c>
      <c r="T30" t="s">
        <v>1395</v>
      </c>
      <c r="U30" t="s">
        <v>947</v>
      </c>
      <c r="X30" s="86">
        <f t="shared" si="0"/>
        <v>20</v>
      </c>
      <c r="AA30" s="86" t="s">
        <v>418</v>
      </c>
      <c r="AB30" s="86" t="s">
        <v>418</v>
      </c>
    </row>
    <row r="31" spans="1:28">
      <c r="A31" s="68">
        <v>30</v>
      </c>
      <c r="B31" s="30" t="s">
        <v>945</v>
      </c>
      <c r="C31" s="30" t="s">
        <v>964</v>
      </c>
      <c r="D31" s="30" t="s">
        <v>1291</v>
      </c>
      <c r="E31" s="230">
        <v>44606</v>
      </c>
      <c r="F31" s="30" t="s">
        <v>1096</v>
      </c>
      <c r="G31" s="30" t="s">
        <v>524</v>
      </c>
      <c r="H31" s="229">
        <v>5</v>
      </c>
      <c r="I31" s="229">
        <v>1.1499999999999999</v>
      </c>
      <c r="J31" s="229">
        <v>4.4000000000000004</v>
      </c>
      <c r="K31" s="86" t="s">
        <v>1183</v>
      </c>
      <c r="L31" s="86"/>
      <c r="M31" s="254">
        <v>44602</v>
      </c>
      <c r="N31" s="30" t="s">
        <v>1207</v>
      </c>
      <c r="O31" s="30" t="s">
        <v>1256</v>
      </c>
      <c r="P31" s="30" t="s">
        <v>673</v>
      </c>
      <c r="Q31" s="30">
        <v>4.5999999999999996</v>
      </c>
      <c r="R31" s="30">
        <v>20.975999999999996</v>
      </c>
      <c r="S31" s="30" t="s">
        <v>416</v>
      </c>
      <c r="T31" t="s">
        <v>1395</v>
      </c>
      <c r="U31" t="s">
        <v>1088</v>
      </c>
      <c r="X31" s="86">
        <f t="shared" si="0"/>
        <v>4.5599999999999996</v>
      </c>
      <c r="AA31" s="86" t="s">
        <v>418</v>
      </c>
      <c r="AB31" s="86" t="s">
        <v>418</v>
      </c>
    </row>
    <row r="32" spans="1:28">
      <c r="A32" s="68">
        <v>31</v>
      </c>
      <c r="B32" s="30" t="s">
        <v>945</v>
      </c>
      <c r="C32" s="30" t="s">
        <v>964</v>
      </c>
      <c r="D32" s="30" t="s">
        <v>1291</v>
      </c>
      <c r="E32" s="230">
        <v>44606</v>
      </c>
      <c r="F32" s="30" t="s">
        <v>1096</v>
      </c>
      <c r="G32" s="30" t="s">
        <v>758</v>
      </c>
      <c r="H32" s="229">
        <v>5</v>
      </c>
      <c r="I32" s="229">
        <v>2.88</v>
      </c>
      <c r="J32" s="229">
        <v>4.4000000000000004</v>
      </c>
      <c r="K32" s="86" t="s">
        <v>1178</v>
      </c>
      <c r="L32" s="86"/>
      <c r="M32" s="254">
        <v>44602</v>
      </c>
      <c r="N32" s="30" t="s">
        <v>823</v>
      </c>
      <c r="O32" s="30" t="s">
        <v>1257</v>
      </c>
      <c r="P32" s="30" t="s">
        <v>673</v>
      </c>
      <c r="Q32" s="30">
        <v>4.5999999999999996</v>
      </c>
      <c r="R32" s="30">
        <v>1311</v>
      </c>
      <c r="S32" s="30" t="s">
        <v>416</v>
      </c>
      <c r="T32" t="s">
        <v>1396</v>
      </c>
      <c r="U32" t="s">
        <v>947</v>
      </c>
      <c r="X32" s="86">
        <f t="shared" si="0"/>
        <v>285</v>
      </c>
      <c r="AA32" s="86" t="s">
        <v>418</v>
      </c>
      <c r="AB32" s="86" t="s">
        <v>418</v>
      </c>
    </row>
    <row r="33" spans="1:28">
      <c r="A33" s="68">
        <v>32</v>
      </c>
      <c r="B33" s="30" t="s">
        <v>945</v>
      </c>
      <c r="C33" s="30" t="s">
        <v>964</v>
      </c>
      <c r="D33" s="30" t="s">
        <v>1291</v>
      </c>
      <c r="E33" s="230">
        <v>44606</v>
      </c>
      <c r="F33" s="30" t="s">
        <v>1096</v>
      </c>
      <c r="G33" s="30" t="s">
        <v>480</v>
      </c>
      <c r="H33" s="229">
        <v>5</v>
      </c>
      <c r="I33" s="229">
        <v>0.54</v>
      </c>
      <c r="J33" s="229">
        <v>4.4000000000000004</v>
      </c>
      <c r="K33" s="86" t="s">
        <v>1333</v>
      </c>
      <c r="L33" s="86"/>
      <c r="M33" s="254">
        <v>44602</v>
      </c>
      <c r="N33" s="30" t="s">
        <v>823</v>
      </c>
      <c r="O33" s="30" t="s">
        <v>1257</v>
      </c>
      <c r="P33" s="30" t="s">
        <v>673</v>
      </c>
      <c r="Q33" s="30">
        <v>4.5999999999999996</v>
      </c>
      <c r="R33" s="30">
        <v>2.76</v>
      </c>
      <c r="S33" s="30" t="s">
        <v>416</v>
      </c>
      <c r="T33" t="s">
        <v>1396</v>
      </c>
      <c r="U33" t="s">
        <v>1088</v>
      </c>
      <c r="X33" s="86">
        <f t="shared" si="0"/>
        <v>0.6</v>
      </c>
      <c r="AA33" s="86" t="s">
        <v>418</v>
      </c>
      <c r="AB33" s="86" t="s">
        <v>418</v>
      </c>
    </row>
    <row r="34" spans="1:28">
      <c r="A34" s="68">
        <v>33</v>
      </c>
      <c r="B34" s="30" t="s">
        <v>945</v>
      </c>
      <c r="C34" s="30" t="s">
        <v>964</v>
      </c>
      <c r="D34" s="30" t="s">
        <v>1334</v>
      </c>
      <c r="E34" s="230">
        <v>44607</v>
      </c>
      <c r="F34" s="30" t="s">
        <v>237</v>
      </c>
      <c r="G34" s="30" t="s">
        <v>76</v>
      </c>
      <c r="H34" s="229">
        <v>50</v>
      </c>
      <c r="I34" s="229">
        <v>1.1200000000000001</v>
      </c>
      <c r="J34" s="229">
        <v>5.0999999999999996</v>
      </c>
      <c r="K34" s="86" t="s">
        <v>1335</v>
      </c>
      <c r="L34" s="86"/>
      <c r="M34" s="254">
        <v>44602</v>
      </c>
      <c r="N34" s="30" t="s">
        <v>865</v>
      </c>
      <c r="O34" s="30" t="s">
        <v>1258</v>
      </c>
      <c r="P34" s="30" t="s">
        <v>673</v>
      </c>
      <c r="Q34" s="30">
        <v>4.5999999999999996</v>
      </c>
      <c r="R34" s="30">
        <v>667</v>
      </c>
      <c r="S34" s="30" t="s">
        <v>416</v>
      </c>
      <c r="T34" t="s">
        <v>1397</v>
      </c>
      <c r="U34" t="s">
        <v>947</v>
      </c>
      <c r="X34" s="86">
        <f t="shared" si="0"/>
        <v>145</v>
      </c>
      <c r="AA34" s="86" t="s">
        <v>418</v>
      </c>
      <c r="AB34" s="86" t="s">
        <v>418</v>
      </c>
    </row>
    <row r="35" spans="1:28">
      <c r="A35" s="68">
        <v>34</v>
      </c>
      <c r="B35" s="30" t="s">
        <v>945</v>
      </c>
      <c r="C35" s="30" t="s">
        <v>964</v>
      </c>
      <c r="D35" s="30" t="s">
        <v>1277</v>
      </c>
      <c r="E35" s="230">
        <v>44607</v>
      </c>
      <c r="F35" s="30" t="s">
        <v>242</v>
      </c>
      <c r="G35" s="30" t="s">
        <v>849</v>
      </c>
      <c r="H35" s="229">
        <v>30</v>
      </c>
      <c r="I35" s="229">
        <v>4.0852500000000003</v>
      </c>
      <c r="J35" s="229">
        <v>4.46</v>
      </c>
      <c r="K35" s="86" t="s">
        <v>1336</v>
      </c>
      <c r="L35" s="86"/>
      <c r="M35" s="254">
        <v>44602</v>
      </c>
      <c r="N35" s="30" t="s">
        <v>865</v>
      </c>
      <c r="O35" s="30" t="s">
        <v>1258</v>
      </c>
      <c r="P35" s="30" t="s">
        <v>673</v>
      </c>
      <c r="Q35" s="30">
        <v>4.5999999999999996</v>
      </c>
      <c r="R35" s="30">
        <v>17.571999999999999</v>
      </c>
      <c r="S35" s="30" t="s">
        <v>416</v>
      </c>
      <c r="T35" t="s">
        <v>1397</v>
      </c>
      <c r="U35" t="s">
        <v>1088</v>
      </c>
      <c r="X35" s="86">
        <f t="shared" si="0"/>
        <v>3.8200000000000003</v>
      </c>
      <c r="AA35" s="86" t="s">
        <v>418</v>
      </c>
      <c r="AB35" s="86" t="s">
        <v>418</v>
      </c>
    </row>
    <row r="36" spans="1:28">
      <c r="A36" s="68">
        <v>35</v>
      </c>
      <c r="B36" s="30" t="s">
        <v>945</v>
      </c>
      <c r="C36" s="30" t="s">
        <v>964</v>
      </c>
      <c r="D36" s="30" t="s">
        <v>1284</v>
      </c>
      <c r="E36" s="230">
        <v>44607</v>
      </c>
      <c r="F36" s="30" t="s">
        <v>1278</v>
      </c>
      <c r="G36" s="30" t="s">
        <v>1002</v>
      </c>
      <c r="H36" s="229">
        <v>4</v>
      </c>
      <c r="I36" s="229">
        <v>5.4</v>
      </c>
      <c r="J36" s="229">
        <v>4.46</v>
      </c>
      <c r="K36" s="86" t="s">
        <v>1337</v>
      </c>
      <c r="L36" s="86"/>
      <c r="M36" s="254">
        <v>44603</v>
      </c>
      <c r="N36" s="30" t="s">
        <v>1092</v>
      </c>
      <c r="O36" s="30" t="s">
        <v>1259</v>
      </c>
      <c r="P36" s="30" t="s">
        <v>673</v>
      </c>
      <c r="Q36" s="30">
        <v>4.46</v>
      </c>
      <c r="R36" s="30">
        <v>-669</v>
      </c>
      <c r="S36" s="30" t="s">
        <v>416</v>
      </c>
      <c r="T36" t="s">
        <v>1398</v>
      </c>
      <c r="U36" t="s">
        <v>947</v>
      </c>
      <c r="X36" s="86">
        <f t="shared" si="0"/>
        <v>-150</v>
      </c>
      <c r="AA36" s="86" t="s">
        <v>418</v>
      </c>
      <c r="AB36" s="86" t="s">
        <v>418</v>
      </c>
    </row>
    <row r="37" spans="1:28">
      <c r="A37" s="68">
        <v>36</v>
      </c>
      <c r="B37" s="30" t="s">
        <v>945</v>
      </c>
      <c r="C37" s="30" t="s">
        <v>964</v>
      </c>
      <c r="D37" s="30" t="s">
        <v>1285</v>
      </c>
      <c r="E37" s="230">
        <v>44610</v>
      </c>
      <c r="F37" s="30" t="s">
        <v>114</v>
      </c>
      <c r="G37" s="30" t="s">
        <v>1002</v>
      </c>
      <c r="H37" s="229">
        <v>5</v>
      </c>
      <c r="I37" s="229">
        <v>5.4</v>
      </c>
      <c r="J37" s="229">
        <v>4.46</v>
      </c>
      <c r="K37" s="86" t="s">
        <v>1338</v>
      </c>
      <c r="L37" s="86"/>
      <c r="M37" s="254">
        <v>44603</v>
      </c>
      <c r="N37" s="30" t="s">
        <v>1242</v>
      </c>
      <c r="O37" s="30" t="s">
        <v>1260</v>
      </c>
      <c r="P37" s="30" t="s">
        <v>673</v>
      </c>
      <c r="Q37" s="30">
        <v>4.46</v>
      </c>
      <c r="R37" s="30">
        <v>-223</v>
      </c>
      <c r="S37" s="30" t="s">
        <v>416</v>
      </c>
      <c r="T37" t="s">
        <v>1399</v>
      </c>
      <c r="U37" t="s">
        <v>947</v>
      </c>
      <c r="X37" s="86">
        <f t="shared" si="0"/>
        <v>-50</v>
      </c>
      <c r="AA37" s="86" t="s">
        <v>418</v>
      </c>
      <c r="AB37" s="86" t="s">
        <v>418</v>
      </c>
    </row>
    <row r="38" spans="1:28">
      <c r="A38" s="68">
        <v>37</v>
      </c>
      <c r="B38" s="30" t="s">
        <v>945</v>
      </c>
      <c r="C38" s="30" t="s">
        <v>964</v>
      </c>
      <c r="D38" s="30" t="s">
        <v>1339</v>
      </c>
      <c r="E38" s="230">
        <v>44610</v>
      </c>
      <c r="F38" s="30" t="s">
        <v>1069</v>
      </c>
      <c r="G38" s="30" t="s">
        <v>1021</v>
      </c>
      <c r="H38" s="229">
        <v>10</v>
      </c>
      <c r="I38" s="229">
        <v>5.6</v>
      </c>
      <c r="J38" s="229">
        <v>4.4000000000000004</v>
      </c>
      <c r="K38" s="86" t="s">
        <v>1176</v>
      </c>
      <c r="L38" s="86"/>
      <c r="M38" s="254">
        <v>44603</v>
      </c>
      <c r="N38" s="30" t="s">
        <v>1090</v>
      </c>
      <c r="O38" s="30" t="s">
        <v>1261</v>
      </c>
      <c r="P38" s="30" t="s">
        <v>673</v>
      </c>
      <c r="Q38" s="30">
        <v>4.46</v>
      </c>
      <c r="R38" s="30">
        <v>-89.2</v>
      </c>
      <c r="S38" s="30" t="s">
        <v>416</v>
      </c>
      <c r="T38" t="s">
        <v>1400</v>
      </c>
      <c r="U38" t="s">
        <v>947</v>
      </c>
      <c r="X38" s="86">
        <f t="shared" si="0"/>
        <v>-20</v>
      </c>
      <c r="AA38" s="86" t="s">
        <v>418</v>
      </c>
      <c r="AB38" s="86" t="s">
        <v>418</v>
      </c>
    </row>
    <row r="39" spans="1:28">
      <c r="A39" s="68">
        <v>38</v>
      </c>
      <c r="B39" s="30" t="s">
        <v>945</v>
      </c>
      <c r="C39" s="30" t="s">
        <v>964</v>
      </c>
      <c r="D39" s="30" t="s">
        <v>1339</v>
      </c>
      <c r="E39" s="230">
        <v>44610</v>
      </c>
      <c r="F39" s="30" t="s">
        <v>1069</v>
      </c>
      <c r="G39" s="30" t="s">
        <v>940</v>
      </c>
      <c r="H39" s="229">
        <v>6</v>
      </c>
      <c r="I39" s="229">
        <v>2.39</v>
      </c>
      <c r="J39" s="229">
        <v>4.4000000000000004</v>
      </c>
      <c r="K39" s="86" t="s">
        <v>1340</v>
      </c>
      <c r="L39" s="86"/>
      <c r="M39" s="254">
        <v>44603</v>
      </c>
      <c r="N39" s="30" t="s">
        <v>1089</v>
      </c>
      <c r="O39" s="30" t="s">
        <v>1261</v>
      </c>
      <c r="P39" s="30" t="s">
        <v>673</v>
      </c>
      <c r="Q39" s="30">
        <v>4.46</v>
      </c>
      <c r="R39" s="30">
        <v>-89.2</v>
      </c>
      <c r="S39" s="30" t="s">
        <v>416</v>
      </c>
      <c r="T39" t="s">
        <v>1401</v>
      </c>
      <c r="U39" t="s">
        <v>947</v>
      </c>
      <c r="X39" s="86">
        <f t="shared" si="0"/>
        <v>-20</v>
      </c>
      <c r="AA39" s="86" t="s">
        <v>418</v>
      </c>
      <c r="AB39" s="86" t="s">
        <v>418</v>
      </c>
    </row>
    <row r="40" spans="1:28">
      <c r="A40" s="68">
        <v>39</v>
      </c>
      <c r="B40" s="30" t="s">
        <v>945</v>
      </c>
      <c r="C40" s="30" t="s">
        <v>964</v>
      </c>
      <c r="D40" s="30" t="s">
        <v>1339</v>
      </c>
      <c r="E40" s="230">
        <v>44610</v>
      </c>
      <c r="F40" s="30" t="s">
        <v>1069</v>
      </c>
      <c r="G40" s="30" t="s">
        <v>538</v>
      </c>
      <c r="H40" s="229">
        <v>10</v>
      </c>
      <c r="I40" s="229">
        <v>1.6600000000000001</v>
      </c>
      <c r="J40" s="229">
        <v>4.4000000000000004</v>
      </c>
      <c r="K40" s="86" t="s">
        <v>1204</v>
      </c>
      <c r="L40" s="86"/>
      <c r="M40" s="254">
        <v>44603</v>
      </c>
      <c r="N40" s="30" t="s">
        <v>962</v>
      </c>
      <c r="O40" s="30" t="s">
        <v>1261</v>
      </c>
      <c r="P40" s="30" t="s">
        <v>673</v>
      </c>
      <c r="Q40" s="30">
        <v>4.46</v>
      </c>
      <c r="R40" s="30">
        <v>-89.2</v>
      </c>
      <c r="S40" s="30" t="s">
        <v>416</v>
      </c>
      <c r="T40" t="s">
        <v>1402</v>
      </c>
      <c r="U40" t="s">
        <v>947</v>
      </c>
      <c r="X40" s="86">
        <f t="shared" si="0"/>
        <v>-20</v>
      </c>
      <c r="AA40" s="86" t="s">
        <v>418</v>
      </c>
      <c r="AB40" s="86" t="s">
        <v>418</v>
      </c>
    </row>
    <row r="41" spans="1:28">
      <c r="A41" s="68">
        <v>40</v>
      </c>
      <c r="B41" s="30" t="s">
        <v>945</v>
      </c>
      <c r="C41" s="30" t="s">
        <v>964</v>
      </c>
      <c r="D41" s="30" t="s">
        <v>1339</v>
      </c>
      <c r="E41" s="230">
        <v>44610</v>
      </c>
      <c r="F41" s="30" t="s">
        <v>1069</v>
      </c>
      <c r="G41" s="30" t="s">
        <v>524</v>
      </c>
      <c r="H41" s="229">
        <v>10</v>
      </c>
      <c r="I41" s="229">
        <v>1.1499999999999999</v>
      </c>
      <c r="J41" s="229">
        <v>4.4000000000000004</v>
      </c>
      <c r="K41" s="86" t="s">
        <v>1341</v>
      </c>
      <c r="L41" s="86"/>
      <c r="M41" s="254">
        <v>44603</v>
      </c>
      <c r="N41" s="30" t="s">
        <v>1244</v>
      </c>
      <c r="O41" s="30" t="s">
        <v>1261</v>
      </c>
      <c r="P41" s="30" t="s">
        <v>673</v>
      </c>
      <c r="Q41" s="30">
        <v>4.46</v>
      </c>
      <c r="R41" s="30">
        <v>-22.3</v>
      </c>
      <c r="S41" s="30" t="s">
        <v>416</v>
      </c>
      <c r="T41" t="s">
        <v>1403</v>
      </c>
      <c r="U41" t="s">
        <v>947</v>
      </c>
      <c r="X41" s="86">
        <f t="shared" si="0"/>
        <v>-5</v>
      </c>
      <c r="AA41" s="86" t="s">
        <v>418</v>
      </c>
      <c r="AB41" s="86" t="s">
        <v>418</v>
      </c>
    </row>
    <row r="42" spans="1:28">
      <c r="A42" s="68">
        <v>41</v>
      </c>
      <c r="B42" s="30" t="s">
        <v>945</v>
      </c>
      <c r="C42" s="30" t="s">
        <v>964</v>
      </c>
      <c r="D42" s="30" t="s">
        <v>1281</v>
      </c>
      <c r="E42" s="230">
        <v>44610</v>
      </c>
      <c r="F42" s="30" t="s">
        <v>617</v>
      </c>
      <c r="G42" s="30" t="s">
        <v>76</v>
      </c>
      <c r="H42" s="229">
        <v>202</v>
      </c>
      <c r="I42" s="229">
        <v>1.1200000000000001</v>
      </c>
      <c r="J42" s="229">
        <v>4.4000000000000004</v>
      </c>
      <c r="K42" s="86" t="s">
        <v>1342</v>
      </c>
      <c r="L42" s="86"/>
      <c r="M42" s="254">
        <v>44603</v>
      </c>
      <c r="N42" s="30" t="s">
        <v>1091</v>
      </c>
      <c r="O42" s="30" t="s">
        <v>1261</v>
      </c>
      <c r="P42" s="30" t="s">
        <v>673</v>
      </c>
      <c r="Q42" s="30">
        <v>4.46</v>
      </c>
      <c r="R42" s="30">
        <v>-66.900000000000006</v>
      </c>
      <c r="S42" s="30" t="s">
        <v>416</v>
      </c>
      <c r="T42" t="s">
        <v>1404</v>
      </c>
      <c r="U42" t="s">
        <v>947</v>
      </c>
      <c r="X42" s="86">
        <f t="shared" si="0"/>
        <v>-15.000000000000002</v>
      </c>
      <c r="AA42" s="86" t="s">
        <v>418</v>
      </c>
      <c r="AB42" s="86" t="s">
        <v>418</v>
      </c>
    </row>
    <row r="43" spans="1:28">
      <c r="A43" s="68">
        <v>42</v>
      </c>
      <c r="B43" s="30" t="s">
        <v>945</v>
      </c>
      <c r="C43" s="30" t="s">
        <v>964</v>
      </c>
      <c r="D43" s="30" t="s">
        <v>1281</v>
      </c>
      <c r="E43" s="230">
        <v>44610</v>
      </c>
      <c r="F43" s="30" t="s">
        <v>617</v>
      </c>
      <c r="G43" s="30" t="s">
        <v>940</v>
      </c>
      <c r="H43" s="229">
        <v>50</v>
      </c>
      <c r="I43" s="229">
        <v>2.39</v>
      </c>
      <c r="J43" s="229">
        <v>4.4000000000000004</v>
      </c>
      <c r="K43" s="86" t="s">
        <v>1343</v>
      </c>
      <c r="L43" s="86"/>
      <c r="M43" s="254">
        <v>44603</v>
      </c>
      <c r="N43" s="30" t="s">
        <v>1170</v>
      </c>
      <c r="O43" s="30" t="s">
        <v>1261</v>
      </c>
      <c r="P43" s="30" t="s">
        <v>673</v>
      </c>
      <c r="Q43" s="30">
        <v>4.46</v>
      </c>
      <c r="R43" s="30">
        <v>-31.22</v>
      </c>
      <c r="S43" s="30" t="s">
        <v>416</v>
      </c>
      <c r="T43" t="s">
        <v>1405</v>
      </c>
      <c r="U43" t="s">
        <v>947</v>
      </c>
      <c r="X43" s="86">
        <f t="shared" si="0"/>
        <v>-7</v>
      </c>
      <c r="AA43" s="86" t="s">
        <v>418</v>
      </c>
      <c r="AB43" s="86" t="s">
        <v>418</v>
      </c>
    </row>
    <row r="44" spans="1:28">
      <c r="A44" s="68">
        <v>43</v>
      </c>
      <c r="B44" s="30" t="s">
        <v>945</v>
      </c>
      <c r="C44" s="30" t="s">
        <v>964</v>
      </c>
      <c r="D44" s="30" t="s">
        <v>1281</v>
      </c>
      <c r="E44" s="230">
        <v>44610</v>
      </c>
      <c r="F44" s="30" t="s">
        <v>617</v>
      </c>
      <c r="G44" s="30" t="s">
        <v>1002</v>
      </c>
      <c r="H44" s="229">
        <v>30</v>
      </c>
      <c r="I44" s="229">
        <v>5.4</v>
      </c>
      <c r="J44" s="229">
        <v>4.4000000000000004</v>
      </c>
      <c r="K44" s="86" t="s">
        <v>1187</v>
      </c>
      <c r="L44" s="86"/>
      <c r="M44" s="254">
        <v>44603</v>
      </c>
      <c r="N44" s="30" t="s">
        <v>1196</v>
      </c>
      <c r="O44" s="30" t="s">
        <v>1197</v>
      </c>
      <c r="P44" s="30" t="s">
        <v>673</v>
      </c>
      <c r="Q44" s="30">
        <v>4.46</v>
      </c>
      <c r="R44" s="30">
        <v>-89.2</v>
      </c>
      <c r="S44" s="30" t="s">
        <v>416</v>
      </c>
      <c r="T44" t="s">
        <v>1206</v>
      </c>
      <c r="U44" t="s">
        <v>947</v>
      </c>
      <c r="X44" s="86">
        <f t="shared" si="0"/>
        <v>-20</v>
      </c>
      <c r="AA44" s="86" t="s">
        <v>418</v>
      </c>
      <c r="AB44" s="86" t="s">
        <v>418</v>
      </c>
    </row>
    <row r="45" spans="1:28">
      <c r="A45" s="68">
        <v>44</v>
      </c>
      <c r="B45" s="30" t="s">
        <v>945</v>
      </c>
      <c r="C45" s="30" t="s">
        <v>964</v>
      </c>
      <c r="D45" s="30" t="s">
        <v>1281</v>
      </c>
      <c r="E45" s="230">
        <v>44610</v>
      </c>
      <c r="F45" s="30" t="s">
        <v>617</v>
      </c>
      <c r="G45" s="30" t="s">
        <v>75</v>
      </c>
      <c r="H45" s="229">
        <v>103</v>
      </c>
      <c r="I45" s="229">
        <v>1.7999999999999998</v>
      </c>
      <c r="J45" s="229">
        <v>4.4000000000000004</v>
      </c>
      <c r="K45" s="86" t="s">
        <v>1344</v>
      </c>
      <c r="L45" s="86"/>
      <c r="M45" s="254">
        <v>44603</v>
      </c>
      <c r="N45" s="30" t="s">
        <v>1262</v>
      </c>
      <c r="O45" s="30" t="s">
        <v>1263</v>
      </c>
      <c r="P45" s="30" t="s">
        <v>673</v>
      </c>
      <c r="Q45" s="30">
        <v>4.46</v>
      </c>
      <c r="R45" s="30">
        <v>-133.80000000000001</v>
      </c>
      <c r="S45" s="30" t="s">
        <v>416</v>
      </c>
      <c r="T45" t="s">
        <v>1406</v>
      </c>
      <c r="U45" t="s">
        <v>947</v>
      </c>
      <c r="X45" s="86">
        <f t="shared" si="0"/>
        <v>-30.000000000000004</v>
      </c>
      <c r="AA45" s="86" t="s">
        <v>418</v>
      </c>
      <c r="AB45" s="86" t="s">
        <v>418</v>
      </c>
    </row>
    <row r="46" spans="1:28">
      <c r="A46" s="68">
        <v>45</v>
      </c>
      <c r="B46" s="30" t="s">
        <v>945</v>
      </c>
      <c r="C46" s="30" t="s">
        <v>964</v>
      </c>
      <c r="D46" s="30" t="s">
        <v>1345</v>
      </c>
      <c r="E46" s="230">
        <v>44610</v>
      </c>
      <c r="F46" s="30" t="s">
        <v>1143</v>
      </c>
      <c r="G46" s="30" t="s">
        <v>76</v>
      </c>
      <c r="H46" s="229">
        <v>100</v>
      </c>
      <c r="I46" s="229">
        <v>1.1200000000000001</v>
      </c>
      <c r="J46" s="229">
        <v>4.4000000000000004</v>
      </c>
      <c r="K46" s="86" t="s">
        <v>1152</v>
      </c>
      <c r="L46" s="86"/>
      <c r="M46" s="254">
        <v>44603</v>
      </c>
      <c r="N46" s="30" t="s">
        <v>28</v>
      </c>
      <c r="O46" s="30" t="s">
        <v>1227</v>
      </c>
      <c r="P46" s="30" t="s">
        <v>673</v>
      </c>
      <c r="Q46" s="30">
        <v>4.46</v>
      </c>
      <c r="R46" s="30">
        <v>223</v>
      </c>
      <c r="S46" s="30" t="s">
        <v>416</v>
      </c>
      <c r="T46" t="s">
        <v>1407</v>
      </c>
      <c r="U46" t="s">
        <v>947</v>
      </c>
      <c r="X46" s="86">
        <f t="shared" si="0"/>
        <v>50</v>
      </c>
      <c r="AA46" s="86" t="s">
        <v>418</v>
      </c>
      <c r="AB46" s="86" t="s">
        <v>418</v>
      </c>
    </row>
    <row r="47" spans="1:28">
      <c r="A47" s="68">
        <v>46</v>
      </c>
      <c r="B47" s="30" t="s">
        <v>945</v>
      </c>
      <c r="C47" s="30" t="s">
        <v>964</v>
      </c>
      <c r="D47" s="30" t="s">
        <v>1345</v>
      </c>
      <c r="E47" s="230">
        <v>44610</v>
      </c>
      <c r="F47" s="30" t="s">
        <v>1143</v>
      </c>
      <c r="G47" s="30" t="s">
        <v>75</v>
      </c>
      <c r="H47" s="229">
        <v>100</v>
      </c>
      <c r="I47" s="229">
        <v>1.7999999999999998</v>
      </c>
      <c r="J47" s="229">
        <v>4.4000000000000004</v>
      </c>
      <c r="K47" s="86" t="s">
        <v>1346</v>
      </c>
      <c r="L47" s="86"/>
      <c r="M47" s="254">
        <v>44603</v>
      </c>
      <c r="N47" s="30" t="s">
        <v>28</v>
      </c>
      <c r="O47" s="30" t="s">
        <v>1227</v>
      </c>
      <c r="P47" s="30" t="s">
        <v>673</v>
      </c>
      <c r="Q47" s="30">
        <v>4.46</v>
      </c>
      <c r="R47" s="30">
        <v>5.1289999999999996</v>
      </c>
      <c r="S47" s="30" t="s">
        <v>416</v>
      </c>
      <c r="T47" t="s">
        <v>1407</v>
      </c>
      <c r="U47" t="s">
        <v>1088</v>
      </c>
      <c r="X47" s="86">
        <f t="shared" si="0"/>
        <v>1.1499999999999999</v>
      </c>
      <c r="AA47" s="86" t="s">
        <v>418</v>
      </c>
      <c r="AB47" s="86" t="s">
        <v>418</v>
      </c>
    </row>
    <row r="48" spans="1:28">
      <c r="A48" s="68">
        <v>47</v>
      </c>
      <c r="B48" s="30" t="s">
        <v>945</v>
      </c>
      <c r="C48" s="30" t="s">
        <v>964</v>
      </c>
      <c r="D48" s="30" t="s">
        <v>1345</v>
      </c>
      <c r="E48" s="230">
        <v>44610</v>
      </c>
      <c r="F48" s="30" t="s">
        <v>1143</v>
      </c>
      <c r="G48" s="30" t="s">
        <v>538</v>
      </c>
      <c r="H48" s="229">
        <v>15</v>
      </c>
      <c r="I48" s="229">
        <v>4.1900000000000004</v>
      </c>
      <c r="J48" s="229">
        <v>5.0999999999999996</v>
      </c>
      <c r="K48" s="86" t="s">
        <v>1347</v>
      </c>
      <c r="L48" s="86"/>
      <c r="M48" s="254">
        <v>44603</v>
      </c>
      <c r="N48" s="30" t="s">
        <v>1264</v>
      </c>
      <c r="O48" s="30" t="s">
        <v>1265</v>
      </c>
      <c r="P48" s="30" t="s">
        <v>673</v>
      </c>
      <c r="Q48" s="30">
        <v>4.46</v>
      </c>
      <c r="R48" s="30">
        <v>-307.74</v>
      </c>
      <c r="S48" s="30" t="s">
        <v>416</v>
      </c>
      <c r="T48" t="s">
        <v>1408</v>
      </c>
      <c r="U48" t="s">
        <v>947</v>
      </c>
      <c r="X48" s="86">
        <f t="shared" si="0"/>
        <v>-69</v>
      </c>
      <c r="AA48" s="86" t="s">
        <v>418</v>
      </c>
      <c r="AB48" s="86" t="s">
        <v>418</v>
      </c>
    </row>
    <row r="49" spans="1:28">
      <c r="A49" s="68">
        <v>48</v>
      </c>
      <c r="B49" s="30" t="s">
        <v>945</v>
      </c>
      <c r="C49" s="30" t="s">
        <v>964</v>
      </c>
      <c r="D49" s="30" t="s">
        <v>1345</v>
      </c>
      <c r="E49" s="230">
        <v>44610</v>
      </c>
      <c r="F49" s="30" t="s">
        <v>1143</v>
      </c>
      <c r="G49" s="30" t="s">
        <v>1002</v>
      </c>
      <c r="H49" s="229">
        <v>15</v>
      </c>
      <c r="I49" s="229">
        <v>5.4</v>
      </c>
      <c r="J49" s="229">
        <v>5.0999999999999996</v>
      </c>
      <c r="K49" s="86" t="s">
        <v>1153</v>
      </c>
      <c r="L49" s="86"/>
      <c r="M49" s="254">
        <v>44603</v>
      </c>
      <c r="N49" s="30" t="s">
        <v>1208</v>
      </c>
      <c r="O49" s="30" t="s">
        <v>1266</v>
      </c>
      <c r="P49" s="30" t="s">
        <v>673</v>
      </c>
      <c r="Q49" s="30">
        <v>4.46</v>
      </c>
      <c r="R49" s="30">
        <v>178.4</v>
      </c>
      <c r="S49" s="30" t="s">
        <v>416</v>
      </c>
      <c r="T49" t="s">
        <v>1409</v>
      </c>
      <c r="U49" t="s">
        <v>947</v>
      </c>
      <c r="X49" s="86">
        <f t="shared" si="0"/>
        <v>40</v>
      </c>
      <c r="AA49" s="86" t="s">
        <v>418</v>
      </c>
      <c r="AB49" s="86" t="s">
        <v>418</v>
      </c>
    </row>
    <row r="50" spans="1:28">
      <c r="A50" s="68">
        <v>49</v>
      </c>
      <c r="B50" s="30" t="s">
        <v>945</v>
      </c>
      <c r="C50" s="30" t="s">
        <v>964</v>
      </c>
      <c r="D50" s="30" t="s">
        <v>1345</v>
      </c>
      <c r="E50" s="230">
        <v>44610</v>
      </c>
      <c r="F50" s="30" t="s">
        <v>1143</v>
      </c>
      <c r="G50" s="30" t="s">
        <v>862</v>
      </c>
      <c r="H50" s="229">
        <v>10</v>
      </c>
      <c r="I50" s="229">
        <v>5</v>
      </c>
      <c r="J50" s="229">
        <v>5.0999999999999996</v>
      </c>
      <c r="K50" s="86" t="s">
        <v>1348</v>
      </c>
      <c r="L50" s="86"/>
      <c r="M50" s="254">
        <v>44603</v>
      </c>
      <c r="N50" s="30" t="s">
        <v>1208</v>
      </c>
      <c r="O50" s="30" t="s">
        <v>1266</v>
      </c>
      <c r="P50" s="30" t="s">
        <v>673</v>
      </c>
      <c r="Q50" s="30">
        <v>4.46</v>
      </c>
      <c r="R50" s="30">
        <v>44.6</v>
      </c>
      <c r="S50" s="30" t="s">
        <v>416</v>
      </c>
      <c r="T50" t="s">
        <v>1409</v>
      </c>
      <c r="U50" t="s">
        <v>1088</v>
      </c>
      <c r="X50" s="86">
        <f t="shared" si="0"/>
        <v>10</v>
      </c>
      <c r="AA50" s="86" t="s">
        <v>418</v>
      </c>
      <c r="AB50" s="86" t="s">
        <v>418</v>
      </c>
    </row>
    <row r="51" spans="1:28">
      <c r="A51" s="68">
        <v>50</v>
      </c>
      <c r="B51" s="30" t="s">
        <v>945</v>
      </c>
      <c r="C51" s="30" t="s">
        <v>964</v>
      </c>
      <c r="D51" s="30" t="s">
        <v>1349</v>
      </c>
      <c r="E51" s="230">
        <v>44610</v>
      </c>
      <c r="F51" s="30" t="s">
        <v>1125</v>
      </c>
      <c r="G51" s="30" t="s">
        <v>1002</v>
      </c>
      <c r="H51" s="229">
        <v>10</v>
      </c>
      <c r="I51" s="229">
        <v>5.4</v>
      </c>
      <c r="J51" s="229">
        <v>5.0999999999999996</v>
      </c>
      <c r="K51" s="86" t="s">
        <v>1182</v>
      </c>
      <c r="L51" s="86"/>
      <c r="M51" s="254">
        <v>44603</v>
      </c>
      <c r="N51" s="30" t="s">
        <v>865</v>
      </c>
      <c r="O51" s="30" t="s">
        <v>1267</v>
      </c>
      <c r="P51" s="30" t="s">
        <v>673</v>
      </c>
      <c r="Q51" s="30">
        <v>4.46</v>
      </c>
      <c r="R51" s="30">
        <v>334.5</v>
      </c>
      <c r="S51" s="30" t="s">
        <v>416</v>
      </c>
      <c r="T51" t="s">
        <v>1410</v>
      </c>
      <c r="U51" t="s">
        <v>947</v>
      </c>
      <c r="X51" s="86">
        <f t="shared" si="0"/>
        <v>75</v>
      </c>
      <c r="AA51" s="86" t="s">
        <v>418</v>
      </c>
      <c r="AB51" s="86" t="s">
        <v>418</v>
      </c>
    </row>
    <row r="52" spans="1:28">
      <c r="A52" s="68">
        <v>51</v>
      </c>
      <c r="B52" s="30" t="s">
        <v>945</v>
      </c>
      <c r="C52" s="30" t="s">
        <v>964</v>
      </c>
      <c r="D52" s="30" t="s">
        <v>1349</v>
      </c>
      <c r="E52" s="230">
        <v>44610</v>
      </c>
      <c r="F52" s="30" t="s">
        <v>1125</v>
      </c>
      <c r="G52" s="30" t="s">
        <v>76</v>
      </c>
      <c r="H52" s="229">
        <v>30</v>
      </c>
      <c r="I52" s="229">
        <v>1.1200000000000001</v>
      </c>
      <c r="J52" s="229">
        <v>5.0999999999999996</v>
      </c>
      <c r="K52" s="86" t="s">
        <v>1350</v>
      </c>
      <c r="L52" s="86"/>
      <c r="M52" s="254">
        <v>44603</v>
      </c>
      <c r="N52" s="30" t="s">
        <v>865</v>
      </c>
      <c r="O52" s="30" t="s">
        <v>1267</v>
      </c>
      <c r="P52" s="30" t="s">
        <v>673</v>
      </c>
      <c r="Q52" s="30">
        <v>4.46</v>
      </c>
      <c r="R52" s="30">
        <v>17.260200000000001</v>
      </c>
      <c r="S52" s="30" t="s">
        <v>416</v>
      </c>
      <c r="T52" t="s">
        <v>1410</v>
      </c>
      <c r="U52" t="s">
        <v>1088</v>
      </c>
      <c r="X52" s="86">
        <f t="shared" si="0"/>
        <v>3.87</v>
      </c>
      <c r="AA52" s="86" t="s">
        <v>418</v>
      </c>
      <c r="AB52" s="86" t="s">
        <v>418</v>
      </c>
    </row>
    <row r="53" spans="1:28">
      <c r="A53" s="68">
        <v>52</v>
      </c>
      <c r="B53" s="30" t="s">
        <v>945</v>
      </c>
      <c r="C53" s="30" t="s">
        <v>964</v>
      </c>
      <c r="D53" s="30" t="s">
        <v>1349</v>
      </c>
      <c r="E53" s="230">
        <v>44610</v>
      </c>
      <c r="F53" s="30" t="s">
        <v>1125</v>
      </c>
      <c r="G53" s="30" t="s">
        <v>538</v>
      </c>
      <c r="H53" s="229">
        <v>1</v>
      </c>
      <c r="I53" s="229">
        <v>1.6600000000000001</v>
      </c>
      <c r="J53" s="229">
        <v>5.0999999999999996</v>
      </c>
      <c r="K53" s="86" t="s">
        <v>1351</v>
      </c>
      <c r="L53" s="86"/>
      <c r="M53" s="254">
        <v>44603</v>
      </c>
      <c r="N53" s="30" t="s">
        <v>1092</v>
      </c>
      <c r="O53" s="30" t="s">
        <v>1268</v>
      </c>
      <c r="P53" s="30" t="s">
        <v>673</v>
      </c>
      <c r="Q53" s="30">
        <v>4.46</v>
      </c>
      <c r="R53" s="30">
        <v>-312.2</v>
      </c>
      <c r="S53" s="30" t="s">
        <v>416</v>
      </c>
      <c r="T53" t="s">
        <v>1411</v>
      </c>
      <c r="U53" t="s">
        <v>947</v>
      </c>
      <c r="X53" s="86">
        <f t="shared" si="0"/>
        <v>-70</v>
      </c>
      <c r="AA53" s="86" t="s">
        <v>418</v>
      </c>
      <c r="AB53" s="86" t="s">
        <v>418</v>
      </c>
    </row>
    <row r="54" spans="1:28">
      <c r="A54" s="68">
        <v>53</v>
      </c>
      <c r="B54" s="30" t="s">
        <v>945</v>
      </c>
      <c r="C54" s="30" t="s">
        <v>964</v>
      </c>
      <c r="D54" s="30" t="s">
        <v>1349</v>
      </c>
      <c r="E54" s="230">
        <v>44610</v>
      </c>
      <c r="F54" s="30" t="s">
        <v>1125</v>
      </c>
      <c r="G54" s="30" t="s">
        <v>862</v>
      </c>
      <c r="H54" s="229">
        <v>1</v>
      </c>
      <c r="I54" s="229">
        <v>5</v>
      </c>
      <c r="J54" s="229">
        <v>5.0999999999999996</v>
      </c>
      <c r="K54" s="86" t="s">
        <v>1352</v>
      </c>
      <c r="L54" s="86"/>
      <c r="M54" s="254">
        <v>44606</v>
      </c>
      <c r="N54" s="30" t="s">
        <v>1269</v>
      </c>
      <c r="O54" s="30" t="s">
        <v>1270</v>
      </c>
      <c r="P54" s="30" t="s">
        <v>673</v>
      </c>
      <c r="Q54" s="30">
        <v>4.46</v>
      </c>
      <c r="R54" s="30">
        <v>-26.759999999999998</v>
      </c>
      <c r="S54" s="30" t="s">
        <v>416</v>
      </c>
      <c r="T54" t="s">
        <v>1412</v>
      </c>
      <c r="U54" t="s">
        <v>947</v>
      </c>
      <c r="X54" s="86">
        <f t="shared" si="0"/>
        <v>-6</v>
      </c>
      <c r="AA54" s="86" t="s">
        <v>418</v>
      </c>
      <c r="AB54" s="86" t="s">
        <v>418</v>
      </c>
    </row>
    <row r="55" spans="1:28">
      <c r="A55" s="68">
        <v>54</v>
      </c>
      <c r="B55" s="30" t="s">
        <v>945</v>
      </c>
      <c r="C55" s="30" t="s">
        <v>964</v>
      </c>
      <c r="D55" s="30" t="s">
        <v>1349</v>
      </c>
      <c r="E55" s="230">
        <v>44610</v>
      </c>
      <c r="F55" s="30" t="s">
        <v>1125</v>
      </c>
      <c r="G55" s="30" t="s">
        <v>941</v>
      </c>
      <c r="H55" s="229">
        <v>1</v>
      </c>
      <c r="I55" s="229">
        <v>3.25</v>
      </c>
      <c r="J55" s="229">
        <v>5.0999999999999996</v>
      </c>
      <c r="K55" s="86" t="s">
        <v>1353</v>
      </c>
      <c r="L55" s="86"/>
      <c r="M55" s="254">
        <v>44606</v>
      </c>
      <c r="N55" s="30" t="s">
        <v>1271</v>
      </c>
      <c r="O55" s="30" t="s">
        <v>1272</v>
      </c>
      <c r="P55" s="30" t="s">
        <v>673</v>
      </c>
      <c r="Q55" s="30">
        <v>4.46</v>
      </c>
      <c r="R55" s="30">
        <v>-22.3</v>
      </c>
      <c r="S55" s="30" t="s">
        <v>416</v>
      </c>
      <c r="T55" t="s">
        <v>1413</v>
      </c>
      <c r="U55" t="s">
        <v>947</v>
      </c>
      <c r="X55" s="86">
        <f t="shared" si="0"/>
        <v>-5</v>
      </c>
      <c r="AA55" s="86" t="s">
        <v>418</v>
      </c>
      <c r="AB55" s="86" t="s">
        <v>418</v>
      </c>
    </row>
    <row r="56" spans="1:28">
      <c r="A56" s="68">
        <v>55</v>
      </c>
      <c r="B56" s="30" t="s">
        <v>945</v>
      </c>
      <c r="C56" s="30" t="s">
        <v>964</v>
      </c>
      <c r="D56" s="30" t="s">
        <v>1289</v>
      </c>
      <c r="E56" s="230">
        <v>44610</v>
      </c>
      <c r="F56" s="30" t="s">
        <v>1208</v>
      </c>
      <c r="G56" s="30" t="s">
        <v>515</v>
      </c>
      <c r="H56" s="229">
        <v>15</v>
      </c>
      <c r="I56" s="229">
        <v>2.16</v>
      </c>
      <c r="J56" s="229">
        <v>4.5533175355450242</v>
      </c>
      <c r="K56" s="86" t="s">
        <v>1354</v>
      </c>
      <c r="L56" s="86"/>
      <c r="M56" s="254">
        <v>44606</v>
      </c>
      <c r="N56" s="30" t="s">
        <v>1273</v>
      </c>
      <c r="O56" s="30" t="s">
        <v>1274</v>
      </c>
      <c r="P56" s="30" t="s">
        <v>673</v>
      </c>
      <c r="Q56" s="30">
        <v>4.46</v>
      </c>
      <c r="R56" s="30">
        <v>-93.66</v>
      </c>
      <c r="S56" s="30" t="s">
        <v>416</v>
      </c>
      <c r="T56" t="s">
        <v>1414</v>
      </c>
      <c r="U56" t="s">
        <v>947</v>
      </c>
      <c r="X56" s="86">
        <f t="shared" si="0"/>
        <v>-21</v>
      </c>
      <c r="AA56" s="86" t="s">
        <v>418</v>
      </c>
      <c r="AB56" s="86" t="s">
        <v>418</v>
      </c>
    </row>
    <row r="57" spans="1:28">
      <c r="A57" s="68">
        <v>56</v>
      </c>
      <c r="B57" s="30" t="s">
        <v>945</v>
      </c>
      <c r="C57" s="30" t="s">
        <v>964</v>
      </c>
      <c r="D57" s="30" t="s">
        <v>1289</v>
      </c>
      <c r="E57" s="230">
        <v>44610</v>
      </c>
      <c r="F57" s="30" t="s">
        <v>1208</v>
      </c>
      <c r="G57" s="30" t="s">
        <v>524</v>
      </c>
      <c r="H57" s="229">
        <v>5</v>
      </c>
      <c r="I57" s="229">
        <v>1.1499999999999999</v>
      </c>
      <c r="J57" s="229">
        <v>4.5533175355450242</v>
      </c>
      <c r="K57" s="86" t="s">
        <v>1355</v>
      </c>
      <c r="L57" s="86"/>
      <c r="M57" s="254">
        <v>44606</v>
      </c>
      <c r="N57" s="30" t="s">
        <v>1096</v>
      </c>
      <c r="O57" s="30" t="s">
        <v>1232</v>
      </c>
      <c r="P57" s="30" t="s">
        <v>673</v>
      </c>
      <c r="Q57" s="30">
        <v>4.46</v>
      </c>
      <c r="R57" s="30">
        <v>446</v>
      </c>
      <c r="S57" s="30" t="s">
        <v>416</v>
      </c>
      <c r="T57" t="s">
        <v>1415</v>
      </c>
      <c r="U57" t="s">
        <v>947</v>
      </c>
      <c r="X57" s="86">
        <f t="shared" si="0"/>
        <v>100</v>
      </c>
      <c r="AA57" s="86" t="s">
        <v>418</v>
      </c>
      <c r="AB57" s="86" t="s">
        <v>418</v>
      </c>
    </row>
    <row r="58" spans="1:28">
      <c r="A58" s="68">
        <v>57</v>
      </c>
      <c r="B58" s="30" t="s">
        <v>945</v>
      </c>
      <c r="C58" s="30" t="s">
        <v>964</v>
      </c>
      <c r="D58" s="30" t="s">
        <v>1289</v>
      </c>
      <c r="E58" s="230">
        <v>44610</v>
      </c>
      <c r="F58" s="30" t="s">
        <v>1208</v>
      </c>
      <c r="G58" s="30" t="s">
        <v>538</v>
      </c>
      <c r="H58" s="229">
        <v>6</v>
      </c>
      <c r="I58" s="229">
        <v>1.6600000000000001</v>
      </c>
      <c r="J58" s="229">
        <v>4.5533175355450242</v>
      </c>
      <c r="K58" s="86" t="s">
        <v>1356</v>
      </c>
      <c r="L58" s="86"/>
      <c r="M58" s="254">
        <v>44607</v>
      </c>
      <c r="N58" s="30" t="s">
        <v>1273</v>
      </c>
      <c r="O58" s="30" t="s">
        <v>1276</v>
      </c>
      <c r="P58" s="30" t="s">
        <v>673</v>
      </c>
      <c r="Q58" s="30">
        <v>4.46</v>
      </c>
      <c r="R58" s="30">
        <v>-89.2</v>
      </c>
      <c r="S58" s="30" t="s">
        <v>416</v>
      </c>
      <c r="T58" t="s">
        <v>1416</v>
      </c>
      <c r="U58" t="s">
        <v>947</v>
      </c>
      <c r="X58" s="86">
        <f t="shared" si="0"/>
        <v>-20</v>
      </c>
      <c r="AA58" s="86" t="s">
        <v>418</v>
      </c>
      <c r="AB58" s="86" t="s">
        <v>418</v>
      </c>
    </row>
    <row r="59" spans="1:28">
      <c r="A59" s="68">
        <v>58</v>
      </c>
      <c r="B59" s="30" t="s">
        <v>945</v>
      </c>
      <c r="C59" s="30" t="s">
        <v>964</v>
      </c>
      <c r="D59" s="30" t="s">
        <v>1289</v>
      </c>
      <c r="E59" s="230">
        <v>44610</v>
      </c>
      <c r="F59" s="30" t="s">
        <v>1208</v>
      </c>
      <c r="G59" s="30" t="s">
        <v>758</v>
      </c>
      <c r="H59" s="229">
        <v>5</v>
      </c>
      <c r="I59" s="229">
        <v>2.88</v>
      </c>
      <c r="J59" s="229">
        <v>4.5533175355450242</v>
      </c>
      <c r="K59" s="86" t="s">
        <v>1357</v>
      </c>
      <c r="L59" s="86"/>
      <c r="M59" s="254">
        <v>44607</v>
      </c>
      <c r="N59" s="30" t="s">
        <v>242</v>
      </c>
      <c r="O59" s="30" t="s">
        <v>1277</v>
      </c>
      <c r="P59" s="30" t="s">
        <v>673</v>
      </c>
      <c r="Q59" s="30">
        <v>4.46</v>
      </c>
      <c r="R59" s="30">
        <v>535.20000000000005</v>
      </c>
      <c r="S59" s="30" t="s">
        <v>416</v>
      </c>
      <c r="T59" t="s">
        <v>1417</v>
      </c>
      <c r="U59" t="s">
        <v>947</v>
      </c>
      <c r="X59" s="86">
        <f t="shared" si="0"/>
        <v>120.00000000000001</v>
      </c>
      <c r="AA59" s="86" t="s">
        <v>418</v>
      </c>
      <c r="AB59" s="86" t="s">
        <v>418</v>
      </c>
    </row>
    <row r="60" spans="1:28">
      <c r="A60" s="68">
        <v>59</v>
      </c>
      <c r="B60" s="30" t="s">
        <v>945</v>
      </c>
      <c r="C60" s="30" t="s">
        <v>964</v>
      </c>
      <c r="D60" s="30" t="s">
        <v>1289</v>
      </c>
      <c r="E60" s="230">
        <v>44610</v>
      </c>
      <c r="F60" s="30" t="s">
        <v>1208</v>
      </c>
      <c r="G60" s="30" t="s">
        <v>941</v>
      </c>
      <c r="H60" s="229">
        <v>5</v>
      </c>
      <c r="I60" s="229">
        <v>3.25</v>
      </c>
      <c r="J60" s="229">
        <v>4.5533175355450242</v>
      </c>
      <c r="K60" s="86" t="s">
        <v>1358</v>
      </c>
      <c r="L60" s="86"/>
      <c r="M60" s="254">
        <v>44607</v>
      </c>
      <c r="N60" s="30" t="s">
        <v>242</v>
      </c>
      <c r="O60" s="30" t="s">
        <v>1277</v>
      </c>
      <c r="P60" s="30" t="s">
        <v>673</v>
      </c>
      <c r="Q60" s="30">
        <v>4.46</v>
      </c>
      <c r="R60" s="30">
        <v>11.4176</v>
      </c>
      <c r="S60" s="30" t="s">
        <v>416</v>
      </c>
      <c r="T60" t="s">
        <v>1417</v>
      </c>
      <c r="U60" t="s">
        <v>1088</v>
      </c>
      <c r="X60" s="86">
        <f t="shared" si="0"/>
        <v>2.56</v>
      </c>
      <c r="AA60" s="86" t="s">
        <v>418</v>
      </c>
      <c r="AB60" s="86" t="s">
        <v>418</v>
      </c>
    </row>
    <row r="61" spans="1:28">
      <c r="A61" s="68">
        <v>60</v>
      </c>
      <c r="B61" s="30" t="s">
        <v>945</v>
      </c>
      <c r="C61" s="30" t="s">
        <v>964</v>
      </c>
      <c r="D61" s="30" t="s">
        <v>1300</v>
      </c>
      <c r="E61" s="230">
        <v>44613</v>
      </c>
      <c r="F61" s="30" t="s">
        <v>865</v>
      </c>
      <c r="G61" s="30" t="s">
        <v>76</v>
      </c>
      <c r="H61" s="229">
        <v>50</v>
      </c>
      <c r="I61" s="229">
        <v>1.1200000000000001</v>
      </c>
      <c r="J61" s="229">
        <v>4.59</v>
      </c>
      <c r="K61" s="86" t="s">
        <v>1359</v>
      </c>
      <c r="L61" s="86"/>
      <c r="M61" s="254">
        <v>44245</v>
      </c>
      <c r="N61" s="30" t="s">
        <v>850</v>
      </c>
      <c r="O61" s="30" t="s">
        <v>1226</v>
      </c>
      <c r="P61" s="30" t="s">
        <v>673</v>
      </c>
      <c r="Q61" s="30">
        <v>4.4000000000000004</v>
      </c>
      <c r="R61" s="30">
        <v>330</v>
      </c>
      <c r="S61" s="30" t="s">
        <v>416</v>
      </c>
      <c r="T61" t="s">
        <v>1389</v>
      </c>
      <c r="U61" t="s">
        <v>947</v>
      </c>
      <c r="X61" s="86">
        <f t="shared" si="0"/>
        <v>75</v>
      </c>
      <c r="AA61" s="86" t="s">
        <v>418</v>
      </c>
      <c r="AB61" s="86" t="s">
        <v>418</v>
      </c>
    </row>
    <row r="62" spans="1:28">
      <c r="A62" s="68">
        <v>61</v>
      </c>
      <c r="B62" s="30" t="s">
        <v>945</v>
      </c>
      <c r="C62" s="30" t="s">
        <v>964</v>
      </c>
      <c r="D62" s="30" t="s">
        <v>1292</v>
      </c>
      <c r="E62" s="230">
        <v>44613</v>
      </c>
      <c r="F62" s="30" t="s">
        <v>1</v>
      </c>
      <c r="G62" s="30" t="s">
        <v>940</v>
      </c>
      <c r="H62" s="229">
        <v>10</v>
      </c>
      <c r="I62" s="229">
        <v>2.39</v>
      </c>
      <c r="J62" s="229">
        <v>4.4000000000000004</v>
      </c>
      <c r="K62" s="86" t="s">
        <v>1360</v>
      </c>
      <c r="L62" s="86"/>
      <c r="M62" s="254">
        <v>44245</v>
      </c>
      <c r="N62" s="30" t="s">
        <v>850</v>
      </c>
      <c r="O62" s="30" t="s">
        <v>1226</v>
      </c>
      <c r="P62" s="30" t="s">
        <v>673</v>
      </c>
      <c r="Q62" s="30">
        <v>4.4000000000000004</v>
      </c>
      <c r="R62" s="30">
        <v>14.256000000000002</v>
      </c>
      <c r="S62" s="30" t="s">
        <v>416</v>
      </c>
      <c r="T62" t="s">
        <v>1389</v>
      </c>
      <c r="U62" t="s">
        <v>1088</v>
      </c>
      <c r="X62" s="86">
        <f t="shared" si="0"/>
        <v>3.24</v>
      </c>
      <c r="AA62" s="86" t="s">
        <v>418</v>
      </c>
      <c r="AB62" s="86" t="s">
        <v>418</v>
      </c>
    </row>
    <row r="63" spans="1:28">
      <c r="A63" s="68">
        <v>62</v>
      </c>
      <c r="B63" s="30" t="s">
        <v>945</v>
      </c>
      <c r="C63" s="30" t="s">
        <v>964</v>
      </c>
      <c r="D63" s="30" t="s">
        <v>1293</v>
      </c>
      <c r="E63" s="230">
        <v>44615</v>
      </c>
      <c r="F63" s="30" t="s">
        <v>929</v>
      </c>
      <c r="G63" s="30" t="s">
        <v>940</v>
      </c>
      <c r="H63" s="229">
        <v>1</v>
      </c>
      <c r="I63" s="229">
        <v>2.39</v>
      </c>
      <c r="J63" s="229">
        <v>4.4000000000000004</v>
      </c>
      <c r="K63" s="86" t="s">
        <v>1181</v>
      </c>
      <c r="L63" s="86"/>
      <c r="M63" s="254">
        <v>44245</v>
      </c>
      <c r="N63" s="30" t="s">
        <v>1059</v>
      </c>
      <c r="O63" s="30" t="s">
        <v>1233</v>
      </c>
      <c r="P63" s="30" t="s">
        <v>673</v>
      </c>
      <c r="Q63" s="30">
        <v>4.4000000000000004</v>
      </c>
      <c r="R63" s="30">
        <v>132</v>
      </c>
      <c r="S63" s="30" t="s">
        <v>416</v>
      </c>
      <c r="T63" t="s">
        <v>1418</v>
      </c>
      <c r="U63" t="s">
        <v>947</v>
      </c>
      <c r="X63" s="86">
        <f t="shared" si="0"/>
        <v>29.999999999999996</v>
      </c>
      <c r="AA63" s="86" t="s">
        <v>418</v>
      </c>
      <c r="AB63" s="86" t="s">
        <v>418</v>
      </c>
    </row>
    <row r="64" spans="1:28">
      <c r="A64" s="68">
        <v>63</v>
      </c>
      <c r="B64" s="30" t="s">
        <v>945</v>
      </c>
      <c r="C64" s="30" t="s">
        <v>964</v>
      </c>
      <c r="D64" s="30" t="s">
        <v>1293</v>
      </c>
      <c r="E64" s="230">
        <v>44615</v>
      </c>
      <c r="F64" s="30" t="s">
        <v>929</v>
      </c>
      <c r="G64" s="30" t="s">
        <v>862</v>
      </c>
      <c r="H64" s="229">
        <v>1</v>
      </c>
      <c r="I64" s="229">
        <v>5</v>
      </c>
      <c r="J64" s="229">
        <v>4.4000000000000004</v>
      </c>
      <c r="K64" s="86" t="s">
        <v>1179</v>
      </c>
      <c r="L64" s="86"/>
      <c r="M64" s="254">
        <v>44245</v>
      </c>
      <c r="N64" s="30" t="s">
        <v>1059</v>
      </c>
      <c r="O64" s="30" t="s">
        <v>1233</v>
      </c>
      <c r="P64" s="30" t="s">
        <v>673</v>
      </c>
      <c r="Q64" s="30">
        <v>4.4000000000000004</v>
      </c>
      <c r="R64" s="30">
        <v>10.56</v>
      </c>
      <c r="S64" s="30" t="s">
        <v>416</v>
      </c>
      <c r="T64" t="s">
        <v>1418</v>
      </c>
      <c r="U64" t="s">
        <v>1088</v>
      </c>
      <c r="X64" s="86">
        <f t="shared" si="0"/>
        <v>2.4</v>
      </c>
      <c r="AA64" s="86" t="s">
        <v>418</v>
      </c>
      <c r="AB64" s="86" t="s">
        <v>418</v>
      </c>
    </row>
    <row r="65" spans="1:28">
      <c r="A65" s="68">
        <v>64</v>
      </c>
      <c r="B65" s="30" t="s">
        <v>945</v>
      </c>
      <c r="C65" s="30" t="s">
        <v>964</v>
      </c>
      <c r="D65" s="30" t="s">
        <v>1293</v>
      </c>
      <c r="E65" s="230">
        <v>44615</v>
      </c>
      <c r="F65" s="30" t="s">
        <v>929</v>
      </c>
      <c r="G65" s="30" t="s">
        <v>758</v>
      </c>
      <c r="H65" s="229">
        <v>12</v>
      </c>
      <c r="I65" s="229">
        <v>2.88</v>
      </c>
      <c r="J65" s="229">
        <v>4.4000000000000004</v>
      </c>
      <c r="K65" s="86" t="s">
        <v>1180</v>
      </c>
      <c r="L65" s="86"/>
      <c r="M65" s="254">
        <v>44245</v>
      </c>
      <c r="N65" s="30" t="s">
        <v>977</v>
      </c>
      <c r="O65" s="30" t="s">
        <v>1234</v>
      </c>
      <c r="P65" s="30" t="s">
        <v>673</v>
      </c>
      <c r="Q65" s="30">
        <v>4.4000000000000004</v>
      </c>
      <c r="R65" s="30">
        <v>440.00000000000006</v>
      </c>
      <c r="S65" s="30" t="s">
        <v>416</v>
      </c>
      <c r="T65" t="s">
        <v>1419</v>
      </c>
      <c r="U65" t="s">
        <v>947</v>
      </c>
      <c r="X65" s="86">
        <f t="shared" si="0"/>
        <v>100</v>
      </c>
      <c r="AA65" s="86" t="s">
        <v>418</v>
      </c>
      <c r="AB65" s="86" t="s">
        <v>418</v>
      </c>
    </row>
    <row r="66" spans="1:28">
      <c r="A66" s="68">
        <v>65</v>
      </c>
      <c r="B66" s="30" t="s">
        <v>945</v>
      </c>
      <c r="C66" s="30" t="s">
        <v>964</v>
      </c>
      <c r="D66" s="30" t="s">
        <v>1294</v>
      </c>
      <c r="E66" s="230">
        <v>44615</v>
      </c>
      <c r="F66" s="30" t="s">
        <v>914</v>
      </c>
      <c r="G66" s="30" t="s">
        <v>1002</v>
      </c>
      <c r="H66" s="229">
        <v>14</v>
      </c>
      <c r="I66" s="229">
        <v>5.4</v>
      </c>
      <c r="J66" s="229">
        <v>4.4000000000000004</v>
      </c>
      <c r="K66" s="86" t="s">
        <v>1361</v>
      </c>
      <c r="L66" s="86"/>
      <c r="M66" s="254">
        <v>44245</v>
      </c>
      <c r="N66" s="30" t="s">
        <v>977</v>
      </c>
      <c r="O66" s="30" t="s">
        <v>1234</v>
      </c>
      <c r="P66" s="30" t="s">
        <v>673</v>
      </c>
      <c r="Q66" s="30">
        <v>4.4000000000000004</v>
      </c>
      <c r="R66" s="30">
        <v>14.080000000000002</v>
      </c>
      <c r="S66" s="30" t="s">
        <v>416</v>
      </c>
      <c r="T66" t="s">
        <v>1419</v>
      </c>
      <c r="U66" t="s">
        <v>1088</v>
      </c>
      <c r="X66" s="86">
        <f t="shared" si="0"/>
        <v>3.2</v>
      </c>
      <c r="AA66" s="86" t="s">
        <v>418</v>
      </c>
      <c r="AB66" s="86" t="s">
        <v>418</v>
      </c>
    </row>
    <row r="67" spans="1:28">
      <c r="A67" s="68">
        <v>66</v>
      </c>
      <c r="B67" s="30" t="s">
        <v>945</v>
      </c>
      <c r="C67" s="30" t="s">
        <v>964</v>
      </c>
      <c r="D67" s="30" t="s">
        <v>1295</v>
      </c>
      <c r="E67" s="230">
        <v>44615</v>
      </c>
      <c r="F67" s="30" t="s">
        <v>1175</v>
      </c>
      <c r="G67" s="30" t="s">
        <v>849</v>
      </c>
      <c r="H67" s="229">
        <v>2</v>
      </c>
      <c r="I67" s="229">
        <v>4.1900000000000004</v>
      </c>
      <c r="J67" s="229">
        <v>4.4000000000000004</v>
      </c>
      <c r="K67" s="86" t="s">
        <v>1362</v>
      </c>
      <c r="L67" s="86"/>
      <c r="M67" s="254">
        <v>44610</v>
      </c>
      <c r="N67" s="30" t="s">
        <v>850</v>
      </c>
      <c r="O67" s="30" t="s">
        <v>1283</v>
      </c>
      <c r="P67" s="30" t="s">
        <v>673</v>
      </c>
      <c r="Q67" s="30">
        <v>4.4000000000000004</v>
      </c>
      <c r="R67" s="30">
        <v>176</v>
      </c>
      <c r="S67" s="30" t="s">
        <v>416</v>
      </c>
      <c r="T67" t="s">
        <v>1420</v>
      </c>
      <c r="U67" t="s">
        <v>947</v>
      </c>
      <c r="X67" s="86">
        <f t="shared" ref="X67:X130" si="1">IF(OR(Q67=0,Q67=""),0,R67/Q67)</f>
        <v>40</v>
      </c>
      <c r="AA67" s="86" t="s">
        <v>418</v>
      </c>
      <c r="AB67" s="86" t="s">
        <v>418</v>
      </c>
    </row>
    <row r="68" spans="1:28">
      <c r="A68" s="68">
        <v>67</v>
      </c>
      <c r="B68" s="30" t="s">
        <v>945</v>
      </c>
      <c r="C68" s="30" t="s">
        <v>964</v>
      </c>
      <c r="D68" s="30" t="s">
        <v>1363</v>
      </c>
      <c r="E68" s="230">
        <v>44617</v>
      </c>
      <c r="F68" s="30" t="s">
        <v>1069</v>
      </c>
      <c r="G68" s="30" t="s">
        <v>548</v>
      </c>
      <c r="H68" s="229">
        <v>10</v>
      </c>
      <c r="I68" s="229">
        <v>1.2400000000000002</v>
      </c>
      <c r="J68" s="229">
        <v>5.0999999999999996</v>
      </c>
      <c r="K68" s="86" t="s">
        <v>1364</v>
      </c>
      <c r="L68" s="86"/>
      <c r="M68" s="254">
        <v>44610</v>
      </c>
      <c r="N68" s="30" t="s">
        <v>617</v>
      </c>
      <c r="O68" s="30" t="s">
        <v>1281</v>
      </c>
      <c r="P68" s="30" t="s">
        <v>673</v>
      </c>
      <c r="Q68" s="30">
        <v>4.4000000000000004</v>
      </c>
      <c r="R68" s="30">
        <v>3049.8160000000003</v>
      </c>
      <c r="S68" s="30" t="s">
        <v>416</v>
      </c>
      <c r="T68" t="s">
        <v>1421</v>
      </c>
      <c r="U68" t="s">
        <v>947</v>
      </c>
      <c r="X68" s="86">
        <f t="shared" si="1"/>
        <v>693.14</v>
      </c>
      <c r="AA68" s="86" t="s">
        <v>418</v>
      </c>
      <c r="AB68" s="86" t="s">
        <v>418</v>
      </c>
    </row>
    <row r="69" spans="1:28">
      <c r="A69" s="68">
        <v>68</v>
      </c>
      <c r="B69" s="30" t="s">
        <v>945</v>
      </c>
      <c r="C69" s="30" t="s">
        <v>964</v>
      </c>
      <c r="D69" s="30" t="s">
        <v>1307</v>
      </c>
      <c r="E69" s="230">
        <v>44617</v>
      </c>
      <c r="F69" s="30" t="s">
        <v>865</v>
      </c>
      <c r="G69" s="30" t="s">
        <v>538</v>
      </c>
      <c r="H69" s="229">
        <v>23</v>
      </c>
      <c r="I69" s="229">
        <v>1.6600000000000001</v>
      </c>
      <c r="J69" s="229">
        <v>4.59</v>
      </c>
      <c r="K69" s="86" t="s">
        <v>1365</v>
      </c>
      <c r="L69" s="86"/>
      <c r="M69" s="254">
        <v>44610</v>
      </c>
      <c r="N69" s="30" t="s">
        <v>1278</v>
      </c>
      <c r="O69" s="30" t="s">
        <v>1284</v>
      </c>
      <c r="P69" s="30" t="s">
        <v>673</v>
      </c>
      <c r="Q69" s="30">
        <v>4.4000000000000004</v>
      </c>
      <c r="R69" s="30">
        <v>88</v>
      </c>
      <c r="S69" s="30" t="s">
        <v>416</v>
      </c>
      <c r="T69" t="s">
        <v>1422</v>
      </c>
      <c r="U69" t="s">
        <v>947</v>
      </c>
      <c r="X69" s="86">
        <f t="shared" si="1"/>
        <v>20</v>
      </c>
      <c r="AA69" s="86" t="s">
        <v>418</v>
      </c>
      <c r="AB69" s="86" t="s">
        <v>418</v>
      </c>
    </row>
    <row r="70" spans="1:28">
      <c r="A70" s="68">
        <v>69</v>
      </c>
      <c r="B70" s="30" t="s">
        <v>945</v>
      </c>
      <c r="C70" s="30" t="s">
        <v>964</v>
      </c>
      <c r="D70" s="30" t="s">
        <v>1307</v>
      </c>
      <c r="E70" s="230">
        <v>44617</v>
      </c>
      <c r="F70" s="30" t="s">
        <v>865</v>
      </c>
      <c r="G70" s="30" t="s">
        <v>862</v>
      </c>
      <c r="H70" s="229">
        <v>20</v>
      </c>
      <c r="I70" s="229">
        <v>5</v>
      </c>
      <c r="J70" s="229">
        <v>4.59</v>
      </c>
      <c r="K70" s="86" t="s">
        <v>1366</v>
      </c>
      <c r="L70" s="86"/>
      <c r="M70" s="254">
        <v>44610</v>
      </c>
      <c r="N70" s="30" t="s">
        <v>1278</v>
      </c>
      <c r="O70" s="30" t="s">
        <v>1284</v>
      </c>
      <c r="P70" s="30" t="s">
        <v>673</v>
      </c>
      <c r="Q70" s="30">
        <v>4.4000000000000004</v>
      </c>
      <c r="R70" s="30">
        <v>7.0400000000000009</v>
      </c>
      <c r="S70" s="30" t="s">
        <v>416</v>
      </c>
      <c r="T70" t="s">
        <v>1422</v>
      </c>
      <c r="U70" t="s">
        <v>1088</v>
      </c>
      <c r="X70" s="86">
        <f t="shared" si="1"/>
        <v>1.6</v>
      </c>
      <c r="AA70" s="86" t="s">
        <v>418</v>
      </c>
      <c r="AB70" s="86" t="s">
        <v>418</v>
      </c>
    </row>
    <row r="71" spans="1:28">
      <c r="A71" s="68">
        <v>70</v>
      </c>
      <c r="B71" s="30" t="s">
        <v>945</v>
      </c>
      <c r="C71" s="30" t="s">
        <v>964</v>
      </c>
      <c r="D71" s="30" t="s">
        <v>1307</v>
      </c>
      <c r="E71" s="230">
        <v>44617</v>
      </c>
      <c r="F71" s="30" t="s">
        <v>865</v>
      </c>
      <c r="G71" s="30" t="s">
        <v>1021</v>
      </c>
      <c r="H71" s="229">
        <v>10</v>
      </c>
      <c r="I71" s="229">
        <v>5.6</v>
      </c>
      <c r="J71" s="229">
        <v>4.59</v>
      </c>
      <c r="K71" s="86" t="s">
        <v>1367</v>
      </c>
      <c r="L71" s="86"/>
      <c r="M71" s="254">
        <v>44610</v>
      </c>
      <c r="N71" s="30" t="s">
        <v>114</v>
      </c>
      <c r="O71" s="30" t="s">
        <v>1285</v>
      </c>
      <c r="P71" s="30" t="s">
        <v>673</v>
      </c>
      <c r="Q71" s="30">
        <v>4.4000000000000004</v>
      </c>
      <c r="R71" s="30">
        <v>118.80000000000001</v>
      </c>
      <c r="S71" s="30" t="s">
        <v>416</v>
      </c>
      <c r="T71" t="s">
        <v>1423</v>
      </c>
      <c r="U71" t="s">
        <v>947</v>
      </c>
      <c r="X71" s="86">
        <f t="shared" si="1"/>
        <v>27</v>
      </c>
      <c r="AA71" s="86" t="s">
        <v>418</v>
      </c>
      <c r="AB71" s="86" t="s">
        <v>418</v>
      </c>
    </row>
    <row r="72" spans="1:28">
      <c r="A72" s="68">
        <v>71</v>
      </c>
      <c r="B72" s="30" t="s">
        <v>945</v>
      </c>
      <c r="C72" s="30" t="s">
        <v>964</v>
      </c>
      <c r="D72" s="30" t="s">
        <v>1368</v>
      </c>
      <c r="E72" s="230">
        <v>44617</v>
      </c>
      <c r="F72" s="30" t="s">
        <v>1208</v>
      </c>
      <c r="G72" s="30" t="s">
        <v>515</v>
      </c>
      <c r="H72" s="229">
        <v>19</v>
      </c>
      <c r="I72" s="229">
        <v>2.75</v>
      </c>
      <c r="J72" s="229">
        <v>5.0999999999999996</v>
      </c>
      <c r="K72" s="86" t="s">
        <v>1369</v>
      </c>
      <c r="L72" s="86"/>
      <c r="M72" s="254">
        <v>44610</v>
      </c>
      <c r="N72" s="30" t="s">
        <v>1286</v>
      </c>
      <c r="O72" s="30" t="s">
        <v>1287</v>
      </c>
      <c r="P72" s="30" t="s">
        <v>673</v>
      </c>
      <c r="Q72" s="30">
        <v>4.4000000000000004</v>
      </c>
      <c r="R72" s="30">
        <v>-52.800000000000004</v>
      </c>
      <c r="S72" s="30" t="s">
        <v>416</v>
      </c>
      <c r="T72" t="s">
        <v>1424</v>
      </c>
      <c r="U72" t="s">
        <v>947</v>
      </c>
      <c r="X72" s="86">
        <f t="shared" si="1"/>
        <v>-12</v>
      </c>
      <c r="AA72" s="86" t="s">
        <v>418</v>
      </c>
      <c r="AB72" s="86" t="s">
        <v>418</v>
      </c>
    </row>
    <row r="73" spans="1:28">
      <c r="A73" s="68">
        <v>72</v>
      </c>
      <c r="B73" s="30" t="s">
        <v>945</v>
      </c>
      <c r="C73" s="30" t="s">
        <v>964</v>
      </c>
      <c r="D73" s="30" t="s">
        <v>1368</v>
      </c>
      <c r="E73" s="230">
        <v>44617</v>
      </c>
      <c r="F73" s="30" t="s">
        <v>1208</v>
      </c>
      <c r="G73" s="30" t="s">
        <v>524</v>
      </c>
      <c r="H73" s="229">
        <v>7</v>
      </c>
      <c r="I73" s="229">
        <v>1.5</v>
      </c>
      <c r="J73" s="229">
        <v>5.0999999999999996</v>
      </c>
      <c r="K73" s="86" t="s">
        <v>1370</v>
      </c>
      <c r="L73" s="86"/>
      <c r="M73" s="254">
        <v>44610</v>
      </c>
      <c r="N73" s="30" t="s">
        <v>1242</v>
      </c>
      <c r="O73" s="30" t="s">
        <v>1243</v>
      </c>
      <c r="P73" s="30" t="s">
        <v>673</v>
      </c>
      <c r="Q73" s="30">
        <v>4.5999999999999996</v>
      </c>
      <c r="R73" s="30">
        <v>-229.99999999999997</v>
      </c>
      <c r="S73" s="30" t="s">
        <v>416</v>
      </c>
      <c r="T73" t="s">
        <v>1381</v>
      </c>
      <c r="U73" t="s">
        <v>947</v>
      </c>
      <c r="X73" s="86">
        <f t="shared" si="1"/>
        <v>-50</v>
      </c>
      <c r="AA73" s="86" t="s">
        <v>418</v>
      </c>
      <c r="AB73" s="86" t="s">
        <v>418</v>
      </c>
    </row>
    <row r="74" spans="1:28">
      <c r="A74" s="68">
        <v>73</v>
      </c>
      <c r="B74" s="30" t="s">
        <v>945</v>
      </c>
      <c r="C74" s="30" t="s">
        <v>964</v>
      </c>
      <c r="D74" s="30" t="s">
        <v>1368</v>
      </c>
      <c r="E74" s="230">
        <v>44617</v>
      </c>
      <c r="F74" s="30" t="s">
        <v>1208</v>
      </c>
      <c r="G74" s="30" t="s">
        <v>940</v>
      </c>
      <c r="H74" s="229">
        <v>7</v>
      </c>
      <c r="I74" s="229">
        <v>3.5</v>
      </c>
      <c r="J74" s="229">
        <v>5.0999999999999996</v>
      </c>
      <c r="K74" s="86" t="s">
        <v>1371</v>
      </c>
      <c r="L74" s="86"/>
      <c r="M74" s="254">
        <v>44610</v>
      </c>
      <c r="N74" s="30" t="s">
        <v>1090</v>
      </c>
      <c r="O74" s="30" t="s">
        <v>1288</v>
      </c>
      <c r="P74" s="30" t="s">
        <v>673</v>
      </c>
      <c r="Q74" s="30">
        <v>4.5999999999999996</v>
      </c>
      <c r="R74" s="30">
        <v>-92</v>
      </c>
      <c r="S74" s="30" t="s">
        <v>416</v>
      </c>
      <c r="T74" t="s">
        <v>1425</v>
      </c>
      <c r="U74" t="s">
        <v>947</v>
      </c>
      <c r="X74" s="86">
        <f t="shared" si="1"/>
        <v>-20</v>
      </c>
      <c r="AA74" s="86" t="s">
        <v>418</v>
      </c>
      <c r="AB74" s="86" t="s">
        <v>418</v>
      </c>
    </row>
    <row r="75" spans="1:28">
      <c r="A75" s="68">
        <v>74</v>
      </c>
      <c r="B75" s="30" t="s">
        <v>945</v>
      </c>
      <c r="C75" s="30" t="s">
        <v>964</v>
      </c>
      <c r="D75" s="30" t="s">
        <v>1305</v>
      </c>
      <c r="E75" s="230">
        <v>44617</v>
      </c>
      <c r="F75" s="30" t="s">
        <v>532</v>
      </c>
      <c r="G75" s="30" t="s">
        <v>453</v>
      </c>
      <c r="H75" s="229">
        <v>54</v>
      </c>
      <c r="I75" s="229">
        <v>2.0499999999999998</v>
      </c>
      <c r="J75" s="229">
        <v>5.0999999999999996</v>
      </c>
      <c r="K75" s="86" t="s">
        <v>1372</v>
      </c>
      <c r="L75" s="86"/>
      <c r="M75" s="254">
        <v>44610</v>
      </c>
      <c r="N75" s="30" t="s">
        <v>1089</v>
      </c>
      <c r="O75" s="30" t="s">
        <v>1288</v>
      </c>
      <c r="P75" s="30" t="s">
        <v>673</v>
      </c>
      <c r="Q75" s="30">
        <v>4.5999999999999996</v>
      </c>
      <c r="R75" s="30">
        <v>-92</v>
      </c>
      <c r="S75" s="30" t="s">
        <v>416</v>
      </c>
      <c r="T75" t="s">
        <v>1426</v>
      </c>
      <c r="U75" t="s">
        <v>947</v>
      </c>
      <c r="X75" s="86">
        <f t="shared" si="1"/>
        <v>-20</v>
      </c>
      <c r="AA75" s="86" t="s">
        <v>418</v>
      </c>
      <c r="AB75" s="86" t="s">
        <v>418</v>
      </c>
    </row>
    <row r="76" spans="1:28">
      <c r="A76" s="68">
        <v>75</v>
      </c>
      <c r="B76" s="30" t="s">
        <v>418</v>
      </c>
      <c r="C76" s="30" t="s">
        <v>418</v>
      </c>
      <c r="D76" s="30" t="s">
        <v>418</v>
      </c>
      <c r="E76" s="230" t="s">
        <v>418</v>
      </c>
      <c r="F76" s="30" t="s">
        <v>418</v>
      </c>
      <c r="G76" s="30" t="s">
        <v>418</v>
      </c>
      <c r="H76" s="229" t="s">
        <v>418</v>
      </c>
      <c r="I76" s="229" t="s">
        <v>418</v>
      </c>
      <c r="J76" s="229" t="s">
        <v>418</v>
      </c>
      <c r="K76" s="86" t="s">
        <v>418</v>
      </c>
      <c r="L76" s="86"/>
      <c r="M76" s="254">
        <v>44610</v>
      </c>
      <c r="N76" s="30" t="s">
        <v>962</v>
      </c>
      <c r="O76" s="30" t="s">
        <v>1288</v>
      </c>
      <c r="P76" s="30" t="s">
        <v>673</v>
      </c>
      <c r="Q76" s="30">
        <v>4.5999999999999996</v>
      </c>
      <c r="R76" s="30">
        <v>-92</v>
      </c>
      <c r="S76" s="30" t="s">
        <v>416</v>
      </c>
      <c r="T76" t="s">
        <v>1427</v>
      </c>
      <c r="U76" t="s">
        <v>947</v>
      </c>
      <c r="X76" s="86">
        <f t="shared" si="1"/>
        <v>-20</v>
      </c>
      <c r="AA76" s="86" t="s">
        <v>418</v>
      </c>
      <c r="AB76" s="86" t="s">
        <v>418</v>
      </c>
    </row>
    <row r="77" spans="1:28">
      <c r="A77" s="68">
        <v>76</v>
      </c>
      <c r="B77" s="30" t="s">
        <v>418</v>
      </c>
      <c r="C77" s="30" t="s">
        <v>418</v>
      </c>
      <c r="D77" s="30" t="s">
        <v>418</v>
      </c>
      <c r="E77" s="230" t="s">
        <v>418</v>
      </c>
      <c r="F77" s="30" t="s">
        <v>418</v>
      </c>
      <c r="G77" s="30" t="s">
        <v>418</v>
      </c>
      <c r="H77" s="229" t="s">
        <v>418</v>
      </c>
      <c r="I77" s="229" t="s">
        <v>418</v>
      </c>
      <c r="J77" s="229" t="s">
        <v>418</v>
      </c>
      <c r="K77" s="86" t="s">
        <v>418</v>
      </c>
      <c r="L77" s="86"/>
      <c r="M77" s="254">
        <v>44610</v>
      </c>
      <c r="N77" s="30" t="s">
        <v>1244</v>
      </c>
      <c r="O77" s="30" t="s">
        <v>1288</v>
      </c>
      <c r="P77" s="30" t="s">
        <v>673</v>
      </c>
      <c r="Q77" s="30">
        <v>4.5999999999999996</v>
      </c>
      <c r="R77" s="30">
        <v>-23</v>
      </c>
      <c r="S77" s="30" t="s">
        <v>416</v>
      </c>
      <c r="T77" t="s">
        <v>1428</v>
      </c>
      <c r="U77" t="s">
        <v>947</v>
      </c>
      <c r="X77" s="86">
        <f t="shared" si="1"/>
        <v>-5</v>
      </c>
      <c r="AA77" s="86" t="s">
        <v>418</v>
      </c>
      <c r="AB77" s="86" t="s">
        <v>418</v>
      </c>
    </row>
    <row r="78" spans="1:28">
      <c r="A78" s="68">
        <v>77</v>
      </c>
      <c r="B78" s="30" t="s">
        <v>418</v>
      </c>
      <c r="C78" s="30" t="s">
        <v>418</v>
      </c>
      <c r="D78" s="30" t="s">
        <v>418</v>
      </c>
      <c r="E78" s="230" t="s">
        <v>418</v>
      </c>
      <c r="F78" s="30" t="s">
        <v>418</v>
      </c>
      <c r="G78" s="30" t="s">
        <v>418</v>
      </c>
      <c r="H78" s="229" t="s">
        <v>418</v>
      </c>
      <c r="I78" s="229" t="s">
        <v>418</v>
      </c>
      <c r="J78" s="229" t="s">
        <v>418</v>
      </c>
      <c r="K78" s="86" t="s">
        <v>418</v>
      </c>
      <c r="L78" s="86"/>
      <c r="M78" s="254">
        <v>44610</v>
      </c>
      <c r="N78" s="30" t="s">
        <v>1091</v>
      </c>
      <c r="O78" s="30" t="s">
        <v>1288</v>
      </c>
      <c r="P78" s="30" t="s">
        <v>673</v>
      </c>
      <c r="Q78" s="30">
        <v>4.5999999999999996</v>
      </c>
      <c r="R78" s="30">
        <v>-69</v>
      </c>
      <c r="S78" s="30" t="s">
        <v>416</v>
      </c>
      <c r="T78" t="s">
        <v>1429</v>
      </c>
      <c r="U78" t="s">
        <v>947</v>
      </c>
      <c r="X78" s="86">
        <f t="shared" si="1"/>
        <v>-15.000000000000002</v>
      </c>
      <c r="AA78" s="86" t="s">
        <v>418</v>
      </c>
      <c r="AB78" s="86" t="s">
        <v>418</v>
      </c>
    </row>
    <row r="79" spans="1:28">
      <c r="A79" s="68">
        <v>78</v>
      </c>
      <c r="B79" s="30" t="s">
        <v>418</v>
      </c>
      <c r="C79" s="30" t="s">
        <v>418</v>
      </c>
      <c r="D79" s="30" t="s">
        <v>418</v>
      </c>
      <c r="E79" s="230" t="s">
        <v>418</v>
      </c>
      <c r="F79" s="30" t="s">
        <v>418</v>
      </c>
      <c r="G79" s="30" t="s">
        <v>418</v>
      </c>
      <c r="H79" s="229" t="s">
        <v>418</v>
      </c>
      <c r="I79" s="229" t="s">
        <v>418</v>
      </c>
      <c r="J79" s="229" t="s">
        <v>418</v>
      </c>
      <c r="K79" s="86" t="s">
        <v>418</v>
      </c>
      <c r="L79" s="86"/>
      <c r="M79" s="254">
        <v>44610</v>
      </c>
      <c r="N79" s="30" t="s">
        <v>1170</v>
      </c>
      <c r="O79" s="30" t="s">
        <v>1288</v>
      </c>
      <c r="P79" s="30" t="s">
        <v>673</v>
      </c>
      <c r="Q79" s="30">
        <v>4.5999999999999996</v>
      </c>
      <c r="R79" s="30">
        <v>-32.199999999999996</v>
      </c>
      <c r="S79" s="30" t="s">
        <v>416</v>
      </c>
      <c r="T79" t="s">
        <v>1430</v>
      </c>
      <c r="U79" t="s">
        <v>947</v>
      </c>
      <c r="X79" s="86">
        <f t="shared" si="1"/>
        <v>-7</v>
      </c>
      <c r="AA79" s="86" t="s">
        <v>418</v>
      </c>
      <c r="AB79" s="86" t="s">
        <v>418</v>
      </c>
    </row>
    <row r="80" spans="1:28">
      <c r="A80" s="68">
        <v>79</v>
      </c>
      <c r="B80" s="30" t="s">
        <v>418</v>
      </c>
      <c r="C80" s="30" t="s">
        <v>418</v>
      </c>
      <c r="D80" s="30" t="s">
        <v>418</v>
      </c>
      <c r="E80" s="230" t="s">
        <v>418</v>
      </c>
      <c r="F80" s="30" t="s">
        <v>418</v>
      </c>
      <c r="G80" s="30" t="s">
        <v>418</v>
      </c>
      <c r="H80" s="229" t="s">
        <v>418</v>
      </c>
      <c r="I80" s="229" t="s">
        <v>418</v>
      </c>
      <c r="J80" s="229" t="s">
        <v>418</v>
      </c>
      <c r="K80" s="86" t="s">
        <v>418</v>
      </c>
      <c r="L80" s="86"/>
      <c r="M80" s="254">
        <v>44612</v>
      </c>
      <c r="N80" s="30" t="s">
        <v>1208</v>
      </c>
      <c r="O80" s="30" t="s">
        <v>1266</v>
      </c>
      <c r="P80" s="30" t="s">
        <v>673</v>
      </c>
      <c r="Q80" s="30">
        <v>4.5</v>
      </c>
      <c r="R80" s="30">
        <v>90</v>
      </c>
      <c r="S80" s="30" t="s">
        <v>416</v>
      </c>
      <c r="T80" t="s">
        <v>1409</v>
      </c>
      <c r="U80" t="s">
        <v>947</v>
      </c>
      <c r="X80" s="86">
        <f t="shared" si="1"/>
        <v>20</v>
      </c>
      <c r="AA80" s="86" t="s">
        <v>418</v>
      </c>
      <c r="AB80" s="86" t="s">
        <v>418</v>
      </c>
    </row>
    <row r="81" spans="1:28">
      <c r="A81" s="68">
        <v>80</v>
      </c>
      <c r="B81" s="30" t="s">
        <v>418</v>
      </c>
      <c r="C81" s="30" t="s">
        <v>418</v>
      </c>
      <c r="D81" s="30" t="s">
        <v>418</v>
      </c>
      <c r="E81" s="230" t="s">
        <v>418</v>
      </c>
      <c r="F81" s="30" t="s">
        <v>418</v>
      </c>
      <c r="G81" s="30" t="s">
        <v>418</v>
      </c>
      <c r="H81" s="229" t="s">
        <v>418</v>
      </c>
      <c r="I81" s="229" t="s">
        <v>418</v>
      </c>
      <c r="J81" s="229" t="s">
        <v>418</v>
      </c>
      <c r="K81" s="86" t="s">
        <v>418</v>
      </c>
      <c r="L81" s="86"/>
      <c r="M81" s="254">
        <v>44612</v>
      </c>
      <c r="N81" s="30" t="s">
        <v>1208</v>
      </c>
      <c r="O81" s="30" t="s">
        <v>1266</v>
      </c>
      <c r="P81" s="30" t="s">
        <v>673</v>
      </c>
      <c r="Q81" s="30">
        <v>4.5</v>
      </c>
      <c r="R81" s="30">
        <v>144.9</v>
      </c>
      <c r="S81" s="30" t="s">
        <v>416</v>
      </c>
      <c r="T81" t="s">
        <v>1409</v>
      </c>
      <c r="U81" t="s">
        <v>1088</v>
      </c>
      <c r="X81" s="86">
        <f t="shared" si="1"/>
        <v>32.200000000000003</v>
      </c>
      <c r="AA81" s="86" t="s">
        <v>418</v>
      </c>
      <c r="AB81" s="86" t="s">
        <v>418</v>
      </c>
    </row>
    <row r="82" spans="1:28">
      <c r="A82" s="68">
        <v>81</v>
      </c>
      <c r="B82" s="30" t="s">
        <v>418</v>
      </c>
      <c r="C82" s="30" t="s">
        <v>418</v>
      </c>
      <c r="D82" s="30" t="s">
        <v>418</v>
      </c>
      <c r="E82" s="230" t="s">
        <v>418</v>
      </c>
      <c r="F82" s="30" t="s">
        <v>418</v>
      </c>
      <c r="G82" s="30" t="s">
        <v>418</v>
      </c>
      <c r="H82" s="229" t="s">
        <v>418</v>
      </c>
      <c r="I82" s="229" t="s">
        <v>418</v>
      </c>
      <c r="J82" s="229" t="s">
        <v>418</v>
      </c>
      <c r="K82" s="86" t="s">
        <v>418</v>
      </c>
      <c r="L82" s="86"/>
      <c r="M82" s="254">
        <v>44612</v>
      </c>
      <c r="N82" s="30" t="s">
        <v>1208</v>
      </c>
      <c r="O82" s="30" t="s">
        <v>1289</v>
      </c>
      <c r="P82" s="30" t="s">
        <v>673</v>
      </c>
      <c r="Q82" s="30">
        <v>4.5</v>
      </c>
      <c r="R82" s="30">
        <v>61.92</v>
      </c>
      <c r="S82" s="30" t="s">
        <v>416</v>
      </c>
      <c r="T82" t="s">
        <v>1431</v>
      </c>
      <c r="U82" t="s">
        <v>1088</v>
      </c>
      <c r="X82" s="86">
        <f t="shared" si="1"/>
        <v>13.76</v>
      </c>
      <c r="AA82" s="86" t="s">
        <v>418</v>
      </c>
      <c r="AB82" s="86" t="s">
        <v>418</v>
      </c>
    </row>
    <row r="83" spans="1:28">
      <c r="A83" s="68">
        <v>82</v>
      </c>
      <c r="B83" s="30" t="s">
        <v>418</v>
      </c>
      <c r="C83" s="30" t="s">
        <v>418</v>
      </c>
      <c r="D83" s="30" t="s">
        <v>418</v>
      </c>
      <c r="E83" s="230" t="s">
        <v>418</v>
      </c>
      <c r="F83" s="30" t="s">
        <v>418</v>
      </c>
      <c r="G83" s="30" t="s">
        <v>418</v>
      </c>
      <c r="H83" s="229" t="s">
        <v>418</v>
      </c>
      <c r="I83" s="229" t="s">
        <v>418</v>
      </c>
      <c r="J83" s="229" t="s">
        <v>418</v>
      </c>
      <c r="K83" s="86" t="s">
        <v>418</v>
      </c>
      <c r="L83" s="86"/>
      <c r="M83" s="254">
        <v>44613</v>
      </c>
      <c r="N83" s="30" t="s">
        <v>1196</v>
      </c>
      <c r="O83" s="30" t="s">
        <v>1290</v>
      </c>
      <c r="P83" s="30" t="s">
        <v>673</v>
      </c>
      <c r="Q83" s="30">
        <v>4.5</v>
      </c>
      <c r="R83" s="30">
        <v>-328.5</v>
      </c>
      <c r="S83" s="30" t="s">
        <v>416</v>
      </c>
      <c r="T83" t="s">
        <v>1432</v>
      </c>
      <c r="U83" t="s">
        <v>947</v>
      </c>
      <c r="X83" s="86">
        <f t="shared" si="1"/>
        <v>-73</v>
      </c>
      <c r="AA83" s="86" t="s">
        <v>418</v>
      </c>
      <c r="AB83" s="86" t="s">
        <v>418</v>
      </c>
    </row>
    <row r="84" spans="1:28">
      <c r="A84" s="68">
        <v>83</v>
      </c>
      <c r="B84" s="30" t="s">
        <v>418</v>
      </c>
      <c r="C84" s="30" t="s">
        <v>418</v>
      </c>
      <c r="D84" s="30" t="s">
        <v>418</v>
      </c>
      <c r="E84" s="230" t="s">
        <v>418</v>
      </c>
      <c r="F84" s="30" t="s">
        <v>418</v>
      </c>
      <c r="G84" s="30" t="s">
        <v>418</v>
      </c>
      <c r="H84" s="229" t="s">
        <v>418</v>
      </c>
      <c r="I84" s="229" t="s">
        <v>418</v>
      </c>
      <c r="J84" s="229" t="s">
        <v>418</v>
      </c>
      <c r="K84" s="86" t="s">
        <v>418</v>
      </c>
      <c r="L84" s="86"/>
      <c r="M84" s="254">
        <v>44615</v>
      </c>
      <c r="N84" s="30" t="s">
        <v>978</v>
      </c>
      <c r="O84" s="30" t="s">
        <v>1225</v>
      </c>
      <c r="P84" s="30" t="s">
        <v>673</v>
      </c>
      <c r="Q84" s="30">
        <v>4.5</v>
      </c>
      <c r="R84" s="30">
        <v>450</v>
      </c>
      <c r="S84" s="30" t="s">
        <v>416</v>
      </c>
      <c r="T84" t="s">
        <v>1433</v>
      </c>
      <c r="U84" t="s">
        <v>947</v>
      </c>
      <c r="X84" s="86">
        <f t="shared" si="1"/>
        <v>100</v>
      </c>
      <c r="AA84" s="86" t="s">
        <v>418</v>
      </c>
      <c r="AB84" s="86" t="s">
        <v>418</v>
      </c>
    </row>
    <row r="85" spans="1:28">
      <c r="A85" s="68">
        <v>84</v>
      </c>
      <c r="B85" s="30" t="s">
        <v>418</v>
      </c>
      <c r="C85" s="30" t="s">
        <v>418</v>
      </c>
      <c r="D85" s="30" t="s">
        <v>418</v>
      </c>
      <c r="E85" s="230" t="s">
        <v>418</v>
      </c>
      <c r="F85" s="30" t="s">
        <v>418</v>
      </c>
      <c r="G85" s="30" t="s">
        <v>418</v>
      </c>
      <c r="H85" s="229" t="s">
        <v>418</v>
      </c>
      <c r="I85" s="229" t="s">
        <v>418</v>
      </c>
      <c r="J85" s="229" t="s">
        <v>418</v>
      </c>
      <c r="K85" s="86" t="s">
        <v>418</v>
      </c>
      <c r="L85" s="86"/>
      <c r="M85" s="254">
        <v>44615</v>
      </c>
      <c r="N85" s="30" t="s">
        <v>1096</v>
      </c>
      <c r="O85" s="30" t="s">
        <v>1232</v>
      </c>
      <c r="P85" s="30" t="s">
        <v>673</v>
      </c>
      <c r="Q85" s="30">
        <v>4.4000000000000004</v>
      </c>
      <c r="R85" s="30">
        <v>198.00000000000003</v>
      </c>
      <c r="S85" s="30" t="s">
        <v>416</v>
      </c>
      <c r="T85" t="s">
        <v>1415</v>
      </c>
      <c r="U85" t="s">
        <v>947</v>
      </c>
      <c r="X85" s="86">
        <f t="shared" si="1"/>
        <v>45</v>
      </c>
      <c r="AA85" s="86" t="s">
        <v>418</v>
      </c>
      <c r="AB85" s="86" t="s">
        <v>418</v>
      </c>
    </row>
    <row r="86" spans="1:28">
      <c r="A86" s="68">
        <v>85</v>
      </c>
      <c r="B86" s="30" t="s">
        <v>418</v>
      </c>
      <c r="C86" s="30" t="s">
        <v>418</v>
      </c>
      <c r="D86" s="30" t="s">
        <v>418</v>
      </c>
      <c r="E86" s="230" t="s">
        <v>418</v>
      </c>
      <c r="F86" s="30" t="s">
        <v>418</v>
      </c>
      <c r="G86" s="30" t="s">
        <v>418</v>
      </c>
      <c r="H86" s="229" t="s">
        <v>418</v>
      </c>
      <c r="I86" s="229" t="s">
        <v>418</v>
      </c>
      <c r="J86" s="229" t="s">
        <v>418</v>
      </c>
      <c r="K86" s="86" t="s">
        <v>418</v>
      </c>
      <c r="L86" s="86"/>
      <c r="M86" s="254">
        <v>44615</v>
      </c>
      <c r="N86" s="30" t="s">
        <v>1096</v>
      </c>
      <c r="O86" s="30" t="s">
        <v>1232</v>
      </c>
      <c r="P86" s="30" t="s">
        <v>673</v>
      </c>
      <c r="Q86" s="30">
        <v>4.4000000000000004</v>
      </c>
      <c r="R86" s="30">
        <v>19.272000000000002</v>
      </c>
      <c r="S86" s="30" t="s">
        <v>416</v>
      </c>
      <c r="T86" t="s">
        <v>1415</v>
      </c>
      <c r="U86" t="s">
        <v>1088</v>
      </c>
      <c r="X86" s="86">
        <f t="shared" si="1"/>
        <v>4.38</v>
      </c>
      <c r="AA86" s="86" t="s">
        <v>418</v>
      </c>
      <c r="AB86" s="86" t="s">
        <v>418</v>
      </c>
    </row>
    <row r="87" spans="1:28">
      <c r="A87" s="68">
        <v>86</v>
      </c>
      <c r="B87" s="30" t="s">
        <v>418</v>
      </c>
      <c r="C87" s="30" t="s">
        <v>418</v>
      </c>
      <c r="D87" s="30" t="s">
        <v>418</v>
      </c>
      <c r="E87" s="230" t="s">
        <v>418</v>
      </c>
      <c r="F87" s="30" t="s">
        <v>418</v>
      </c>
      <c r="G87" s="30" t="s">
        <v>418</v>
      </c>
      <c r="H87" s="229" t="s">
        <v>418</v>
      </c>
      <c r="I87" s="229" t="s">
        <v>418</v>
      </c>
      <c r="J87" s="229" t="s">
        <v>418</v>
      </c>
      <c r="K87" s="86" t="s">
        <v>418</v>
      </c>
      <c r="L87" s="86"/>
      <c r="M87" s="254">
        <v>44615</v>
      </c>
      <c r="N87" s="30" t="s">
        <v>1096</v>
      </c>
      <c r="O87" s="30" t="s">
        <v>1291</v>
      </c>
      <c r="P87" s="30" t="s">
        <v>673</v>
      </c>
      <c r="Q87" s="30">
        <v>4.4000000000000004</v>
      </c>
      <c r="R87" s="30">
        <v>198.00000000000003</v>
      </c>
      <c r="S87" s="30" t="s">
        <v>416</v>
      </c>
      <c r="T87" t="s">
        <v>1434</v>
      </c>
      <c r="U87" t="s">
        <v>947</v>
      </c>
      <c r="X87" s="86">
        <f t="shared" si="1"/>
        <v>45</v>
      </c>
      <c r="AA87" s="86" t="s">
        <v>418</v>
      </c>
      <c r="AB87" s="86" t="s">
        <v>418</v>
      </c>
    </row>
    <row r="88" spans="1:28">
      <c r="A88" s="68">
        <v>87</v>
      </c>
      <c r="B88" s="30" t="s">
        <v>418</v>
      </c>
      <c r="C88" s="30" t="s">
        <v>418</v>
      </c>
      <c r="D88" s="30" t="s">
        <v>418</v>
      </c>
      <c r="E88" s="230" t="s">
        <v>418</v>
      </c>
      <c r="F88" s="30" t="s">
        <v>418</v>
      </c>
      <c r="G88" s="30" t="s">
        <v>418</v>
      </c>
      <c r="H88" s="229" t="s">
        <v>418</v>
      </c>
      <c r="I88" s="229" t="s">
        <v>418</v>
      </c>
      <c r="J88" s="229" t="s">
        <v>418</v>
      </c>
      <c r="K88" s="86" t="s">
        <v>418</v>
      </c>
      <c r="L88" s="86"/>
      <c r="M88" s="254">
        <v>44615</v>
      </c>
      <c r="N88" s="30" t="s">
        <v>1096</v>
      </c>
      <c r="O88" s="30" t="s">
        <v>1291</v>
      </c>
      <c r="P88" s="30" t="s">
        <v>673</v>
      </c>
      <c r="Q88" s="30">
        <v>4.4000000000000004</v>
      </c>
      <c r="R88" s="30">
        <v>16.940000000000001</v>
      </c>
      <c r="S88" s="30" t="s">
        <v>416</v>
      </c>
      <c r="T88" t="s">
        <v>1434</v>
      </c>
      <c r="U88" t="s">
        <v>1088</v>
      </c>
      <c r="X88" s="86">
        <f t="shared" si="1"/>
        <v>3.85</v>
      </c>
      <c r="AA88" s="86" t="s">
        <v>418</v>
      </c>
      <c r="AB88" s="86" t="s">
        <v>418</v>
      </c>
    </row>
    <row r="89" spans="1:28">
      <c r="A89" s="68">
        <v>88</v>
      </c>
      <c r="B89" s="30" t="s">
        <v>418</v>
      </c>
      <c r="C89" s="30" t="s">
        <v>418</v>
      </c>
      <c r="D89" s="30" t="s">
        <v>418</v>
      </c>
      <c r="E89" s="230" t="s">
        <v>418</v>
      </c>
      <c r="F89" s="30" t="s">
        <v>418</v>
      </c>
      <c r="G89" s="30" t="s">
        <v>418</v>
      </c>
      <c r="H89" s="229" t="s">
        <v>418</v>
      </c>
      <c r="I89" s="229" t="s">
        <v>418</v>
      </c>
      <c r="J89" s="229" t="s">
        <v>418</v>
      </c>
      <c r="K89" s="86" t="s">
        <v>418</v>
      </c>
      <c r="L89" s="86"/>
      <c r="M89" s="254">
        <v>44615</v>
      </c>
      <c r="N89" s="30" t="s">
        <v>1</v>
      </c>
      <c r="O89" s="30" t="s">
        <v>1292</v>
      </c>
      <c r="P89" s="30" t="s">
        <v>673</v>
      </c>
      <c r="Q89" s="30">
        <v>4.4000000000000004</v>
      </c>
      <c r="R89" s="30">
        <v>88</v>
      </c>
      <c r="S89" s="30" t="s">
        <v>416</v>
      </c>
      <c r="T89" t="s">
        <v>1435</v>
      </c>
      <c r="U89" t="s">
        <v>947</v>
      </c>
      <c r="X89" s="86">
        <f t="shared" si="1"/>
        <v>20</v>
      </c>
      <c r="AA89" s="86" t="s">
        <v>418</v>
      </c>
      <c r="AB89" s="86" t="s">
        <v>418</v>
      </c>
    </row>
    <row r="90" spans="1:28">
      <c r="A90" s="68">
        <v>89</v>
      </c>
      <c r="B90" s="30" t="s">
        <v>418</v>
      </c>
      <c r="C90" s="30" t="s">
        <v>418</v>
      </c>
      <c r="D90" s="30" t="s">
        <v>418</v>
      </c>
      <c r="E90" s="230" t="s">
        <v>418</v>
      </c>
      <c r="F90" s="30" t="s">
        <v>418</v>
      </c>
      <c r="G90" s="30" t="s">
        <v>418</v>
      </c>
      <c r="H90" s="229" t="s">
        <v>418</v>
      </c>
      <c r="I90" s="229" t="s">
        <v>418</v>
      </c>
      <c r="J90" s="229" t="s">
        <v>418</v>
      </c>
      <c r="K90" s="86" t="s">
        <v>418</v>
      </c>
      <c r="L90" s="86"/>
      <c r="M90" s="254">
        <v>44615</v>
      </c>
      <c r="N90" s="30" t="s">
        <v>1</v>
      </c>
      <c r="O90" s="30" t="s">
        <v>1292</v>
      </c>
      <c r="P90" s="30" t="s">
        <v>673</v>
      </c>
      <c r="Q90" s="30">
        <v>4.4000000000000004</v>
      </c>
      <c r="R90" s="30">
        <v>17.16</v>
      </c>
      <c r="S90" s="30" t="s">
        <v>416</v>
      </c>
      <c r="T90" t="s">
        <v>1435</v>
      </c>
      <c r="U90" t="s">
        <v>1088</v>
      </c>
      <c r="X90" s="86">
        <f t="shared" si="1"/>
        <v>3.9</v>
      </c>
      <c r="AA90" s="86" t="s">
        <v>418</v>
      </c>
      <c r="AB90" s="86" t="s">
        <v>418</v>
      </c>
    </row>
    <row r="91" spans="1:28">
      <c r="A91" s="68">
        <v>90</v>
      </c>
      <c r="B91" s="30" t="s">
        <v>418</v>
      </c>
      <c r="C91" s="30" t="s">
        <v>418</v>
      </c>
      <c r="D91" s="30" t="s">
        <v>418</v>
      </c>
      <c r="E91" s="230" t="s">
        <v>418</v>
      </c>
      <c r="F91" s="30" t="s">
        <v>418</v>
      </c>
      <c r="G91" s="30" t="s">
        <v>418</v>
      </c>
      <c r="H91" s="229" t="s">
        <v>418</v>
      </c>
      <c r="I91" s="229" t="s">
        <v>418</v>
      </c>
      <c r="J91" s="229" t="s">
        <v>418</v>
      </c>
      <c r="K91" s="86" t="s">
        <v>418</v>
      </c>
      <c r="L91" s="86"/>
      <c r="M91" s="254">
        <v>44615</v>
      </c>
      <c r="N91" s="30" t="s">
        <v>929</v>
      </c>
      <c r="O91" s="30" t="s">
        <v>1293</v>
      </c>
      <c r="P91" s="30" t="s">
        <v>673</v>
      </c>
      <c r="Q91" s="30">
        <v>4.4000000000000004</v>
      </c>
      <c r="R91" s="30">
        <v>176</v>
      </c>
      <c r="S91" s="30" t="s">
        <v>416</v>
      </c>
      <c r="T91" t="s">
        <v>1436</v>
      </c>
      <c r="U91" t="s">
        <v>947</v>
      </c>
      <c r="X91" s="86">
        <f t="shared" si="1"/>
        <v>40</v>
      </c>
      <c r="AA91" s="86" t="s">
        <v>418</v>
      </c>
      <c r="AB91" s="86" t="s">
        <v>418</v>
      </c>
    </row>
    <row r="92" spans="1:28">
      <c r="A92" s="68">
        <v>91</v>
      </c>
      <c r="B92" s="30" t="s">
        <v>418</v>
      </c>
      <c r="C92" s="30" t="s">
        <v>418</v>
      </c>
      <c r="D92" s="30" t="s">
        <v>418</v>
      </c>
      <c r="E92" s="230" t="s">
        <v>418</v>
      </c>
      <c r="F92" s="30" t="s">
        <v>418</v>
      </c>
      <c r="G92" s="30" t="s">
        <v>418</v>
      </c>
      <c r="H92" s="229" t="s">
        <v>418</v>
      </c>
      <c r="I92" s="229" t="s">
        <v>418</v>
      </c>
      <c r="J92" s="229" t="s">
        <v>418</v>
      </c>
      <c r="K92" s="86" t="s">
        <v>418</v>
      </c>
      <c r="L92" s="86"/>
      <c r="M92" s="254">
        <v>44615</v>
      </c>
      <c r="N92" s="30" t="s">
        <v>929</v>
      </c>
      <c r="O92" s="30" t="s">
        <v>1293</v>
      </c>
      <c r="P92" s="30" t="s">
        <v>673</v>
      </c>
      <c r="Q92" s="30">
        <v>4.4000000000000004</v>
      </c>
      <c r="R92" s="30">
        <v>8.58</v>
      </c>
      <c r="S92" s="30" t="s">
        <v>416</v>
      </c>
      <c r="T92" t="s">
        <v>1436</v>
      </c>
      <c r="U92" t="s">
        <v>1088</v>
      </c>
      <c r="X92" s="86">
        <f t="shared" si="1"/>
        <v>1.95</v>
      </c>
      <c r="AA92" s="86" t="s">
        <v>418</v>
      </c>
      <c r="AB92" s="86" t="s">
        <v>418</v>
      </c>
    </row>
    <row r="93" spans="1:28">
      <c r="A93" s="68">
        <v>92</v>
      </c>
      <c r="B93" s="30" t="s">
        <v>418</v>
      </c>
      <c r="C93" s="30" t="s">
        <v>418</v>
      </c>
      <c r="D93" s="30" t="s">
        <v>418</v>
      </c>
      <c r="E93" s="230" t="s">
        <v>418</v>
      </c>
      <c r="F93" s="30" t="s">
        <v>418</v>
      </c>
      <c r="G93" s="30" t="s">
        <v>418</v>
      </c>
      <c r="H93" s="229" t="s">
        <v>418</v>
      </c>
      <c r="I93" s="229" t="s">
        <v>418</v>
      </c>
      <c r="J93" s="229" t="s">
        <v>418</v>
      </c>
      <c r="K93" s="86" t="s">
        <v>418</v>
      </c>
      <c r="L93" s="86"/>
      <c r="M93" s="254">
        <v>44615</v>
      </c>
      <c r="N93" s="30" t="s">
        <v>914</v>
      </c>
      <c r="O93" s="30" t="s">
        <v>1294</v>
      </c>
      <c r="P93" s="30" t="s">
        <v>673</v>
      </c>
      <c r="Q93" s="30">
        <v>4.4000000000000004</v>
      </c>
      <c r="R93" s="30">
        <v>330</v>
      </c>
      <c r="S93" s="30" t="s">
        <v>416</v>
      </c>
      <c r="T93" t="s">
        <v>1437</v>
      </c>
      <c r="U93" t="s">
        <v>947</v>
      </c>
      <c r="X93" s="86">
        <f t="shared" si="1"/>
        <v>75</v>
      </c>
      <c r="AA93" s="86" t="s">
        <v>418</v>
      </c>
      <c r="AB93" s="86" t="s">
        <v>418</v>
      </c>
    </row>
    <row r="94" spans="1:28">
      <c r="A94" s="68">
        <v>93</v>
      </c>
      <c r="B94" s="30" t="s">
        <v>418</v>
      </c>
      <c r="C94" s="30" t="s">
        <v>418</v>
      </c>
      <c r="D94" s="30" t="s">
        <v>418</v>
      </c>
      <c r="E94" s="230" t="s">
        <v>418</v>
      </c>
      <c r="F94" s="30" t="s">
        <v>418</v>
      </c>
      <c r="G94" s="30" t="s">
        <v>418</v>
      </c>
      <c r="H94" s="229" t="s">
        <v>418</v>
      </c>
      <c r="I94" s="229" t="s">
        <v>418</v>
      </c>
      <c r="J94" s="229" t="s">
        <v>418</v>
      </c>
      <c r="K94" s="86" t="s">
        <v>418</v>
      </c>
      <c r="L94" s="86"/>
      <c r="M94" s="254">
        <v>44615</v>
      </c>
      <c r="N94" s="30" t="s">
        <v>914</v>
      </c>
      <c r="O94" s="30" t="s">
        <v>1294</v>
      </c>
      <c r="P94" s="30" t="s">
        <v>673</v>
      </c>
      <c r="Q94" s="30">
        <v>4.4000000000000004</v>
      </c>
      <c r="R94" s="30">
        <v>2.64</v>
      </c>
      <c r="S94" s="30" t="s">
        <v>416</v>
      </c>
      <c r="T94" t="s">
        <v>1437</v>
      </c>
      <c r="U94" t="s">
        <v>1088</v>
      </c>
      <c r="X94" s="86">
        <f t="shared" si="1"/>
        <v>0.6</v>
      </c>
      <c r="AA94" s="86" t="s">
        <v>418</v>
      </c>
      <c r="AB94" s="86" t="s">
        <v>418</v>
      </c>
    </row>
    <row r="95" spans="1:28">
      <c r="A95" s="68">
        <v>94</v>
      </c>
      <c r="B95" s="30" t="s">
        <v>418</v>
      </c>
      <c r="C95" s="30" t="s">
        <v>418</v>
      </c>
      <c r="D95" s="30" t="s">
        <v>418</v>
      </c>
      <c r="E95" s="230" t="s">
        <v>418</v>
      </c>
      <c r="F95" s="30" t="s">
        <v>418</v>
      </c>
      <c r="G95" s="30" t="s">
        <v>418</v>
      </c>
      <c r="H95" s="229" t="s">
        <v>418</v>
      </c>
      <c r="I95" s="229" t="s">
        <v>418</v>
      </c>
      <c r="J95" s="229" t="s">
        <v>418</v>
      </c>
      <c r="K95" s="86" t="s">
        <v>418</v>
      </c>
      <c r="L95" s="86"/>
      <c r="M95" s="254">
        <v>44615</v>
      </c>
      <c r="N95" s="30" t="s">
        <v>1175</v>
      </c>
      <c r="O95" s="30" t="s">
        <v>1295</v>
      </c>
      <c r="P95" s="30" t="s">
        <v>673</v>
      </c>
      <c r="Q95" s="30">
        <v>4.4000000000000004</v>
      </c>
      <c r="R95" s="30">
        <v>22</v>
      </c>
      <c r="S95" s="30" t="s">
        <v>416</v>
      </c>
      <c r="T95" t="s">
        <v>1438</v>
      </c>
      <c r="U95" t="s">
        <v>947</v>
      </c>
      <c r="X95" s="86">
        <f t="shared" si="1"/>
        <v>5</v>
      </c>
      <c r="AA95" s="86" t="s">
        <v>418</v>
      </c>
      <c r="AB95" s="86" t="s">
        <v>418</v>
      </c>
    </row>
    <row r="96" spans="1:28">
      <c r="A96" s="68">
        <v>95</v>
      </c>
      <c r="B96" s="30" t="s">
        <v>418</v>
      </c>
      <c r="C96" s="30" t="s">
        <v>418</v>
      </c>
      <c r="D96" s="30" t="s">
        <v>418</v>
      </c>
      <c r="E96" s="230" t="s">
        <v>418</v>
      </c>
      <c r="F96" s="30" t="s">
        <v>418</v>
      </c>
      <c r="G96" s="30" t="s">
        <v>418</v>
      </c>
      <c r="H96" s="229" t="s">
        <v>418</v>
      </c>
      <c r="I96" s="229" t="s">
        <v>418</v>
      </c>
      <c r="J96" s="229" t="s">
        <v>418</v>
      </c>
      <c r="K96" s="86" t="s">
        <v>418</v>
      </c>
      <c r="L96" s="86"/>
      <c r="M96" s="254">
        <v>44615</v>
      </c>
      <c r="N96" s="30" t="s">
        <v>1175</v>
      </c>
      <c r="O96" s="30" t="s">
        <v>1295</v>
      </c>
      <c r="P96" s="30" t="s">
        <v>673</v>
      </c>
      <c r="Q96" s="30">
        <v>4.4000000000000004</v>
      </c>
      <c r="R96" s="30">
        <v>14.872</v>
      </c>
      <c r="S96" s="30" t="s">
        <v>416</v>
      </c>
      <c r="T96" t="s">
        <v>1438</v>
      </c>
      <c r="U96" t="s">
        <v>1088</v>
      </c>
      <c r="X96" s="86">
        <f t="shared" si="1"/>
        <v>3.38</v>
      </c>
      <c r="AA96" s="86" t="s">
        <v>418</v>
      </c>
      <c r="AB96" s="86" t="s">
        <v>418</v>
      </c>
    </row>
    <row r="97" spans="1:28">
      <c r="A97" s="68">
        <v>96</v>
      </c>
      <c r="B97" s="30" t="s">
        <v>418</v>
      </c>
      <c r="C97" s="30" t="s">
        <v>418</v>
      </c>
      <c r="D97" s="30" t="s">
        <v>418</v>
      </c>
      <c r="E97" s="230" t="s">
        <v>418</v>
      </c>
      <c r="F97" s="30" t="s">
        <v>418</v>
      </c>
      <c r="G97" s="30" t="s">
        <v>418</v>
      </c>
      <c r="H97" s="229" t="s">
        <v>418</v>
      </c>
      <c r="I97" s="229" t="s">
        <v>418</v>
      </c>
      <c r="J97" s="229" t="s">
        <v>418</v>
      </c>
      <c r="K97" s="86" t="s">
        <v>418</v>
      </c>
      <c r="L97" s="86"/>
      <c r="M97" s="254">
        <v>44616</v>
      </c>
      <c r="N97" s="30" t="s">
        <v>1297</v>
      </c>
      <c r="O97" s="30" t="s">
        <v>1296</v>
      </c>
      <c r="P97" s="30" t="s">
        <v>673</v>
      </c>
      <c r="Q97" s="30">
        <v>4.4000000000000004</v>
      </c>
      <c r="R97" s="30">
        <v>-88</v>
      </c>
      <c r="S97" s="30" t="s">
        <v>416</v>
      </c>
      <c r="T97" t="s">
        <v>1439</v>
      </c>
      <c r="U97" t="s">
        <v>947</v>
      </c>
      <c r="X97" s="86">
        <f t="shared" si="1"/>
        <v>-20</v>
      </c>
      <c r="AA97" s="86" t="s">
        <v>418</v>
      </c>
      <c r="AB97" s="86" t="s">
        <v>418</v>
      </c>
    </row>
    <row r="98" spans="1:28">
      <c r="A98" s="68">
        <v>97</v>
      </c>
      <c r="B98" s="30" t="s">
        <v>418</v>
      </c>
      <c r="C98" s="30" t="s">
        <v>418</v>
      </c>
      <c r="D98" s="30" t="s">
        <v>418</v>
      </c>
      <c r="E98" s="230" t="s">
        <v>418</v>
      </c>
      <c r="F98" s="30" t="s">
        <v>418</v>
      </c>
      <c r="G98" s="30" t="s">
        <v>418</v>
      </c>
      <c r="H98" s="229" t="s">
        <v>418</v>
      </c>
      <c r="I98" s="229" t="s">
        <v>418</v>
      </c>
      <c r="J98" s="229" t="s">
        <v>418</v>
      </c>
      <c r="K98" s="86" t="s">
        <v>418</v>
      </c>
      <c r="L98" s="86"/>
      <c r="M98" s="254">
        <v>44617</v>
      </c>
      <c r="N98" s="30" t="s">
        <v>1242</v>
      </c>
      <c r="O98" s="30" t="s">
        <v>1243</v>
      </c>
      <c r="P98" s="30" t="s">
        <v>673</v>
      </c>
      <c r="Q98" s="30">
        <v>4.4000000000000004</v>
      </c>
      <c r="R98" s="30">
        <v>-220.00000000000003</v>
      </c>
      <c r="S98" s="30" t="s">
        <v>416</v>
      </c>
      <c r="T98" t="s">
        <v>1381</v>
      </c>
      <c r="U98" t="s">
        <v>947</v>
      </c>
      <c r="X98" s="86">
        <f t="shared" si="1"/>
        <v>-50</v>
      </c>
      <c r="AA98" s="86" t="s">
        <v>418</v>
      </c>
      <c r="AB98" s="86" t="s">
        <v>418</v>
      </c>
    </row>
    <row r="99" spans="1:28">
      <c r="A99" s="68">
        <v>98</v>
      </c>
      <c r="B99" s="30" t="s">
        <v>418</v>
      </c>
      <c r="C99" s="30" t="s">
        <v>418</v>
      </c>
      <c r="D99" s="30" t="s">
        <v>418</v>
      </c>
      <c r="E99" s="230" t="s">
        <v>418</v>
      </c>
      <c r="F99" s="30" t="s">
        <v>418</v>
      </c>
      <c r="G99" s="30" t="s">
        <v>418</v>
      </c>
      <c r="H99" s="229" t="s">
        <v>418</v>
      </c>
      <c r="I99" s="229" t="s">
        <v>418</v>
      </c>
      <c r="J99" s="229" t="s">
        <v>418</v>
      </c>
      <c r="K99" s="86" t="s">
        <v>418</v>
      </c>
      <c r="L99" s="86"/>
      <c r="M99" s="254">
        <v>44617</v>
      </c>
      <c r="N99" s="30" t="s">
        <v>1090</v>
      </c>
      <c r="O99" s="30" t="s">
        <v>1298</v>
      </c>
      <c r="P99" s="30" t="s">
        <v>673</v>
      </c>
      <c r="Q99" s="30">
        <v>4.4000000000000004</v>
      </c>
      <c r="R99" s="30">
        <v>-88</v>
      </c>
      <c r="S99" s="30" t="s">
        <v>416</v>
      </c>
      <c r="T99" t="s">
        <v>1440</v>
      </c>
      <c r="U99" t="s">
        <v>947</v>
      </c>
      <c r="X99" s="86">
        <f t="shared" si="1"/>
        <v>-20</v>
      </c>
      <c r="AA99" s="86" t="s">
        <v>418</v>
      </c>
      <c r="AB99" s="86" t="s">
        <v>418</v>
      </c>
    </row>
    <row r="100" spans="1:28">
      <c r="A100" s="68">
        <v>99</v>
      </c>
      <c r="B100" s="30" t="s">
        <v>418</v>
      </c>
      <c r="C100" s="30" t="s">
        <v>418</v>
      </c>
      <c r="D100" s="30" t="s">
        <v>418</v>
      </c>
      <c r="E100" s="230" t="s">
        <v>418</v>
      </c>
      <c r="F100" s="30" t="s">
        <v>418</v>
      </c>
      <c r="G100" s="30" t="s">
        <v>418</v>
      </c>
      <c r="H100" s="229" t="s">
        <v>418</v>
      </c>
      <c r="I100" s="229" t="s">
        <v>418</v>
      </c>
      <c r="J100" s="229" t="s">
        <v>418</v>
      </c>
      <c r="K100" s="86" t="s">
        <v>418</v>
      </c>
      <c r="L100" s="86"/>
      <c r="M100" s="254">
        <v>44617</v>
      </c>
      <c r="N100" s="30" t="s">
        <v>1089</v>
      </c>
      <c r="O100" s="30" t="s">
        <v>1298</v>
      </c>
      <c r="P100" s="30" t="s">
        <v>673</v>
      </c>
      <c r="Q100" s="30">
        <v>4.4000000000000004</v>
      </c>
      <c r="R100" s="30">
        <v>-88</v>
      </c>
      <c r="S100" s="30" t="s">
        <v>416</v>
      </c>
      <c r="T100" t="s">
        <v>1441</v>
      </c>
      <c r="U100" t="s">
        <v>947</v>
      </c>
      <c r="X100" s="86">
        <f t="shared" si="1"/>
        <v>-20</v>
      </c>
      <c r="AA100" s="86" t="s">
        <v>418</v>
      </c>
      <c r="AB100" s="86" t="s">
        <v>418</v>
      </c>
    </row>
    <row r="101" spans="1:28">
      <c r="A101" s="68">
        <v>100</v>
      </c>
      <c r="B101" s="30" t="s">
        <v>418</v>
      </c>
      <c r="C101" s="30" t="s">
        <v>418</v>
      </c>
      <c r="D101" s="30" t="s">
        <v>418</v>
      </c>
      <c r="E101" s="230" t="s">
        <v>418</v>
      </c>
      <c r="F101" s="30" t="s">
        <v>418</v>
      </c>
      <c r="G101" s="30" t="s">
        <v>418</v>
      </c>
      <c r="H101" s="229" t="s">
        <v>418</v>
      </c>
      <c r="I101" s="229" t="s">
        <v>418</v>
      </c>
      <c r="J101" s="229" t="s">
        <v>418</v>
      </c>
      <c r="K101" s="86" t="s">
        <v>418</v>
      </c>
      <c r="L101" s="86"/>
      <c r="M101" s="254">
        <v>44617</v>
      </c>
      <c r="N101" s="30" t="s">
        <v>962</v>
      </c>
      <c r="O101" s="30" t="s">
        <v>1298</v>
      </c>
      <c r="P101" s="30" t="s">
        <v>673</v>
      </c>
      <c r="Q101" s="30">
        <v>4.4000000000000004</v>
      </c>
      <c r="R101" s="30">
        <v>-88</v>
      </c>
      <c r="S101" s="30" t="s">
        <v>416</v>
      </c>
      <c r="T101" t="s">
        <v>1442</v>
      </c>
      <c r="U101" t="s">
        <v>947</v>
      </c>
      <c r="X101" s="86">
        <f t="shared" si="1"/>
        <v>-20</v>
      </c>
      <c r="AA101" s="86" t="s">
        <v>418</v>
      </c>
      <c r="AB101" s="86" t="s">
        <v>418</v>
      </c>
    </row>
    <row r="102" spans="1:28">
      <c r="A102" s="68">
        <v>101</v>
      </c>
      <c r="B102" s="30" t="s">
        <v>418</v>
      </c>
      <c r="C102" s="30" t="s">
        <v>418</v>
      </c>
      <c r="D102" s="30" t="s">
        <v>418</v>
      </c>
      <c r="E102" s="230" t="s">
        <v>418</v>
      </c>
      <c r="F102" s="30" t="s">
        <v>418</v>
      </c>
      <c r="G102" s="30" t="s">
        <v>418</v>
      </c>
      <c r="H102" s="229" t="s">
        <v>418</v>
      </c>
      <c r="I102" s="229" t="s">
        <v>418</v>
      </c>
      <c r="J102" s="229" t="s">
        <v>418</v>
      </c>
      <c r="K102" s="86" t="s">
        <v>418</v>
      </c>
      <c r="L102" s="86"/>
      <c r="M102" s="254">
        <v>44617</v>
      </c>
      <c r="N102" s="30" t="s">
        <v>1244</v>
      </c>
      <c r="O102" s="30" t="s">
        <v>1298</v>
      </c>
      <c r="P102" s="30" t="s">
        <v>673</v>
      </c>
      <c r="Q102" s="30">
        <v>4.4000000000000004</v>
      </c>
      <c r="R102" s="30">
        <v>-22</v>
      </c>
      <c r="S102" s="30" t="s">
        <v>416</v>
      </c>
      <c r="T102" t="s">
        <v>1443</v>
      </c>
      <c r="U102" t="s">
        <v>947</v>
      </c>
      <c r="X102" s="86">
        <f t="shared" si="1"/>
        <v>-5</v>
      </c>
      <c r="AA102" s="86" t="s">
        <v>418</v>
      </c>
      <c r="AB102" s="86" t="s">
        <v>418</v>
      </c>
    </row>
    <row r="103" spans="1:28">
      <c r="A103" s="68">
        <v>102</v>
      </c>
      <c r="B103" s="30" t="s">
        <v>418</v>
      </c>
      <c r="C103" s="30" t="s">
        <v>418</v>
      </c>
      <c r="D103" s="30" t="s">
        <v>418</v>
      </c>
      <c r="E103" s="230" t="s">
        <v>418</v>
      </c>
      <c r="F103" s="30" t="s">
        <v>418</v>
      </c>
      <c r="G103" s="30" t="s">
        <v>418</v>
      </c>
      <c r="H103" s="229" t="s">
        <v>418</v>
      </c>
      <c r="I103" s="229" t="s">
        <v>418</v>
      </c>
      <c r="J103" s="229" t="s">
        <v>418</v>
      </c>
      <c r="K103" s="86" t="s">
        <v>418</v>
      </c>
      <c r="L103" s="86"/>
      <c r="M103" s="254">
        <v>44617</v>
      </c>
      <c r="N103" s="30" t="s">
        <v>1091</v>
      </c>
      <c r="O103" s="30" t="s">
        <v>1298</v>
      </c>
      <c r="P103" s="30" t="s">
        <v>673</v>
      </c>
      <c r="Q103" s="30">
        <v>4.4000000000000004</v>
      </c>
      <c r="R103" s="30">
        <v>-66</v>
      </c>
      <c r="S103" s="30" t="s">
        <v>416</v>
      </c>
      <c r="T103" t="s">
        <v>1444</v>
      </c>
      <c r="U103" t="s">
        <v>947</v>
      </c>
      <c r="X103" s="86">
        <f t="shared" si="1"/>
        <v>-14.999999999999998</v>
      </c>
      <c r="AA103" s="86" t="s">
        <v>418</v>
      </c>
      <c r="AB103" s="86" t="s">
        <v>418</v>
      </c>
    </row>
    <row r="104" spans="1:28">
      <c r="A104" s="68">
        <v>103</v>
      </c>
      <c r="B104" s="30" t="s">
        <v>418</v>
      </c>
      <c r="C104" s="30" t="s">
        <v>418</v>
      </c>
      <c r="D104" s="30" t="s">
        <v>418</v>
      </c>
      <c r="E104" s="230" t="s">
        <v>418</v>
      </c>
      <c r="F104" s="30" t="s">
        <v>418</v>
      </c>
      <c r="G104" s="30" t="s">
        <v>418</v>
      </c>
      <c r="H104" s="229" t="s">
        <v>418</v>
      </c>
      <c r="I104" s="229" t="s">
        <v>418</v>
      </c>
      <c r="J104" s="229" t="s">
        <v>418</v>
      </c>
      <c r="K104" s="86" t="s">
        <v>418</v>
      </c>
      <c r="L104" s="86"/>
      <c r="M104" s="254">
        <v>44617</v>
      </c>
      <c r="N104" s="30" t="s">
        <v>1170</v>
      </c>
      <c r="O104" s="30" t="s">
        <v>1298</v>
      </c>
      <c r="P104" s="30" t="s">
        <v>673</v>
      </c>
      <c r="Q104" s="30">
        <v>4.4000000000000004</v>
      </c>
      <c r="R104" s="30">
        <v>-30.800000000000004</v>
      </c>
      <c r="S104" s="30" t="s">
        <v>416</v>
      </c>
      <c r="T104" t="s">
        <v>1445</v>
      </c>
      <c r="U104" t="s">
        <v>947</v>
      </c>
      <c r="X104" s="86">
        <f t="shared" si="1"/>
        <v>-7</v>
      </c>
      <c r="AA104" s="86" t="s">
        <v>418</v>
      </c>
      <c r="AB104" s="86" t="s">
        <v>418</v>
      </c>
    </row>
    <row r="105" spans="1:28">
      <c r="A105" s="68">
        <v>104</v>
      </c>
      <c r="B105" s="30" t="s">
        <v>418</v>
      </c>
      <c r="C105" s="30" t="s">
        <v>418</v>
      </c>
      <c r="D105" s="30" t="s">
        <v>418</v>
      </c>
      <c r="E105" s="230" t="s">
        <v>418</v>
      </c>
      <c r="F105" s="30" t="s">
        <v>418</v>
      </c>
      <c r="G105" s="30" t="s">
        <v>418</v>
      </c>
      <c r="H105" s="229" t="s">
        <v>418</v>
      </c>
      <c r="I105" s="229" t="s">
        <v>418</v>
      </c>
      <c r="J105" s="229" t="s">
        <v>418</v>
      </c>
      <c r="K105" s="86" t="s">
        <v>418</v>
      </c>
      <c r="L105" s="86"/>
      <c r="M105" s="254">
        <v>44617</v>
      </c>
      <c r="N105" s="30" t="s">
        <v>1090</v>
      </c>
      <c r="O105" s="30" t="s">
        <v>1299</v>
      </c>
      <c r="P105" s="30" t="s">
        <v>673</v>
      </c>
      <c r="Q105" s="30">
        <v>4.4000000000000004</v>
      </c>
      <c r="R105" s="30">
        <v>-220.00000000000003</v>
      </c>
      <c r="S105" s="30" t="s">
        <v>416</v>
      </c>
      <c r="T105" t="s">
        <v>1446</v>
      </c>
      <c r="U105" t="s">
        <v>947</v>
      </c>
      <c r="X105" s="86">
        <f t="shared" si="1"/>
        <v>-50</v>
      </c>
      <c r="AA105" s="86" t="s">
        <v>418</v>
      </c>
      <c r="AB105" s="86" t="s">
        <v>418</v>
      </c>
    </row>
    <row r="106" spans="1:28">
      <c r="A106" s="68">
        <v>105</v>
      </c>
      <c r="B106" s="30" t="s">
        <v>418</v>
      </c>
      <c r="C106" s="30" t="s">
        <v>418</v>
      </c>
      <c r="D106" s="30" t="s">
        <v>418</v>
      </c>
      <c r="E106" s="230" t="s">
        <v>418</v>
      </c>
      <c r="F106" s="30" t="s">
        <v>418</v>
      </c>
      <c r="G106" s="30" t="s">
        <v>418</v>
      </c>
      <c r="H106" s="229" t="s">
        <v>418</v>
      </c>
      <c r="I106" s="229" t="s">
        <v>418</v>
      </c>
      <c r="J106" s="229" t="s">
        <v>418</v>
      </c>
      <c r="K106" s="86" t="s">
        <v>418</v>
      </c>
      <c r="L106" s="86"/>
      <c r="M106" s="254">
        <v>44617</v>
      </c>
      <c r="N106" s="30" t="s">
        <v>1089</v>
      </c>
      <c r="O106" s="30" t="s">
        <v>1299</v>
      </c>
      <c r="P106" s="30" t="s">
        <v>673</v>
      </c>
      <c r="Q106" s="30">
        <v>4.4000000000000004</v>
      </c>
      <c r="R106" s="30">
        <v>-220.00000000000003</v>
      </c>
      <c r="S106" s="30" t="s">
        <v>416</v>
      </c>
      <c r="T106" t="s">
        <v>1447</v>
      </c>
      <c r="U106" t="s">
        <v>947</v>
      </c>
      <c r="X106" s="86">
        <f t="shared" si="1"/>
        <v>-50</v>
      </c>
      <c r="AA106" s="86" t="s">
        <v>418</v>
      </c>
      <c r="AB106" s="86" t="s">
        <v>418</v>
      </c>
    </row>
    <row r="107" spans="1:28">
      <c r="A107" s="68">
        <v>106</v>
      </c>
      <c r="B107" s="30" t="s">
        <v>418</v>
      </c>
      <c r="C107" s="30" t="s">
        <v>418</v>
      </c>
      <c r="D107" s="30" t="s">
        <v>418</v>
      </c>
      <c r="E107" s="230" t="s">
        <v>418</v>
      </c>
      <c r="F107" s="30" t="s">
        <v>418</v>
      </c>
      <c r="G107" s="30" t="s">
        <v>418</v>
      </c>
      <c r="H107" s="229" t="s">
        <v>418</v>
      </c>
      <c r="I107" s="229" t="s">
        <v>418</v>
      </c>
      <c r="J107" s="229" t="s">
        <v>418</v>
      </c>
      <c r="K107" s="86" t="s">
        <v>418</v>
      </c>
      <c r="L107" s="86"/>
      <c r="M107" s="254">
        <v>44617</v>
      </c>
      <c r="N107" s="30" t="s">
        <v>962</v>
      </c>
      <c r="O107" s="30" t="s">
        <v>1299</v>
      </c>
      <c r="P107" s="30" t="s">
        <v>673</v>
      </c>
      <c r="Q107" s="30">
        <v>4.4000000000000004</v>
      </c>
      <c r="R107" s="30">
        <v>-220.00000000000003</v>
      </c>
      <c r="S107" s="30" t="s">
        <v>416</v>
      </c>
      <c r="T107" t="s">
        <v>1448</v>
      </c>
      <c r="U107" t="s">
        <v>947</v>
      </c>
      <c r="X107" s="86">
        <f t="shared" si="1"/>
        <v>-50</v>
      </c>
      <c r="AA107" s="86" t="s">
        <v>418</v>
      </c>
      <c r="AB107" s="86" t="s">
        <v>418</v>
      </c>
    </row>
    <row r="108" spans="1:28">
      <c r="A108" s="68">
        <v>107</v>
      </c>
      <c r="B108" s="30" t="s">
        <v>418</v>
      </c>
      <c r="C108" s="30" t="s">
        <v>418</v>
      </c>
      <c r="D108" s="30" t="s">
        <v>418</v>
      </c>
      <c r="E108" s="230" t="s">
        <v>418</v>
      </c>
      <c r="F108" s="30" t="s">
        <v>418</v>
      </c>
      <c r="G108" s="30" t="s">
        <v>418</v>
      </c>
      <c r="H108" s="229" t="s">
        <v>418</v>
      </c>
      <c r="I108" s="229" t="s">
        <v>418</v>
      </c>
      <c r="J108" s="229" t="s">
        <v>418</v>
      </c>
      <c r="K108" s="86" t="s">
        <v>418</v>
      </c>
      <c r="L108" s="86"/>
      <c r="M108" s="254">
        <v>44617</v>
      </c>
      <c r="N108" s="30" t="s">
        <v>1244</v>
      </c>
      <c r="O108" s="30" t="s">
        <v>1299</v>
      </c>
      <c r="P108" s="30" t="s">
        <v>673</v>
      </c>
      <c r="Q108" s="30">
        <v>4.4000000000000004</v>
      </c>
      <c r="R108" s="30">
        <v>-66</v>
      </c>
      <c r="S108" s="30" t="s">
        <v>416</v>
      </c>
      <c r="T108" t="s">
        <v>1449</v>
      </c>
      <c r="U108" t="s">
        <v>947</v>
      </c>
      <c r="X108" s="86">
        <f t="shared" si="1"/>
        <v>-14.999999999999998</v>
      </c>
      <c r="AA108" s="86" t="s">
        <v>418</v>
      </c>
      <c r="AB108" s="86" t="s">
        <v>418</v>
      </c>
    </row>
    <row r="109" spans="1:28">
      <c r="A109" s="68">
        <v>108</v>
      </c>
      <c r="B109" s="30" t="s">
        <v>418</v>
      </c>
      <c r="C109" s="30" t="s">
        <v>418</v>
      </c>
      <c r="D109" s="30" t="s">
        <v>418</v>
      </c>
      <c r="E109" s="230" t="s">
        <v>418</v>
      </c>
      <c r="F109" s="30" t="s">
        <v>418</v>
      </c>
      <c r="G109" s="30" t="s">
        <v>418</v>
      </c>
      <c r="H109" s="229" t="s">
        <v>418</v>
      </c>
      <c r="I109" s="229" t="s">
        <v>418</v>
      </c>
      <c r="J109" s="229" t="s">
        <v>418</v>
      </c>
      <c r="K109" s="86" t="s">
        <v>418</v>
      </c>
      <c r="L109" s="86"/>
      <c r="M109" s="254">
        <v>44617</v>
      </c>
      <c r="N109" s="30" t="s">
        <v>1091</v>
      </c>
      <c r="O109" s="30" t="s">
        <v>1299</v>
      </c>
      <c r="P109" s="30" t="s">
        <v>673</v>
      </c>
      <c r="Q109" s="30">
        <v>4.4000000000000004</v>
      </c>
      <c r="R109" s="30">
        <v>-132</v>
      </c>
      <c r="S109" s="30" t="s">
        <v>416</v>
      </c>
      <c r="T109" t="s">
        <v>1450</v>
      </c>
      <c r="U109" t="s">
        <v>947</v>
      </c>
      <c r="X109" s="86">
        <f t="shared" si="1"/>
        <v>-29.999999999999996</v>
      </c>
      <c r="AA109" s="86" t="s">
        <v>418</v>
      </c>
      <c r="AB109" s="86" t="s">
        <v>418</v>
      </c>
    </row>
    <row r="110" spans="1:28">
      <c r="A110" s="68">
        <v>109</v>
      </c>
      <c r="B110" s="30" t="s">
        <v>418</v>
      </c>
      <c r="C110" s="30" t="s">
        <v>418</v>
      </c>
      <c r="D110" s="30" t="s">
        <v>418</v>
      </c>
      <c r="E110" s="230" t="s">
        <v>418</v>
      </c>
      <c r="F110" s="30" t="s">
        <v>418</v>
      </c>
      <c r="G110" s="30" t="s">
        <v>418</v>
      </c>
      <c r="H110" s="229" t="s">
        <v>418</v>
      </c>
      <c r="I110" s="229" t="s">
        <v>418</v>
      </c>
      <c r="J110" s="229" t="s">
        <v>418</v>
      </c>
      <c r="K110" s="86" t="s">
        <v>418</v>
      </c>
      <c r="L110" s="86"/>
      <c r="M110" s="254">
        <v>44617</v>
      </c>
      <c r="N110" s="30" t="s">
        <v>1170</v>
      </c>
      <c r="O110" s="30" t="s">
        <v>1299</v>
      </c>
      <c r="P110" s="30" t="s">
        <v>673</v>
      </c>
      <c r="Q110" s="30">
        <v>4.4000000000000004</v>
      </c>
      <c r="R110" s="30">
        <v>-66</v>
      </c>
      <c r="S110" s="30" t="s">
        <v>416</v>
      </c>
      <c r="T110" t="s">
        <v>1451</v>
      </c>
      <c r="U110" t="s">
        <v>947</v>
      </c>
      <c r="X110" s="86">
        <f t="shared" si="1"/>
        <v>-14.999999999999998</v>
      </c>
      <c r="AA110" s="86" t="s">
        <v>418</v>
      </c>
      <c r="AB110" s="86" t="s">
        <v>418</v>
      </c>
    </row>
    <row r="111" spans="1:28">
      <c r="A111" s="68">
        <v>110</v>
      </c>
      <c r="B111" s="30" t="s">
        <v>418</v>
      </c>
      <c r="C111" s="30" t="s">
        <v>418</v>
      </c>
      <c r="D111" s="30" t="s">
        <v>418</v>
      </c>
      <c r="E111" s="230" t="s">
        <v>418</v>
      </c>
      <c r="F111" s="30" t="s">
        <v>418</v>
      </c>
      <c r="G111" s="30" t="s">
        <v>418</v>
      </c>
      <c r="H111" s="229" t="s">
        <v>418</v>
      </c>
      <c r="I111" s="229" t="s">
        <v>418</v>
      </c>
      <c r="J111" s="229" t="s">
        <v>418</v>
      </c>
      <c r="K111" s="86" t="s">
        <v>418</v>
      </c>
      <c r="L111" s="86"/>
      <c r="M111" s="254">
        <v>44617</v>
      </c>
      <c r="N111" s="30" t="s">
        <v>865</v>
      </c>
      <c r="O111" s="30" t="s">
        <v>1300</v>
      </c>
      <c r="P111" s="30" t="s">
        <v>673</v>
      </c>
      <c r="Q111" s="30">
        <v>4.59</v>
      </c>
      <c r="R111" s="30">
        <v>257.04000000000002</v>
      </c>
      <c r="S111" s="30" t="s">
        <v>416</v>
      </c>
      <c r="T111" t="s">
        <v>1452</v>
      </c>
      <c r="U111" t="s">
        <v>947</v>
      </c>
      <c r="X111" s="86">
        <f t="shared" si="1"/>
        <v>56.000000000000007</v>
      </c>
      <c r="AA111" s="86" t="s">
        <v>418</v>
      </c>
      <c r="AB111" s="86" t="s">
        <v>418</v>
      </c>
    </row>
    <row r="112" spans="1:28">
      <c r="A112" s="68">
        <v>111</v>
      </c>
      <c r="B112" s="30" t="s">
        <v>418</v>
      </c>
      <c r="C112" s="30" t="s">
        <v>418</v>
      </c>
      <c r="D112" s="30" t="s">
        <v>418</v>
      </c>
      <c r="E112" s="230" t="s">
        <v>418</v>
      </c>
      <c r="F112" s="30" t="s">
        <v>418</v>
      </c>
      <c r="G112" s="30" t="s">
        <v>418</v>
      </c>
      <c r="H112" s="229" t="s">
        <v>418</v>
      </c>
      <c r="I112" s="229" t="s">
        <v>418</v>
      </c>
      <c r="J112" s="229" t="s">
        <v>418</v>
      </c>
      <c r="K112" s="86" t="s">
        <v>418</v>
      </c>
      <c r="L112" s="86"/>
      <c r="M112" s="254">
        <v>44617</v>
      </c>
      <c r="N112" s="30" t="s">
        <v>1092</v>
      </c>
      <c r="O112" s="30" t="s">
        <v>1308</v>
      </c>
      <c r="P112" s="30" t="s">
        <v>673</v>
      </c>
      <c r="Q112" s="30">
        <v>4.59</v>
      </c>
      <c r="R112" s="30">
        <v>-1032.75</v>
      </c>
      <c r="S112" s="30" t="s">
        <v>416</v>
      </c>
      <c r="T112" t="s">
        <v>1453</v>
      </c>
      <c r="U112" t="s">
        <v>947</v>
      </c>
      <c r="X112" s="86">
        <f t="shared" si="1"/>
        <v>-225</v>
      </c>
      <c r="AA112" s="86" t="s">
        <v>418</v>
      </c>
      <c r="AB112" s="86" t="s">
        <v>418</v>
      </c>
    </row>
    <row r="113" spans="1:28">
      <c r="A113" s="68">
        <v>112</v>
      </c>
      <c r="B113" s="30" t="s">
        <v>418</v>
      </c>
      <c r="C113" s="30" t="s">
        <v>418</v>
      </c>
      <c r="D113" s="30" t="s">
        <v>418</v>
      </c>
      <c r="E113" s="230" t="s">
        <v>418</v>
      </c>
      <c r="F113" s="30" t="s">
        <v>418</v>
      </c>
      <c r="G113" s="30" t="s">
        <v>418</v>
      </c>
      <c r="H113" s="229" t="s">
        <v>418</v>
      </c>
      <c r="I113" s="229" t="s">
        <v>418</v>
      </c>
      <c r="J113" s="229" t="s">
        <v>418</v>
      </c>
      <c r="K113" s="86" t="s">
        <v>418</v>
      </c>
      <c r="L113" s="86"/>
      <c r="M113" s="254">
        <v>44617</v>
      </c>
      <c r="N113" s="30" t="s">
        <v>1301</v>
      </c>
      <c r="O113" s="30" t="s">
        <v>1302</v>
      </c>
      <c r="P113" s="30" t="s">
        <v>673</v>
      </c>
      <c r="Q113" s="30">
        <v>4.59</v>
      </c>
      <c r="R113" s="30">
        <v>-137.69999999999999</v>
      </c>
      <c r="S113" s="30" t="s">
        <v>416</v>
      </c>
      <c r="T113" t="s">
        <v>1454</v>
      </c>
      <c r="U113" t="s">
        <v>947</v>
      </c>
      <c r="X113" s="86">
        <f t="shared" si="1"/>
        <v>-30</v>
      </c>
      <c r="AA113" s="86" t="s">
        <v>418</v>
      </c>
      <c r="AB113" s="86" t="s">
        <v>418</v>
      </c>
    </row>
    <row r="114" spans="1:28">
      <c r="A114" s="68">
        <v>113</v>
      </c>
      <c r="B114" s="30" t="s">
        <v>418</v>
      </c>
      <c r="C114" s="30" t="s">
        <v>418</v>
      </c>
      <c r="D114" s="30" t="s">
        <v>418</v>
      </c>
      <c r="E114" s="230" t="s">
        <v>418</v>
      </c>
      <c r="F114" s="30" t="s">
        <v>418</v>
      </c>
      <c r="G114" s="30" t="s">
        <v>418</v>
      </c>
      <c r="H114" s="229" t="s">
        <v>418</v>
      </c>
      <c r="I114" s="229" t="s">
        <v>418</v>
      </c>
      <c r="J114" s="229" t="s">
        <v>418</v>
      </c>
      <c r="K114" s="86" t="s">
        <v>418</v>
      </c>
      <c r="L114" s="86"/>
      <c r="M114" s="254">
        <v>44617</v>
      </c>
      <c r="N114" s="30" t="s">
        <v>1262</v>
      </c>
      <c r="O114" s="30" t="s">
        <v>1303</v>
      </c>
      <c r="P114" s="30" t="s">
        <v>673</v>
      </c>
      <c r="Q114" s="30">
        <v>4.59</v>
      </c>
      <c r="R114" s="30">
        <v>-137.69999999999999</v>
      </c>
      <c r="S114" s="30" t="s">
        <v>416</v>
      </c>
      <c r="T114" t="s">
        <v>1455</v>
      </c>
      <c r="U114" t="s">
        <v>947</v>
      </c>
      <c r="X114" s="86">
        <f t="shared" si="1"/>
        <v>-30</v>
      </c>
      <c r="AA114" s="86" t="s">
        <v>418</v>
      </c>
      <c r="AB114" s="86" t="s">
        <v>418</v>
      </c>
    </row>
    <row r="115" spans="1:28">
      <c r="A115" s="68">
        <v>114</v>
      </c>
      <c r="B115" s="30" t="s">
        <v>418</v>
      </c>
      <c r="C115" s="30" t="s">
        <v>418</v>
      </c>
      <c r="D115" s="30" t="s">
        <v>418</v>
      </c>
      <c r="E115" s="230" t="s">
        <v>418</v>
      </c>
      <c r="F115" s="30" t="s">
        <v>418</v>
      </c>
      <c r="G115" s="30" t="s">
        <v>418</v>
      </c>
      <c r="H115" s="229" t="s">
        <v>418</v>
      </c>
      <c r="I115" s="229" t="s">
        <v>418</v>
      </c>
      <c r="J115" s="229" t="s">
        <v>418</v>
      </c>
      <c r="K115" s="86" t="s">
        <v>418</v>
      </c>
      <c r="L115" s="86"/>
      <c r="M115" s="254">
        <v>44617</v>
      </c>
      <c r="N115" s="30" t="s">
        <v>1069</v>
      </c>
      <c r="O115" s="30" t="s">
        <v>1304</v>
      </c>
      <c r="P115" s="30" t="s">
        <v>673</v>
      </c>
      <c r="Q115" s="30">
        <v>4.59</v>
      </c>
      <c r="R115" s="30">
        <v>183.6</v>
      </c>
      <c r="S115" s="30" t="s">
        <v>416</v>
      </c>
      <c r="T115" t="s">
        <v>1456</v>
      </c>
      <c r="U115" t="s">
        <v>947</v>
      </c>
      <c r="X115" s="86">
        <f t="shared" si="1"/>
        <v>40</v>
      </c>
      <c r="AA115" s="86" t="s">
        <v>418</v>
      </c>
      <c r="AB115" s="86" t="s">
        <v>418</v>
      </c>
    </row>
    <row r="116" spans="1:28">
      <c r="A116" s="68">
        <v>115</v>
      </c>
      <c r="B116" s="30" t="s">
        <v>418</v>
      </c>
      <c r="C116" s="30" t="s">
        <v>418</v>
      </c>
      <c r="D116" s="30" t="s">
        <v>418</v>
      </c>
      <c r="E116" s="230" t="s">
        <v>418</v>
      </c>
      <c r="F116" s="30" t="s">
        <v>418</v>
      </c>
      <c r="G116" s="30" t="s">
        <v>418</v>
      </c>
      <c r="H116" s="229" t="s">
        <v>418</v>
      </c>
      <c r="I116" s="229" t="s">
        <v>418</v>
      </c>
      <c r="J116" s="229" t="s">
        <v>418</v>
      </c>
      <c r="K116" s="86" t="s">
        <v>418</v>
      </c>
      <c r="L116" s="86"/>
      <c r="M116" s="254">
        <v>44617</v>
      </c>
      <c r="N116" s="30" t="s">
        <v>1069</v>
      </c>
      <c r="O116" s="30" t="s">
        <v>1304</v>
      </c>
      <c r="P116" s="30" t="s">
        <v>673</v>
      </c>
      <c r="Q116" s="30">
        <v>4.59</v>
      </c>
      <c r="R116" s="30">
        <v>14.091299999999999</v>
      </c>
      <c r="S116" s="30" t="s">
        <v>416</v>
      </c>
      <c r="T116" t="s">
        <v>1456</v>
      </c>
      <c r="U116" t="s">
        <v>1088</v>
      </c>
      <c r="X116" s="86">
        <f t="shared" si="1"/>
        <v>3.07</v>
      </c>
      <c r="AA116" s="86" t="s">
        <v>418</v>
      </c>
      <c r="AB116" s="86" t="s">
        <v>418</v>
      </c>
    </row>
    <row r="117" spans="1:28">
      <c r="A117" s="68">
        <v>116</v>
      </c>
      <c r="B117" s="30" t="s">
        <v>418</v>
      </c>
      <c r="C117" s="30" t="s">
        <v>418</v>
      </c>
      <c r="D117" s="30" t="s">
        <v>418</v>
      </c>
      <c r="E117" s="230" t="s">
        <v>418</v>
      </c>
      <c r="F117" s="30" t="s">
        <v>418</v>
      </c>
      <c r="G117" s="30" t="s">
        <v>418</v>
      </c>
      <c r="H117" s="229" t="s">
        <v>418</v>
      </c>
      <c r="I117" s="229" t="s">
        <v>418</v>
      </c>
      <c r="J117" s="229" t="s">
        <v>418</v>
      </c>
      <c r="K117" s="86" t="s">
        <v>418</v>
      </c>
      <c r="L117" s="86"/>
      <c r="M117" s="254">
        <v>44617</v>
      </c>
      <c r="N117" s="30" t="s">
        <v>1188</v>
      </c>
      <c r="O117" s="30" t="s">
        <v>1249</v>
      </c>
      <c r="P117" s="30" t="s">
        <v>673</v>
      </c>
      <c r="Q117" s="30">
        <v>4.59</v>
      </c>
      <c r="R117" s="30">
        <v>110.16</v>
      </c>
      <c r="S117" s="30" t="s">
        <v>416</v>
      </c>
      <c r="T117" t="s">
        <v>1392</v>
      </c>
      <c r="U117" t="s">
        <v>1088</v>
      </c>
      <c r="X117" s="86">
        <f t="shared" si="1"/>
        <v>24</v>
      </c>
      <c r="AA117" s="86" t="s">
        <v>418</v>
      </c>
      <c r="AB117" s="86" t="s">
        <v>418</v>
      </c>
    </row>
    <row r="118" spans="1:28">
      <c r="A118" s="68">
        <v>117</v>
      </c>
      <c r="B118" s="30" t="s">
        <v>418</v>
      </c>
      <c r="C118" s="30" t="s">
        <v>418</v>
      </c>
      <c r="D118" s="30" t="s">
        <v>418</v>
      </c>
      <c r="E118" s="230" t="s">
        <v>418</v>
      </c>
      <c r="F118" s="30" t="s">
        <v>418</v>
      </c>
      <c r="G118" s="30" t="s">
        <v>418</v>
      </c>
      <c r="H118" s="229" t="s">
        <v>418</v>
      </c>
      <c r="I118" s="229" t="s">
        <v>418</v>
      </c>
      <c r="J118" s="229" t="s">
        <v>418</v>
      </c>
      <c r="K118" s="86" t="s">
        <v>418</v>
      </c>
      <c r="L118" s="86"/>
      <c r="M118" s="254">
        <v>44617</v>
      </c>
      <c r="N118" s="30" t="s">
        <v>1208</v>
      </c>
      <c r="O118" s="30" t="s">
        <v>1289</v>
      </c>
      <c r="P118" s="30" t="s">
        <v>673</v>
      </c>
      <c r="Q118" s="30">
        <v>4.59</v>
      </c>
      <c r="R118" s="30">
        <v>91.8</v>
      </c>
      <c r="S118" s="30" t="s">
        <v>416</v>
      </c>
      <c r="T118" t="s">
        <v>1431</v>
      </c>
      <c r="U118" t="s">
        <v>1088</v>
      </c>
      <c r="X118" s="86">
        <f t="shared" si="1"/>
        <v>20</v>
      </c>
      <c r="AA118" s="86" t="s">
        <v>418</v>
      </c>
      <c r="AB118" s="86" t="s">
        <v>418</v>
      </c>
    </row>
    <row r="119" spans="1:28">
      <c r="A119" s="68">
        <v>118</v>
      </c>
      <c r="B119" s="30" t="s">
        <v>418</v>
      </c>
      <c r="C119" s="30" t="s">
        <v>418</v>
      </c>
      <c r="D119" s="30" t="s">
        <v>418</v>
      </c>
      <c r="E119" s="230" t="s">
        <v>418</v>
      </c>
      <c r="F119" s="30" t="s">
        <v>418</v>
      </c>
      <c r="G119" s="30" t="s">
        <v>418</v>
      </c>
      <c r="H119" s="229" t="s">
        <v>418</v>
      </c>
      <c r="I119" s="229" t="s">
        <v>418</v>
      </c>
      <c r="J119" s="229" t="s">
        <v>418</v>
      </c>
      <c r="K119" s="86" t="s">
        <v>418</v>
      </c>
      <c r="L119" s="86"/>
      <c r="M119" s="254">
        <v>44617</v>
      </c>
      <c r="N119" s="30" t="s">
        <v>1252</v>
      </c>
      <c r="O119" s="30" t="s">
        <v>1306</v>
      </c>
      <c r="P119" s="30" t="s">
        <v>673</v>
      </c>
      <c r="Q119" s="30">
        <v>4.59</v>
      </c>
      <c r="R119" s="30">
        <v>596.69999999999993</v>
      </c>
      <c r="S119" s="30" t="s">
        <v>416</v>
      </c>
      <c r="T119" t="s">
        <v>1457</v>
      </c>
      <c r="U119" t="s">
        <v>947</v>
      </c>
      <c r="X119" s="86">
        <f t="shared" si="1"/>
        <v>130</v>
      </c>
      <c r="AA119" s="86" t="s">
        <v>418</v>
      </c>
      <c r="AB119" s="86" t="s">
        <v>418</v>
      </c>
    </row>
    <row r="120" spans="1:28">
      <c r="A120" s="68">
        <v>119</v>
      </c>
      <c r="B120" s="30" t="s">
        <v>418</v>
      </c>
      <c r="C120" s="30" t="s">
        <v>418</v>
      </c>
      <c r="D120" s="30" t="s">
        <v>418</v>
      </c>
      <c r="E120" s="230" t="s">
        <v>418</v>
      </c>
      <c r="F120" s="30" t="s">
        <v>418</v>
      </c>
      <c r="G120" s="30" t="s">
        <v>418</v>
      </c>
      <c r="H120" s="229" t="s">
        <v>418</v>
      </c>
      <c r="I120" s="229" t="s">
        <v>418</v>
      </c>
      <c r="J120" s="229" t="s">
        <v>418</v>
      </c>
      <c r="K120" s="86" t="s">
        <v>418</v>
      </c>
      <c r="L120" s="86"/>
      <c r="M120" s="254">
        <v>44617</v>
      </c>
      <c r="N120" s="30" t="s">
        <v>1252</v>
      </c>
      <c r="O120" s="30" t="s">
        <v>1306</v>
      </c>
      <c r="P120" s="30" t="s">
        <v>673</v>
      </c>
      <c r="Q120" s="30">
        <v>4.59</v>
      </c>
      <c r="R120" s="30">
        <v>11.016</v>
      </c>
      <c r="S120" s="30" t="s">
        <v>416</v>
      </c>
      <c r="T120" t="s">
        <v>1457</v>
      </c>
      <c r="U120" t="s">
        <v>1088</v>
      </c>
      <c r="X120" s="86">
        <f t="shared" si="1"/>
        <v>2.4</v>
      </c>
      <c r="AA120" s="86" t="s">
        <v>418</v>
      </c>
      <c r="AB120" s="86" t="s">
        <v>418</v>
      </c>
    </row>
    <row r="121" spans="1:28">
      <c r="A121" s="68">
        <v>120</v>
      </c>
      <c r="B121" s="30" t="s">
        <v>418</v>
      </c>
      <c r="C121" s="30" t="s">
        <v>418</v>
      </c>
      <c r="D121" s="30" t="s">
        <v>418</v>
      </c>
      <c r="E121" s="230" t="s">
        <v>418</v>
      </c>
      <c r="F121" s="30" t="s">
        <v>418</v>
      </c>
      <c r="G121" s="30" t="s">
        <v>418</v>
      </c>
      <c r="H121" s="229" t="s">
        <v>418</v>
      </c>
      <c r="I121" s="229" t="s">
        <v>418</v>
      </c>
      <c r="J121" s="229" t="s">
        <v>418</v>
      </c>
      <c r="K121" s="86" t="s">
        <v>418</v>
      </c>
      <c r="L121" s="86"/>
      <c r="M121" s="254">
        <v>44617</v>
      </c>
      <c r="N121" s="30" t="s">
        <v>865</v>
      </c>
      <c r="O121" s="30" t="s">
        <v>1307</v>
      </c>
      <c r="P121" s="30" t="s">
        <v>673</v>
      </c>
      <c r="Q121" s="30">
        <v>4.59</v>
      </c>
      <c r="R121" s="30">
        <v>872.1</v>
      </c>
      <c r="S121" s="30" t="s">
        <v>416</v>
      </c>
      <c r="T121" t="s">
        <v>1458</v>
      </c>
      <c r="U121" t="s">
        <v>947</v>
      </c>
      <c r="X121" s="86">
        <f t="shared" si="1"/>
        <v>190</v>
      </c>
      <c r="AA121" s="86" t="s">
        <v>418</v>
      </c>
      <c r="AB121" s="86" t="s">
        <v>418</v>
      </c>
    </row>
    <row r="122" spans="1:28">
      <c r="A122" s="68">
        <v>121</v>
      </c>
      <c r="B122" s="30" t="s">
        <v>418</v>
      </c>
      <c r="C122" s="30" t="s">
        <v>418</v>
      </c>
      <c r="D122" s="30" t="s">
        <v>418</v>
      </c>
      <c r="E122" s="230" t="s">
        <v>418</v>
      </c>
      <c r="F122" s="30" t="s">
        <v>418</v>
      </c>
      <c r="G122" s="30" t="s">
        <v>418</v>
      </c>
      <c r="H122" s="229" t="s">
        <v>418</v>
      </c>
      <c r="I122" s="229" t="s">
        <v>418</v>
      </c>
      <c r="J122" s="229" t="s">
        <v>418</v>
      </c>
      <c r="K122" s="86" t="s">
        <v>418</v>
      </c>
      <c r="L122" s="86"/>
      <c r="M122" s="254">
        <v>44617</v>
      </c>
      <c r="N122" s="30" t="s">
        <v>865</v>
      </c>
      <c r="O122" s="30" t="s">
        <v>1307</v>
      </c>
      <c r="P122" s="30" t="s">
        <v>673</v>
      </c>
      <c r="Q122" s="30">
        <v>4.59</v>
      </c>
      <c r="R122" s="30">
        <v>19.186199999999999</v>
      </c>
      <c r="S122" s="30" t="s">
        <v>416</v>
      </c>
      <c r="T122" t="s">
        <v>1458</v>
      </c>
      <c r="U122" t="s">
        <v>1088</v>
      </c>
      <c r="X122" s="86">
        <f t="shared" si="1"/>
        <v>4.18</v>
      </c>
      <c r="AA122" s="86" t="s">
        <v>418</v>
      </c>
      <c r="AB122" s="86" t="s">
        <v>418</v>
      </c>
    </row>
    <row r="123" spans="1:28">
      <c r="A123" s="68">
        <v>122</v>
      </c>
      <c r="B123" s="30" t="s">
        <v>418</v>
      </c>
      <c r="C123" s="30" t="s">
        <v>418</v>
      </c>
      <c r="D123" s="30" t="s">
        <v>418</v>
      </c>
      <c r="E123" s="230" t="s">
        <v>418</v>
      </c>
      <c r="F123" s="30" t="s">
        <v>418</v>
      </c>
      <c r="G123" s="30" t="s">
        <v>418</v>
      </c>
      <c r="H123" s="229" t="s">
        <v>418</v>
      </c>
      <c r="I123" s="229" t="s">
        <v>418</v>
      </c>
      <c r="J123" s="229" t="s">
        <v>418</v>
      </c>
      <c r="K123" s="86" t="s">
        <v>418</v>
      </c>
      <c r="L123" s="86"/>
      <c r="M123" s="254" t="s">
        <v>418</v>
      </c>
      <c r="N123" s="30" t="s">
        <v>418</v>
      </c>
      <c r="O123" s="30" t="s">
        <v>418</v>
      </c>
      <c r="P123" s="30" t="s">
        <v>418</v>
      </c>
      <c r="Q123" s="30" t="s">
        <v>418</v>
      </c>
      <c r="R123" s="30" t="s">
        <v>418</v>
      </c>
      <c r="S123" s="30" t="s">
        <v>418</v>
      </c>
      <c r="T123" t="s">
        <v>418</v>
      </c>
      <c r="U123" t="s">
        <v>418</v>
      </c>
      <c r="X123" s="86">
        <f t="shared" si="1"/>
        <v>0</v>
      </c>
      <c r="AA123" s="86" t="s">
        <v>418</v>
      </c>
      <c r="AB123" s="86" t="s">
        <v>418</v>
      </c>
    </row>
    <row r="124" spans="1:28">
      <c r="A124" s="68">
        <v>123</v>
      </c>
      <c r="B124" s="30" t="s">
        <v>418</v>
      </c>
      <c r="C124" s="30" t="s">
        <v>418</v>
      </c>
      <c r="D124" s="30" t="s">
        <v>418</v>
      </c>
      <c r="E124" s="230" t="s">
        <v>418</v>
      </c>
      <c r="F124" s="30" t="s">
        <v>418</v>
      </c>
      <c r="G124" s="30" t="s">
        <v>418</v>
      </c>
      <c r="H124" s="229" t="s">
        <v>418</v>
      </c>
      <c r="I124" s="229" t="s">
        <v>418</v>
      </c>
      <c r="J124" s="229" t="s">
        <v>418</v>
      </c>
      <c r="K124" s="86" t="s">
        <v>418</v>
      </c>
      <c r="L124" s="86"/>
      <c r="M124" s="254" t="s">
        <v>418</v>
      </c>
      <c r="N124" s="30" t="s">
        <v>418</v>
      </c>
      <c r="O124" s="30" t="s">
        <v>418</v>
      </c>
      <c r="P124" s="30" t="s">
        <v>418</v>
      </c>
      <c r="Q124" s="30" t="s">
        <v>418</v>
      </c>
      <c r="R124" s="30" t="s">
        <v>418</v>
      </c>
      <c r="S124" s="30" t="s">
        <v>418</v>
      </c>
      <c r="T124" t="s">
        <v>418</v>
      </c>
      <c r="U124" t="s">
        <v>418</v>
      </c>
      <c r="X124" s="86">
        <f t="shared" si="1"/>
        <v>0</v>
      </c>
      <c r="AA124" s="86" t="s">
        <v>418</v>
      </c>
      <c r="AB124" s="86" t="s">
        <v>418</v>
      </c>
    </row>
    <row r="125" spans="1:28">
      <c r="A125" s="68">
        <v>124</v>
      </c>
      <c r="B125" s="30" t="s">
        <v>418</v>
      </c>
      <c r="C125" s="30" t="s">
        <v>418</v>
      </c>
      <c r="D125" s="30" t="s">
        <v>418</v>
      </c>
      <c r="E125" s="230" t="s">
        <v>418</v>
      </c>
      <c r="F125" s="30" t="s">
        <v>418</v>
      </c>
      <c r="G125" s="30" t="s">
        <v>418</v>
      </c>
      <c r="H125" s="229" t="s">
        <v>418</v>
      </c>
      <c r="I125" s="229" t="s">
        <v>418</v>
      </c>
      <c r="J125" s="229" t="s">
        <v>418</v>
      </c>
      <c r="K125" s="86" t="s">
        <v>418</v>
      </c>
      <c r="L125" s="86"/>
      <c r="M125" s="254" t="s">
        <v>418</v>
      </c>
      <c r="N125" s="30" t="s">
        <v>418</v>
      </c>
      <c r="O125" s="30" t="s">
        <v>418</v>
      </c>
      <c r="P125" s="30" t="s">
        <v>418</v>
      </c>
      <c r="Q125" s="30" t="s">
        <v>418</v>
      </c>
      <c r="R125" s="30" t="s">
        <v>418</v>
      </c>
      <c r="S125" s="30" t="s">
        <v>418</v>
      </c>
      <c r="T125" t="s">
        <v>418</v>
      </c>
      <c r="U125" t="s">
        <v>418</v>
      </c>
      <c r="X125" s="86">
        <f t="shared" si="1"/>
        <v>0</v>
      </c>
      <c r="AA125" s="86" t="s">
        <v>418</v>
      </c>
      <c r="AB125" s="86" t="s">
        <v>418</v>
      </c>
    </row>
    <row r="126" spans="1:28">
      <c r="A126" s="68">
        <v>125</v>
      </c>
      <c r="B126" s="30" t="s">
        <v>418</v>
      </c>
      <c r="C126" s="30" t="s">
        <v>418</v>
      </c>
      <c r="D126" s="30" t="s">
        <v>418</v>
      </c>
      <c r="E126" s="230" t="s">
        <v>418</v>
      </c>
      <c r="F126" s="30" t="s">
        <v>418</v>
      </c>
      <c r="G126" s="30" t="s">
        <v>418</v>
      </c>
      <c r="H126" s="229" t="s">
        <v>418</v>
      </c>
      <c r="I126" s="229" t="s">
        <v>418</v>
      </c>
      <c r="J126" s="229" t="s">
        <v>418</v>
      </c>
      <c r="K126" s="86" t="s">
        <v>418</v>
      </c>
      <c r="L126" s="86"/>
      <c r="M126" s="254" t="s">
        <v>418</v>
      </c>
      <c r="N126" s="30" t="s">
        <v>418</v>
      </c>
      <c r="O126" s="30" t="s">
        <v>418</v>
      </c>
      <c r="P126" s="30" t="s">
        <v>418</v>
      </c>
      <c r="Q126" s="30" t="s">
        <v>418</v>
      </c>
      <c r="R126" s="30" t="s">
        <v>418</v>
      </c>
      <c r="S126" s="30" t="s">
        <v>418</v>
      </c>
      <c r="T126" t="s">
        <v>418</v>
      </c>
      <c r="U126" t="s">
        <v>418</v>
      </c>
      <c r="X126" s="86">
        <f t="shared" si="1"/>
        <v>0</v>
      </c>
      <c r="AA126" s="86" t="s">
        <v>418</v>
      </c>
      <c r="AB126" s="86" t="s">
        <v>418</v>
      </c>
    </row>
    <row r="127" spans="1:28">
      <c r="A127" s="68">
        <v>126</v>
      </c>
      <c r="B127" s="30" t="s">
        <v>418</v>
      </c>
      <c r="C127" s="30" t="s">
        <v>418</v>
      </c>
      <c r="D127" s="30" t="s">
        <v>418</v>
      </c>
      <c r="E127" s="230" t="s">
        <v>418</v>
      </c>
      <c r="F127" s="30" t="s">
        <v>418</v>
      </c>
      <c r="G127" s="30" t="s">
        <v>418</v>
      </c>
      <c r="H127" s="229" t="s">
        <v>418</v>
      </c>
      <c r="I127" s="229" t="s">
        <v>418</v>
      </c>
      <c r="J127" s="229" t="s">
        <v>418</v>
      </c>
      <c r="K127" s="86" t="s">
        <v>418</v>
      </c>
      <c r="L127" s="86"/>
      <c r="M127" s="254" t="s">
        <v>418</v>
      </c>
      <c r="N127" s="30" t="s">
        <v>418</v>
      </c>
      <c r="O127" s="30" t="s">
        <v>418</v>
      </c>
      <c r="P127" s="30" t="s">
        <v>418</v>
      </c>
      <c r="Q127" s="30" t="s">
        <v>418</v>
      </c>
      <c r="R127" s="30" t="s">
        <v>418</v>
      </c>
      <c r="S127" s="30" t="s">
        <v>418</v>
      </c>
      <c r="T127" t="s">
        <v>418</v>
      </c>
      <c r="U127" t="s">
        <v>418</v>
      </c>
      <c r="X127" s="86">
        <f t="shared" si="1"/>
        <v>0</v>
      </c>
      <c r="AA127" s="86" t="s">
        <v>418</v>
      </c>
      <c r="AB127" s="86" t="s">
        <v>418</v>
      </c>
    </row>
    <row r="128" spans="1:28">
      <c r="A128" s="68">
        <v>127</v>
      </c>
      <c r="B128" s="30" t="s">
        <v>418</v>
      </c>
      <c r="C128" s="30" t="s">
        <v>418</v>
      </c>
      <c r="D128" s="30" t="s">
        <v>418</v>
      </c>
      <c r="E128" s="230" t="s">
        <v>418</v>
      </c>
      <c r="F128" s="30" t="s">
        <v>418</v>
      </c>
      <c r="G128" s="30" t="s">
        <v>418</v>
      </c>
      <c r="H128" s="229" t="s">
        <v>418</v>
      </c>
      <c r="I128" s="229" t="s">
        <v>418</v>
      </c>
      <c r="J128" s="229" t="s">
        <v>418</v>
      </c>
      <c r="K128" s="86" t="s">
        <v>418</v>
      </c>
      <c r="L128" s="86"/>
      <c r="M128" s="254" t="s">
        <v>418</v>
      </c>
      <c r="N128" s="30" t="s">
        <v>418</v>
      </c>
      <c r="O128" s="30" t="s">
        <v>418</v>
      </c>
      <c r="P128" s="30" t="s">
        <v>418</v>
      </c>
      <c r="Q128" s="30" t="s">
        <v>418</v>
      </c>
      <c r="R128" s="30" t="s">
        <v>418</v>
      </c>
      <c r="S128" s="30" t="s">
        <v>418</v>
      </c>
      <c r="T128" t="s">
        <v>418</v>
      </c>
      <c r="U128" t="s">
        <v>418</v>
      </c>
      <c r="X128" s="86">
        <f t="shared" si="1"/>
        <v>0</v>
      </c>
      <c r="AA128" s="86" t="s">
        <v>418</v>
      </c>
      <c r="AB128" s="86" t="s">
        <v>418</v>
      </c>
    </row>
    <row r="129" spans="1:28">
      <c r="A129" s="68">
        <v>128</v>
      </c>
      <c r="B129" s="30" t="s">
        <v>418</v>
      </c>
      <c r="C129" s="30" t="s">
        <v>418</v>
      </c>
      <c r="D129" s="30" t="s">
        <v>418</v>
      </c>
      <c r="E129" s="230" t="s">
        <v>418</v>
      </c>
      <c r="F129" s="30" t="s">
        <v>418</v>
      </c>
      <c r="G129" s="30" t="s">
        <v>418</v>
      </c>
      <c r="H129" s="229" t="s">
        <v>418</v>
      </c>
      <c r="I129" s="229" t="s">
        <v>418</v>
      </c>
      <c r="J129" s="229" t="s">
        <v>418</v>
      </c>
      <c r="K129" s="86" t="s">
        <v>418</v>
      </c>
      <c r="L129" s="86"/>
      <c r="M129" s="254" t="s">
        <v>418</v>
      </c>
      <c r="N129" s="30" t="s">
        <v>418</v>
      </c>
      <c r="O129" s="30" t="s">
        <v>418</v>
      </c>
      <c r="P129" s="30" t="s">
        <v>418</v>
      </c>
      <c r="Q129" s="30" t="s">
        <v>418</v>
      </c>
      <c r="R129" s="30" t="s">
        <v>418</v>
      </c>
      <c r="S129" s="30" t="s">
        <v>418</v>
      </c>
      <c r="T129" t="s">
        <v>418</v>
      </c>
      <c r="U129" t="s">
        <v>418</v>
      </c>
      <c r="X129" s="86">
        <f t="shared" si="1"/>
        <v>0</v>
      </c>
      <c r="AA129" s="86" t="s">
        <v>418</v>
      </c>
      <c r="AB129" s="86" t="s">
        <v>418</v>
      </c>
    </row>
    <row r="130" spans="1:28">
      <c r="A130" s="68">
        <v>129</v>
      </c>
      <c r="B130" s="30" t="s">
        <v>418</v>
      </c>
      <c r="C130" s="30" t="s">
        <v>418</v>
      </c>
      <c r="D130" s="30" t="s">
        <v>418</v>
      </c>
      <c r="E130" s="230" t="s">
        <v>418</v>
      </c>
      <c r="F130" s="30" t="s">
        <v>418</v>
      </c>
      <c r="G130" s="30" t="s">
        <v>418</v>
      </c>
      <c r="H130" s="229" t="s">
        <v>418</v>
      </c>
      <c r="I130" s="229" t="s">
        <v>418</v>
      </c>
      <c r="J130" s="229" t="s">
        <v>418</v>
      </c>
      <c r="K130" s="86" t="s">
        <v>418</v>
      </c>
      <c r="L130" s="86"/>
      <c r="M130" s="254" t="s">
        <v>418</v>
      </c>
      <c r="N130" s="30" t="s">
        <v>418</v>
      </c>
      <c r="O130" s="30" t="s">
        <v>418</v>
      </c>
      <c r="P130" s="30" t="s">
        <v>418</v>
      </c>
      <c r="Q130" s="30" t="s">
        <v>418</v>
      </c>
      <c r="R130" s="30" t="s">
        <v>418</v>
      </c>
      <c r="S130" s="30" t="s">
        <v>418</v>
      </c>
      <c r="T130" t="s">
        <v>418</v>
      </c>
      <c r="U130" t="s">
        <v>418</v>
      </c>
      <c r="X130" s="86">
        <f t="shared" si="1"/>
        <v>0</v>
      </c>
      <c r="AA130" s="86" t="s">
        <v>418</v>
      </c>
      <c r="AB130" s="86" t="s">
        <v>418</v>
      </c>
    </row>
    <row r="131" spans="1:28">
      <c r="A131" s="68">
        <v>130</v>
      </c>
      <c r="B131" s="30" t="s">
        <v>418</v>
      </c>
      <c r="C131" s="30" t="s">
        <v>418</v>
      </c>
      <c r="D131" s="30" t="s">
        <v>418</v>
      </c>
      <c r="E131" s="230" t="s">
        <v>418</v>
      </c>
      <c r="F131" s="30" t="s">
        <v>418</v>
      </c>
      <c r="G131" s="30" t="s">
        <v>418</v>
      </c>
      <c r="H131" s="229" t="s">
        <v>418</v>
      </c>
      <c r="I131" s="229" t="s">
        <v>418</v>
      </c>
      <c r="J131" s="229" t="s">
        <v>418</v>
      </c>
      <c r="K131" s="86" t="s">
        <v>418</v>
      </c>
      <c r="L131" s="86"/>
      <c r="M131" s="254" t="s">
        <v>418</v>
      </c>
      <c r="N131" s="30" t="s">
        <v>418</v>
      </c>
      <c r="O131" s="30" t="s">
        <v>418</v>
      </c>
      <c r="P131" s="30" t="s">
        <v>418</v>
      </c>
      <c r="Q131" s="30" t="s">
        <v>418</v>
      </c>
      <c r="R131" s="30" t="s">
        <v>418</v>
      </c>
      <c r="S131" s="30" t="s">
        <v>418</v>
      </c>
      <c r="T131" t="s">
        <v>418</v>
      </c>
      <c r="U131" t="s">
        <v>418</v>
      </c>
      <c r="X131" s="86">
        <f t="shared" ref="X131:X194" si="2">IF(OR(Q131=0,Q131=""),0,R131/Q131)</f>
        <v>0</v>
      </c>
      <c r="AA131" s="86" t="s">
        <v>418</v>
      </c>
      <c r="AB131" s="86" t="s">
        <v>418</v>
      </c>
    </row>
    <row r="132" spans="1:28">
      <c r="A132" s="68">
        <v>131</v>
      </c>
      <c r="B132" s="30" t="s">
        <v>418</v>
      </c>
      <c r="C132" s="30" t="s">
        <v>418</v>
      </c>
      <c r="D132" s="30" t="s">
        <v>418</v>
      </c>
      <c r="E132" s="230" t="s">
        <v>418</v>
      </c>
      <c r="F132" s="30" t="s">
        <v>418</v>
      </c>
      <c r="G132" s="30" t="s">
        <v>418</v>
      </c>
      <c r="H132" s="229" t="s">
        <v>418</v>
      </c>
      <c r="I132" s="229" t="s">
        <v>418</v>
      </c>
      <c r="J132" s="229" t="s">
        <v>418</v>
      </c>
      <c r="K132" s="86" t="s">
        <v>418</v>
      </c>
      <c r="L132" s="86"/>
      <c r="M132" s="254" t="s">
        <v>418</v>
      </c>
      <c r="N132" s="30" t="s">
        <v>418</v>
      </c>
      <c r="O132" s="30" t="s">
        <v>418</v>
      </c>
      <c r="P132" s="30" t="s">
        <v>418</v>
      </c>
      <c r="Q132" s="30" t="s">
        <v>418</v>
      </c>
      <c r="R132" s="30" t="s">
        <v>418</v>
      </c>
      <c r="S132" s="30" t="s">
        <v>418</v>
      </c>
      <c r="T132" t="s">
        <v>418</v>
      </c>
      <c r="U132" t="s">
        <v>418</v>
      </c>
      <c r="X132" s="86">
        <f t="shared" si="2"/>
        <v>0</v>
      </c>
      <c r="AA132" s="86" t="s">
        <v>418</v>
      </c>
      <c r="AB132" s="86" t="s">
        <v>418</v>
      </c>
    </row>
    <row r="133" spans="1:28">
      <c r="A133" s="68">
        <v>132</v>
      </c>
      <c r="B133" s="30" t="s">
        <v>418</v>
      </c>
      <c r="C133" s="30" t="s">
        <v>418</v>
      </c>
      <c r="D133" s="30" t="s">
        <v>418</v>
      </c>
      <c r="E133" s="230" t="s">
        <v>418</v>
      </c>
      <c r="F133" s="30" t="s">
        <v>418</v>
      </c>
      <c r="G133" s="30" t="s">
        <v>418</v>
      </c>
      <c r="H133" s="229" t="s">
        <v>418</v>
      </c>
      <c r="I133" s="229" t="s">
        <v>418</v>
      </c>
      <c r="J133" s="229" t="s">
        <v>418</v>
      </c>
      <c r="K133" s="86" t="s">
        <v>418</v>
      </c>
      <c r="L133" s="86"/>
      <c r="M133" s="254" t="s">
        <v>418</v>
      </c>
      <c r="N133" s="30" t="s">
        <v>418</v>
      </c>
      <c r="O133" s="30" t="s">
        <v>418</v>
      </c>
      <c r="P133" s="30" t="s">
        <v>418</v>
      </c>
      <c r="Q133" s="30" t="s">
        <v>418</v>
      </c>
      <c r="R133" s="30" t="s">
        <v>418</v>
      </c>
      <c r="S133" s="30" t="s">
        <v>418</v>
      </c>
      <c r="T133" t="s">
        <v>418</v>
      </c>
      <c r="U133" t="s">
        <v>418</v>
      </c>
      <c r="X133" s="86">
        <f t="shared" si="2"/>
        <v>0</v>
      </c>
      <c r="AA133" s="86" t="s">
        <v>418</v>
      </c>
      <c r="AB133" s="86" t="s">
        <v>418</v>
      </c>
    </row>
    <row r="134" spans="1:28">
      <c r="A134" s="68">
        <v>133</v>
      </c>
      <c r="B134" s="30" t="s">
        <v>418</v>
      </c>
      <c r="C134" s="30" t="s">
        <v>418</v>
      </c>
      <c r="D134" s="30" t="s">
        <v>418</v>
      </c>
      <c r="E134" s="230" t="s">
        <v>418</v>
      </c>
      <c r="F134" s="30" t="s">
        <v>418</v>
      </c>
      <c r="G134" s="30" t="s">
        <v>418</v>
      </c>
      <c r="H134" s="229" t="s">
        <v>418</v>
      </c>
      <c r="I134" s="229" t="s">
        <v>418</v>
      </c>
      <c r="J134" s="229" t="s">
        <v>418</v>
      </c>
      <c r="K134" s="86" t="s">
        <v>418</v>
      </c>
      <c r="L134" s="86"/>
      <c r="M134" s="254" t="s">
        <v>418</v>
      </c>
      <c r="N134" s="30" t="s">
        <v>418</v>
      </c>
      <c r="O134" s="30" t="s">
        <v>418</v>
      </c>
      <c r="P134" s="30" t="s">
        <v>418</v>
      </c>
      <c r="Q134" s="30" t="s">
        <v>418</v>
      </c>
      <c r="R134" s="30" t="s">
        <v>418</v>
      </c>
      <c r="S134" s="30" t="s">
        <v>418</v>
      </c>
      <c r="T134" t="s">
        <v>418</v>
      </c>
      <c r="U134" t="s">
        <v>418</v>
      </c>
      <c r="X134" s="86">
        <f t="shared" si="2"/>
        <v>0</v>
      </c>
      <c r="AA134" s="86" t="s">
        <v>418</v>
      </c>
      <c r="AB134" s="86" t="s">
        <v>418</v>
      </c>
    </row>
    <row r="135" spans="1:28">
      <c r="A135" s="68">
        <v>134</v>
      </c>
      <c r="B135" s="30" t="s">
        <v>418</v>
      </c>
      <c r="C135" s="30" t="s">
        <v>418</v>
      </c>
      <c r="D135" s="30" t="s">
        <v>418</v>
      </c>
      <c r="E135" s="230" t="s">
        <v>418</v>
      </c>
      <c r="F135" s="30" t="s">
        <v>418</v>
      </c>
      <c r="G135" s="30" t="s">
        <v>418</v>
      </c>
      <c r="H135" s="229" t="s">
        <v>418</v>
      </c>
      <c r="I135" s="229" t="s">
        <v>418</v>
      </c>
      <c r="J135" s="229" t="s">
        <v>418</v>
      </c>
      <c r="K135" s="86" t="s">
        <v>418</v>
      </c>
      <c r="L135" s="86"/>
      <c r="M135" s="254" t="s">
        <v>418</v>
      </c>
      <c r="N135" s="30" t="s">
        <v>418</v>
      </c>
      <c r="O135" s="30" t="s">
        <v>418</v>
      </c>
      <c r="P135" s="30" t="s">
        <v>418</v>
      </c>
      <c r="Q135" s="30" t="s">
        <v>418</v>
      </c>
      <c r="R135" s="30" t="s">
        <v>418</v>
      </c>
      <c r="S135" s="30" t="s">
        <v>418</v>
      </c>
      <c r="T135" t="s">
        <v>418</v>
      </c>
      <c r="U135" t="s">
        <v>418</v>
      </c>
      <c r="X135" s="86">
        <f t="shared" si="2"/>
        <v>0</v>
      </c>
      <c r="AA135" s="86" t="s">
        <v>418</v>
      </c>
      <c r="AB135" s="86" t="s">
        <v>418</v>
      </c>
    </row>
    <row r="136" spans="1:28">
      <c r="A136" s="68">
        <v>135</v>
      </c>
      <c r="B136" s="30" t="s">
        <v>418</v>
      </c>
      <c r="C136" s="30" t="s">
        <v>418</v>
      </c>
      <c r="D136" s="30" t="s">
        <v>418</v>
      </c>
      <c r="E136" s="230" t="s">
        <v>418</v>
      </c>
      <c r="F136" s="30" t="s">
        <v>418</v>
      </c>
      <c r="G136" s="30" t="s">
        <v>418</v>
      </c>
      <c r="H136" s="229" t="s">
        <v>418</v>
      </c>
      <c r="I136" s="229" t="s">
        <v>418</v>
      </c>
      <c r="J136" s="229" t="s">
        <v>418</v>
      </c>
      <c r="K136" s="86" t="s">
        <v>418</v>
      </c>
      <c r="L136" s="86"/>
      <c r="M136" s="254" t="s">
        <v>418</v>
      </c>
      <c r="N136" s="30" t="s">
        <v>418</v>
      </c>
      <c r="O136" s="30" t="s">
        <v>418</v>
      </c>
      <c r="P136" s="30" t="s">
        <v>418</v>
      </c>
      <c r="Q136" s="30" t="s">
        <v>418</v>
      </c>
      <c r="R136" s="30" t="s">
        <v>418</v>
      </c>
      <c r="S136" s="30" t="s">
        <v>418</v>
      </c>
      <c r="T136" t="s">
        <v>418</v>
      </c>
      <c r="U136" t="s">
        <v>418</v>
      </c>
      <c r="X136" s="86">
        <f t="shared" si="2"/>
        <v>0</v>
      </c>
      <c r="AA136" s="86" t="s">
        <v>418</v>
      </c>
      <c r="AB136" s="86" t="s">
        <v>418</v>
      </c>
    </row>
    <row r="137" spans="1:28">
      <c r="A137" s="68">
        <v>136</v>
      </c>
      <c r="B137" s="30" t="s">
        <v>418</v>
      </c>
      <c r="C137" s="30" t="s">
        <v>418</v>
      </c>
      <c r="D137" s="30" t="s">
        <v>418</v>
      </c>
      <c r="E137" s="230" t="s">
        <v>418</v>
      </c>
      <c r="F137" s="30" t="s">
        <v>418</v>
      </c>
      <c r="G137" s="30" t="s">
        <v>418</v>
      </c>
      <c r="H137" s="229" t="s">
        <v>418</v>
      </c>
      <c r="I137" s="229" t="s">
        <v>418</v>
      </c>
      <c r="J137" s="229" t="s">
        <v>418</v>
      </c>
      <c r="K137" s="86" t="s">
        <v>418</v>
      </c>
      <c r="L137" s="86"/>
      <c r="M137" s="254" t="s">
        <v>418</v>
      </c>
      <c r="N137" s="30" t="s">
        <v>418</v>
      </c>
      <c r="O137" s="30" t="s">
        <v>418</v>
      </c>
      <c r="P137" s="30" t="s">
        <v>418</v>
      </c>
      <c r="Q137" s="30" t="s">
        <v>418</v>
      </c>
      <c r="R137" s="30" t="s">
        <v>418</v>
      </c>
      <c r="S137" s="30" t="s">
        <v>418</v>
      </c>
      <c r="T137" t="s">
        <v>418</v>
      </c>
      <c r="U137" t="s">
        <v>418</v>
      </c>
      <c r="X137" s="86">
        <f t="shared" si="2"/>
        <v>0</v>
      </c>
      <c r="AA137" s="86" t="s">
        <v>418</v>
      </c>
      <c r="AB137" s="86" t="s">
        <v>418</v>
      </c>
    </row>
    <row r="138" spans="1:28">
      <c r="A138" s="68">
        <v>137</v>
      </c>
      <c r="B138" s="30" t="s">
        <v>418</v>
      </c>
      <c r="C138" s="30" t="s">
        <v>418</v>
      </c>
      <c r="D138" s="30" t="s">
        <v>418</v>
      </c>
      <c r="E138" s="230" t="s">
        <v>418</v>
      </c>
      <c r="F138" s="30" t="s">
        <v>418</v>
      </c>
      <c r="G138" s="30" t="s">
        <v>418</v>
      </c>
      <c r="H138" s="229" t="s">
        <v>418</v>
      </c>
      <c r="I138" s="229" t="s">
        <v>418</v>
      </c>
      <c r="J138" s="229" t="s">
        <v>418</v>
      </c>
      <c r="K138" s="86" t="s">
        <v>418</v>
      </c>
      <c r="L138" s="86"/>
      <c r="M138" s="254" t="s">
        <v>418</v>
      </c>
      <c r="N138" s="30" t="s">
        <v>418</v>
      </c>
      <c r="O138" s="30" t="s">
        <v>418</v>
      </c>
      <c r="P138" s="30" t="s">
        <v>418</v>
      </c>
      <c r="Q138" s="30" t="s">
        <v>418</v>
      </c>
      <c r="R138" s="30" t="s">
        <v>418</v>
      </c>
      <c r="S138" s="30" t="s">
        <v>418</v>
      </c>
      <c r="T138" t="s">
        <v>418</v>
      </c>
      <c r="U138" t="s">
        <v>418</v>
      </c>
      <c r="X138" s="86">
        <f t="shared" si="2"/>
        <v>0</v>
      </c>
      <c r="AA138" s="86" t="s">
        <v>418</v>
      </c>
      <c r="AB138" s="86" t="s">
        <v>418</v>
      </c>
    </row>
    <row r="139" spans="1:28">
      <c r="A139" s="68">
        <v>138</v>
      </c>
      <c r="B139" s="30" t="s">
        <v>418</v>
      </c>
      <c r="C139" s="30" t="s">
        <v>418</v>
      </c>
      <c r="D139" s="30" t="s">
        <v>418</v>
      </c>
      <c r="E139" s="230" t="s">
        <v>418</v>
      </c>
      <c r="F139" s="30" t="s">
        <v>418</v>
      </c>
      <c r="G139" s="30" t="s">
        <v>418</v>
      </c>
      <c r="H139" s="229" t="s">
        <v>418</v>
      </c>
      <c r="I139" s="229" t="s">
        <v>418</v>
      </c>
      <c r="J139" s="229" t="s">
        <v>418</v>
      </c>
      <c r="K139" s="86" t="s">
        <v>418</v>
      </c>
      <c r="L139" s="86"/>
      <c r="M139" s="254" t="s">
        <v>418</v>
      </c>
      <c r="N139" s="30" t="s">
        <v>418</v>
      </c>
      <c r="O139" s="30" t="s">
        <v>418</v>
      </c>
      <c r="P139" s="30" t="s">
        <v>418</v>
      </c>
      <c r="Q139" s="30" t="s">
        <v>418</v>
      </c>
      <c r="R139" s="30" t="s">
        <v>418</v>
      </c>
      <c r="S139" s="30" t="s">
        <v>418</v>
      </c>
      <c r="T139" t="s">
        <v>418</v>
      </c>
      <c r="U139" t="s">
        <v>418</v>
      </c>
      <c r="X139" s="86">
        <f t="shared" si="2"/>
        <v>0</v>
      </c>
      <c r="AA139" s="86" t="s">
        <v>418</v>
      </c>
      <c r="AB139" s="86" t="s">
        <v>418</v>
      </c>
    </row>
    <row r="140" spans="1:28">
      <c r="A140" s="68">
        <v>139</v>
      </c>
      <c r="B140" s="30" t="s">
        <v>418</v>
      </c>
      <c r="C140" s="30" t="s">
        <v>418</v>
      </c>
      <c r="D140" s="30" t="s">
        <v>418</v>
      </c>
      <c r="E140" s="230" t="s">
        <v>418</v>
      </c>
      <c r="F140" s="30" t="s">
        <v>418</v>
      </c>
      <c r="G140" s="30" t="s">
        <v>418</v>
      </c>
      <c r="H140" s="229" t="s">
        <v>418</v>
      </c>
      <c r="I140" s="229" t="s">
        <v>418</v>
      </c>
      <c r="J140" s="229" t="s">
        <v>418</v>
      </c>
      <c r="K140" s="86" t="s">
        <v>418</v>
      </c>
      <c r="L140" s="86"/>
      <c r="M140" s="254" t="s">
        <v>418</v>
      </c>
      <c r="N140" s="30" t="s">
        <v>418</v>
      </c>
      <c r="O140" s="30" t="s">
        <v>418</v>
      </c>
      <c r="P140" s="30" t="s">
        <v>418</v>
      </c>
      <c r="Q140" s="30" t="s">
        <v>418</v>
      </c>
      <c r="R140" s="30" t="s">
        <v>418</v>
      </c>
      <c r="S140" s="30" t="s">
        <v>418</v>
      </c>
      <c r="T140" t="s">
        <v>418</v>
      </c>
      <c r="U140" t="s">
        <v>418</v>
      </c>
      <c r="X140" s="86">
        <f t="shared" si="2"/>
        <v>0</v>
      </c>
      <c r="AA140" s="86" t="s">
        <v>418</v>
      </c>
      <c r="AB140" s="86" t="s">
        <v>418</v>
      </c>
    </row>
    <row r="141" spans="1:28">
      <c r="A141" s="68">
        <v>140</v>
      </c>
      <c r="B141" s="30" t="s">
        <v>418</v>
      </c>
      <c r="C141" s="30" t="s">
        <v>418</v>
      </c>
      <c r="D141" s="30" t="s">
        <v>418</v>
      </c>
      <c r="E141" s="230" t="s">
        <v>418</v>
      </c>
      <c r="F141" s="30" t="s">
        <v>418</v>
      </c>
      <c r="G141" s="30" t="s">
        <v>418</v>
      </c>
      <c r="H141" s="229" t="s">
        <v>418</v>
      </c>
      <c r="I141" s="229" t="s">
        <v>418</v>
      </c>
      <c r="J141" s="229" t="s">
        <v>418</v>
      </c>
      <c r="K141" s="86" t="s">
        <v>418</v>
      </c>
      <c r="L141" s="86"/>
      <c r="M141" s="254" t="s">
        <v>418</v>
      </c>
      <c r="N141" s="30" t="s">
        <v>418</v>
      </c>
      <c r="O141" s="30" t="s">
        <v>418</v>
      </c>
      <c r="P141" s="30" t="s">
        <v>418</v>
      </c>
      <c r="Q141" s="30" t="s">
        <v>418</v>
      </c>
      <c r="R141" s="30" t="s">
        <v>418</v>
      </c>
      <c r="S141" s="30" t="s">
        <v>418</v>
      </c>
      <c r="T141" t="s">
        <v>418</v>
      </c>
      <c r="U141" t="s">
        <v>418</v>
      </c>
      <c r="X141" s="86">
        <f t="shared" si="2"/>
        <v>0</v>
      </c>
      <c r="AA141" s="86" t="s">
        <v>418</v>
      </c>
      <c r="AB141" s="86" t="s">
        <v>418</v>
      </c>
    </row>
    <row r="142" spans="1:28">
      <c r="A142" s="68">
        <v>141</v>
      </c>
      <c r="B142" s="30" t="s">
        <v>418</v>
      </c>
      <c r="C142" s="30" t="s">
        <v>418</v>
      </c>
      <c r="D142" s="30" t="s">
        <v>418</v>
      </c>
      <c r="E142" s="230" t="s">
        <v>418</v>
      </c>
      <c r="F142" s="30" t="s">
        <v>418</v>
      </c>
      <c r="G142" s="30" t="s">
        <v>418</v>
      </c>
      <c r="H142" s="229" t="s">
        <v>418</v>
      </c>
      <c r="I142" s="229" t="s">
        <v>418</v>
      </c>
      <c r="J142" s="229" t="s">
        <v>418</v>
      </c>
      <c r="K142" s="86" t="s">
        <v>418</v>
      </c>
      <c r="L142" s="86"/>
      <c r="M142" s="254" t="s">
        <v>418</v>
      </c>
      <c r="N142" s="30" t="s">
        <v>418</v>
      </c>
      <c r="O142" s="30" t="s">
        <v>418</v>
      </c>
      <c r="P142" s="30" t="s">
        <v>418</v>
      </c>
      <c r="Q142" s="30" t="s">
        <v>418</v>
      </c>
      <c r="R142" s="30" t="s">
        <v>418</v>
      </c>
      <c r="S142" s="30" t="s">
        <v>418</v>
      </c>
      <c r="T142" t="s">
        <v>418</v>
      </c>
      <c r="U142" t="s">
        <v>418</v>
      </c>
      <c r="X142" s="86">
        <f t="shared" si="2"/>
        <v>0</v>
      </c>
      <c r="AA142" s="86" t="s">
        <v>418</v>
      </c>
      <c r="AB142" s="86" t="s">
        <v>418</v>
      </c>
    </row>
    <row r="143" spans="1:28">
      <c r="A143" s="68">
        <v>142</v>
      </c>
      <c r="B143" s="30" t="s">
        <v>418</v>
      </c>
      <c r="C143" s="30" t="s">
        <v>418</v>
      </c>
      <c r="D143" s="30" t="s">
        <v>418</v>
      </c>
      <c r="E143" s="230" t="s">
        <v>418</v>
      </c>
      <c r="F143" s="30" t="s">
        <v>418</v>
      </c>
      <c r="G143" s="30" t="s">
        <v>418</v>
      </c>
      <c r="H143" s="229" t="s">
        <v>418</v>
      </c>
      <c r="I143" s="229" t="s">
        <v>418</v>
      </c>
      <c r="J143" s="229" t="s">
        <v>418</v>
      </c>
      <c r="K143" s="86" t="s">
        <v>418</v>
      </c>
      <c r="L143" s="86"/>
      <c r="M143" s="254" t="s">
        <v>418</v>
      </c>
      <c r="N143" s="30" t="s">
        <v>418</v>
      </c>
      <c r="O143" s="30" t="s">
        <v>418</v>
      </c>
      <c r="P143" s="30" t="s">
        <v>418</v>
      </c>
      <c r="Q143" s="30" t="s">
        <v>418</v>
      </c>
      <c r="R143" s="30" t="s">
        <v>418</v>
      </c>
      <c r="S143" s="30" t="s">
        <v>418</v>
      </c>
      <c r="T143" t="s">
        <v>418</v>
      </c>
      <c r="U143" t="s">
        <v>418</v>
      </c>
      <c r="X143" s="86">
        <f t="shared" si="2"/>
        <v>0</v>
      </c>
      <c r="AA143" s="86" t="s">
        <v>418</v>
      </c>
      <c r="AB143" s="86" t="s">
        <v>418</v>
      </c>
    </row>
    <row r="144" spans="1:28">
      <c r="A144" s="68">
        <v>143</v>
      </c>
      <c r="B144" s="30" t="s">
        <v>418</v>
      </c>
      <c r="C144" s="30" t="s">
        <v>418</v>
      </c>
      <c r="D144" s="30" t="s">
        <v>418</v>
      </c>
      <c r="E144" s="230" t="s">
        <v>418</v>
      </c>
      <c r="F144" s="30" t="s">
        <v>418</v>
      </c>
      <c r="G144" s="30" t="s">
        <v>418</v>
      </c>
      <c r="H144" s="229" t="s">
        <v>418</v>
      </c>
      <c r="I144" s="229" t="s">
        <v>418</v>
      </c>
      <c r="J144" s="229" t="s">
        <v>418</v>
      </c>
      <c r="K144" s="86" t="s">
        <v>418</v>
      </c>
      <c r="L144" s="86"/>
      <c r="M144" s="254" t="s">
        <v>418</v>
      </c>
      <c r="N144" s="30" t="s">
        <v>418</v>
      </c>
      <c r="O144" s="30" t="s">
        <v>418</v>
      </c>
      <c r="P144" s="30" t="s">
        <v>418</v>
      </c>
      <c r="Q144" s="30" t="s">
        <v>418</v>
      </c>
      <c r="R144" s="30" t="s">
        <v>418</v>
      </c>
      <c r="S144" s="30" t="s">
        <v>418</v>
      </c>
      <c r="T144" t="s">
        <v>418</v>
      </c>
      <c r="U144" t="s">
        <v>418</v>
      </c>
      <c r="X144" s="86">
        <f t="shared" si="2"/>
        <v>0</v>
      </c>
      <c r="AA144" s="86" t="s">
        <v>418</v>
      </c>
      <c r="AB144" s="86" t="s">
        <v>418</v>
      </c>
    </row>
    <row r="145" spans="1:28">
      <c r="A145" s="68">
        <v>144</v>
      </c>
      <c r="B145" s="30" t="s">
        <v>418</v>
      </c>
      <c r="C145" s="30" t="s">
        <v>418</v>
      </c>
      <c r="D145" s="30" t="s">
        <v>418</v>
      </c>
      <c r="E145" s="230" t="s">
        <v>418</v>
      </c>
      <c r="F145" s="30" t="s">
        <v>418</v>
      </c>
      <c r="G145" s="30" t="s">
        <v>418</v>
      </c>
      <c r="H145" s="229" t="s">
        <v>418</v>
      </c>
      <c r="I145" s="229" t="s">
        <v>418</v>
      </c>
      <c r="J145" s="229" t="s">
        <v>418</v>
      </c>
      <c r="K145" s="86" t="s">
        <v>418</v>
      </c>
      <c r="L145" s="86"/>
      <c r="M145" s="254" t="s">
        <v>418</v>
      </c>
      <c r="N145" s="30" t="s">
        <v>418</v>
      </c>
      <c r="O145" s="30" t="s">
        <v>418</v>
      </c>
      <c r="P145" s="30" t="s">
        <v>418</v>
      </c>
      <c r="Q145" s="30" t="s">
        <v>418</v>
      </c>
      <c r="R145" s="30" t="s">
        <v>418</v>
      </c>
      <c r="S145" s="30" t="s">
        <v>418</v>
      </c>
      <c r="T145" t="s">
        <v>418</v>
      </c>
      <c r="U145" t="s">
        <v>418</v>
      </c>
      <c r="X145" s="86">
        <f t="shared" si="2"/>
        <v>0</v>
      </c>
      <c r="AA145" s="86" t="s">
        <v>418</v>
      </c>
      <c r="AB145" s="86" t="s">
        <v>418</v>
      </c>
    </row>
    <row r="146" spans="1:28">
      <c r="A146" s="68">
        <v>145</v>
      </c>
      <c r="B146" s="30" t="s">
        <v>418</v>
      </c>
      <c r="C146" s="30" t="s">
        <v>418</v>
      </c>
      <c r="D146" s="30" t="s">
        <v>418</v>
      </c>
      <c r="E146" s="230" t="s">
        <v>418</v>
      </c>
      <c r="F146" s="30" t="s">
        <v>418</v>
      </c>
      <c r="G146" s="30" t="s">
        <v>418</v>
      </c>
      <c r="H146" s="229" t="s">
        <v>418</v>
      </c>
      <c r="I146" s="229" t="s">
        <v>418</v>
      </c>
      <c r="J146" s="229" t="s">
        <v>418</v>
      </c>
      <c r="K146" s="86" t="s">
        <v>418</v>
      </c>
      <c r="L146" s="86"/>
      <c r="M146" s="254" t="s">
        <v>418</v>
      </c>
      <c r="N146" s="30" t="s">
        <v>418</v>
      </c>
      <c r="O146" s="30" t="s">
        <v>418</v>
      </c>
      <c r="P146" s="30" t="s">
        <v>418</v>
      </c>
      <c r="Q146" s="30" t="s">
        <v>418</v>
      </c>
      <c r="R146" s="30" t="s">
        <v>418</v>
      </c>
      <c r="S146" s="30" t="s">
        <v>418</v>
      </c>
      <c r="T146" t="s">
        <v>418</v>
      </c>
      <c r="U146" t="s">
        <v>418</v>
      </c>
      <c r="X146" s="86">
        <f t="shared" si="2"/>
        <v>0</v>
      </c>
      <c r="AA146" s="86" t="s">
        <v>418</v>
      </c>
      <c r="AB146" s="86" t="s">
        <v>418</v>
      </c>
    </row>
    <row r="147" spans="1:28">
      <c r="A147" s="68">
        <v>146</v>
      </c>
      <c r="B147" s="30" t="s">
        <v>418</v>
      </c>
      <c r="C147" s="30" t="s">
        <v>418</v>
      </c>
      <c r="D147" s="30" t="s">
        <v>418</v>
      </c>
      <c r="E147" s="230" t="s">
        <v>418</v>
      </c>
      <c r="F147" s="30" t="s">
        <v>418</v>
      </c>
      <c r="G147" s="30" t="s">
        <v>418</v>
      </c>
      <c r="H147" s="229" t="s">
        <v>418</v>
      </c>
      <c r="I147" s="229" t="s">
        <v>418</v>
      </c>
      <c r="J147" s="229" t="s">
        <v>418</v>
      </c>
      <c r="K147" s="86" t="s">
        <v>418</v>
      </c>
      <c r="L147" s="86"/>
      <c r="M147" s="254" t="s">
        <v>418</v>
      </c>
      <c r="N147" s="30" t="s">
        <v>418</v>
      </c>
      <c r="O147" s="30" t="s">
        <v>418</v>
      </c>
      <c r="P147" s="30" t="s">
        <v>418</v>
      </c>
      <c r="Q147" s="30" t="s">
        <v>418</v>
      </c>
      <c r="R147" s="30" t="s">
        <v>418</v>
      </c>
      <c r="S147" s="30" t="s">
        <v>418</v>
      </c>
      <c r="T147" t="s">
        <v>418</v>
      </c>
      <c r="U147" t="s">
        <v>418</v>
      </c>
      <c r="X147" s="86">
        <f t="shared" si="2"/>
        <v>0</v>
      </c>
      <c r="AA147" s="86" t="s">
        <v>418</v>
      </c>
      <c r="AB147" s="86" t="s">
        <v>418</v>
      </c>
    </row>
    <row r="148" spans="1:28">
      <c r="A148" s="68">
        <v>147</v>
      </c>
      <c r="B148" s="30" t="s">
        <v>418</v>
      </c>
      <c r="C148" s="30" t="s">
        <v>418</v>
      </c>
      <c r="D148" s="30" t="s">
        <v>418</v>
      </c>
      <c r="E148" s="230" t="s">
        <v>418</v>
      </c>
      <c r="F148" s="30" t="s">
        <v>418</v>
      </c>
      <c r="G148" s="30" t="s">
        <v>418</v>
      </c>
      <c r="H148" s="229" t="s">
        <v>418</v>
      </c>
      <c r="I148" s="229" t="s">
        <v>418</v>
      </c>
      <c r="J148" s="229" t="s">
        <v>418</v>
      </c>
      <c r="K148" s="86" t="s">
        <v>418</v>
      </c>
      <c r="L148" s="86"/>
      <c r="M148" s="254" t="s">
        <v>418</v>
      </c>
      <c r="N148" s="30" t="s">
        <v>418</v>
      </c>
      <c r="O148" s="30" t="s">
        <v>418</v>
      </c>
      <c r="P148" s="30" t="s">
        <v>418</v>
      </c>
      <c r="Q148" s="30" t="s">
        <v>418</v>
      </c>
      <c r="R148" s="30" t="s">
        <v>418</v>
      </c>
      <c r="S148" s="30" t="s">
        <v>418</v>
      </c>
      <c r="T148" t="s">
        <v>418</v>
      </c>
      <c r="U148" t="s">
        <v>418</v>
      </c>
      <c r="X148" s="86">
        <f t="shared" si="2"/>
        <v>0</v>
      </c>
      <c r="AA148" s="86" t="s">
        <v>418</v>
      </c>
      <c r="AB148" s="86" t="s">
        <v>418</v>
      </c>
    </row>
    <row r="149" spans="1:28">
      <c r="A149" s="68">
        <v>148</v>
      </c>
      <c r="B149" s="30" t="s">
        <v>418</v>
      </c>
      <c r="C149" s="30" t="s">
        <v>418</v>
      </c>
      <c r="D149" s="30" t="s">
        <v>418</v>
      </c>
      <c r="E149" s="230" t="s">
        <v>418</v>
      </c>
      <c r="F149" s="30" t="s">
        <v>418</v>
      </c>
      <c r="G149" s="30" t="s">
        <v>418</v>
      </c>
      <c r="H149" s="229" t="s">
        <v>418</v>
      </c>
      <c r="I149" s="229" t="s">
        <v>418</v>
      </c>
      <c r="J149" s="229" t="s">
        <v>418</v>
      </c>
      <c r="K149" s="86" t="s">
        <v>418</v>
      </c>
      <c r="L149" s="86"/>
      <c r="M149" s="254" t="s">
        <v>418</v>
      </c>
      <c r="N149" s="30" t="s">
        <v>418</v>
      </c>
      <c r="O149" s="30" t="s">
        <v>418</v>
      </c>
      <c r="P149" s="30" t="s">
        <v>418</v>
      </c>
      <c r="Q149" s="30" t="s">
        <v>418</v>
      </c>
      <c r="R149" s="30" t="s">
        <v>418</v>
      </c>
      <c r="S149" s="30" t="s">
        <v>418</v>
      </c>
      <c r="T149" t="s">
        <v>418</v>
      </c>
      <c r="U149" t="s">
        <v>418</v>
      </c>
      <c r="X149" s="86">
        <f t="shared" si="2"/>
        <v>0</v>
      </c>
      <c r="AA149" s="86" t="s">
        <v>418</v>
      </c>
      <c r="AB149" s="86" t="s">
        <v>418</v>
      </c>
    </row>
    <row r="150" spans="1:28">
      <c r="A150" s="68">
        <v>149</v>
      </c>
      <c r="B150" s="30" t="s">
        <v>418</v>
      </c>
      <c r="C150" s="30" t="s">
        <v>418</v>
      </c>
      <c r="D150" s="30" t="s">
        <v>418</v>
      </c>
      <c r="E150" s="230" t="s">
        <v>418</v>
      </c>
      <c r="F150" s="30" t="s">
        <v>418</v>
      </c>
      <c r="G150" s="30" t="s">
        <v>418</v>
      </c>
      <c r="H150" s="229" t="s">
        <v>418</v>
      </c>
      <c r="I150" s="229" t="s">
        <v>418</v>
      </c>
      <c r="J150" s="229" t="s">
        <v>418</v>
      </c>
      <c r="K150" s="86" t="s">
        <v>418</v>
      </c>
      <c r="L150" s="86"/>
      <c r="M150" s="254" t="s">
        <v>418</v>
      </c>
      <c r="N150" s="30" t="s">
        <v>418</v>
      </c>
      <c r="O150" s="30" t="s">
        <v>418</v>
      </c>
      <c r="P150" s="30" t="s">
        <v>418</v>
      </c>
      <c r="Q150" s="30" t="s">
        <v>418</v>
      </c>
      <c r="R150" s="30" t="s">
        <v>418</v>
      </c>
      <c r="S150" s="30" t="s">
        <v>418</v>
      </c>
      <c r="T150" t="s">
        <v>418</v>
      </c>
      <c r="U150" t="s">
        <v>418</v>
      </c>
      <c r="X150" s="86">
        <f t="shared" si="2"/>
        <v>0</v>
      </c>
      <c r="AA150" s="86" t="s">
        <v>418</v>
      </c>
      <c r="AB150" s="86" t="s">
        <v>418</v>
      </c>
    </row>
    <row r="151" spans="1:28">
      <c r="A151" s="68">
        <v>150</v>
      </c>
      <c r="B151" s="30" t="s">
        <v>418</v>
      </c>
      <c r="C151" s="30" t="s">
        <v>418</v>
      </c>
      <c r="D151" s="30" t="s">
        <v>418</v>
      </c>
      <c r="E151" s="230" t="s">
        <v>418</v>
      </c>
      <c r="F151" s="30" t="s">
        <v>418</v>
      </c>
      <c r="G151" s="30" t="s">
        <v>418</v>
      </c>
      <c r="H151" s="229" t="s">
        <v>418</v>
      </c>
      <c r="I151" s="229" t="s">
        <v>418</v>
      </c>
      <c r="J151" s="229" t="s">
        <v>418</v>
      </c>
      <c r="K151" s="86" t="s">
        <v>418</v>
      </c>
      <c r="L151" s="86"/>
      <c r="M151" s="254" t="s">
        <v>418</v>
      </c>
      <c r="N151" s="30" t="s">
        <v>418</v>
      </c>
      <c r="O151" s="30" t="s">
        <v>418</v>
      </c>
      <c r="P151" s="30" t="s">
        <v>418</v>
      </c>
      <c r="Q151" s="30" t="s">
        <v>418</v>
      </c>
      <c r="R151" s="30" t="s">
        <v>418</v>
      </c>
      <c r="S151" s="30" t="s">
        <v>418</v>
      </c>
      <c r="T151" t="s">
        <v>418</v>
      </c>
      <c r="U151" t="s">
        <v>418</v>
      </c>
      <c r="X151" s="86">
        <f t="shared" si="2"/>
        <v>0</v>
      </c>
      <c r="AA151" s="86" t="s">
        <v>418</v>
      </c>
      <c r="AB151" s="86" t="s">
        <v>418</v>
      </c>
    </row>
    <row r="152" spans="1:28">
      <c r="A152" s="68">
        <v>151</v>
      </c>
      <c r="B152" s="30" t="s">
        <v>418</v>
      </c>
      <c r="C152" s="30" t="s">
        <v>418</v>
      </c>
      <c r="D152" s="30" t="s">
        <v>418</v>
      </c>
      <c r="E152" s="230" t="s">
        <v>418</v>
      </c>
      <c r="F152" s="30" t="s">
        <v>418</v>
      </c>
      <c r="G152" s="30" t="s">
        <v>418</v>
      </c>
      <c r="H152" s="229" t="s">
        <v>418</v>
      </c>
      <c r="I152" s="229" t="s">
        <v>418</v>
      </c>
      <c r="J152" s="229" t="s">
        <v>418</v>
      </c>
      <c r="K152" s="86" t="s">
        <v>418</v>
      </c>
      <c r="L152" s="86"/>
      <c r="M152" s="254" t="s">
        <v>418</v>
      </c>
      <c r="N152" s="30" t="s">
        <v>418</v>
      </c>
      <c r="O152" s="30" t="s">
        <v>418</v>
      </c>
      <c r="P152" s="30" t="s">
        <v>418</v>
      </c>
      <c r="Q152" s="30" t="s">
        <v>418</v>
      </c>
      <c r="R152" s="30" t="s">
        <v>418</v>
      </c>
      <c r="S152" s="30" t="s">
        <v>418</v>
      </c>
      <c r="T152" t="s">
        <v>418</v>
      </c>
      <c r="U152" t="s">
        <v>418</v>
      </c>
      <c r="X152" s="86">
        <f t="shared" si="2"/>
        <v>0</v>
      </c>
      <c r="AA152" s="86" t="s">
        <v>418</v>
      </c>
      <c r="AB152" s="86" t="s">
        <v>418</v>
      </c>
    </row>
    <row r="153" spans="1:28">
      <c r="A153" s="68">
        <v>152</v>
      </c>
      <c r="B153" s="30" t="s">
        <v>418</v>
      </c>
      <c r="C153" s="30" t="s">
        <v>418</v>
      </c>
      <c r="D153" s="30" t="s">
        <v>418</v>
      </c>
      <c r="E153" s="230" t="s">
        <v>418</v>
      </c>
      <c r="F153" s="30" t="s">
        <v>418</v>
      </c>
      <c r="G153" s="30" t="s">
        <v>418</v>
      </c>
      <c r="H153" s="229" t="s">
        <v>418</v>
      </c>
      <c r="I153" s="229" t="s">
        <v>418</v>
      </c>
      <c r="J153" s="229" t="s">
        <v>418</v>
      </c>
      <c r="K153" s="86" t="s">
        <v>418</v>
      </c>
      <c r="L153" s="86"/>
      <c r="M153" s="254" t="s">
        <v>418</v>
      </c>
      <c r="N153" s="30" t="s">
        <v>418</v>
      </c>
      <c r="O153" s="30" t="s">
        <v>418</v>
      </c>
      <c r="P153" s="30" t="s">
        <v>418</v>
      </c>
      <c r="Q153" s="30" t="s">
        <v>418</v>
      </c>
      <c r="R153" s="30" t="s">
        <v>418</v>
      </c>
      <c r="S153" s="30" t="s">
        <v>418</v>
      </c>
      <c r="T153" t="s">
        <v>418</v>
      </c>
      <c r="U153" t="s">
        <v>418</v>
      </c>
      <c r="X153" s="86">
        <f t="shared" si="2"/>
        <v>0</v>
      </c>
      <c r="AA153" s="86" t="s">
        <v>418</v>
      </c>
      <c r="AB153" s="86" t="s">
        <v>418</v>
      </c>
    </row>
    <row r="154" spans="1:28">
      <c r="A154" s="68">
        <v>153</v>
      </c>
      <c r="B154" s="30" t="s">
        <v>418</v>
      </c>
      <c r="C154" s="30" t="s">
        <v>418</v>
      </c>
      <c r="D154" s="30" t="s">
        <v>418</v>
      </c>
      <c r="E154" s="230" t="s">
        <v>418</v>
      </c>
      <c r="F154" s="30" t="s">
        <v>418</v>
      </c>
      <c r="G154" s="30" t="s">
        <v>418</v>
      </c>
      <c r="H154" s="229" t="s">
        <v>418</v>
      </c>
      <c r="I154" s="229" t="s">
        <v>418</v>
      </c>
      <c r="J154" s="229" t="s">
        <v>418</v>
      </c>
      <c r="K154" s="86" t="s">
        <v>418</v>
      </c>
      <c r="L154" s="86"/>
      <c r="M154" s="254" t="s">
        <v>418</v>
      </c>
      <c r="N154" s="30" t="s">
        <v>418</v>
      </c>
      <c r="O154" s="30" t="s">
        <v>418</v>
      </c>
      <c r="P154" s="30" t="s">
        <v>418</v>
      </c>
      <c r="Q154" s="30" t="s">
        <v>418</v>
      </c>
      <c r="R154" s="30" t="s">
        <v>418</v>
      </c>
      <c r="S154" s="30" t="s">
        <v>418</v>
      </c>
      <c r="T154" t="s">
        <v>418</v>
      </c>
      <c r="U154" t="s">
        <v>418</v>
      </c>
      <c r="X154" s="86">
        <f t="shared" si="2"/>
        <v>0</v>
      </c>
      <c r="AA154" s="86" t="s">
        <v>418</v>
      </c>
      <c r="AB154" s="86" t="s">
        <v>418</v>
      </c>
    </row>
    <row r="155" spans="1:28">
      <c r="A155" s="68">
        <v>154</v>
      </c>
      <c r="B155" s="30" t="s">
        <v>418</v>
      </c>
      <c r="C155" s="30" t="s">
        <v>418</v>
      </c>
      <c r="D155" s="30" t="s">
        <v>418</v>
      </c>
      <c r="E155" s="230" t="s">
        <v>418</v>
      </c>
      <c r="F155" s="30" t="s">
        <v>418</v>
      </c>
      <c r="G155" s="30" t="s">
        <v>418</v>
      </c>
      <c r="H155" s="229" t="s">
        <v>418</v>
      </c>
      <c r="I155" s="229" t="s">
        <v>418</v>
      </c>
      <c r="J155" s="229" t="s">
        <v>418</v>
      </c>
      <c r="K155" s="86" t="s">
        <v>418</v>
      </c>
      <c r="L155" s="86"/>
      <c r="M155" s="254" t="s">
        <v>418</v>
      </c>
      <c r="N155" s="30" t="s">
        <v>418</v>
      </c>
      <c r="O155" s="30" t="s">
        <v>418</v>
      </c>
      <c r="P155" s="30" t="s">
        <v>418</v>
      </c>
      <c r="Q155" s="30" t="s">
        <v>418</v>
      </c>
      <c r="R155" s="30" t="s">
        <v>418</v>
      </c>
      <c r="S155" s="30" t="s">
        <v>418</v>
      </c>
      <c r="T155" t="s">
        <v>418</v>
      </c>
      <c r="U155" t="s">
        <v>418</v>
      </c>
      <c r="X155" s="86">
        <f t="shared" si="2"/>
        <v>0</v>
      </c>
      <c r="AA155" s="86" t="s">
        <v>418</v>
      </c>
      <c r="AB155" s="86" t="s">
        <v>418</v>
      </c>
    </row>
    <row r="156" spans="1:28">
      <c r="A156" s="68">
        <v>155</v>
      </c>
      <c r="B156" s="30" t="s">
        <v>418</v>
      </c>
      <c r="C156" s="30" t="s">
        <v>418</v>
      </c>
      <c r="D156" s="30" t="s">
        <v>418</v>
      </c>
      <c r="E156" s="230" t="s">
        <v>418</v>
      </c>
      <c r="F156" s="30" t="s">
        <v>418</v>
      </c>
      <c r="G156" s="30" t="s">
        <v>418</v>
      </c>
      <c r="H156" s="229" t="s">
        <v>418</v>
      </c>
      <c r="I156" s="229" t="s">
        <v>418</v>
      </c>
      <c r="J156" s="229" t="s">
        <v>418</v>
      </c>
      <c r="K156" s="86" t="s">
        <v>418</v>
      </c>
      <c r="L156" s="86"/>
      <c r="M156" s="254" t="s">
        <v>418</v>
      </c>
      <c r="N156" s="30" t="s">
        <v>418</v>
      </c>
      <c r="O156" s="30" t="s">
        <v>418</v>
      </c>
      <c r="P156" s="30" t="s">
        <v>418</v>
      </c>
      <c r="Q156" s="30" t="s">
        <v>418</v>
      </c>
      <c r="R156" s="30" t="s">
        <v>418</v>
      </c>
      <c r="S156" s="30" t="s">
        <v>418</v>
      </c>
      <c r="T156" t="s">
        <v>418</v>
      </c>
      <c r="U156" t="s">
        <v>418</v>
      </c>
      <c r="X156" s="86">
        <f t="shared" si="2"/>
        <v>0</v>
      </c>
      <c r="AA156" s="86" t="s">
        <v>418</v>
      </c>
      <c r="AB156" s="86" t="s">
        <v>418</v>
      </c>
    </row>
    <row r="157" spans="1:28">
      <c r="A157" s="68">
        <v>156</v>
      </c>
      <c r="B157" s="30" t="s">
        <v>418</v>
      </c>
      <c r="C157" s="30" t="s">
        <v>418</v>
      </c>
      <c r="D157" s="30" t="s">
        <v>418</v>
      </c>
      <c r="E157" s="230" t="s">
        <v>418</v>
      </c>
      <c r="F157" s="30" t="s">
        <v>418</v>
      </c>
      <c r="G157" s="30" t="s">
        <v>418</v>
      </c>
      <c r="H157" s="229" t="s">
        <v>418</v>
      </c>
      <c r="I157" s="229" t="s">
        <v>418</v>
      </c>
      <c r="J157" s="229" t="s">
        <v>418</v>
      </c>
      <c r="K157" s="86" t="s">
        <v>418</v>
      </c>
      <c r="L157" s="86"/>
      <c r="M157" s="254" t="s">
        <v>418</v>
      </c>
      <c r="N157" s="30" t="s">
        <v>418</v>
      </c>
      <c r="O157" s="30" t="s">
        <v>418</v>
      </c>
      <c r="P157" s="30" t="s">
        <v>418</v>
      </c>
      <c r="Q157" s="30" t="s">
        <v>418</v>
      </c>
      <c r="R157" s="30" t="s">
        <v>418</v>
      </c>
      <c r="S157" s="30" t="s">
        <v>418</v>
      </c>
      <c r="T157" t="s">
        <v>418</v>
      </c>
      <c r="U157" t="s">
        <v>418</v>
      </c>
      <c r="X157" s="86">
        <f t="shared" si="2"/>
        <v>0</v>
      </c>
      <c r="AA157" s="86" t="s">
        <v>418</v>
      </c>
      <c r="AB157" s="86" t="s">
        <v>418</v>
      </c>
    </row>
    <row r="158" spans="1:28">
      <c r="A158" s="68">
        <v>157</v>
      </c>
      <c r="B158" s="30" t="s">
        <v>418</v>
      </c>
      <c r="C158" s="30" t="s">
        <v>418</v>
      </c>
      <c r="D158" s="30" t="s">
        <v>418</v>
      </c>
      <c r="E158" s="230" t="s">
        <v>418</v>
      </c>
      <c r="F158" s="30" t="s">
        <v>418</v>
      </c>
      <c r="G158" s="30" t="s">
        <v>418</v>
      </c>
      <c r="H158" s="229" t="s">
        <v>418</v>
      </c>
      <c r="I158" s="229" t="s">
        <v>418</v>
      </c>
      <c r="J158" s="229" t="s">
        <v>418</v>
      </c>
      <c r="K158" s="86" t="s">
        <v>418</v>
      </c>
      <c r="L158" s="86"/>
      <c r="M158" s="254" t="s">
        <v>418</v>
      </c>
      <c r="N158" s="30" t="s">
        <v>418</v>
      </c>
      <c r="O158" s="30" t="s">
        <v>418</v>
      </c>
      <c r="P158" s="30" t="s">
        <v>418</v>
      </c>
      <c r="Q158" s="30" t="s">
        <v>418</v>
      </c>
      <c r="R158" s="30" t="s">
        <v>418</v>
      </c>
      <c r="S158" s="30" t="s">
        <v>418</v>
      </c>
      <c r="T158" t="s">
        <v>418</v>
      </c>
      <c r="U158" t="s">
        <v>418</v>
      </c>
      <c r="X158" s="86">
        <f t="shared" si="2"/>
        <v>0</v>
      </c>
      <c r="AA158" s="86" t="s">
        <v>418</v>
      </c>
      <c r="AB158" s="86" t="s">
        <v>418</v>
      </c>
    </row>
    <row r="159" spans="1:28">
      <c r="A159" s="68">
        <v>158</v>
      </c>
      <c r="B159" s="30" t="s">
        <v>418</v>
      </c>
      <c r="C159" s="30" t="s">
        <v>418</v>
      </c>
      <c r="D159" s="30" t="s">
        <v>418</v>
      </c>
      <c r="E159" s="230" t="s">
        <v>418</v>
      </c>
      <c r="F159" s="30" t="s">
        <v>418</v>
      </c>
      <c r="G159" s="30" t="s">
        <v>418</v>
      </c>
      <c r="H159" s="229" t="s">
        <v>418</v>
      </c>
      <c r="I159" s="229" t="s">
        <v>418</v>
      </c>
      <c r="J159" s="229" t="s">
        <v>418</v>
      </c>
      <c r="K159" s="86" t="s">
        <v>418</v>
      </c>
      <c r="L159" s="86"/>
      <c r="M159" s="254" t="s">
        <v>418</v>
      </c>
      <c r="N159" s="30" t="s">
        <v>418</v>
      </c>
      <c r="O159" s="30" t="s">
        <v>418</v>
      </c>
      <c r="P159" s="30" t="s">
        <v>418</v>
      </c>
      <c r="Q159" s="30" t="s">
        <v>418</v>
      </c>
      <c r="R159" s="30" t="s">
        <v>418</v>
      </c>
      <c r="S159" s="30" t="s">
        <v>418</v>
      </c>
      <c r="T159" t="s">
        <v>418</v>
      </c>
      <c r="U159" t="s">
        <v>418</v>
      </c>
      <c r="X159" s="86">
        <f t="shared" si="2"/>
        <v>0</v>
      </c>
      <c r="AA159" s="86" t="s">
        <v>418</v>
      </c>
      <c r="AB159" s="86" t="s">
        <v>418</v>
      </c>
    </row>
    <row r="160" spans="1:28">
      <c r="A160" s="68">
        <v>159</v>
      </c>
      <c r="B160" s="30" t="s">
        <v>418</v>
      </c>
      <c r="C160" s="30" t="s">
        <v>418</v>
      </c>
      <c r="D160" s="30" t="s">
        <v>418</v>
      </c>
      <c r="E160" s="230" t="s">
        <v>418</v>
      </c>
      <c r="F160" s="30" t="s">
        <v>418</v>
      </c>
      <c r="G160" s="30" t="s">
        <v>418</v>
      </c>
      <c r="H160" s="229" t="s">
        <v>418</v>
      </c>
      <c r="I160" s="229" t="s">
        <v>418</v>
      </c>
      <c r="J160" s="229" t="s">
        <v>418</v>
      </c>
      <c r="K160" s="86" t="s">
        <v>418</v>
      </c>
      <c r="L160" s="86"/>
      <c r="M160" s="254" t="s">
        <v>418</v>
      </c>
      <c r="N160" s="30" t="s">
        <v>418</v>
      </c>
      <c r="O160" s="30" t="s">
        <v>418</v>
      </c>
      <c r="P160" s="30" t="s">
        <v>418</v>
      </c>
      <c r="Q160" s="30" t="s">
        <v>418</v>
      </c>
      <c r="R160" s="30" t="s">
        <v>418</v>
      </c>
      <c r="S160" s="30" t="s">
        <v>418</v>
      </c>
      <c r="T160" t="s">
        <v>418</v>
      </c>
      <c r="U160" t="s">
        <v>418</v>
      </c>
      <c r="X160" s="86">
        <f t="shared" si="2"/>
        <v>0</v>
      </c>
      <c r="AA160" s="86" t="s">
        <v>418</v>
      </c>
      <c r="AB160" s="86" t="s">
        <v>418</v>
      </c>
    </row>
    <row r="161" spans="1:28">
      <c r="A161" s="68">
        <v>160</v>
      </c>
      <c r="B161" s="30" t="s">
        <v>418</v>
      </c>
      <c r="C161" s="30" t="s">
        <v>418</v>
      </c>
      <c r="D161" s="30" t="s">
        <v>418</v>
      </c>
      <c r="E161" s="230" t="s">
        <v>418</v>
      </c>
      <c r="F161" s="30" t="s">
        <v>418</v>
      </c>
      <c r="G161" s="30" t="s">
        <v>418</v>
      </c>
      <c r="H161" s="229" t="s">
        <v>418</v>
      </c>
      <c r="I161" s="229" t="s">
        <v>418</v>
      </c>
      <c r="J161" s="229" t="s">
        <v>418</v>
      </c>
      <c r="K161" s="86" t="s">
        <v>418</v>
      </c>
      <c r="L161" s="86"/>
      <c r="M161" s="254" t="s">
        <v>418</v>
      </c>
      <c r="N161" s="30" t="s">
        <v>418</v>
      </c>
      <c r="O161" s="30" t="s">
        <v>418</v>
      </c>
      <c r="P161" s="30" t="s">
        <v>418</v>
      </c>
      <c r="Q161" s="30" t="s">
        <v>418</v>
      </c>
      <c r="R161" s="30" t="s">
        <v>418</v>
      </c>
      <c r="S161" s="30" t="s">
        <v>418</v>
      </c>
      <c r="T161" t="s">
        <v>418</v>
      </c>
      <c r="U161" t="s">
        <v>418</v>
      </c>
      <c r="X161" s="86">
        <f t="shared" si="2"/>
        <v>0</v>
      </c>
      <c r="AA161" s="86" t="s">
        <v>418</v>
      </c>
      <c r="AB161" s="86" t="s">
        <v>418</v>
      </c>
    </row>
    <row r="162" spans="1:28">
      <c r="A162" s="68">
        <v>161</v>
      </c>
      <c r="B162" s="30" t="s">
        <v>418</v>
      </c>
      <c r="C162" s="30" t="s">
        <v>418</v>
      </c>
      <c r="D162" s="30" t="s">
        <v>418</v>
      </c>
      <c r="E162" s="230" t="s">
        <v>418</v>
      </c>
      <c r="F162" s="30" t="s">
        <v>418</v>
      </c>
      <c r="G162" s="30" t="s">
        <v>418</v>
      </c>
      <c r="H162" s="229" t="s">
        <v>418</v>
      </c>
      <c r="I162" s="229" t="s">
        <v>418</v>
      </c>
      <c r="J162" s="229" t="s">
        <v>418</v>
      </c>
      <c r="K162" s="86" t="s">
        <v>418</v>
      </c>
      <c r="L162" s="86"/>
      <c r="M162" s="254" t="s">
        <v>418</v>
      </c>
      <c r="N162" s="30" t="s">
        <v>418</v>
      </c>
      <c r="O162" s="30" t="s">
        <v>418</v>
      </c>
      <c r="P162" s="30" t="s">
        <v>418</v>
      </c>
      <c r="Q162" s="30" t="s">
        <v>418</v>
      </c>
      <c r="R162" s="30" t="s">
        <v>418</v>
      </c>
      <c r="S162" s="30" t="s">
        <v>418</v>
      </c>
      <c r="T162" t="s">
        <v>418</v>
      </c>
      <c r="U162" t="s">
        <v>418</v>
      </c>
      <c r="X162" s="86">
        <f t="shared" si="2"/>
        <v>0</v>
      </c>
      <c r="AA162" s="86" t="s">
        <v>418</v>
      </c>
      <c r="AB162" s="86" t="s">
        <v>418</v>
      </c>
    </row>
    <row r="163" spans="1:28">
      <c r="A163" s="68">
        <v>162</v>
      </c>
      <c r="B163" s="30" t="s">
        <v>418</v>
      </c>
      <c r="C163" s="30" t="s">
        <v>418</v>
      </c>
      <c r="D163" s="30" t="s">
        <v>418</v>
      </c>
      <c r="E163" s="230" t="s">
        <v>418</v>
      </c>
      <c r="F163" s="30" t="s">
        <v>418</v>
      </c>
      <c r="G163" s="30" t="s">
        <v>418</v>
      </c>
      <c r="H163" s="229" t="s">
        <v>418</v>
      </c>
      <c r="I163" s="229" t="s">
        <v>418</v>
      </c>
      <c r="J163" s="229" t="s">
        <v>418</v>
      </c>
      <c r="K163" s="86" t="s">
        <v>418</v>
      </c>
      <c r="L163" s="86"/>
      <c r="M163" s="254" t="s">
        <v>418</v>
      </c>
      <c r="N163" s="30" t="s">
        <v>418</v>
      </c>
      <c r="O163" s="30" t="s">
        <v>418</v>
      </c>
      <c r="P163" s="30" t="s">
        <v>418</v>
      </c>
      <c r="Q163" s="30" t="s">
        <v>418</v>
      </c>
      <c r="R163" s="30" t="s">
        <v>418</v>
      </c>
      <c r="S163" s="30" t="s">
        <v>418</v>
      </c>
      <c r="T163" t="s">
        <v>418</v>
      </c>
      <c r="U163" t="s">
        <v>418</v>
      </c>
      <c r="X163" s="86">
        <f t="shared" si="2"/>
        <v>0</v>
      </c>
      <c r="AA163" s="86" t="s">
        <v>418</v>
      </c>
      <c r="AB163" s="86" t="s">
        <v>418</v>
      </c>
    </row>
    <row r="164" spans="1:28">
      <c r="A164" s="68">
        <v>163</v>
      </c>
      <c r="B164" s="30" t="s">
        <v>418</v>
      </c>
      <c r="C164" s="30" t="s">
        <v>418</v>
      </c>
      <c r="D164" s="30" t="s">
        <v>418</v>
      </c>
      <c r="E164" s="230" t="s">
        <v>418</v>
      </c>
      <c r="F164" s="30" t="s">
        <v>418</v>
      </c>
      <c r="G164" s="30" t="s">
        <v>418</v>
      </c>
      <c r="H164" s="229" t="s">
        <v>418</v>
      </c>
      <c r="I164" s="229" t="s">
        <v>418</v>
      </c>
      <c r="J164" s="229" t="s">
        <v>418</v>
      </c>
      <c r="K164" s="86" t="s">
        <v>418</v>
      </c>
      <c r="L164" s="86"/>
      <c r="M164" s="254" t="s">
        <v>418</v>
      </c>
      <c r="N164" s="30" t="s">
        <v>418</v>
      </c>
      <c r="O164" s="30" t="s">
        <v>418</v>
      </c>
      <c r="P164" s="30" t="s">
        <v>418</v>
      </c>
      <c r="Q164" s="30" t="s">
        <v>418</v>
      </c>
      <c r="R164" s="30" t="s">
        <v>418</v>
      </c>
      <c r="S164" s="30" t="s">
        <v>418</v>
      </c>
      <c r="T164" t="s">
        <v>418</v>
      </c>
      <c r="U164" t="s">
        <v>418</v>
      </c>
      <c r="X164" s="86">
        <f t="shared" si="2"/>
        <v>0</v>
      </c>
      <c r="AA164" s="86" t="s">
        <v>418</v>
      </c>
      <c r="AB164" s="86" t="s">
        <v>418</v>
      </c>
    </row>
    <row r="165" spans="1:28">
      <c r="A165" s="68">
        <v>164</v>
      </c>
      <c r="B165" s="30" t="s">
        <v>418</v>
      </c>
      <c r="C165" s="30" t="s">
        <v>418</v>
      </c>
      <c r="D165" s="30" t="s">
        <v>418</v>
      </c>
      <c r="E165" s="230" t="s">
        <v>418</v>
      </c>
      <c r="F165" s="30" t="s">
        <v>418</v>
      </c>
      <c r="G165" s="30" t="s">
        <v>418</v>
      </c>
      <c r="H165" s="229" t="s">
        <v>418</v>
      </c>
      <c r="I165" s="229" t="s">
        <v>418</v>
      </c>
      <c r="J165" s="229" t="s">
        <v>418</v>
      </c>
      <c r="K165" s="86" t="s">
        <v>418</v>
      </c>
      <c r="L165" s="86"/>
      <c r="M165" s="254" t="s">
        <v>418</v>
      </c>
      <c r="N165" s="30" t="s">
        <v>418</v>
      </c>
      <c r="O165" s="30" t="s">
        <v>418</v>
      </c>
      <c r="P165" s="30" t="s">
        <v>418</v>
      </c>
      <c r="Q165" s="30" t="s">
        <v>418</v>
      </c>
      <c r="R165" s="30" t="s">
        <v>418</v>
      </c>
      <c r="S165" s="30" t="s">
        <v>418</v>
      </c>
      <c r="T165" t="s">
        <v>418</v>
      </c>
      <c r="U165" t="s">
        <v>418</v>
      </c>
      <c r="X165" s="86">
        <f t="shared" si="2"/>
        <v>0</v>
      </c>
      <c r="AA165" s="86" t="s">
        <v>418</v>
      </c>
      <c r="AB165" s="86" t="s">
        <v>418</v>
      </c>
    </row>
    <row r="166" spans="1:28">
      <c r="A166" s="68">
        <v>165</v>
      </c>
      <c r="B166" s="30" t="s">
        <v>418</v>
      </c>
      <c r="C166" s="30" t="s">
        <v>418</v>
      </c>
      <c r="D166" s="30" t="s">
        <v>418</v>
      </c>
      <c r="E166" s="230" t="s">
        <v>418</v>
      </c>
      <c r="F166" s="30" t="s">
        <v>418</v>
      </c>
      <c r="G166" s="30" t="s">
        <v>418</v>
      </c>
      <c r="H166" s="229" t="s">
        <v>418</v>
      </c>
      <c r="I166" s="229" t="s">
        <v>418</v>
      </c>
      <c r="J166" s="229" t="s">
        <v>418</v>
      </c>
      <c r="K166" s="86" t="s">
        <v>418</v>
      </c>
      <c r="L166" s="86"/>
      <c r="M166" s="254" t="s">
        <v>418</v>
      </c>
      <c r="N166" s="30" t="s">
        <v>418</v>
      </c>
      <c r="O166" s="30" t="s">
        <v>418</v>
      </c>
      <c r="P166" s="30" t="s">
        <v>418</v>
      </c>
      <c r="Q166" s="30" t="s">
        <v>418</v>
      </c>
      <c r="R166" s="30" t="s">
        <v>418</v>
      </c>
      <c r="S166" s="30" t="s">
        <v>418</v>
      </c>
      <c r="T166" t="s">
        <v>418</v>
      </c>
      <c r="U166" t="s">
        <v>418</v>
      </c>
      <c r="X166" s="86">
        <f t="shared" si="2"/>
        <v>0</v>
      </c>
      <c r="AA166" s="86" t="s">
        <v>418</v>
      </c>
      <c r="AB166" s="86" t="s">
        <v>418</v>
      </c>
    </row>
    <row r="167" spans="1:28">
      <c r="A167" s="68">
        <v>166</v>
      </c>
      <c r="B167" s="30" t="s">
        <v>418</v>
      </c>
      <c r="C167" s="30" t="s">
        <v>418</v>
      </c>
      <c r="D167" s="30" t="s">
        <v>418</v>
      </c>
      <c r="E167" s="230" t="s">
        <v>418</v>
      </c>
      <c r="F167" s="30" t="s">
        <v>418</v>
      </c>
      <c r="G167" s="30" t="s">
        <v>418</v>
      </c>
      <c r="H167" s="229" t="s">
        <v>418</v>
      </c>
      <c r="I167" s="229" t="s">
        <v>418</v>
      </c>
      <c r="J167" s="229" t="s">
        <v>418</v>
      </c>
      <c r="K167" s="86" t="s">
        <v>418</v>
      </c>
      <c r="L167" s="86"/>
      <c r="M167" s="254" t="s">
        <v>418</v>
      </c>
      <c r="N167" s="30" t="s">
        <v>418</v>
      </c>
      <c r="O167" s="30" t="s">
        <v>418</v>
      </c>
      <c r="P167" s="30" t="s">
        <v>418</v>
      </c>
      <c r="Q167" s="30" t="s">
        <v>418</v>
      </c>
      <c r="R167" s="30" t="s">
        <v>418</v>
      </c>
      <c r="S167" s="30" t="s">
        <v>418</v>
      </c>
      <c r="T167" t="s">
        <v>418</v>
      </c>
      <c r="U167" t="s">
        <v>418</v>
      </c>
      <c r="X167" s="86">
        <f t="shared" si="2"/>
        <v>0</v>
      </c>
      <c r="AA167" s="86" t="s">
        <v>418</v>
      </c>
      <c r="AB167" s="86" t="s">
        <v>418</v>
      </c>
    </row>
    <row r="168" spans="1:28">
      <c r="A168" s="68">
        <v>167</v>
      </c>
      <c r="B168" s="30" t="s">
        <v>418</v>
      </c>
      <c r="C168" s="30" t="s">
        <v>418</v>
      </c>
      <c r="D168" s="30" t="s">
        <v>418</v>
      </c>
      <c r="E168" s="230" t="s">
        <v>418</v>
      </c>
      <c r="F168" s="30" t="s">
        <v>418</v>
      </c>
      <c r="G168" s="30" t="s">
        <v>418</v>
      </c>
      <c r="H168" s="229" t="s">
        <v>418</v>
      </c>
      <c r="I168" s="229" t="s">
        <v>418</v>
      </c>
      <c r="J168" s="229" t="s">
        <v>418</v>
      </c>
      <c r="K168" s="86" t="s">
        <v>418</v>
      </c>
      <c r="L168" s="86"/>
      <c r="M168" s="254" t="s">
        <v>418</v>
      </c>
      <c r="N168" s="30" t="s">
        <v>418</v>
      </c>
      <c r="O168" s="30" t="s">
        <v>418</v>
      </c>
      <c r="P168" s="30" t="s">
        <v>418</v>
      </c>
      <c r="Q168" s="30" t="s">
        <v>418</v>
      </c>
      <c r="R168" s="30" t="s">
        <v>418</v>
      </c>
      <c r="S168" s="30" t="s">
        <v>418</v>
      </c>
      <c r="T168" t="s">
        <v>418</v>
      </c>
      <c r="U168" t="s">
        <v>418</v>
      </c>
      <c r="X168" s="86">
        <f t="shared" si="2"/>
        <v>0</v>
      </c>
      <c r="AA168" s="86" t="s">
        <v>418</v>
      </c>
      <c r="AB168" s="86" t="s">
        <v>418</v>
      </c>
    </row>
    <row r="169" spans="1:28">
      <c r="A169" s="68">
        <v>168</v>
      </c>
      <c r="B169" s="30" t="s">
        <v>418</v>
      </c>
      <c r="C169" s="30" t="s">
        <v>418</v>
      </c>
      <c r="D169" s="30" t="s">
        <v>418</v>
      </c>
      <c r="E169" s="230" t="s">
        <v>418</v>
      </c>
      <c r="F169" s="30" t="s">
        <v>418</v>
      </c>
      <c r="G169" s="30" t="s">
        <v>418</v>
      </c>
      <c r="H169" s="229" t="s">
        <v>418</v>
      </c>
      <c r="I169" s="229" t="s">
        <v>418</v>
      </c>
      <c r="J169" s="229" t="s">
        <v>418</v>
      </c>
      <c r="K169" s="86" t="s">
        <v>418</v>
      </c>
      <c r="L169" s="86"/>
      <c r="M169" s="254" t="s">
        <v>418</v>
      </c>
      <c r="N169" s="30" t="s">
        <v>418</v>
      </c>
      <c r="O169" s="30" t="s">
        <v>418</v>
      </c>
      <c r="P169" s="30" t="s">
        <v>418</v>
      </c>
      <c r="Q169" s="30" t="s">
        <v>418</v>
      </c>
      <c r="R169" s="30" t="s">
        <v>418</v>
      </c>
      <c r="S169" s="30" t="s">
        <v>418</v>
      </c>
      <c r="T169" t="s">
        <v>418</v>
      </c>
      <c r="U169" t="s">
        <v>418</v>
      </c>
      <c r="X169" s="86">
        <f t="shared" si="2"/>
        <v>0</v>
      </c>
      <c r="AA169" s="86" t="s">
        <v>418</v>
      </c>
      <c r="AB169" s="86" t="s">
        <v>418</v>
      </c>
    </row>
    <row r="170" spans="1:28">
      <c r="A170" s="68">
        <v>169</v>
      </c>
      <c r="B170" s="30" t="s">
        <v>418</v>
      </c>
      <c r="C170" s="30" t="s">
        <v>418</v>
      </c>
      <c r="D170" s="30" t="s">
        <v>418</v>
      </c>
      <c r="E170" s="230" t="s">
        <v>418</v>
      </c>
      <c r="F170" s="30" t="s">
        <v>418</v>
      </c>
      <c r="G170" s="30" t="s">
        <v>418</v>
      </c>
      <c r="H170" s="229" t="s">
        <v>418</v>
      </c>
      <c r="I170" s="229" t="s">
        <v>418</v>
      </c>
      <c r="J170" s="229" t="s">
        <v>418</v>
      </c>
      <c r="K170" s="86" t="s">
        <v>418</v>
      </c>
      <c r="L170" s="86"/>
      <c r="M170" s="254" t="s">
        <v>418</v>
      </c>
      <c r="N170" s="30" t="s">
        <v>418</v>
      </c>
      <c r="O170" s="30" t="s">
        <v>418</v>
      </c>
      <c r="P170" s="30" t="s">
        <v>418</v>
      </c>
      <c r="Q170" s="30" t="s">
        <v>418</v>
      </c>
      <c r="R170" s="30" t="s">
        <v>418</v>
      </c>
      <c r="S170" s="30" t="s">
        <v>418</v>
      </c>
      <c r="T170" t="s">
        <v>418</v>
      </c>
      <c r="U170" t="s">
        <v>418</v>
      </c>
      <c r="X170" s="86">
        <f t="shared" si="2"/>
        <v>0</v>
      </c>
      <c r="AA170" s="86" t="s">
        <v>418</v>
      </c>
      <c r="AB170" s="86" t="s">
        <v>418</v>
      </c>
    </row>
    <row r="171" spans="1:28">
      <c r="A171" s="68">
        <v>170</v>
      </c>
      <c r="B171" s="30" t="s">
        <v>418</v>
      </c>
      <c r="C171" s="30" t="s">
        <v>418</v>
      </c>
      <c r="D171" s="30" t="s">
        <v>418</v>
      </c>
      <c r="E171" s="230" t="s">
        <v>418</v>
      </c>
      <c r="F171" s="30" t="s">
        <v>418</v>
      </c>
      <c r="G171" s="30" t="s">
        <v>418</v>
      </c>
      <c r="H171" s="229" t="s">
        <v>418</v>
      </c>
      <c r="I171" s="229" t="s">
        <v>418</v>
      </c>
      <c r="J171" s="229" t="s">
        <v>418</v>
      </c>
      <c r="K171" s="86" t="s">
        <v>418</v>
      </c>
      <c r="L171" s="86"/>
      <c r="M171" s="254" t="s">
        <v>418</v>
      </c>
      <c r="N171" s="30" t="s">
        <v>418</v>
      </c>
      <c r="O171" s="30" t="s">
        <v>418</v>
      </c>
      <c r="P171" s="30" t="s">
        <v>418</v>
      </c>
      <c r="Q171" s="30" t="s">
        <v>418</v>
      </c>
      <c r="R171" s="30" t="s">
        <v>418</v>
      </c>
      <c r="S171" s="30" t="s">
        <v>418</v>
      </c>
      <c r="T171" t="s">
        <v>418</v>
      </c>
      <c r="U171" t="s">
        <v>418</v>
      </c>
      <c r="X171" s="86">
        <f t="shared" si="2"/>
        <v>0</v>
      </c>
      <c r="AA171" s="86" t="s">
        <v>418</v>
      </c>
      <c r="AB171" s="86" t="s">
        <v>418</v>
      </c>
    </row>
    <row r="172" spans="1:28">
      <c r="A172" s="68">
        <v>171</v>
      </c>
      <c r="B172" s="30" t="s">
        <v>418</v>
      </c>
      <c r="C172" s="30" t="s">
        <v>418</v>
      </c>
      <c r="D172" s="30" t="s">
        <v>418</v>
      </c>
      <c r="E172" s="230" t="s">
        <v>418</v>
      </c>
      <c r="F172" s="30" t="s">
        <v>418</v>
      </c>
      <c r="G172" s="30" t="s">
        <v>418</v>
      </c>
      <c r="H172" s="229" t="s">
        <v>418</v>
      </c>
      <c r="I172" s="229" t="s">
        <v>418</v>
      </c>
      <c r="J172" s="229" t="s">
        <v>418</v>
      </c>
      <c r="K172" s="86" t="s">
        <v>418</v>
      </c>
      <c r="L172" s="86"/>
      <c r="M172" s="254" t="s">
        <v>418</v>
      </c>
      <c r="N172" s="30" t="s">
        <v>418</v>
      </c>
      <c r="O172" s="30" t="s">
        <v>418</v>
      </c>
      <c r="P172" s="30" t="s">
        <v>418</v>
      </c>
      <c r="Q172" s="30" t="s">
        <v>418</v>
      </c>
      <c r="R172" s="30" t="s">
        <v>418</v>
      </c>
      <c r="S172" s="30" t="s">
        <v>418</v>
      </c>
      <c r="T172" t="s">
        <v>418</v>
      </c>
      <c r="U172" t="s">
        <v>418</v>
      </c>
      <c r="X172" s="86">
        <f t="shared" si="2"/>
        <v>0</v>
      </c>
      <c r="AA172" s="86" t="s">
        <v>418</v>
      </c>
      <c r="AB172" s="86" t="s">
        <v>418</v>
      </c>
    </row>
    <row r="173" spans="1:28">
      <c r="A173" s="68">
        <v>172</v>
      </c>
      <c r="B173" s="30" t="s">
        <v>418</v>
      </c>
      <c r="C173" s="30" t="s">
        <v>418</v>
      </c>
      <c r="D173" s="30" t="s">
        <v>418</v>
      </c>
      <c r="E173" s="230" t="s">
        <v>418</v>
      </c>
      <c r="F173" s="30" t="s">
        <v>418</v>
      </c>
      <c r="G173" s="30" t="s">
        <v>418</v>
      </c>
      <c r="H173" s="229" t="s">
        <v>418</v>
      </c>
      <c r="I173" s="229" t="s">
        <v>418</v>
      </c>
      <c r="J173" s="229" t="s">
        <v>418</v>
      </c>
      <c r="K173" s="86" t="s">
        <v>418</v>
      </c>
      <c r="L173" s="86"/>
      <c r="M173" s="254" t="s">
        <v>418</v>
      </c>
      <c r="N173" s="30" t="s">
        <v>418</v>
      </c>
      <c r="O173" s="30" t="s">
        <v>418</v>
      </c>
      <c r="P173" s="30" t="s">
        <v>418</v>
      </c>
      <c r="Q173" s="30" t="s">
        <v>418</v>
      </c>
      <c r="R173" s="30" t="s">
        <v>418</v>
      </c>
      <c r="S173" s="30" t="s">
        <v>418</v>
      </c>
      <c r="T173" t="s">
        <v>418</v>
      </c>
      <c r="U173" t="s">
        <v>418</v>
      </c>
      <c r="X173" s="86">
        <f t="shared" si="2"/>
        <v>0</v>
      </c>
      <c r="AA173" s="86" t="s">
        <v>418</v>
      </c>
      <c r="AB173" s="86" t="s">
        <v>418</v>
      </c>
    </row>
    <row r="174" spans="1:28">
      <c r="A174" s="68">
        <v>173</v>
      </c>
      <c r="B174" s="30" t="s">
        <v>418</v>
      </c>
      <c r="C174" s="30" t="s">
        <v>418</v>
      </c>
      <c r="D174" s="30" t="s">
        <v>418</v>
      </c>
      <c r="E174" s="230" t="s">
        <v>418</v>
      </c>
      <c r="F174" s="30" t="s">
        <v>418</v>
      </c>
      <c r="G174" s="30" t="s">
        <v>418</v>
      </c>
      <c r="H174" s="229" t="s">
        <v>418</v>
      </c>
      <c r="I174" s="229" t="s">
        <v>418</v>
      </c>
      <c r="J174" s="229" t="s">
        <v>418</v>
      </c>
      <c r="K174" s="86" t="s">
        <v>418</v>
      </c>
      <c r="L174" s="86"/>
      <c r="M174" s="254" t="s">
        <v>418</v>
      </c>
      <c r="N174" s="30" t="s">
        <v>418</v>
      </c>
      <c r="O174" s="30" t="s">
        <v>418</v>
      </c>
      <c r="P174" s="30" t="s">
        <v>418</v>
      </c>
      <c r="Q174" s="30" t="s">
        <v>418</v>
      </c>
      <c r="R174" s="30" t="s">
        <v>418</v>
      </c>
      <c r="S174" s="30" t="s">
        <v>418</v>
      </c>
      <c r="T174" t="s">
        <v>418</v>
      </c>
      <c r="U174" t="s">
        <v>418</v>
      </c>
      <c r="X174" s="86">
        <f t="shared" si="2"/>
        <v>0</v>
      </c>
      <c r="AA174" s="86" t="s">
        <v>418</v>
      </c>
      <c r="AB174" s="86" t="s">
        <v>418</v>
      </c>
    </row>
    <row r="175" spans="1:28">
      <c r="A175" s="68">
        <v>174</v>
      </c>
      <c r="B175" s="30" t="s">
        <v>418</v>
      </c>
      <c r="C175" s="30" t="s">
        <v>418</v>
      </c>
      <c r="D175" s="30" t="s">
        <v>418</v>
      </c>
      <c r="E175" s="230" t="s">
        <v>418</v>
      </c>
      <c r="F175" s="30" t="s">
        <v>418</v>
      </c>
      <c r="G175" s="30" t="s">
        <v>418</v>
      </c>
      <c r="H175" s="229" t="s">
        <v>418</v>
      </c>
      <c r="I175" s="229" t="s">
        <v>418</v>
      </c>
      <c r="J175" s="229" t="s">
        <v>418</v>
      </c>
      <c r="K175" s="86" t="s">
        <v>418</v>
      </c>
      <c r="L175" s="86"/>
      <c r="M175" s="254" t="s">
        <v>418</v>
      </c>
      <c r="N175" s="30" t="s">
        <v>418</v>
      </c>
      <c r="O175" s="30" t="s">
        <v>418</v>
      </c>
      <c r="P175" s="30" t="s">
        <v>418</v>
      </c>
      <c r="Q175" s="30" t="s">
        <v>418</v>
      </c>
      <c r="R175" s="30" t="s">
        <v>418</v>
      </c>
      <c r="S175" s="30" t="s">
        <v>418</v>
      </c>
      <c r="T175" t="s">
        <v>418</v>
      </c>
      <c r="U175" t="s">
        <v>418</v>
      </c>
      <c r="X175" s="86">
        <f t="shared" si="2"/>
        <v>0</v>
      </c>
      <c r="AA175" s="86" t="s">
        <v>418</v>
      </c>
      <c r="AB175" s="86" t="s">
        <v>418</v>
      </c>
    </row>
    <row r="176" spans="1:28">
      <c r="A176" s="68">
        <v>175</v>
      </c>
      <c r="B176" s="30" t="s">
        <v>418</v>
      </c>
      <c r="C176" s="30" t="s">
        <v>418</v>
      </c>
      <c r="D176" s="30" t="s">
        <v>418</v>
      </c>
      <c r="E176" s="230" t="s">
        <v>418</v>
      </c>
      <c r="F176" s="30" t="s">
        <v>418</v>
      </c>
      <c r="G176" s="30" t="s">
        <v>418</v>
      </c>
      <c r="H176" s="229" t="s">
        <v>418</v>
      </c>
      <c r="I176" s="229" t="s">
        <v>418</v>
      </c>
      <c r="J176" s="229" t="s">
        <v>418</v>
      </c>
      <c r="K176" s="86" t="s">
        <v>418</v>
      </c>
      <c r="L176" s="86"/>
      <c r="M176" s="254" t="s">
        <v>418</v>
      </c>
      <c r="N176" s="30" t="s">
        <v>418</v>
      </c>
      <c r="O176" s="30" t="s">
        <v>418</v>
      </c>
      <c r="P176" s="30" t="s">
        <v>418</v>
      </c>
      <c r="Q176" s="30" t="s">
        <v>418</v>
      </c>
      <c r="R176" s="30" t="s">
        <v>418</v>
      </c>
      <c r="S176" s="30" t="s">
        <v>418</v>
      </c>
      <c r="T176" t="s">
        <v>418</v>
      </c>
      <c r="U176" t="s">
        <v>418</v>
      </c>
      <c r="X176" s="86">
        <f t="shared" si="2"/>
        <v>0</v>
      </c>
      <c r="AA176" s="86" t="s">
        <v>418</v>
      </c>
      <c r="AB176" s="86" t="s">
        <v>418</v>
      </c>
    </row>
    <row r="177" spans="1:28">
      <c r="A177" s="68">
        <v>176</v>
      </c>
      <c r="B177" s="30" t="s">
        <v>418</v>
      </c>
      <c r="C177" s="30" t="s">
        <v>418</v>
      </c>
      <c r="D177" s="30" t="s">
        <v>418</v>
      </c>
      <c r="E177" s="230" t="s">
        <v>418</v>
      </c>
      <c r="F177" s="30" t="s">
        <v>418</v>
      </c>
      <c r="G177" s="30" t="s">
        <v>418</v>
      </c>
      <c r="H177" s="229" t="s">
        <v>418</v>
      </c>
      <c r="I177" s="229" t="s">
        <v>418</v>
      </c>
      <c r="J177" s="229" t="s">
        <v>418</v>
      </c>
      <c r="K177" s="86" t="s">
        <v>418</v>
      </c>
      <c r="L177" s="86"/>
      <c r="M177" s="254" t="s">
        <v>418</v>
      </c>
      <c r="N177" s="30" t="s">
        <v>418</v>
      </c>
      <c r="O177" s="30" t="s">
        <v>418</v>
      </c>
      <c r="P177" s="30" t="s">
        <v>418</v>
      </c>
      <c r="Q177" s="30" t="s">
        <v>418</v>
      </c>
      <c r="R177" s="30" t="s">
        <v>418</v>
      </c>
      <c r="S177" s="30" t="s">
        <v>418</v>
      </c>
      <c r="T177" t="s">
        <v>418</v>
      </c>
      <c r="U177" t="s">
        <v>418</v>
      </c>
      <c r="X177" s="86">
        <f t="shared" si="2"/>
        <v>0</v>
      </c>
      <c r="AA177" s="86" t="s">
        <v>418</v>
      </c>
      <c r="AB177" s="86" t="s">
        <v>418</v>
      </c>
    </row>
    <row r="178" spans="1:28">
      <c r="A178" s="68">
        <v>177</v>
      </c>
      <c r="B178" s="30" t="s">
        <v>418</v>
      </c>
      <c r="C178" s="30" t="s">
        <v>418</v>
      </c>
      <c r="D178" s="30" t="s">
        <v>418</v>
      </c>
      <c r="E178" s="230" t="s">
        <v>418</v>
      </c>
      <c r="F178" s="30" t="s">
        <v>418</v>
      </c>
      <c r="G178" s="30" t="s">
        <v>418</v>
      </c>
      <c r="H178" s="229" t="s">
        <v>418</v>
      </c>
      <c r="I178" s="229" t="s">
        <v>418</v>
      </c>
      <c r="J178" s="229" t="s">
        <v>418</v>
      </c>
      <c r="K178" s="86" t="s">
        <v>418</v>
      </c>
      <c r="L178" s="86"/>
      <c r="M178" s="254" t="s">
        <v>418</v>
      </c>
      <c r="N178" s="30" t="s">
        <v>418</v>
      </c>
      <c r="O178" s="30" t="s">
        <v>418</v>
      </c>
      <c r="P178" s="30" t="s">
        <v>418</v>
      </c>
      <c r="Q178" s="30" t="s">
        <v>418</v>
      </c>
      <c r="R178" s="30" t="s">
        <v>418</v>
      </c>
      <c r="S178" s="30" t="s">
        <v>418</v>
      </c>
      <c r="T178" t="s">
        <v>418</v>
      </c>
      <c r="U178" t="s">
        <v>418</v>
      </c>
      <c r="X178" s="86">
        <f t="shared" si="2"/>
        <v>0</v>
      </c>
      <c r="AA178" s="86" t="s">
        <v>418</v>
      </c>
      <c r="AB178" s="86" t="s">
        <v>418</v>
      </c>
    </row>
    <row r="179" spans="1:28">
      <c r="A179" s="68">
        <v>178</v>
      </c>
      <c r="B179" s="30" t="s">
        <v>418</v>
      </c>
      <c r="C179" s="30" t="s">
        <v>418</v>
      </c>
      <c r="D179" s="30" t="s">
        <v>418</v>
      </c>
      <c r="E179" s="230" t="s">
        <v>418</v>
      </c>
      <c r="F179" s="30" t="s">
        <v>418</v>
      </c>
      <c r="G179" s="30" t="s">
        <v>418</v>
      </c>
      <c r="H179" s="229" t="s">
        <v>418</v>
      </c>
      <c r="I179" s="229" t="s">
        <v>418</v>
      </c>
      <c r="J179" s="229" t="s">
        <v>418</v>
      </c>
      <c r="K179" s="86" t="s">
        <v>418</v>
      </c>
      <c r="L179" s="86"/>
      <c r="M179" s="254" t="s">
        <v>418</v>
      </c>
      <c r="N179" s="30" t="s">
        <v>418</v>
      </c>
      <c r="O179" s="30" t="s">
        <v>418</v>
      </c>
      <c r="P179" s="30" t="s">
        <v>418</v>
      </c>
      <c r="Q179" s="30" t="s">
        <v>418</v>
      </c>
      <c r="R179" s="30" t="s">
        <v>418</v>
      </c>
      <c r="S179" s="30" t="s">
        <v>418</v>
      </c>
      <c r="T179" t="s">
        <v>418</v>
      </c>
      <c r="U179" t="s">
        <v>418</v>
      </c>
      <c r="X179" s="86">
        <f t="shared" si="2"/>
        <v>0</v>
      </c>
      <c r="AA179" s="86" t="s">
        <v>418</v>
      </c>
      <c r="AB179" s="86" t="s">
        <v>418</v>
      </c>
    </row>
    <row r="180" spans="1:28">
      <c r="A180" s="68">
        <v>179</v>
      </c>
      <c r="B180" s="30" t="s">
        <v>418</v>
      </c>
      <c r="C180" s="30" t="s">
        <v>418</v>
      </c>
      <c r="D180" s="30" t="s">
        <v>418</v>
      </c>
      <c r="E180" s="230" t="s">
        <v>418</v>
      </c>
      <c r="F180" s="30" t="s">
        <v>418</v>
      </c>
      <c r="G180" s="30" t="s">
        <v>418</v>
      </c>
      <c r="H180" s="229" t="s">
        <v>418</v>
      </c>
      <c r="I180" s="229" t="s">
        <v>418</v>
      </c>
      <c r="J180" s="229" t="s">
        <v>418</v>
      </c>
      <c r="K180" s="86" t="s">
        <v>418</v>
      </c>
      <c r="L180" s="86"/>
      <c r="M180" s="254" t="s">
        <v>418</v>
      </c>
      <c r="N180" s="30" t="s">
        <v>418</v>
      </c>
      <c r="O180" s="30" t="s">
        <v>418</v>
      </c>
      <c r="P180" s="30" t="s">
        <v>418</v>
      </c>
      <c r="Q180" s="30" t="s">
        <v>418</v>
      </c>
      <c r="R180" s="30" t="s">
        <v>418</v>
      </c>
      <c r="S180" s="30" t="s">
        <v>418</v>
      </c>
      <c r="T180" t="s">
        <v>418</v>
      </c>
      <c r="U180" t="s">
        <v>418</v>
      </c>
      <c r="X180" s="86">
        <f t="shared" si="2"/>
        <v>0</v>
      </c>
      <c r="AA180" s="86" t="s">
        <v>418</v>
      </c>
      <c r="AB180" s="86" t="s">
        <v>418</v>
      </c>
    </row>
    <row r="181" spans="1:28">
      <c r="A181" s="68">
        <v>180</v>
      </c>
      <c r="B181" s="30" t="s">
        <v>418</v>
      </c>
      <c r="C181" s="30" t="s">
        <v>418</v>
      </c>
      <c r="D181" s="30" t="s">
        <v>418</v>
      </c>
      <c r="E181" s="230" t="s">
        <v>418</v>
      </c>
      <c r="F181" s="30" t="s">
        <v>418</v>
      </c>
      <c r="G181" s="30" t="s">
        <v>418</v>
      </c>
      <c r="H181" s="229" t="s">
        <v>418</v>
      </c>
      <c r="I181" s="229" t="s">
        <v>418</v>
      </c>
      <c r="J181" s="229" t="s">
        <v>418</v>
      </c>
      <c r="K181" s="86" t="s">
        <v>418</v>
      </c>
      <c r="L181" s="86"/>
      <c r="M181" s="254" t="s">
        <v>418</v>
      </c>
      <c r="N181" s="30" t="s">
        <v>418</v>
      </c>
      <c r="O181" s="30" t="s">
        <v>418</v>
      </c>
      <c r="P181" s="30" t="s">
        <v>418</v>
      </c>
      <c r="Q181" s="30" t="s">
        <v>418</v>
      </c>
      <c r="R181" s="30" t="s">
        <v>418</v>
      </c>
      <c r="S181" s="30" t="s">
        <v>418</v>
      </c>
      <c r="T181" t="s">
        <v>418</v>
      </c>
      <c r="U181" t="s">
        <v>418</v>
      </c>
      <c r="X181" s="86">
        <f t="shared" si="2"/>
        <v>0</v>
      </c>
      <c r="AA181" s="86" t="s">
        <v>418</v>
      </c>
      <c r="AB181" s="86" t="s">
        <v>418</v>
      </c>
    </row>
    <row r="182" spans="1:28">
      <c r="A182" s="68">
        <v>181</v>
      </c>
      <c r="B182" s="30" t="s">
        <v>418</v>
      </c>
      <c r="C182" s="30" t="s">
        <v>418</v>
      </c>
      <c r="D182" s="30" t="s">
        <v>418</v>
      </c>
      <c r="E182" s="230" t="s">
        <v>418</v>
      </c>
      <c r="F182" s="30" t="s">
        <v>418</v>
      </c>
      <c r="G182" s="30" t="s">
        <v>418</v>
      </c>
      <c r="H182" s="229" t="s">
        <v>418</v>
      </c>
      <c r="I182" s="229" t="s">
        <v>418</v>
      </c>
      <c r="J182" s="229" t="s">
        <v>418</v>
      </c>
      <c r="K182" s="86" t="s">
        <v>418</v>
      </c>
      <c r="L182" s="86"/>
      <c r="M182" s="254" t="s">
        <v>418</v>
      </c>
      <c r="N182" s="30" t="s">
        <v>418</v>
      </c>
      <c r="O182" s="30" t="s">
        <v>418</v>
      </c>
      <c r="P182" s="30" t="s">
        <v>418</v>
      </c>
      <c r="Q182" s="30" t="s">
        <v>418</v>
      </c>
      <c r="R182" s="30" t="s">
        <v>418</v>
      </c>
      <c r="S182" s="30" t="s">
        <v>418</v>
      </c>
      <c r="T182" t="s">
        <v>418</v>
      </c>
      <c r="U182" t="s">
        <v>418</v>
      </c>
      <c r="X182" s="86">
        <f t="shared" si="2"/>
        <v>0</v>
      </c>
      <c r="AA182" s="86" t="s">
        <v>418</v>
      </c>
      <c r="AB182" s="86" t="s">
        <v>418</v>
      </c>
    </row>
    <row r="183" spans="1:28">
      <c r="A183" s="68">
        <v>182</v>
      </c>
      <c r="B183" s="30" t="s">
        <v>418</v>
      </c>
      <c r="C183" s="30" t="s">
        <v>418</v>
      </c>
      <c r="D183" s="30" t="s">
        <v>418</v>
      </c>
      <c r="E183" s="230" t="s">
        <v>418</v>
      </c>
      <c r="F183" s="30" t="s">
        <v>418</v>
      </c>
      <c r="G183" s="30" t="s">
        <v>418</v>
      </c>
      <c r="H183" s="229" t="s">
        <v>418</v>
      </c>
      <c r="I183" s="229" t="s">
        <v>418</v>
      </c>
      <c r="J183" s="229" t="s">
        <v>418</v>
      </c>
      <c r="K183" s="86" t="s">
        <v>418</v>
      </c>
      <c r="L183" s="86"/>
      <c r="M183" s="254" t="s">
        <v>418</v>
      </c>
      <c r="N183" s="30" t="s">
        <v>418</v>
      </c>
      <c r="O183" s="30" t="s">
        <v>418</v>
      </c>
      <c r="P183" s="30" t="s">
        <v>418</v>
      </c>
      <c r="Q183" s="30" t="s">
        <v>418</v>
      </c>
      <c r="R183" s="30" t="s">
        <v>418</v>
      </c>
      <c r="S183" s="30" t="s">
        <v>418</v>
      </c>
      <c r="T183" t="s">
        <v>418</v>
      </c>
      <c r="U183" t="s">
        <v>418</v>
      </c>
      <c r="X183" s="86">
        <f t="shared" si="2"/>
        <v>0</v>
      </c>
      <c r="AA183" s="86" t="s">
        <v>418</v>
      </c>
      <c r="AB183" s="86" t="s">
        <v>418</v>
      </c>
    </row>
    <row r="184" spans="1:28">
      <c r="A184" s="68">
        <v>183</v>
      </c>
      <c r="B184" s="30" t="s">
        <v>418</v>
      </c>
      <c r="C184" s="30" t="s">
        <v>418</v>
      </c>
      <c r="D184" s="30" t="s">
        <v>418</v>
      </c>
      <c r="E184" s="230" t="s">
        <v>418</v>
      </c>
      <c r="F184" s="30" t="s">
        <v>418</v>
      </c>
      <c r="G184" s="30" t="s">
        <v>418</v>
      </c>
      <c r="H184" s="229" t="s">
        <v>418</v>
      </c>
      <c r="I184" s="229" t="s">
        <v>418</v>
      </c>
      <c r="J184" s="229" t="s">
        <v>418</v>
      </c>
      <c r="K184" s="86" t="s">
        <v>418</v>
      </c>
      <c r="L184" s="86"/>
      <c r="M184" s="254" t="s">
        <v>418</v>
      </c>
      <c r="N184" s="30" t="s">
        <v>418</v>
      </c>
      <c r="O184" s="30" t="s">
        <v>418</v>
      </c>
      <c r="P184" s="30" t="s">
        <v>418</v>
      </c>
      <c r="Q184" s="30" t="s">
        <v>418</v>
      </c>
      <c r="R184" s="30" t="s">
        <v>418</v>
      </c>
      <c r="S184" s="30" t="s">
        <v>418</v>
      </c>
      <c r="T184" t="s">
        <v>418</v>
      </c>
      <c r="U184" t="s">
        <v>418</v>
      </c>
      <c r="X184" s="86">
        <f t="shared" si="2"/>
        <v>0</v>
      </c>
      <c r="AA184" s="86" t="s">
        <v>418</v>
      </c>
      <c r="AB184" s="86" t="s">
        <v>418</v>
      </c>
    </row>
    <row r="185" spans="1:28">
      <c r="A185" s="68">
        <v>184</v>
      </c>
      <c r="B185" s="30" t="s">
        <v>418</v>
      </c>
      <c r="C185" s="30" t="s">
        <v>418</v>
      </c>
      <c r="D185" s="30" t="s">
        <v>418</v>
      </c>
      <c r="E185" s="230" t="s">
        <v>418</v>
      </c>
      <c r="F185" s="30" t="s">
        <v>418</v>
      </c>
      <c r="G185" s="30" t="s">
        <v>418</v>
      </c>
      <c r="H185" s="229" t="s">
        <v>418</v>
      </c>
      <c r="I185" s="229" t="s">
        <v>418</v>
      </c>
      <c r="J185" s="229" t="s">
        <v>418</v>
      </c>
      <c r="K185" s="86" t="s">
        <v>418</v>
      </c>
      <c r="L185" s="86"/>
      <c r="M185" s="254" t="s">
        <v>418</v>
      </c>
      <c r="N185" s="30" t="s">
        <v>418</v>
      </c>
      <c r="O185" s="30" t="s">
        <v>418</v>
      </c>
      <c r="P185" s="30" t="s">
        <v>418</v>
      </c>
      <c r="Q185" s="30" t="s">
        <v>418</v>
      </c>
      <c r="R185" s="30" t="s">
        <v>418</v>
      </c>
      <c r="S185" s="30" t="s">
        <v>418</v>
      </c>
      <c r="T185" t="s">
        <v>418</v>
      </c>
      <c r="U185" t="s">
        <v>418</v>
      </c>
      <c r="X185" s="86">
        <f t="shared" si="2"/>
        <v>0</v>
      </c>
      <c r="AA185" s="86" t="s">
        <v>418</v>
      </c>
      <c r="AB185" s="86" t="s">
        <v>418</v>
      </c>
    </row>
    <row r="186" spans="1:28">
      <c r="A186" s="68">
        <v>185</v>
      </c>
      <c r="B186" s="30" t="s">
        <v>418</v>
      </c>
      <c r="C186" s="30" t="s">
        <v>418</v>
      </c>
      <c r="D186" s="30" t="s">
        <v>418</v>
      </c>
      <c r="E186" s="230" t="s">
        <v>418</v>
      </c>
      <c r="F186" s="30" t="s">
        <v>418</v>
      </c>
      <c r="G186" s="30" t="s">
        <v>418</v>
      </c>
      <c r="H186" s="229" t="s">
        <v>418</v>
      </c>
      <c r="I186" s="229" t="s">
        <v>418</v>
      </c>
      <c r="J186" s="229" t="s">
        <v>418</v>
      </c>
      <c r="K186" s="86" t="s">
        <v>418</v>
      </c>
      <c r="L186" s="86"/>
      <c r="M186" s="254" t="s">
        <v>418</v>
      </c>
      <c r="N186" s="30" t="s">
        <v>418</v>
      </c>
      <c r="O186" s="30" t="s">
        <v>418</v>
      </c>
      <c r="P186" s="30" t="s">
        <v>418</v>
      </c>
      <c r="Q186" s="30" t="s">
        <v>418</v>
      </c>
      <c r="R186" s="30" t="s">
        <v>418</v>
      </c>
      <c r="S186" s="30" t="s">
        <v>418</v>
      </c>
      <c r="T186" t="s">
        <v>418</v>
      </c>
      <c r="U186" t="s">
        <v>418</v>
      </c>
      <c r="X186" s="86">
        <f t="shared" si="2"/>
        <v>0</v>
      </c>
      <c r="AA186" s="86" t="s">
        <v>418</v>
      </c>
      <c r="AB186" s="86" t="s">
        <v>418</v>
      </c>
    </row>
    <row r="187" spans="1:28">
      <c r="A187" s="68">
        <v>186</v>
      </c>
      <c r="B187" s="30" t="s">
        <v>418</v>
      </c>
      <c r="C187" s="30" t="s">
        <v>418</v>
      </c>
      <c r="D187" s="30" t="s">
        <v>418</v>
      </c>
      <c r="E187" s="230" t="s">
        <v>418</v>
      </c>
      <c r="F187" s="30" t="s">
        <v>418</v>
      </c>
      <c r="G187" s="30" t="s">
        <v>418</v>
      </c>
      <c r="H187" s="229" t="s">
        <v>418</v>
      </c>
      <c r="I187" s="229" t="s">
        <v>418</v>
      </c>
      <c r="J187" s="229" t="s">
        <v>418</v>
      </c>
      <c r="K187" s="86" t="s">
        <v>418</v>
      </c>
      <c r="L187" s="86"/>
      <c r="M187" s="254" t="s">
        <v>418</v>
      </c>
      <c r="N187" s="30" t="s">
        <v>418</v>
      </c>
      <c r="O187" s="30" t="s">
        <v>418</v>
      </c>
      <c r="P187" s="30" t="s">
        <v>418</v>
      </c>
      <c r="Q187" s="30" t="s">
        <v>418</v>
      </c>
      <c r="R187" s="30" t="s">
        <v>418</v>
      </c>
      <c r="S187" s="30" t="s">
        <v>418</v>
      </c>
      <c r="T187" t="s">
        <v>418</v>
      </c>
      <c r="U187" t="s">
        <v>418</v>
      </c>
      <c r="X187" s="86">
        <f t="shared" si="2"/>
        <v>0</v>
      </c>
      <c r="AA187" s="86" t="s">
        <v>418</v>
      </c>
      <c r="AB187" s="86" t="s">
        <v>418</v>
      </c>
    </row>
    <row r="188" spans="1:28">
      <c r="A188" s="68">
        <v>187</v>
      </c>
      <c r="B188" s="30" t="s">
        <v>418</v>
      </c>
      <c r="C188" s="30" t="s">
        <v>418</v>
      </c>
      <c r="D188" s="30" t="s">
        <v>418</v>
      </c>
      <c r="E188" s="230" t="s">
        <v>418</v>
      </c>
      <c r="F188" s="30" t="s">
        <v>418</v>
      </c>
      <c r="G188" s="30" t="s">
        <v>418</v>
      </c>
      <c r="H188" s="229" t="s">
        <v>418</v>
      </c>
      <c r="I188" s="229" t="s">
        <v>418</v>
      </c>
      <c r="J188" s="229" t="s">
        <v>418</v>
      </c>
      <c r="K188" s="86" t="s">
        <v>418</v>
      </c>
      <c r="L188" s="86"/>
      <c r="M188" s="254" t="s">
        <v>418</v>
      </c>
      <c r="N188" s="30" t="s">
        <v>418</v>
      </c>
      <c r="O188" s="30" t="s">
        <v>418</v>
      </c>
      <c r="P188" s="30" t="s">
        <v>418</v>
      </c>
      <c r="Q188" s="30" t="s">
        <v>418</v>
      </c>
      <c r="R188" s="30" t="s">
        <v>418</v>
      </c>
      <c r="S188" s="30" t="s">
        <v>418</v>
      </c>
      <c r="T188" t="s">
        <v>418</v>
      </c>
      <c r="U188" t="s">
        <v>418</v>
      </c>
      <c r="X188" s="86">
        <f t="shared" si="2"/>
        <v>0</v>
      </c>
      <c r="AA188" s="86" t="s">
        <v>418</v>
      </c>
      <c r="AB188" s="86" t="s">
        <v>418</v>
      </c>
    </row>
    <row r="189" spans="1:28">
      <c r="A189" s="68">
        <v>188</v>
      </c>
      <c r="B189" s="30" t="s">
        <v>418</v>
      </c>
      <c r="C189" s="30" t="s">
        <v>418</v>
      </c>
      <c r="D189" s="30" t="s">
        <v>418</v>
      </c>
      <c r="E189" s="230" t="s">
        <v>418</v>
      </c>
      <c r="F189" s="30" t="s">
        <v>418</v>
      </c>
      <c r="G189" s="30" t="s">
        <v>418</v>
      </c>
      <c r="H189" s="229" t="s">
        <v>418</v>
      </c>
      <c r="I189" s="229" t="s">
        <v>418</v>
      </c>
      <c r="J189" s="229" t="s">
        <v>418</v>
      </c>
      <c r="K189" s="86" t="s">
        <v>418</v>
      </c>
      <c r="L189" s="86"/>
      <c r="M189" s="254" t="s">
        <v>418</v>
      </c>
      <c r="N189" s="30" t="s">
        <v>418</v>
      </c>
      <c r="O189" s="30" t="s">
        <v>418</v>
      </c>
      <c r="P189" s="30" t="s">
        <v>418</v>
      </c>
      <c r="Q189" s="30" t="s">
        <v>418</v>
      </c>
      <c r="R189" s="30" t="s">
        <v>418</v>
      </c>
      <c r="S189" s="30" t="s">
        <v>418</v>
      </c>
      <c r="T189" t="s">
        <v>418</v>
      </c>
      <c r="U189" t="s">
        <v>418</v>
      </c>
      <c r="X189" s="86">
        <f t="shared" si="2"/>
        <v>0</v>
      </c>
      <c r="AA189" s="86" t="s">
        <v>418</v>
      </c>
      <c r="AB189" s="86" t="s">
        <v>418</v>
      </c>
    </row>
    <row r="190" spans="1:28">
      <c r="A190" s="68">
        <v>189</v>
      </c>
      <c r="B190" s="30" t="s">
        <v>418</v>
      </c>
      <c r="C190" s="30" t="s">
        <v>418</v>
      </c>
      <c r="D190" s="30" t="s">
        <v>418</v>
      </c>
      <c r="E190" s="230" t="s">
        <v>418</v>
      </c>
      <c r="F190" s="30" t="s">
        <v>418</v>
      </c>
      <c r="G190" s="30" t="s">
        <v>418</v>
      </c>
      <c r="H190" s="229" t="s">
        <v>418</v>
      </c>
      <c r="I190" s="229" t="s">
        <v>418</v>
      </c>
      <c r="J190" s="229" t="s">
        <v>418</v>
      </c>
      <c r="K190" s="86" t="s">
        <v>418</v>
      </c>
      <c r="L190" s="86"/>
      <c r="M190" s="254" t="s">
        <v>418</v>
      </c>
      <c r="N190" s="30" t="s">
        <v>418</v>
      </c>
      <c r="O190" s="30" t="s">
        <v>418</v>
      </c>
      <c r="P190" s="30" t="s">
        <v>418</v>
      </c>
      <c r="Q190" s="30" t="s">
        <v>418</v>
      </c>
      <c r="R190" s="30" t="s">
        <v>418</v>
      </c>
      <c r="S190" s="30" t="s">
        <v>418</v>
      </c>
      <c r="T190" t="s">
        <v>418</v>
      </c>
      <c r="U190" t="s">
        <v>418</v>
      </c>
      <c r="X190" s="86">
        <f t="shared" si="2"/>
        <v>0</v>
      </c>
      <c r="AA190" s="86" t="s">
        <v>418</v>
      </c>
      <c r="AB190" s="86" t="s">
        <v>418</v>
      </c>
    </row>
    <row r="191" spans="1:28">
      <c r="A191" s="68">
        <v>190</v>
      </c>
      <c r="B191" s="30" t="s">
        <v>418</v>
      </c>
      <c r="C191" s="30" t="s">
        <v>418</v>
      </c>
      <c r="D191" s="30" t="s">
        <v>418</v>
      </c>
      <c r="E191" s="230" t="s">
        <v>418</v>
      </c>
      <c r="F191" s="30" t="s">
        <v>418</v>
      </c>
      <c r="G191" s="30" t="s">
        <v>418</v>
      </c>
      <c r="H191" s="229" t="s">
        <v>418</v>
      </c>
      <c r="I191" s="229" t="s">
        <v>418</v>
      </c>
      <c r="J191" s="229" t="s">
        <v>418</v>
      </c>
      <c r="K191" s="86" t="s">
        <v>418</v>
      </c>
      <c r="L191" s="86"/>
      <c r="M191" s="254" t="s">
        <v>418</v>
      </c>
      <c r="N191" s="30" t="s">
        <v>418</v>
      </c>
      <c r="O191" s="30" t="s">
        <v>418</v>
      </c>
      <c r="P191" s="30" t="s">
        <v>418</v>
      </c>
      <c r="Q191" s="30" t="s">
        <v>418</v>
      </c>
      <c r="R191" s="30" t="s">
        <v>418</v>
      </c>
      <c r="S191" s="30" t="s">
        <v>418</v>
      </c>
      <c r="T191" t="s">
        <v>418</v>
      </c>
      <c r="U191" t="s">
        <v>418</v>
      </c>
      <c r="X191" s="86">
        <f t="shared" si="2"/>
        <v>0</v>
      </c>
      <c r="AA191" s="86" t="s">
        <v>418</v>
      </c>
      <c r="AB191" s="86" t="s">
        <v>418</v>
      </c>
    </row>
    <row r="192" spans="1:28">
      <c r="A192" s="68">
        <v>191</v>
      </c>
      <c r="B192" s="30" t="s">
        <v>418</v>
      </c>
      <c r="C192" s="30" t="s">
        <v>418</v>
      </c>
      <c r="D192" s="30" t="s">
        <v>418</v>
      </c>
      <c r="E192" s="230" t="s">
        <v>418</v>
      </c>
      <c r="F192" s="30" t="s">
        <v>418</v>
      </c>
      <c r="G192" s="30" t="s">
        <v>418</v>
      </c>
      <c r="H192" s="229" t="s">
        <v>418</v>
      </c>
      <c r="I192" s="229" t="s">
        <v>418</v>
      </c>
      <c r="J192" s="229" t="s">
        <v>418</v>
      </c>
      <c r="K192" s="86" t="s">
        <v>418</v>
      </c>
      <c r="L192" s="86"/>
      <c r="M192" s="254" t="s">
        <v>418</v>
      </c>
      <c r="N192" s="30" t="s">
        <v>418</v>
      </c>
      <c r="O192" s="30" t="s">
        <v>418</v>
      </c>
      <c r="P192" s="30" t="s">
        <v>418</v>
      </c>
      <c r="Q192" s="30" t="s">
        <v>418</v>
      </c>
      <c r="R192" s="30" t="s">
        <v>418</v>
      </c>
      <c r="S192" s="30" t="s">
        <v>418</v>
      </c>
      <c r="T192" t="s">
        <v>418</v>
      </c>
      <c r="U192" t="s">
        <v>418</v>
      </c>
      <c r="X192" s="86">
        <f t="shared" si="2"/>
        <v>0</v>
      </c>
      <c r="AA192" s="86" t="s">
        <v>418</v>
      </c>
      <c r="AB192" s="86" t="s">
        <v>418</v>
      </c>
    </row>
    <row r="193" spans="1:28">
      <c r="A193" s="68">
        <v>192</v>
      </c>
      <c r="B193" s="30" t="s">
        <v>418</v>
      </c>
      <c r="C193" s="30" t="s">
        <v>418</v>
      </c>
      <c r="D193" s="30" t="s">
        <v>418</v>
      </c>
      <c r="E193" s="230" t="s">
        <v>418</v>
      </c>
      <c r="F193" s="30" t="s">
        <v>418</v>
      </c>
      <c r="G193" s="30" t="s">
        <v>418</v>
      </c>
      <c r="H193" s="229" t="s">
        <v>418</v>
      </c>
      <c r="I193" s="229" t="s">
        <v>418</v>
      </c>
      <c r="J193" s="229" t="s">
        <v>418</v>
      </c>
      <c r="K193" s="86" t="s">
        <v>418</v>
      </c>
      <c r="L193" s="86"/>
      <c r="M193" s="254" t="s">
        <v>418</v>
      </c>
      <c r="N193" s="30" t="s">
        <v>418</v>
      </c>
      <c r="O193" s="30" t="s">
        <v>418</v>
      </c>
      <c r="P193" s="30" t="s">
        <v>418</v>
      </c>
      <c r="Q193" s="30" t="s">
        <v>418</v>
      </c>
      <c r="R193" s="30" t="s">
        <v>418</v>
      </c>
      <c r="S193" s="30" t="s">
        <v>418</v>
      </c>
      <c r="T193" t="s">
        <v>418</v>
      </c>
      <c r="U193" t="s">
        <v>418</v>
      </c>
      <c r="X193" s="86">
        <f t="shared" si="2"/>
        <v>0</v>
      </c>
      <c r="AA193" s="86" t="s">
        <v>418</v>
      </c>
      <c r="AB193" s="86" t="s">
        <v>418</v>
      </c>
    </row>
    <row r="194" spans="1:28">
      <c r="A194" s="68">
        <v>193</v>
      </c>
      <c r="B194" s="30" t="s">
        <v>418</v>
      </c>
      <c r="C194" s="30" t="s">
        <v>418</v>
      </c>
      <c r="D194" s="30" t="s">
        <v>418</v>
      </c>
      <c r="E194" s="230" t="s">
        <v>418</v>
      </c>
      <c r="F194" s="30" t="s">
        <v>418</v>
      </c>
      <c r="G194" s="30" t="s">
        <v>418</v>
      </c>
      <c r="H194" s="229" t="s">
        <v>418</v>
      </c>
      <c r="I194" s="229" t="s">
        <v>418</v>
      </c>
      <c r="J194" s="229" t="s">
        <v>418</v>
      </c>
      <c r="K194" s="86" t="s">
        <v>418</v>
      </c>
      <c r="L194" s="86"/>
      <c r="M194" s="254" t="s">
        <v>418</v>
      </c>
      <c r="N194" s="30" t="s">
        <v>418</v>
      </c>
      <c r="O194" s="30" t="s">
        <v>418</v>
      </c>
      <c r="P194" s="30" t="s">
        <v>418</v>
      </c>
      <c r="Q194" s="30" t="s">
        <v>418</v>
      </c>
      <c r="R194" s="30" t="s">
        <v>418</v>
      </c>
      <c r="S194" s="30" t="s">
        <v>418</v>
      </c>
      <c r="T194" t="s">
        <v>418</v>
      </c>
      <c r="U194" t="s">
        <v>418</v>
      </c>
      <c r="X194" s="86">
        <f t="shared" si="2"/>
        <v>0</v>
      </c>
      <c r="AA194" s="86" t="s">
        <v>418</v>
      </c>
      <c r="AB194" s="86" t="s">
        <v>418</v>
      </c>
    </row>
    <row r="195" spans="1:28">
      <c r="A195" s="68">
        <v>194</v>
      </c>
      <c r="B195" s="30" t="s">
        <v>418</v>
      </c>
      <c r="C195" s="30" t="s">
        <v>418</v>
      </c>
      <c r="D195" s="30" t="s">
        <v>418</v>
      </c>
      <c r="E195" s="230" t="s">
        <v>418</v>
      </c>
      <c r="F195" s="30" t="s">
        <v>418</v>
      </c>
      <c r="G195" s="30" t="s">
        <v>418</v>
      </c>
      <c r="H195" s="229" t="s">
        <v>418</v>
      </c>
      <c r="I195" s="229" t="s">
        <v>418</v>
      </c>
      <c r="J195" s="229" t="s">
        <v>418</v>
      </c>
      <c r="K195" s="86" t="s">
        <v>418</v>
      </c>
      <c r="L195" s="86"/>
      <c r="M195" s="254" t="s">
        <v>418</v>
      </c>
      <c r="N195" s="30" t="s">
        <v>418</v>
      </c>
      <c r="O195" s="30" t="s">
        <v>418</v>
      </c>
      <c r="P195" s="30" t="s">
        <v>418</v>
      </c>
      <c r="Q195" s="30" t="s">
        <v>418</v>
      </c>
      <c r="R195" s="30" t="s">
        <v>418</v>
      </c>
      <c r="S195" s="30" t="s">
        <v>418</v>
      </c>
      <c r="T195" t="s">
        <v>418</v>
      </c>
      <c r="U195" t="s">
        <v>418</v>
      </c>
      <c r="X195" s="86">
        <f t="shared" ref="X195:X245" si="3">IF(OR(Q195=0,Q195=""),0,R195/Q195)</f>
        <v>0</v>
      </c>
      <c r="AA195" s="86" t="s">
        <v>418</v>
      </c>
      <c r="AB195" s="86" t="s">
        <v>418</v>
      </c>
    </row>
    <row r="196" spans="1:28">
      <c r="A196" s="68">
        <v>195</v>
      </c>
      <c r="B196" s="30" t="s">
        <v>418</v>
      </c>
      <c r="C196" s="30" t="s">
        <v>418</v>
      </c>
      <c r="D196" s="30" t="s">
        <v>418</v>
      </c>
      <c r="E196" s="230" t="s">
        <v>418</v>
      </c>
      <c r="F196" s="30" t="s">
        <v>418</v>
      </c>
      <c r="G196" s="30" t="s">
        <v>418</v>
      </c>
      <c r="H196" s="229" t="s">
        <v>418</v>
      </c>
      <c r="I196" s="229" t="s">
        <v>418</v>
      </c>
      <c r="J196" s="229" t="s">
        <v>418</v>
      </c>
      <c r="K196" s="86" t="s">
        <v>418</v>
      </c>
      <c r="L196" s="86"/>
      <c r="M196" s="254" t="s">
        <v>418</v>
      </c>
      <c r="N196" s="30" t="s">
        <v>418</v>
      </c>
      <c r="O196" s="30" t="s">
        <v>418</v>
      </c>
      <c r="P196" s="30" t="s">
        <v>418</v>
      </c>
      <c r="Q196" s="30" t="s">
        <v>418</v>
      </c>
      <c r="R196" s="30" t="s">
        <v>418</v>
      </c>
      <c r="S196" s="30" t="s">
        <v>418</v>
      </c>
      <c r="T196" t="s">
        <v>418</v>
      </c>
      <c r="U196" t="s">
        <v>418</v>
      </c>
      <c r="X196" s="86">
        <f t="shared" si="3"/>
        <v>0</v>
      </c>
      <c r="AA196" s="86" t="s">
        <v>418</v>
      </c>
      <c r="AB196" s="86" t="s">
        <v>418</v>
      </c>
    </row>
    <row r="197" spans="1:28">
      <c r="A197" s="68">
        <v>196</v>
      </c>
      <c r="B197" s="30" t="s">
        <v>418</v>
      </c>
      <c r="C197" s="30" t="s">
        <v>418</v>
      </c>
      <c r="D197" s="30" t="s">
        <v>418</v>
      </c>
      <c r="E197" s="230" t="s">
        <v>418</v>
      </c>
      <c r="F197" s="30" t="s">
        <v>418</v>
      </c>
      <c r="G197" s="30" t="s">
        <v>418</v>
      </c>
      <c r="H197" s="229" t="s">
        <v>418</v>
      </c>
      <c r="I197" s="229" t="s">
        <v>418</v>
      </c>
      <c r="J197" s="229" t="s">
        <v>418</v>
      </c>
      <c r="K197" s="86" t="s">
        <v>418</v>
      </c>
      <c r="L197" s="86"/>
      <c r="M197" s="254" t="s">
        <v>418</v>
      </c>
      <c r="N197" s="30" t="s">
        <v>418</v>
      </c>
      <c r="O197" s="30" t="s">
        <v>418</v>
      </c>
      <c r="P197" s="30" t="s">
        <v>418</v>
      </c>
      <c r="Q197" s="30" t="s">
        <v>418</v>
      </c>
      <c r="R197" s="30" t="s">
        <v>418</v>
      </c>
      <c r="S197" s="30" t="s">
        <v>418</v>
      </c>
      <c r="T197" t="s">
        <v>418</v>
      </c>
      <c r="U197" t="s">
        <v>418</v>
      </c>
      <c r="X197" s="86">
        <f t="shared" si="3"/>
        <v>0</v>
      </c>
      <c r="AA197" s="86" t="s">
        <v>418</v>
      </c>
      <c r="AB197" s="86" t="s">
        <v>418</v>
      </c>
    </row>
    <row r="198" spans="1:28">
      <c r="A198" s="68">
        <v>197</v>
      </c>
      <c r="B198" s="30" t="s">
        <v>418</v>
      </c>
      <c r="C198" s="30" t="s">
        <v>418</v>
      </c>
      <c r="D198" s="30" t="s">
        <v>418</v>
      </c>
      <c r="E198" s="230" t="s">
        <v>418</v>
      </c>
      <c r="F198" s="30" t="s">
        <v>418</v>
      </c>
      <c r="G198" s="30" t="s">
        <v>418</v>
      </c>
      <c r="H198" s="229" t="s">
        <v>418</v>
      </c>
      <c r="I198" s="229" t="s">
        <v>418</v>
      </c>
      <c r="J198" s="229" t="s">
        <v>418</v>
      </c>
      <c r="K198" s="86" t="s">
        <v>418</v>
      </c>
      <c r="L198" s="86"/>
      <c r="M198" s="254" t="s">
        <v>418</v>
      </c>
      <c r="N198" s="30" t="s">
        <v>418</v>
      </c>
      <c r="O198" s="30" t="s">
        <v>418</v>
      </c>
      <c r="P198" s="30" t="s">
        <v>418</v>
      </c>
      <c r="Q198" s="30" t="s">
        <v>418</v>
      </c>
      <c r="R198" s="30" t="s">
        <v>418</v>
      </c>
      <c r="S198" s="30" t="s">
        <v>418</v>
      </c>
      <c r="T198" t="s">
        <v>418</v>
      </c>
      <c r="U198" t="s">
        <v>418</v>
      </c>
      <c r="X198" s="86">
        <f t="shared" si="3"/>
        <v>0</v>
      </c>
      <c r="AA198" s="86" t="s">
        <v>418</v>
      </c>
      <c r="AB198" s="86" t="s">
        <v>418</v>
      </c>
    </row>
    <row r="199" spans="1:28">
      <c r="A199" s="68">
        <v>198</v>
      </c>
      <c r="B199" s="30" t="s">
        <v>418</v>
      </c>
      <c r="C199" s="30" t="s">
        <v>418</v>
      </c>
      <c r="D199" s="30" t="s">
        <v>418</v>
      </c>
      <c r="E199" s="230" t="s">
        <v>418</v>
      </c>
      <c r="F199" s="30" t="s">
        <v>418</v>
      </c>
      <c r="G199" s="30" t="s">
        <v>418</v>
      </c>
      <c r="H199" s="229" t="s">
        <v>418</v>
      </c>
      <c r="I199" s="229" t="s">
        <v>418</v>
      </c>
      <c r="J199" s="229" t="s">
        <v>418</v>
      </c>
      <c r="K199" s="86" t="s">
        <v>418</v>
      </c>
      <c r="L199" s="86"/>
      <c r="M199" s="254" t="s">
        <v>418</v>
      </c>
      <c r="N199" s="30" t="s">
        <v>418</v>
      </c>
      <c r="O199" s="30" t="s">
        <v>418</v>
      </c>
      <c r="P199" s="30" t="s">
        <v>418</v>
      </c>
      <c r="Q199" s="30" t="s">
        <v>418</v>
      </c>
      <c r="R199" s="30" t="s">
        <v>418</v>
      </c>
      <c r="S199" s="30" t="s">
        <v>418</v>
      </c>
      <c r="T199" t="s">
        <v>418</v>
      </c>
      <c r="U199" t="s">
        <v>418</v>
      </c>
      <c r="X199" s="86">
        <f t="shared" si="3"/>
        <v>0</v>
      </c>
      <c r="AA199" s="86" t="s">
        <v>418</v>
      </c>
      <c r="AB199" s="86" t="s">
        <v>418</v>
      </c>
    </row>
    <row r="200" spans="1:28">
      <c r="A200" s="68">
        <v>199</v>
      </c>
      <c r="B200" s="30" t="s">
        <v>418</v>
      </c>
      <c r="C200" s="30" t="s">
        <v>418</v>
      </c>
      <c r="D200" s="30" t="s">
        <v>418</v>
      </c>
      <c r="E200" s="230" t="s">
        <v>418</v>
      </c>
      <c r="F200" s="30" t="s">
        <v>418</v>
      </c>
      <c r="G200" s="30" t="s">
        <v>418</v>
      </c>
      <c r="H200" s="229" t="s">
        <v>418</v>
      </c>
      <c r="I200" s="229" t="s">
        <v>418</v>
      </c>
      <c r="J200" s="229" t="s">
        <v>418</v>
      </c>
      <c r="K200" s="86" t="s">
        <v>418</v>
      </c>
      <c r="L200" s="86"/>
      <c r="M200" s="254" t="s">
        <v>418</v>
      </c>
      <c r="N200" s="30" t="s">
        <v>418</v>
      </c>
      <c r="O200" s="30" t="s">
        <v>418</v>
      </c>
      <c r="P200" s="30" t="s">
        <v>418</v>
      </c>
      <c r="Q200" s="30" t="s">
        <v>418</v>
      </c>
      <c r="R200" s="30" t="s">
        <v>418</v>
      </c>
      <c r="S200" s="30" t="s">
        <v>418</v>
      </c>
      <c r="T200" t="s">
        <v>418</v>
      </c>
      <c r="U200" t="s">
        <v>418</v>
      </c>
      <c r="X200" s="86">
        <f t="shared" si="3"/>
        <v>0</v>
      </c>
      <c r="AA200" s="86" t="s">
        <v>418</v>
      </c>
      <c r="AB200" s="86" t="s">
        <v>418</v>
      </c>
    </row>
    <row r="201" spans="1:28">
      <c r="A201" s="68">
        <v>200</v>
      </c>
      <c r="B201" s="30" t="s">
        <v>418</v>
      </c>
      <c r="C201" s="30" t="s">
        <v>418</v>
      </c>
      <c r="D201" s="30" t="s">
        <v>418</v>
      </c>
      <c r="E201" s="230" t="s">
        <v>418</v>
      </c>
      <c r="F201" s="30" t="s">
        <v>418</v>
      </c>
      <c r="G201" s="30" t="s">
        <v>418</v>
      </c>
      <c r="H201" s="229" t="s">
        <v>418</v>
      </c>
      <c r="I201" s="229" t="s">
        <v>418</v>
      </c>
      <c r="J201" s="229" t="s">
        <v>418</v>
      </c>
      <c r="K201" s="86" t="s">
        <v>418</v>
      </c>
      <c r="L201" s="86"/>
      <c r="M201" s="254" t="s">
        <v>418</v>
      </c>
      <c r="N201" s="30" t="s">
        <v>418</v>
      </c>
      <c r="O201" s="30" t="s">
        <v>418</v>
      </c>
      <c r="P201" s="30" t="s">
        <v>418</v>
      </c>
      <c r="Q201" s="30" t="s">
        <v>418</v>
      </c>
      <c r="R201" s="30" t="s">
        <v>418</v>
      </c>
      <c r="S201" s="30" t="s">
        <v>418</v>
      </c>
      <c r="T201" t="s">
        <v>418</v>
      </c>
      <c r="U201" t="s">
        <v>418</v>
      </c>
      <c r="X201" s="86">
        <f t="shared" si="3"/>
        <v>0</v>
      </c>
      <c r="AA201" s="86" t="s">
        <v>418</v>
      </c>
      <c r="AB201" s="86" t="s">
        <v>418</v>
      </c>
    </row>
    <row r="202" spans="1:28">
      <c r="A202" s="68">
        <v>201</v>
      </c>
      <c r="B202" s="30" t="s">
        <v>418</v>
      </c>
      <c r="C202" s="30" t="s">
        <v>418</v>
      </c>
      <c r="D202" s="30" t="s">
        <v>418</v>
      </c>
      <c r="E202" s="230" t="s">
        <v>418</v>
      </c>
      <c r="F202" s="30" t="s">
        <v>418</v>
      </c>
      <c r="G202" s="30" t="s">
        <v>418</v>
      </c>
      <c r="H202" s="229" t="s">
        <v>418</v>
      </c>
      <c r="I202" s="229" t="s">
        <v>418</v>
      </c>
      <c r="J202" s="229" t="s">
        <v>418</v>
      </c>
      <c r="K202" s="86" t="s">
        <v>418</v>
      </c>
      <c r="L202" s="86"/>
      <c r="M202" s="254" t="s">
        <v>418</v>
      </c>
      <c r="N202" s="30" t="s">
        <v>418</v>
      </c>
      <c r="O202" s="30" t="s">
        <v>418</v>
      </c>
      <c r="P202" s="30" t="s">
        <v>418</v>
      </c>
      <c r="Q202" s="30" t="s">
        <v>418</v>
      </c>
      <c r="R202" s="30" t="s">
        <v>418</v>
      </c>
      <c r="S202" s="30" t="s">
        <v>418</v>
      </c>
      <c r="T202" t="s">
        <v>418</v>
      </c>
      <c r="U202" t="s">
        <v>418</v>
      </c>
      <c r="X202" s="86">
        <f t="shared" si="3"/>
        <v>0</v>
      </c>
      <c r="AA202" s="86" t="s">
        <v>418</v>
      </c>
      <c r="AB202" s="86" t="s">
        <v>418</v>
      </c>
    </row>
    <row r="203" spans="1:28">
      <c r="A203" s="68">
        <v>202</v>
      </c>
      <c r="B203" s="30" t="s">
        <v>418</v>
      </c>
      <c r="C203" s="30" t="s">
        <v>418</v>
      </c>
      <c r="D203" s="30" t="s">
        <v>418</v>
      </c>
      <c r="E203" s="230" t="s">
        <v>418</v>
      </c>
      <c r="F203" s="30" t="s">
        <v>418</v>
      </c>
      <c r="G203" s="30" t="s">
        <v>418</v>
      </c>
      <c r="H203" s="229" t="s">
        <v>418</v>
      </c>
      <c r="I203" s="229" t="s">
        <v>418</v>
      </c>
      <c r="J203" s="229" t="s">
        <v>418</v>
      </c>
      <c r="K203" s="86" t="s">
        <v>418</v>
      </c>
      <c r="L203" s="86"/>
      <c r="M203" s="254" t="s">
        <v>418</v>
      </c>
      <c r="N203" s="30" t="s">
        <v>418</v>
      </c>
      <c r="O203" s="30" t="s">
        <v>418</v>
      </c>
      <c r="P203" s="30" t="s">
        <v>418</v>
      </c>
      <c r="Q203" s="30" t="s">
        <v>418</v>
      </c>
      <c r="R203" s="30" t="s">
        <v>418</v>
      </c>
      <c r="S203" s="30" t="s">
        <v>418</v>
      </c>
      <c r="T203" t="s">
        <v>418</v>
      </c>
      <c r="U203" t="s">
        <v>418</v>
      </c>
      <c r="X203" s="86">
        <f t="shared" si="3"/>
        <v>0</v>
      </c>
      <c r="AA203" s="86" t="s">
        <v>418</v>
      </c>
      <c r="AB203" s="86" t="s">
        <v>418</v>
      </c>
    </row>
    <row r="204" spans="1:28">
      <c r="A204" s="68">
        <v>203</v>
      </c>
      <c r="B204" s="30" t="s">
        <v>418</v>
      </c>
      <c r="C204" s="30" t="s">
        <v>418</v>
      </c>
      <c r="D204" s="30" t="s">
        <v>418</v>
      </c>
      <c r="E204" s="230" t="s">
        <v>418</v>
      </c>
      <c r="F204" s="30" t="s">
        <v>418</v>
      </c>
      <c r="G204" s="30" t="s">
        <v>418</v>
      </c>
      <c r="H204" s="229" t="s">
        <v>418</v>
      </c>
      <c r="I204" s="229" t="s">
        <v>418</v>
      </c>
      <c r="J204" s="229" t="s">
        <v>418</v>
      </c>
      <c r="K204" s="86" t="s">
        <v>418</v>
      </c>
      <c r="L204" s="86"/>
      <c r="M204" s="254" t="s">
        <v>418</v>
      </c>
      <c r="N204" s="30" t="s">
        <v>418</v>
      </c>
      <c r="O204" s="30" t="s">
        <v>418</v>
      </c>
      <c r="P204" s="30" t="s">
        <v>418</v>
      </c>
      <c r="Q204" s="30" t="s">
        <v>418</v>
      </c>
      <c r="R204" s="30" t="s">
        <v>418</v>
      </c>
      <c r="S204" s="30" t="s">
        <v>418</v>
      </c>
      <c r="T204" t="s">
        <v>418</v>
      </c>
      <c r="U204" t="s">
        <v>418</v>
      </c>
      <c r="X204" s="86">
        <f t="shared" si="3"/>
        <v>0</v>
      </c>
      <c r="AA204" s="86" t="s">
        <v>418</v>
      </c>
      <c r="AB204" s="86" t="s">
        <v>418</v>
      </c>
    </row>
    <row r="205" spans="1:28">
      <c r="A205" s="68">
        <v>204</v>
      </c>
      <c r="B205" s="30" t="s">
        <v>418</v>
      </c>
      <c r="C205" s="30" t="s">
        <v>418</v>
      </c>
      <c r="D205" s="30" t="s">
        <v>418</v>
      </c>
      <c r="E205" s="230" t="s">
        <v>418</v>
      </c>
      <c r="F205" s="30" t="s">
        <v>418</v>
      </c>
      <c r="G205" s="30" t="s">
        <v>418</v>
      </c>
      <c r="H205" s="229" t="s">
        <v>418</v>
      </c>
      <c r="I205" s="229" t="s">
        <v>418</v>
      </c>
      <c r="J205" s="229" t="s">
        <v>418</v>
      </c>
      <c r="K205" s="86" t="s">
        <v>418</v>
      </c>
      <c r="L205" s="86"/>
      <c r="M205" s="254" t="s">
        <v>418</v>
      </c>
      <c r="N205" s="30" t="s">
        <v>418</v>
      </c>
      <c r="O205" s="30" t="s">
        <v>418</v>
      </c>
      <c r="P205" s="30" t="s">
        <v>418</v>
      </c>
      <c r="Q205" s="30" t="s">
        <v>418</v>
      </c>
      <c r="R205" s="30" t="s">
        <v>418</v>
      </c>
      <c r="S205" s="30" t="s">
        <v>418</v>
      </c>
      <c r="T205" t="s">
        <v>418</v>
      </c>
      <c r="U205" t="s">
        <v>418</v>
      </c>
      <c r="X205" s="86">
        <f t="shared" si="3"/>
        <v>0</v>
      </c>
      <c r="AA205" s="86" t="s">
        <v>418</v>
      </c>
      <c r="AB205" s="86" t="s">
        <v>418</v>
      </c>
    </row>
    <row r="206" spans="1:28">
      <c r="A206" s="68">
        <v>205</v>
      </c>
      <c r="B206" s="30" t="s">
        <v>418</v>
      </c>
      <c r="C206" s="30" t="s">
        <v>418</v>
      </c>
      <c r="D206" s="30" t="s">
        <v>418</v>
      </c>
      <c r="E206" s="230" t="s">
        <v>418</v>
      </c>
      <c r="F206" s="30" t="s">
        <v>418</v>
      </c>
      <c r="G206" s="30" t="s">
        <v>418</v>
      </c>
      <c r="H206" s="229" t="s">
        <v>418</v>
      </c>
      <c r="I206" s="229" t="s">
        <v>418</v>
      </c>
      <c r="J206" s="229" t="s">
        <v>418</v>
      </c>
      <c r="K206" s="86" t="s">
        <v>418</v>
      </c>
      <c r="L206" s="86"/>
      <c r="M206" s="254" t="s">
        <v>418</v>
      </c>
      <c r="N206" s="30" t="s">
        <v>418</v>
      </c>
      <c r="O206" s="30" t="s">
        <v>418</v>
      </c>
      <c r="P206" s="30" t="s">
        <v>418</v>
      </c>
      <c r="Q206" s="30" t="s">
        <v>418</v>
      </c>
      <c r="R206" s="30" t="s">
        <v>418</v>
      </c>
      <c r="S206" s="30" t="s">
        <v>418</v>
      </c>
      <c r="T206" t="s">
        <v>418</v>
      </c>
      <c r="U206" t="s">
        <v>418</v>
      </c>
      <c r="X206" s="86">
        <f t="shared" si="3"/>
        <v>0</v>
      </c>
      <c r="AA206" s="86" t="s">
        <v>418</v>
      </c>
      <c r="AB206" s="86" t="s">
        <v>418</v>
      </c>
    </row>
    <row r="207" spans="1:28">
      <c r="A207" s="68">
        <v>206</v>
      </c>
      <c r="B207" s="30" t="s">
        <v>418</v>
      </c>
      <c r="C207" s="30" t="s">
        <v>418</v>
      </c>
      <c r="D207" s="30" t="s">
        <v>418</v>
      </c>
      <c r="E207" s="230" t="s">
        <v>418</v>
      </c>
      <c r="F207" s="30" t="s">
        <v>418</v>
      </c>
      <c r="G207" s="30" t="s">
        <v>418</v>
      </c>
      <c r="H207" s="229" t="s">
        <v>418</v>
      </c>
      <c r="I207" s="229" t="s">
        <v>418</v>
      </c>
      <c r="J207" s="229" t="s">
        <v>418</v>
      </c>
      <c r="K207" s="86" t="s">
        <v>418</v>
      </c>
      <c r="L207" s="86"/>
      <c r="M207" s="254" t="s">
        <v>418</v>
      </c>
      <c r="N207" s="30" t="s">
        <v>418</v>
      </c>
      <c r="O207" s="30" t="s">
        <v>418</v>
      </c>
      <c r="P207" s="30" t="s">
        <v>418</v>
      </c>
      <c r="Q207" s="30" t="s">
        <v>418</v>
      </c>
      <c r="R207" s="30" t="s">
        <v>418</v>
      </c>
      <c r="S207" s="30" t="s">
        <v>418</v>
      </c>
      <c r="T207" t="s">
        <v>418</v>
      </c>
      <c r="U207" t="s">
        <v>418</v>
      </c>
      <c r="X207" s="86">
        <f t="shared" si="3"/>
        <v>0</v>
      </c>
      <c r="AA207" s="86" t="s">
        <v>418</v>
      </c>
      <c r="AB207" s="86" t="s">
        <v>418</v>
      </c>
    </row>
    <row r="208" spans="1:28">
      <c r="A208" s="68">
        <v>207</v>
      </c>
      <c r="B208" s="30" t="s">
        <v>418</v>
      </c>
      <c r="C208" s="30" t="s">
        <v>418</v>
      </c>
      <c r="D208" s="30" t="s">
        <v>418</v>
      </c>
      <c r="E208" s="230" t="s">
        <v>418</v>
      </c>
      <c r="F208" s="30" t="s">
        <v>418</v>
      </c>
      <c r="G208" s="30" t="s">
        <v>418</v>
      </c>
      <c r="H208" s="229" t="s">
        <v>418</v>
      </c>
      <c r="I208" s="229" t="s">
        <v>418</v>
      </c>
      <c r="J208" s="229" t="s">
        <v>418</v>
      </c>
      <c r="K208" s="86" t="s">
        <v>418</v>
      </c>
      <c r="L208" s="86"/>
      <c r="M208" s="254" t="s">
        <v>418</v>
      </c>
      <c r="N208" s="30" t="s">
        <v>418</v>
      </c>
      <c r="O208" s="30" t="s">
        <v>418</v>
      </c>
      <c r="P208" s="30" t="s">
        <v>418</v>
      </c>
      <c r="Q208" s="30" t="s">
        <v>418</v>
      </c>
      <c r="R208" s="30" t="s">
        <v>418</v>
      </c>
      <c r="S208" s="30" t="s">
        <v>418</v>
      </c>
      <c r="X208" s="86">
        <f t="shared" si="3"/>
        <v>0</v>
      </c>
      <c r="AA208" s="86" t="s">
        <v>418</v>
      </c>
      <c r="AB208" s="86" t="s">
        <v>418</v>
      </c>
    </row>
    <row r="209" spans="1:28">
      <c r="A209" s="68">
        <v>208</v>
      </c>
      <c r="B209" s="30" t="s">
        <v>418</v>
      </c>
      <c r="C209" s="30" t="s">
        <v>418</v>
      </c>
      <c r="D209" s="30" t="s">
        <v>418</v>
      </c>
      <c r="E209" s="230" t="s">
        <v>418</v>
      </c>
      <c r="F209" s="30" t="s">
        <v>418</v>
      </c>
      <c r="G209" s="30" t="s">
        <v>418</v>
      </c>
      <c r="H209" s="229" t="s">
        <v>418</v>
      </c>
      <c r="I209" s="229" t="s">
        <v>418</v>
      </c>
      <c r="J209" s="229" t="s">
        <v>418</v>
      </c>
      <c r="K209" s="86" t="s">
        <v>418</v>
      </c>
      <c r="L209" s="86"/>
      <c r="M209" s="254" t="s">
        <v>418</v>
      </c>
      <c r="N209" s="30" t="s">
        <v>418</v>
      </c>
      <c r="O209" s="30" t="s">
        <v>418</v>
      </c>
      <c r="P209" s="30" t="s">
        <v>418</v>
      </c>
      <c r="Q209" s="30" t="s">
        <v>418</v>
      </c>
      <c r="R209" s="30" t="s">
        <v>418</v>
      </c>
      <c r="S209" s="30" t="s">
        <v>418</v>
      </c>
      <c r="X209" s="86">
        <f t="shared" si="3"/>
        <v>0</v>
      </c>
      <c r="AA209" s="86" t="s">
        <v>418</v>
      </c>
      <c r="AB209" s="86" t="s">
        <v>418</v>
      </c>
    </row>
    <row r="210" spans="1:28">
      <c r="A210" s="68">
        <v>209</v>
      </c>
      <c r="B210" s="30" t="s">
        <v>418</v>
      </c>
      <c r="C210" s="30" t="s">
        <v>418</v>
      </c>
      <c r="D210" s="30" t="s">
        <v>418</v>
      </c>
      <c r="E210" s="230" t="s">
        <v>418</v>
      </c>
      <c r="F210" s="30" t="s">
        <v>418</v>
      </c>
      <c r="G210" s="30" t="s">
        <v>418</v>
      </c>
      <c r="H210" s="229" t="s">
        <v>418</v>
      </c>
      <c r="I210" s="229" t="s">
        <v>418</v>
      </c>
      <c r="J210" s="229" t="s">
        <v>418</v>
      </c>
      <c r="K210" s="86" t="s">
        <v>418</v>
      </c>
      <c r="L210" s="86"/>
      <c r="M210" s="254" t="s">
        <v>418</v>
      </c>
      <c r="N210" s="30" t="s">
        <v>418</v>
      </c>
      <c r="O210" s="30" t="s">
        <v>418</v>
      </c>
      <c r="P210" s="30" t="s">
        <v>418</v>
      </c>
      <c r="Q210" s="30" t="s">
        <v>418</v>
      </c>
      <c r="R210" s="30" t="s">
        <v>418</v>
      </c>
      <c r="S210" s="30" t="s">
        <v>418</v>
      </c>
      <c r="X210" s="86">
        <f t="shared" si="3"/>
        <v>0</v>
      </c>
      <c r="AA210" s="86" t="s">
        <v>418</v>
      </c>
      <c r="AB210" s="86" t="s">
        <v>418</v>
      </c>
    </row>
    <row r="211" spans="1:28">
      <c r="A211" s="68">
        <v>210</v>
      </c>
      <c r="B211" s="30" t="s">
        <v>418</v>
      </c>
      <c r="C211" s="30" t="s">
        <v>418</v>
      </c>
      <c r="D211" s="30" t="s">
        <v>418</v>
      </c>
      <c r="E211" s="230" t="s">
        <v>418</v>
      </c>
      <c r="F211" s="30" t="s">
        <v>418</v>
      </c>
      <c r="G211" s="30" t="s">
        <v>418</v>
      </c>
      <c r="H211" s="229" t="s">
        <v>418</v>
      </c>
      <c r="I211" s="229" t="s">
        <v>418</v>
      </c>
      <c r="J211" s="229" t="s">
        <v>418</v>
      </c>
      <c r="K211" s="86" t="s">
        <v>418</v>
      </c>
      <c r="L211" s="86"/>
      <c r="M211" s="254" t="s">
        <v>418</v>
      </c>
      <c r="N211" s="30" t="s">
        <v>418</v>
      </c>
      <c r="O211" s="30" t="s">
        <v>418</v>
      </c>
      <c r="P211" s="30" t="s">
        <v>418</v>
      </c>
      <c r="Q211" s="30" t="s">
        <v>418</v>
      </c>
      <c r="R211" s="30" t="s">
        <v>418</v>
      </c>
      <c r="S211" s="30" t="s">
        <v>418</v>
      </c>
      <c r="X211" s="86">
        <f t="shared" si="3"/>
        <v>0</v>
      </c>
      <c r="AA211" s="86" t="s">
        <v>418</v>
      </c>
      <c r="AB211" s="86" t="s">
        <v>418</v>
      </c>
    </row>
    <row r="212" spans="1:28">
      <c r="A212" s="68">
        <v>211</v>
      </c>
      <c r="B212" s="30" t="s">
        <v>418</v>
      </c>
      <c r="C212" s="30" t="s">
        <v>418</v>
      </c>
      <c r="D212" s="30" t="s">
        <v>418</v>
      </c>
      <c r="E212" s="230" t="s">
        <v>418</v>
      </c>
      <c r="F212" s="30" t="s">
        <v>418</v>
      </c>
      <c r="G212" s="30" t="s">
        <v>418</v>
      </c>
      <c r="H212" s="229" t="s">
        <v>418</v>
      </c>
      <c r="I212" s="229" t="s">
        <v>418</v>
      </c>
      <c r="J212" s="229" t="s">
        <v>418</v>
      </c>
      <c r="K212" s="86" t="s">
        <v>418</v>
      </c>
      <c r="L212" s="86"/>
      <c r="M212" s="30"/>
      <c r="N212" s="30"/>
      <c r="O212" s="30"/>
      <c r="P212" s="30"/>
      <c r="Q212" s="30"/>
      <c r="R212" s="30"/>
      <c r="S212" s="30"/>
      <c r="X212" s="86">
        <f t="shared" si="3"/>
        <v>0</v>
      </c>
      <c r="AA212" s="86" t="s">
        <v>418</v>
      </c>
      <c r="AB212" s="86" t="s">
        <v>418</v>
      </c>
    </row>
    <row r="213" spans="1:28">
      <c r="A213" s="68">
        <v>212</v>
      </c>
      <c r="B213" s="30" t="s">
        <v>418</v>
      </c>
      <c r="C213" s="30" t="s">
        <v>418</v>
      </c>
      <c r="D213" s="30" t="s">
        <v>418</v>
      </c>
      <c r="E213" s="230" t="s">
        <v>418</v>
      </c>
      <c r="F213" s="30" t="s">
        <v>418</v>
      </c>
      <c r="G213" s="30" t="s">
        <v>418</v>
      </c>
      <c r="H213" s="229" t="s">
        <v>418</v>
      </c>
      <c r="I213" s="229" t="s">
        <v>418</v>
      </c>
      <c r="J213" s="229" t="s">
        <v>418</v>
      </c>
      <c r="K213" s="86" t="s">
        <v>418</v>
      </c>
      <c r="L213" s="86"/>
      <c r="M213" s="30"/>
      <c r="N213" s="30"/>
      <c r="O213" s="30"/>
      <c r="P213" s="30"/>
      <c r="Q213" s="30"/>
      <c r="R213" s="30"/>
      <c r="S213" s="30"/>
      <c r="X213" s="86">
        <f t="shared" si="3"/>
        <v>0</v>
      </c>
      <c r="AA213" s="86" t="s">
        <v>418</v>
      </c>
      <c r="AB213" s="86" t="s">
        <v>418</v>
      </c>
    </row>
    <row r="214" spans="1:28">
      <c r="A214" s="68">
        <v>213</v>
      </c>
      <c r="B214" s="30" t="s">
        <v>418</v>
      </c>
      <c r="C214" s="30" t="s">
        <v>418</v>
      </c>
      <c r="D214" s="30" t="s">
        <v>418</v>
      </c>
      <c r="E214" s="230" t="s">
        <v>418</v>
      </c>
      <c r="F214" s="30" t="s">
        <v>418</v>
      </c>
      <c r="G214" s="30" t="s">
        <v>418</v>
      </c>
      <c r="H214" s="229" t="s">
        <v>418</v>
      </c>
      <c r="I214" s="229" t="s">
        <v>418</v>
      </c>
      <c r="J214" s="229" t="s">
        <v>418</v>
      </c>
      <c r="K214" s="86" t="s">
        <v>418</v>
      </c>
      <c r="L214" s="86"/>
      <c r="M214" s="30"/>
      <c r="N214" s="30"/>
      <c r="O214" s="30"/>
      <c r="P214" s="30"/>
      <c r="Q214" s="30"/>
      <c r="R214" s="30"/>
      <c r="S214" s="30"/>
      <c r="X214" s="86">
        <f t="shared" si="3"/>
        <v>0</v>
      </c>
      <c r="AA214" s="86" t="s">
        <v>418</v>
      </c>
      <c r="AB214" s="86" t="s">
        <v>418</v>
      </c>
    </row>
    <row r="215" spans="1:28">
      <c r="A215" s="68">
        <v>214</v>
      </c>
      <c r="B215" s="30" t="s">
        <v>418</v>
      </c>
      <c r="C215" s="30" t="s">
        <v>418</v>
      </c>
      <c r="D215" s="30" t="s">
        <v>418</v>
      </c>
      <c r="E215" s="230" t="s">
        <v>418</v>
      </c>
      <c r="F215" s="30" t="s">
        <v>418</v>
      </c>
      <c r="G215" s="30" t="s">
        <v>418</v>
      </c>
      <c r="H215" s="229" t="s">
        <v>418</v>
      </c>
      <c r="I215" s="229" t="s">
        <v>418</v>
      </c>
      <c r="J215" s="229" t="s">
        <v>418</v>
      </c>
      <c r="K215" s="86" t="s">
        <v>418</v>
      </c>
      <c r="L215" s="86"/>
      <c r="M215" s="30"/>
      <c r="N215" s="30"/>
      <c r="O215" s="30"/>
      <c r="P215" s="30"/>
      <c r="Q215" s="30"/>
      <c r="R215" s="30"/>
      <c r="S215" s="30"/>
      <c r="X215" s="86">
        <f t="shared" si="3"/>
        <v>0</v>
      </c>
      <c r="AA215" s="86" t="s">
        <v>418</v>
      </c>
      <c r="AB215" s="86" t="s">
        <v>418</v>
      </c>
    </row>
    <row r="216" spans="1:28">
      <c r="A216" s="68">
        <v>215</v>
      </c>
      <c r="B216" s="30" t="s">
        <v>418</v>
      </c>
      <c r="C216" s="30" t="s">
        <v>418</v>
      </c>
      <c r="D216" s="30" t="s">
        <v>418</v>
      </c>
      <c r="E216" s="230" t="s">
        <v>418</v>
      </c>
      <c r="F216" s="30" t="s">
        <v>418</v>
      </c>
      <c r="G216" s="30" t="s">
        <v>418</v>
      </c>
      <c r="H216" s="229" t="s">
        <v>418</v>
      </c>
      <c r="I216" s="229" t="s">
        <v>418</v>
      </c>
      <c r="J216" s="229" t="s">
        <v>418</v>
      </c>
      <c r="K216" s="86" t="s">
        <v>418</v>
      </c>
      <c r="L216" s="86"/>
      <c r="M216" s="30"/>
      <c r="N216" s="30"/>
      <c r="O216" s="30"/>
      <c r="P216" s="30"/>
      <c r="Q216" s="30"/>
      <c r="R216" s="30"/>
      <c r="S216" s="30"/>
      <c r="X216" s="86">
        <f t="shared" si="3"/>
        <v>0</v>
      </c>
      <c r="AA216" s="86" t="s">
        <v>418</v>
      </c>
      <c r="AB216" s="86" t="s">
        <v>418</v>
      </c>
    </row>
    <row r="217" spans="1:28">
      <c r="A217" s="68">
        <v>216</v>
      </c>
      <c r="B217" s="30" t="s">
        <v>418</v>
      </c>
      <c r="C217" s="30" t="s">
        <v>418</v>
      </c>
      <c r="D217" s="30" t="s">
        <v>418</v>
      </c>
      <c r="E217" s="230" t="s">
        <v>418</v>
      </c>
      <c r="F217" s="30" t="s">
        <v>418</v>
      </c>
      <c r="G217" s="30" t="s">
        <v>418</v>
      </c>
      <c r="H217" s="229" t="s">
        <v>418</v>
      </c>
      <c r="I217" s="229" t="s">
        <v>418</v>
      </c>
      <c r="J217" s="229" t="s">
        <v>418</v>
      </c>
      <c r="K217" s="86" t="s">
        <v>418</v>
      </c>
      <c r="L217" s="86"/>
      <c r="M217" s="30"/>
      <c r="N217" s="30"/>
      <c r="O217" s="30"/>
      <c r="P217" s="30"/>
      <c r="Q217" s="30"/>
      <c r="R217" s="30"/>
      <c r="S217" s="30"/>
      <c r="X217" s="86">
        <f t="shared" si="3"/>
        <v>0</v>
      </c>
      <c r="AA217" s="86" t="s">
        <v>418</v>
      </c>
      <c r="AB217" s="86" t="s">
        <v>418</v>
      </c>
    </row>
    <row r="218" spans="1:28">
      <c r="A218" s="68">
        <v>217</v>
      </c>
      <c r="B218" s="30" t="s">
        <v>418</v>
      </c>
      <c r="C218" s="30" t="s">
        <v>418</v>
      </c>
      <c r="D218" s="30" t="s">
        <v>418</v>
      </c>
      <c r="E218" s="230" t="s">
        <v>418</v>
      </c>
      <c r="F218" s="30" t="s">
        <v>418</v>
      </c>
      <c r="G218" s="30" t="s">
        <v>418</v>
      </c>
      <c r="H218" s="229" t="s">
        <v>418</v>
      </c>
      <c r="I218" s="229" t="s">
        <v>418</v>
      </c>
      <c r="J218" s="229" t="s">
        <v>418</v>
      </c>
      <c r="K218" s="86" t="s">
        <v>418</v>
      </c>
      <c r="L218" s="86"/>
      <c r="M218" s="30"/>
      <c r="N218" s="30"/>
      <c r="O218" s="30"/>
      <c r="P218" s="30"/>
      <c r="Q218" s="30"/>
      <c r="R218" s="30"/>
      <c r="S218" s="30"/>
      <c r="X218" s="86">
        <f t="shared" si="3"/>
        <v>0</v>
      </c>
      <c r="AA218" s="86" t="s">
        <v>418</v>
      </c>
      <c r="AB218" s="86" t="s">
        <v>418</v>
      </c>
    </row>
    <row r="219" spans="1:28">
      <c r="A219" s="68">
        <v>218</v>
      </c>
      <c r="B219" s="30" t="s">
        <v>418</v>
      </c>
      <c r="C219" s="30" t="s">
        <v>418</v>
      </c>
      <c r="D219" s="30" t="s">
        <v>418</v>
      </c>
      <c r="E219" s="230" t="s">
        <v>418</v>
      </c>
      <c r="F219" s="30" t="s">
        <v>418</v>
      </c>
      <c r="G219" s="30" t="s">
        <v>418</v>
      </c>
      <c r="H219" s="229" t="s">
        <v>418</v>
      </c>
      <c r="I219" s="229" t="s">
        <v>418</v>
      </c>
      <c r="J219" s="229" t="s">
        <v>418</v>
      </c>
      <c r="K219" s="86" t="s">
        <v>418</v>
      </c>
      <c r="L219" s="86"/>
      <c r="M219" s="30"/>
      <c r="N219" s="30"/>
      <c r="O219" s="30"/>
      <c r="P219" s="30"/>
      <c r="Q219" s="30"/>
      <c r="R219" s="30"/>
      <c r="S219" s="30"/>
      <c r="X219" s="86">
        <f t="shared" si="3"/>
        <v>0</v>
      </c>
      <c r="AA219" s="86" t="s">
        <v>418</v>
      </c>
      <c r="AB219" s="86" t="s">
        <v>418</v>
      </c>
    </row>
    <row r="220" spans="1:28">
      <c r="A220" s="68">
        <v>219</v>
      </c>
      <c r="B220" s="30" t="s">
        <v>418</v>
      </c>
      <c r="C220" s="30" t="s">
        <v>418</v>
      </c>
      <c r="D220" s="30" t="s">
        <v>418</v>
      </c>
      <c r="E220" s="230" t="s">
        <v>418</v>
      </c>
      <c r="F220" s="30" t="s">
        <v>418</v>
      </c>
      <c r="G220" s="30" t="s">
        <v>418</v>
      </c>
      <c r="H220" s="229" t="s">
        <v>418</v>
      </c>
      <c r="I220" s="229" t="s">
        <v>418</v>
      </c>
      <c r="J220" s="229" t="s">
        <v>418</v>
      </c>
      <c r="K220" s="86" t="s">
        <v>418</v>
      </c>
      <c r="L220" s="86"/>
      <c r="M220" s="30"/>
      <c r="N220" s="30"/>
      <c r="O220" s="30"/>
      <c r="P220" s="30"/>
      <c r="Q220" s="30"/>
      <c r="R220" s="30"/>
      <c r="S220" s="30"/>
      <c r="X220" s="86">
        <f t="shared" si="3"/>
        <v>0</v>
      </c>
      <c r="AA220" s="86" t="s">
        <v>418</v>
      </c>
      <c r="AB220" s="86" t="s">
        <v>418</v>
      </c>
    </row>
    <row r="221" spans="1:28">
      <c r="A221" s="68">
        <v>220</v>
      </c>
      <c r="B221" s="30" t="s">
        <v>418</v>
      </c>
      <c r="C221" s="30" t="s">
        <v>418</v>
      </c>
      <c r="D221" s="30" t="s">
        <v>418</v>
      </c>
      <c r="E221" s="230" t="s">
        <v>418</v>
      </c>
      <c r="F221" s="30" t="s">
        <v>418</v>
      </c>
      <c r="G221" s="30" t="s">
        <v>418</v>
      </c>
      <c r="H221" s="229" t="s">
        <v>418</v>
      </c>
      <c r="I221" s="229" t="s">
        <v>418</v>
      </c>
      <c r="J221" s="229" t="s">
        <v>418</v>
      </c>
      <c r="K221" s="86" t="s">
        <v>418</v>
      </c>
      <c r="L221" s="86"/>
      <c r="M221" s="30"/>
      <c r="N221" s="30"/>
      <c r="O221" s="30"/>
      <c r="P221" s="30"/>
      <c r="Q221" s="30"/>
      <c r="R221" s="30"/>
      <c r="S221" s="30"/>
      <c r="X221" s="86">
        <f t="shared" si="3"/>
        <v>0</v>
      </c>
      <c r="AA221" s="86" t="s">
        <v>418</v>
      </c>
      <c r="AB221" s="86" t="s">
        <v>418</v>
      </c>
    </row>
    <row r="222" spans="1:28">
      <c r="A222" s="68">
        <v>221</v>
      </c>
      <c r="B222" s="30" t="s">
        <v>418</v>
      </c>
      <c r="C222" s="30" t="s">
        <v>418</v>
      </c>
      <c r="D222" s="30" t="s">
        <v>418</v>
      </c>
      <c r="E222" s="230" t="s">
        <v>418</v>
      </c>
      <c r="F222" s="30" t="s">
        <v>418</v>
      </c>
      <c r="G222" s="30" t="s">
        <v>418</v>
      </c>
      <c r="H222" s="229" t="s">
        <v>418</v>
      </c>
      <c r="I222" s="229" t="s">
        <v>418</v>
      </c>
      <c r="J222" s="229" t="s">
        <v>418</v>
      </c>
      <c r="K222" s="86" t="s">
        <v>418</v>
      </c>
      <c r="L222" s="86"/>
      <c r="M222" s="30"/>
      <c r="N222" s="30"/>
      <c r="O222" s="30"/>
      <c r="P222" s="30"/>
      <c r="Q222" s="30"/>
      <c r="R222" s="30"/>
      <c r="S222" s="30"/>
      <c r="X222" s="86">
        <f t="shared" si="3"/>
        <v>0</v>
      </c>
      <c r="AA222" s="86" t="s">
        <v>418</v>
      </c>
      <c r="AB222" s="86" t="s">
        <v>418</v>
      </c>
    </row>
    <row r="223" spans="1:28">
      <c r="A223" s="68">
        <v>222</v>
      </c>
      <c r="B223" s="30" t="s">
        <v>418</v>
      </c>
      <c r="C223" s="30" t="s">
        <v>418</v>
      </c>
      <c r="D223" s="30" t="s">
        <v>418</v>
      </c>
      <c r="E223" s="230" t="s">
        <v>418</v>
      </c>
      <c r="F223" s="30" t="s">
        <v>418</v>
      </c>
      <c r="G223" s="30" t="s">
        <v>418</v>
      </c>
      <c r="H223" s="229" t="s">
        <v>418</v>
      </c>
      <c r="I223" s="229" t="s">
        <v>418</v>
      </c>
      <c r="J223" s="229" t="s">
        <v>418</v>
      </c>
      <c r="K223" s="86" t="s">
        <v>418</v>
      </c>
      <c r="L223" s="86"/>
      <c r="M223" s="30"/>
      <c r="N223" s="30"/>
      <c r="O223" s="30"/>
      <c r="P223" s="30"/>
      <c r="Q223" s="30"/>
      <c r="R223" s="30"/>
      <c r="S223" s="30"/>
      <c r="X223" s="86">
        <f t="shared" si="3"/>
        <v>0</v>
      </c>
      <c r="AA223" s="86" t="s">
        <v>418</v>
      </c>
      <c r="AB223" s="86" t="s">
        <v>418</v>
      </c>
    </row>
    <row r="224" spans="1:28">
      <c r="A224" s="68">
        <v>223</v>
      </c>
      <c r="B224" s="30" t="s">
        <v>418</v>
      </c>
      <c r="C224" s="30" t="s">
        <v>418</v>
      </c>
      <c r="D224" s="30" t="s">
        <v>418</v>
      </c>
      <c r="E224" s="230" t="s">
        <v>418</v>
      </c>
      <c r="F224" s="30" t="s">
        <v>418</v>
      </c>
      <c r="G224" s="30" t="s">
        <v>418</v>
      </c>
      <c r="H224" s="229" t="s">
        <v>418</v>
      </c>
      <c r="I224" s="229" t="s">
        <v>418</v>
      </c>
      <c r="J224" s="229" t="s">
        <v>418</v>
      </c>
      <c r="K224" s="86" t="s">
        <v>418</v>
      </c>
      <c r="L224" s="86"/>
      <c r="M224" s="30"/>
      <c r="N224" s="30"/>
      <c r="O224" s="30"/>
      <c r="P224" s="30"/>
      <c r="Q224" s="30"/>
      <c r="R224" s="30"/>
      <c r="S224" s="30"/>
      <c r="X224" s="86">
        <f t="shared" si="3"/>
        <v>0</v>
      </c>
      <c r="AA224" s="86" t="s">
        <v>418</v>
      </c>
      <c r="AB224" s="86" t="s">
        <v>418</v>
      </c>
    </row>
    <row r="225" spans="1:28">
      <c r="A225" s="68">
        <v>224</v>
      </c>
      <c r="B225" s="30" t="s">
        <v>418</v>
      </c>
      <c r="C225" s="30" t="s">
        <v>418</v>
      </c>
      <c r="D225" s="30" t="s">
        <v>418</v>
      </c>
      <c r="E225" s="230" t="s">
        <v>418</v>
      </c>
      <c r="F225" s="30" t="s">
        <v>418</v>
      </c>
      <c r="G225" s="30" t="s">
        <v>418</v>
      </c>
      <c r="H225" s="229" t="s">
        <v>418</v>
      </c>
      <c r="I225" s="229" t="s">
        <v>418</v>
      </c>
      <c r="J225" s="229" t="s">
        <v>418</v>
      </c>
      <c r="K225" s="86" t="s">
        <v>418</v>
      </c>
      <c r="L225" s="86"/>
      <c r="M225" s="30"/>
      <c r="N225" s="30"/>
      <c r="O225" s="30"/>
      <c r="P225" s="30"/>
      <c r="Q225" s="30"/>
      <c r="R225" s="30"/>
      <c r="S225" s="30"/>
      <c r="X225" s="86">
        <f t="shared" si="3"/>
        <v>0</v>
      </c>
      <c r="AA225" s="86" t="s">
        <v>418</v>
      </c>
      <c r="AB225" s="86" t="s">
        <v>418</v>
      </c>
    </row>
    <row r="226" spans="1:28">
      <c r="A226" s="68">
        <v>225</v>
      </c>
      <c r="B226" s="30" t="s">
        <v>418</v>
      </c>
      <c r="C226" s="30" t="s">
        <v>418</v>
      </c>
      <c r="D226" s="30" t="s">
        <v>418</v>
      </c>
      <c r="E226" s="230" t="s">
        <v>418</v>
      </c>
      <c r="F226" s="30" t="s">
        <v>418</v>
      </c>
      <c r="G226" s="30" t="s">
        <v>418</v>
      </c>
      <c r="H226" s="229" t="s">
        <v>418</v>
      </c>
      <c r="I226" s="229" t="s">
        <v>418</v>
      </c>
      <c r="J226" s="229" t="s">
        <v>418</v>
      </c>
      <c r="K226" s="86" t="s">
        <v>418</v>
      </c>
      <c r="L226" s="86"/>
      <c r="M226" s="30"/>
      <c r="N226" s="30"/>
      <c r="O226" s="30"/>
      <c r="P226" s="30"/>
      <c r="Q226" s="30"/>
      <c r="R226" s="30"/>
      <c r="S226" s="30"/>
      <c r="X226" s="86">
        <f t="shared" si="3"/>
        <v>0</v>
      </c>
      <c r="AA226" s="86" t="s">
        <v>418</v>
      </c>
      <c r="AB226" s="86" t="s">
        <v>418</v>
      </c>
    </row>
    <row r="227" spans="1:28">
      <c r="A227" s="68">
        <v>226</v>
      </c>
      <c r="B227" s="30" t="s">
        <v>418</v>
      </c>
      <c r="C227" s="30" t="s">
        <v>418</v>
      </c>
      <c r="D227" s="30" t="s">
        <v>418</v>
      </c>
      <c r="E227" s="230" t="s">
        <v>418</v>
      </c>
      <c r="F227" s="30" t="s">
        <v>418</v>
      </c>
      <c r="G227" s="30" t="s">
        <v>418</v>
      </c>
      <c r="H227" s="229" t="s">
        <v>418</v>
      </c>
      <c r="I227" s="229" t="s">
        <v>418</v>
      </c>
      <c r="J227" s="229" t="s">
        <v>418</v>
      </c>
      <c r="K227" s="86" t="s">
        <v>418</v>
      </c>
      <c r="L227" s="86"/>
      <c r="M227" s="30"/>
      <c r="N227" s="30"/>
      <c r="O227" s="30"/>
      <c r="P227" s="30"/>
      <c r="Q227" s="30"/>
      <c r="R227" s="30"/>
      <c r="S227" s="30"/>
      <c r="X227" s="86">
        <f t="shared" si="3"/>
        <v>0</v>
      </c>
      <c r="AA227" s="86" t="s">
        <v>418</v>
      </c>
      <c r="AB227" s="86" t="s">
        <v>418</v>
      </c>
    </row>
    <row r="228" spans="1:28">
      <c r="A228" s="68">
        <v>227</v>
      </c>
      <c r="B228" s="30" t="s">
        <v>418</v>
      </c>
      <c r="C228" s="30" t="s">
        <v>418</v>
      </c>
      <c r="D228" s="30" t="s">
        <v>418</v>
      </c>
      <c r="E228" s="230" t="s">
        <v>418</v>
      </c>
      <c r="F228" s="30" t="s">
        <v>418</v>
      </c>
      <c r="G228" s="30" t="s">
        <v>418</v>
      </c>
      <c r="H228" s="229" t="s">
        <v>418</v>
      </c>
      <c r="I228" s="229" t="s">
        <v>418</v>
      </c>
      <c r="J228" s="229" t="s">
        <v>418</v>
      </c>
      <c r="K228" s="86" t="s">
        <v>418</v>
      </c>
      <c r="L228" s="86"/>
      <c r="M228" s="30"/>
      <c r="N228" s="30"/>
      <c r="O228" s="30"/>
      <c r="P228" s="30"/>
      <c r="Q228" s="30"/>
      <c r="R228" s="30"/>
      <c r="S228" s="30"/>
      <c r="X228" s="86">
        <f t="shared" si="3"/>
        <v>0</v>
      </c>
      <c r="AA228" s="86" t="s">
        <v>418</v>
      </c>
      <c r="AB228" s="86" t="s">
        <v>418</v>
      </c>
    </row>
    <row r="229" spans="1:28">
      <c r="A229" s="68">
        <v>228</v>
      </c>
      <c r="B229" s="30" t="s">
        <v>418</v>
      </c>
      <c r="C229" s="30" t="s">
        <v>418</v>
      </c>
      <c r="D229" s="30" t="s">
        <v>418</v>
      </c>
      <c r="E229" s="230" t="s">
        <v>418</v>
      </c>
      <c r="F229" s="30" t="s">
        <v>418</v>
      </c>
      <c r="G229" s="30" t="s">
        <v>418</v>
      </c>
      <c r="H229" s="229" t="s">
        <v>418</v>
      </c>
      <c r="I229" s="229" t="s">
        <v>418</v>
      </c>
      <c r="J229" s="229" t="s">
        <v>418</v>
      </c>
      <c r="K229" s="86" t="s">
        <v>418</v>
      </c>
      <c r="L229" s="86"/>
      <c r="M229" s="30"/>
      <c r="N229" s="30"/>
      <c r="O229" s="30"/>
      <c r="P229" s="30"/>
      <c r="Q229" s="30"/>
      <c r="R229" s="30"/>
      <c r="S229" s="30"/>
      <c r="X229" s="86">
        <f t="shared" si="3"/>
        <v>0</v>
      </c>
      <c r="AA229" s="86" t="s">
        <v>418</v>
      </c>
      <c r="AB229" s="86" t="s">
        <v>418</v>
      </c>
    </row>
    <row r="230" spans="1:28">
      <c r="A230" s="68">
        <v>229</v>
      </c>
      <c r="B230" s="30" t="s">
        <v>418</v>
      </c>
      <c r="C230" s="30" t="s">
        <v>418</v>
      </c>
      <c r="D230" s="30" t="s">
        <v>418</v>
      </c>
      <c r="E230" s="230" t="s">
        <v>418</v>
      </c>
      <c r="F230" s="30" t="s">
        <v>418</v>
      </c>
      <c r="G230" s="30" t="s">
        <v>418</v>
      </c>
      <c r="H230" s="229" t="s">
        <v>418</v>
      </c>
      <c r="I230" s="229" t="s">
        <v>418</v>
      </c>
      <c r="J230" s="229" t="s">
        <v>418</v>
      </c>
      <c r="K230" s="86" t="s">
        <v>418</v>
      </c>
      <c r="L230" s="86"/>
      <c r="M230" s="30"/>
      <c r="N230" s="30"/>
      <c r="O230" s="30"/>
      <c r="P230" s="30"/>
      <c r="Q230" s="30"/>
      <c r="R230" s="30"/>
      <c r="S230" s="30"/>
      <c r="X230" s="86">
        <f t="shared" si="3"/>
        <v>0</v>
      </c>
      <c r="AA230" s="86" t="s">
        <v>418</v>
      </c>
      <c r="AB230" s="86" t="s">
        <v>418</v>
      </c>
    </row>
    <row r="231" spans="1:28">
      <c r="A231" s="68">
        <v>230</v>
      </c>
      <c r="B231" s="30" t="s">
        <v>418</v>
      </c>
      <c r="C231" s="30" t="s">
        <v>418</v>
      </c>
      <c r="D231" s="30" t="s">
        <v>418</v>
      </c>
      <c r="E231" s="230" t="s">
        <v>418</v>
      </c>
      <c r="F231" s="30" t="s">
        <v>418</v>
      </c>
      <c r="G231" s="30" t="s">
        <v>418</v>
      </c>
      <c r="H231" s="229" t="s">
        <v>418</v>
      </c>
      <c r="I231" s="229" t="s">
        <v>418</v>
      </c>
      <c r="J231" s="229" t="s">
        <v>418</v>
      </c>
      <c r="K231" s="86" t="s">
        <v>418</v>
      </c>
      <c r="L231" s="86"/>
      <c r="M231" s="30"/>
      <c r="N231" s="30"/>
      <c r="O231" s="30"/>
      <c r="P231" s="30"/>
      <c r="Q231" s="30"/>
      <c r="R231" s="30"/>
      <c r="S231" s="30"/>
      <c r="X231" s="86">
        <f t="shared" si="3"/>
        <v>0</v>
      </c>
      <c r="AA231" s="86" t="s">
        <v>418</v>
      </c>
      <c r="AB231" s="86" t="s">
        <v>418</v>
      </c>
    </row>
    <row r="232" spans="1:28">
      <c r="A232" s="68">
        <v>231</v>
      </c>
      <c r="B232" s="30" t="s">
        <v>418</v>
      </c>
      <c r="C232" s="30" t="s">
        <v>418</v>
      </c>
      <c r="D232" s="30" t="s">
        <v>418</v>
      </c>
      <c r="E232" s="230" t="s">
        <v>418</v>
      </c>
      <c r="F232" s="30" t="s">
        <v>418</v>
      </c>
      <c r="G232" s="30" t="s">
        <v>418</v>
      </c>
      <c r="H232" s="229" t="s">
        <v>418</v>
      </c>
      <c r="I232" s="229" t="s">
        <v>418</v>
      </c>
      <c r="J232" s="229" t="s">
        <v>418</v>
      </c>
      <c r="K232" s="86" t="s">
        <v>418</v>
      </c>
      <c r="L232" s="86"/>
      <c r="M232" s="30"/>
      <c r="N232" s="30"/>
      <c r="O232" s="30"/>
      <c r="P232" s="30"/>
      <c r="Q232" s="30"/>
      <c r="R232" s="30"/>
      <c r="S232" s="30"/>
      <c r="X232" s="86">
        <f t="shared" si="3"/>
        <v>0</v>
      </c>
      <c r="AA232" s="86" t="s">
        <v>418</v>
      </c>
      <c r="AB232" s="86" t="s">
        <v>418</v>
      </c>
    </row>
    <row r="233" spans="1:28">
      <c r="A233" s="68">
        <v>232</v>
      </c>
      <c r="B233" s="30" t="s">
        <v>418</v>
      </c>
      <c r="C233" s="30" t="s">
        <v>418</v>
      </c>
      <c r="D233" s="30" t="s">
        <v>418</v>
      </c>
      <c r="E233" s="230" t="s">
        <v>418</v>
      </c>
      <c r="F233" s="30" t="s">
        <v>418</v>
      </c>
      <c r="G233" s="30" t="s">
        <v>418</v>
      </c>
      <c r="H233" s="229" t="s">
        <v>418</v>
      </c>
      <c r="I233" s="229" t="s">
        <v>418</v>
      </c>
      <c r="J233" s="229" t="s">
        <v>418</v>
      </c>
      <c r="K233" s="86" t="s">
        <v>418</v>
      </c>
      <c r="L233" s="86"/>
      <c r="M233" s="30"/>
      <c r="N233" s="30"/>
      <c r="O233" s="30"/>
      <c r="P233" s="30"/>
      <c r="Q233" s="30"/>
      <c r="R233" s="30"/>
      <c r="S233" s="30"/>
      <c r="X233" s="86">
        <f t="shared" si="3"/>
        <v>0</v>
      </c>
      <c r="AA233" s="86" t="s">
        <v>418</v>
      </c>
      <c r="AB233" s="86" t="s">
        <v>418</v>
      </c>
    </row>
    <row r="234" spans="1:28">
      <c r="A234" s="68">
        <v>233</v>
      </c>
      <c r="B234" s="30" t="s">
        <v>418</v>
      </c>
      <c r="C234" s="30" t="s">
        <v>418</v>
      </c>
      <c r="D234" s="30" t="s">
        <v>418</v>
      </c>
      <c r="E234" s="230" t="s">
        <v>418</v>
      </c>
      <c r="F234" s="30" t="s">
        <v>418</v>
      </c>
      <c r="G234" s="30" t="s">
        <v>418</v>
      </c>
      <c r="H234" s="229" t="s">
        <v>418</v>
      </c>
      <c r="I234" s="229" t="s">
        <v>418</v>
      </c>
      <c r="J234" s="229" t="s">
        <v>418</v>
      </c>
      <c r="K234" s="86" t="s">
        <v>418</v>
      </c>
      <c r="L234" s="86"/>
      <c r="M234" s="30"/>
      <c r="N234" s="30"/>
      <c r="O234" s="30"/>
      <c r="P234" s="30"/>
      <c r="Q234" s="30"/>
      <c r="R234" s="30"/>
      <c r="S234" s="30"/>
      <c r="X234" s="86">
        <f t="shared" si="3"/>
        <v>0</v>
      </c>
      <c r="AA234" s="86" t="s">
        <v>418</v>
      </c>
      <c r="AB234" s="86" t="s">
        <v>418</v>
      </c>
    </row>
    <row r="235" spans="1:28">
      <c r="A235" s="68">
        <v>234</v>
      </c>
      <c r="B235" s="30" t="s">
        <v>418</v>
      </c>
      <c r="C235" s="30" t="s">
        <v>418</v>
      </c>
      <c r="D235" s="30" t="s">
        <v>418</v>
      </c>
      <c r="E235" s="230" t="s">
        <v>418</v>
      </c>
      <c r="F235" s="30" t="s">
        <v>418</v>
      </c>
      <c r="G235" s="30" t="s">
        <v>418</v>
      </c>
      <c r="H235" s="229" t="s">
        <v>418</v>
      </c>
      <c r="I235" s="229" t="s">
        <v>418</v>
      </c>
      <c r="J235" s="229" t="s">
        <v>418</v>
      </c>
      <c r="K235" s="86" t="s">
        <v>418</v>
      </c>
      <c r="L235" s="86"/>
      <c r="M235" s="30"/>
      <c r="N235" s="30"/>
      <c r="O235" s="30"/>
      <c r="P235" s="30"/>
      <c r="Q235" s="30"/>
      <c r="R235" s="30"/>
      <c r="S235" s="30"/>
      <c r="X235" s="86">
        <f t="shared" si="3"/>
        <v>0</v>
      </c>
      <c r="AA235" s="86" t="s">
        <v>418</v>
      </c>
      <c r="AB235" s="86" t="s">
        <v>418</v>
      </c>
    </row>
    <row r="236" spans="1:28">
      <c r="A236" s="68">
        <v>235</v>
      </c>
      <c r="B236" s="30" t="s">
        <v>418</v>
      </c>
      <c r="C236" s="30" t="s">
        <v>418</v>
      </c>
      <c r="D236" s="30" t="s">
        <v>418</v>
      </c>
      <c r="E236" s="230" t="s">
        <v>418</v>
      </c>
      <c r="F236" s="30" t="s">
        <v>418</v>
      </c>
      <c r="G236" s="30" t="s">
        <v>418</v>
      </c>
      <c r="H236" s="229" t="s">
        <v>418</v>
      </c>
      <c r="I236" s="229" t="s">
        <v>418</v>
      </c>
      <c r="J236" s="229" t="s">
        <v>418</v>
      </c>
      <c r="K236" s="86" t="s">
        <v>418</v>
      </c>
      <c r="L236" s="86"/>
      <c r="M236" s="30"/>
      <c r="N236" s="30"/>
      <c r="O236" s="30"/>
      <c r="P236" s="30"/>
      <c r="Q236" s="30"/>
      <c r="R236" s="30"/>
      <c r="S236" s="30"/>
      <c r="X236" s="86">
        <f t="shared" si="3"/>
        <v>0</v>
      </c>
      <c r="AA236" s="86" t="s">
        <v>418</v>
      </c>
      <c r="AB236" s="86" t="s">
        <v>418</v>
      </c>
    </row>
    <row r="237" spans="1:28">
      <c r="A237" s="68">
        <v>236</v>
      </c>
      <c r="B237" s="30" t="s">
        <v>418</v>
      </c>
      <c r="C237" s="30" t="s">
        <v>418</v>
      </c>
      <c r="D237" s="30" t="s">
        <v>418</v>
      </c>
      <c r="E237" s="230" t="s">
        <v>418</v>
      </c>
      <c r="F237" s="30" t="s">
        <v>418</v>
      </c>
      <c r="G237" s="30" t="s">
        <v>418</v>
      </c>
      <c r="H237" s="229" t="s">
        <v>418</v>
      </c>
      <c r="I237" s="229" t="s">
        <v>418</v>
      </c>
      <c r="J237" s="229" t="s">
        <v>418</v>
      </c>
      <c r="K237" s="86" t="s">
        <v>418</v>
      </c>
      <c r="L237" s="86"/>
      <c r="M237" s="30"/>
      <c r="N237" s="30"/>
      <c r="O237" s="30"/>
      <c r="P237" s="30"/>
      <c r="Q237" s="30"/>
      <c r="R237" s="30"/>
      <c r="S237" s="30"/>
      <c r="X237" s="86">
        <f t="shared" si="3"/>
        <v>0</v>
      </c>
      <c r="AA237" s="86" t="s">
        <v>418</v>
      </c>
      <c r="AB237" s="86" t="s">
        <v>418</v>
      </c>
    </row>
    <row r="238" spans="1:28">
      <c r="A238" s="68">
        <v>237</v>
      </c>
      <c r="B238" s="30" t="s">
        <v>418</v>
      </c>
      <c r="C238" s="30" t="s">
        <v>418</v>
      </c>
      <c r="D238" s="30" t="s">
        <v>418</v>
      </c>
      <c r="E238" s="230" t="s">
        <v>418</v>
      </c>
      <c r="F238" s="30" t="s">
        <v>418</v>
      </c>
      <c r="G238" s="30" t="s">
        <v>418</v>
      </c>
      <c r="H238" s="229" t="s">
        <v>418</v>
      </c>
      <c r="I238" s="229" t="s">
        <v>418</v>
      </c>
      <c r="J238" s="229" t="s">
        <v>418</v>
      </c>
      <c r="K238" s="86" t="s">
        <v>418</v>
      </c>
      <c r="L238" s="86"/>
      <c r="M238" s="30"/>
      <c r="N238" s="30"/>
      <c r="O238" s="30"/>
      <c r="P238" s="30"/>
      <c r="Q238" s="30"/>
      <c r="R238" s="30"/>
      <c r="S238" s="30"/>
      <c r="X238" s="86">
        <f t="shared" si="3"/>
        <v>0</v>
      </c>
      <c r="AA238" s="86" t="s">
        <v>418</v>
      </c>
      <c r="AB238" s="86" t="s">
        <v>418</v>
      </c>
    </row>
    <row r="239" spans="1:28">
      <c r="A239" s="68">
        <v>238</v>
      </c>
      <c r="B239" s="30" t="s">
        <v>418</v>
      </c>
      <c r="C239" s="30" t="s">
        <v>418</v>
      </c>
      <c r="D239" s="30" t="s">
        <v>418</v>
      </c>
      <c r="E239" s="230" t="s">
        <v>418</v>
      </c>
      <c r="F239" s="30" t="s">
        <v>418</v>
      </c>
      <c r="G239" s="30" t="s">
        <v>418</v>
      </c>
      <c r="H239" s="229" t="s">
        <v>418</v>
      </c>
      <c r="I239" s="229" t="s">
        <v>418</v>
      </c>
      <c r="J239" s="229" t="s">
        <v>418</v>
      </c>
      <c r="K239" s="86" t="s">
        <v>418</v>
      </c>
      <c r="L239" s="86"/>
      <c r="M239" s="30"/>
      <c r="N239" s="30"/>
      <c r="O239" s="30"/>
      <c r="P239" s="30"/>
      <c r="Q239" s="30"/>
      <c r="R239" s="30"/>
      <c r="S239" s="30"/>
      <c r="X239" s="86">
        <f t="shared" si="3"/>
        <v>0</v>
      </c>
      <c r="AA239" s="86" t="s">
        <v>418</v>
      </c>
      <c r="AB239" s="86" t="s">
        <v>418</v>
      </c>
    </row>
    <row r="240" spans="1:28">
      <c r="A240" s="68">
        <v>239</v>
      </c>
      <c r="B240" s="30" t="s">
        <v>418</v>
      </c>
      <c r="C240" s="30" t="s">
        <v>418</v>
      </c>
      <c r="D240" s="30" t="s">
        <v>418</v>
      </c>
      <c r="E240" s="230" t="s">
        <v>418</v>
      </c>
      <c r="F240" s="30" t="s">
        <v>418</v>
      </c>
      <c r="G240" s="30" t="s">
        <v>418</v>
      </c>
      <c r="H240" s="229" t="s">
        <v>418</v>
      </c>
      <c r="I240" s="229" t="s">
        <v>418</v>
      </c>
      <c r="J240" s="229" t="s">
        <v>418</v>
      </c>
      <c r="K240" s="86" t="s">
        <v>418</v>
      </c>
      <c r="L240" s="86"/>
      <c r="M240" s="30"/>
      <c r="N240" s="30"/>
      <c r="O240" s="30"/>
      <c r="P240" s="30"/>
      <c r="Q240" s="30"/>
      <c r="R240" s="30"/>
      <c r="S240" s="30"/>
      <c r="X240" s="86">
        <f t="shared" si="3"/>
        <v>0</v>
      </c>
      <c r="AA240" s="86" t="s">
        <v>418</v>
      </c>
      <c r="AB240" s="86" t="s">
        <v>418</v>
      </c>
    </row>
    <row r="241" spans="1:28">
      <c r="A241" s="68">
        <v>240</v>
      </c>
      <c r="B241" s="30" t="s">
        <v>418</v>
      </c>
      <c r="C241" s="30" t="s">
        <v>418</v>
      </c>
      <c r="D241" s="30" t="s">
        <v>418</v>
      </c>
      <c r="E241" s="230" t="s">
        <v>418</v>
      </c>
      <c r="F241" s="30" t="s">
        <v>418</v>
      </c>
      <c r="G241" s="30" t="s">
        <v>418</v>
      </c>
      <c r="H241" s="229" t="s">
        <v>418</v>
      </c>
      <c r="I241" s="229" t="s">
        <v>418</v>
      </c>
      <c r="J241" s="229" t="s">
        <v>418</v>
      </c>
      <c r="K241" s="86" t="s">
        <v>418</v>
      </c>
      <c r="L241" s="86"/>
      <c r="M241" s="30"/>
      <c r="N241" s="30"/>
      <c r="O241" s="30"/>
      <c r="P241" s="30"/>
      <c r="Q241" s="30"/>
      <c r="R241" s="30"/>
      <c r="S241" s="30"/>
      <c r="X241" s="86">
        <f t="shared" si="3"/>
        <v>0</v>
      </c>
      <c r="AA241" s="86" t="s">
        <v>418</v>
      </c>
      <c r="AB241" s="86" t="s">
        <v>418</v>
      </c>
    </row>
    <row r="242" spans="1:28">
      <c r="A242" s="68">
        <v>241</v>
      </c>
      <c r="B242" s="30" t="s">
        <v>418</v>
      </c>
      <c r="C242" s="30" t="s">
        <v>418</v>
      </c>
      <c r="D242" s="30" t="s">
        <v>418</v>
      </c>
      <c r="E242" s="230" t="s">
        <v>418</v>
      </c>
      <c r="F242" s="30" t="s">
        <v>418</v>
      </c>
      <c r="G242" s="30" t="s">
        <v>418</v>
      </c>
      <c r="H242" s="229" t="s">
        <v>418</v>
      </c>
      <c r="I242" s="229" t="s">
        <v>418</v>
      </c>
      <c r="J242" s="229" t="s">
        <v>418</v>
      </c>
      <c r="K242" s="86" t="s">
        <v>418</v>
      </c>
      <c r="L242" s="86"/>
      <c r="M242" s="30"/>
      <c r="N242" s="30"/>
      <c r="O242" s="30"/>
      <c r="P242" s="30"/>
      <c r="Q242" s="30"/>
      <c r="R242" s="30"/>
      <c r="S242" s="30"/>
      <c r="X242" s="86">
        <f t="shared" si="3"/>
        <v>0</v>
      </c>
      <c r="AA242" s="86" t="s">
        <v>418</v>
      </c>
      <c r="AB242" s="86" t="s">
        <v>418</v>
      </c>
    </row>
    <row r="243" spans="1:28">
      <c r="A243" s="68">
        <v>242</v>
      </c>
      <c r="B243" s="30" t="s">
        <v>418</v>
      </c>
      <c r="C243" s="30" t="s">
        <v>418</v>
      </c>
      <c r="D243" s="30" t="s">
        <v>418</v>
      </c>
      <c r="E243" s="230" t="s">
        <v>418</v>
      </c>
      <c r="F243" s="30" t="s">
        <v>418</v>
      </c>
      <c r="G243" s="30" t="s">
        <v>418</v>
      </c>
      <c r="H243" s="229" t="s">
        <v>418</v>
      </c>
      <c r="I243" s="229" t="s">
        <v>418</v>
      </c>
      <c r="J243" s="229" t="s">
        <v>418</v>
      </c>
      <c r="K243" s="86" t="s">
        <v>418</v>
      </c>
      <c r="L243" s="86"/>
      <c r="M243" s="30"/>
      <c r="N243" s="30"/>
      <c r="O243" s="30"/>
      <c r="P243" s="30"/>
      <c r="Q243" s="30"/>
      <c r="R243" s="30"/>
      <c r="S243" s="30"/>
      <c r="X243" s="86">
        <f t="shared" si="3"/>
        <v>0</v>
      </c>
      <c r="AA243" s="86" t="s">
        <v>418</v>
      </c>
      <c r="AB243" s="86" t="s">
        <v>418</v>
      </c>
    </row>
    <row r="244" spans="1:28">
      <c r="A244" s="68">
        <v>243</v>
      </c>
      <c r="B244" s="30" t="s">
        <v>418</v>
      </c>
      <c r="C244" s="30" t="s">
        <v>418</v>
      </c>
      <c r="D244" s="30" t="s">
        <v>418</v>
      </c>
      <c r="E244" s="230" t="s">
        <v>418</v>
      </c>
      <c r="F244" s="30" t="s">
        <v>418</v>
      </c>
      <c r="G244" s="30" t="s">
        <v>418</v>
      </c>
      <c r="H244" s="229" t="s">
        <v>418</v>
      </c>
      <c r="I244" s="229" t="s">
        <v>418</v>
      </c>
      <c r="J244" s="229" t="s">
        <v>418</v>
      </c>
      <c r="K244" s="86" t="s">
        <v>418</v>
      </c>
      <c r="L244" s="86"/>
      <c r="M244" s="30"/>
      <c r="N244" s="30"/>
      <c r="O244" s="30"/>
      <c r="P244" s="30"/>
      <c r="Q244" s="30"/>
      <c r="R244" s="30"/>
      <c r="S244" s="30"/>
      <c r="X244" s="86">
        <f t="shared" si="3"/>
        <v>0</v>
      </c>
      <c r="AA244" s="86" t="s">
        <v>418</v>
      </c>
      <c r="AB244" s="86" t="s">
        <v>418</v>
      </c>
    </row>
    <row r="245" spans="1:28">
      <c r="A245" s="68">
        <v>244</v>
      </c>
      <c r="B245" s="30" t="s">
        <v>418</v>
      </c>
      <c r="C245" s="30" t="s">
        <v>418</v>
      </c>
      <c r="D245" s="30" t="s">
        <v>418</v>
      </c>
      <c r="E245" s="230" t="s">
        <v>418</v>
      </c>
      <c r="F245" s="30" t="s">
        <v>418</v>
      </c>
      <c r="G245" s="30" t="s">
        <v>418</v>
      </c>
      <c r="H245" s="229" t="s">
        <v>418</v>
      </c>
      <c r="I245" s="229" t="s">
        <v>418</v>
      </c>
      <c r="J245" s="229" t="s">
        <v>418</v>
      </c>
      <c r="K245" s="86" t="s">
        <v>418</v>
      </c>
      <c r="L245" s="86"/>
      <c r="M245" s="30"/>
      <c r="N245" s="30"/>
      <c r="O245" s="30"/>
      <c r="P245" s="30"/>
      <c r="Q245" s="30"/>
      <c r="R245" s="30"/>
      <c r="S245" s="30"/>
      <c r="X245" s="86">
        <f t="shared" si="3"/>
        <v>0</v>
      </c>
      <c r="AA245" s="86" t="s">
        <v>418</v>
      </c>
      <c r="AB245" s="86" t="s">
        <v>418</v>
      </c>
    </row>
    <row r="246" spans="1:28">
      <c r="AA246" s="86"/>
    </row>
    <row r="247" spans="1:28">
      <c r="B247" s="231" t="str">
        <f>IF(ISERROR(VLOOKUP($A247,'RELACION VTAS - CHS'!$X$7:$AG$250,2,FALSE))=FALSE,VLOOKUP($A247,'RELACION VTAS - CHS'!$X$7:$AG$250,2,FALSE),"")</f>
        <v/>
      </c>
      <c r="C247" s="231" t="str">
        <f>IF(ISERROR(VLOOKUP($A247,'RELACION VTAS - CHS'!$X$7:$AG$250,2,FALSE))=FALSE,VLOOKUP($A247,'RELACION VTAS - CHS'!$X$7:$AG$250,3,FALSE),"")</f>
        <v/>
      </c>
      <c r="D247" s="231" t="str">
        <f>IF(ISERROR(VLOOKUP($A247,'RELACION VTAS - CHS'!$X$7:$AG$250,2,FALSE))=FALSE,VLOOKUP($A247,'RELACION VTAS - CHS'!$X$7:$AG$250,4,FALSE),"")</f>
        <v/>
      </c>
      <c r="E247" s="231" t="str">
        <f>IF(ISERROR(VLOOKUP($A247,'RELACION VTAS - CHS'!$X$7:$AG$250,2,FALSE))=FALSE,VLOOKUP($A247,'RELACION VTAS - CHS'!$X$7:$AG$250,5,FALSE),"")</f>
        <v/>
      </c>
      <c r="F247" s="231" t="str">
        <f>IF(ISERROR(VLOOKUP($A247,'RELACION VTAS - CHS'!$X$7:$AG$250,2,FALSE))=FALSE,VLOOKUP($A247,'RELACION VTAS - CHS'!$X$7:$AG$250,6,FALSE),"")</f>
        <v/>
      </c>
      <c r="G247" s="231" t="str">
        <f>IF(ISERROR(VLOOKUP($A247,'RELACION VTAS - CHS'!$X$7:$AG$250,2,FALSE))=FALSE,VLOOKUP($A247,'RELACION VTAS - CHS'!$X$7:$AG$250,7,FALSE),"")</f>
        <v/>
      </c>
      <c r="H247" s="231" t="str">
        <f>IF(ISERROR(VLOOKUP($A247,'RELACION VTAS - CHS'!$X$7:$AG$250,2,FALSE))=FALSE,VLOOKUP($A247,'RELACION VTAS - CHS'!$X$7:$AG$250,8,FALSE),"")</f>
        <v/>
      </c>
      <c r="I247" s="231" t="str">
        <f>IF(ISERROR(VLOOKUP($A247,'RELACION VTAS - CHS'!$X$7:$AG$250,2,FALSE))=FALSE,VLOOKUP($A247,'RELACION VTAS - CHS'!$X$7:$AG$250,9,FALSE),"")</f>
        <v/>
      </c>
      <c r="J247" s="231" t="str">
        <f>IF(ISERROR(VLOOKUP($A247,'RELACION VTAS - CHS'!$X$7:$AG$250,2,FALSE))=FALSE,VLOOKUP($A247,'RELACION VTAS - CHS'!$X$7:$AG$250,10,FALSE),"")</f>
        <v/>
      </c>
      <c r="K247" s="231" t="str">
        <f>CONCATENATE(AA247,AB247)</f>
        <v/>
      </c>
      <c r="AA247" s="74" t="str">
        <f>IF(B247="","",COUNTIF(AB$1:AB247,CONCATENATE(F247,G247)))</f>
        <v/>
      </c>
      <c r="AB247" s="74" t="str">
        <f>CONCATENATE(F247,G247)</f>
        <v/>
      </c>
    </row>
    <row r="248" spans="1:28">
      <c r="K248" t="str">
        <f>IF(E247="","",CONCATENATE(IF(LEN(DAY(E247))=1,CONCATENATE("0",DAY(E247)),DAY(E247)),"-",IF(LEN(MONTH(E247))=1,CONCATENATE("0",MONTH(E247)),MONTH(E247)),"-",YEAR(E247)))</f>
        <v/>
      </c>
      <c r="AA248" s="86"/>
    </row>
    <row r="249" spans="1:28">
      <c r="AA249" s="86"/>
    </row>
  </sheetData>
  <autoFilter ref="A1:AB245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6</vt:i4>
      </vt:variant>
    </vt:vector>
  </HeadingPairs>
  <TitlesOfParts>
    <vt:vector size="17" baseType="lpstr">
      <vt:lpstr>GUIA DE TRASLADO formato</vt:lpstr>
      <vt:lpstr>GUIA DE TRASLADO blanco</vt:lpstr>
      <vt:lpstr>NOTA DE ENTREGA FORMATO</vt:lpstr>
      <vt:lpstr>NOTA DE ENTREGA</vt:lpstr>
      <vt:lpstr>DATOS CLIENTES</vt:lpstr>
      <vt:lpstr>FACTURAS</vt:lpstr>
      <vt:lpstr>LISTA DE PRECIOS</vt:lpstr>
      <vt:lpstr>RELACION VTAS - CHS</vt:lpstr>
      <vt:lpstr>COBRANZA</vt:lpstr>
      <vt:lpstr>REPORTE GASTOS</vt:lpstr>
      <vt:lpstr>REPORTE-CORO</vt:lpstr>
      <vt:lpstr>FACTURAS!Área_de_impresión</vt:lpstr>
      <vt:lpstr>'GUIA DE TRASLADO blanco'!Área_de_impresión</vt:lpstr>
      <vt:lpstr>'GUIA DE TRASLADO formato'!Área_de_impresión</vt:lpstr>
      <vt:lpstr>'LISTA DE PRECIOS'!Área_de_impresión</vt:lpstr>
      <vt:lpstr>'NOTA DE ENTREGA'!Área_de_impresión</vt:lpstr>
      <vt:lpstr>'NOTA DE ENTREGA FORMATO'!Área_de_impresión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freddy chirino</dc:creator>
  <cp:lastModifiedBy>thetethrg</cp:lastModifiedBy>
  <cp:lastPrinted>2022-02-25T20:35:14Z</cp:lastPrinted>
  <dcterms:created xsi:type="dcterms:W3CDTF">2013-08-09T10:12:21Z</dcterms:created>
  <dcterms:modified xsi:type="dcterms:W3CDTF">2022-08-25T18:46:26Z</dcterms:modified>
</cp:coreProperties>
</file>