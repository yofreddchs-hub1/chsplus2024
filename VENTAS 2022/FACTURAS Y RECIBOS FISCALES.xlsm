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2345" tabRatio="919" firstSheet="2" activeTab="8"/>
  </bookViews>
  <sheets>
    <sheet name="GUIA DE TRASLADO BARQUISIMETO" sheetId="2720" r:id="rId1"/>
    <sheet name="GUIA DE TRASLADO  MARACAIBO)" sheetId="2719" r:id="rId2"/>
    <sheet name="GUIA DE TRASLADO formato" sheetId="2716" r:id="rId3"/>
    <sheet name="GUIA DE TRASLADO blanco" sheetId="2713" r:id="rId4"/>
    <sheet name="NOTA DE ENTREGA FORMATO" sheetId="2717" r:id="rId5"/>
    <sheet name="NOTA DE ENTREGA" sheetId="2711" r:id="rId6"/>
    <sheet name="LISTA DE PRECIOS" sheetId="2710" r:id="rId7"/>
    <sheet name="DATOS CLIENTES" sheetId="1" r:id="rId8"/>
    <sheet name="FACTURAS" sheetId="16" r:id="rId9"/>
    <sheet name="RELACION VTAS - CHS" sheetId="17" r:id="rId10"/>
    <sheet name="COBRANZA" sheetId="18" r:id="rId11"/>
    <sheet name="REPORTE GASTOS" sheetId="2715" r:id="rId12"/>
    <sheet name="REPORTE-CORO" sheetId="2718" r:id="rId13"/>
  </sheets>
  <externalReferences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10" hidden="1">COBRANZA!$B$6:$J$203</definedName>
    <definedName name="_xlnm._FilterDatabase" localSheetId="7" hidden="1">'DATOS CLIENTES'!$A$4:$G$304</definedName>
    <definedName name="_xlnm._FilterDatabase" localSheetId="1" hidden="1">'GUIA DE TRASLADO  MARACAIBO)'!#REF!</definedName>
    <definedName name="_xlnm._FilterDatabase" localSheetId="0" hidden="1">'GUIA DE TRASLADO BARQUISIMETO'!#REF!</definedName>
    <definedName name="_xlnm._FilterDatabase" localSheetId="3" hidden="1">'GUIA DE TRASLADO blanco'!$B$12:$L$20</definedName>
    <definedName name="_xlnm._FilterDatabase" localSheetId="2" hidden="1">'GUIA DE TRASLADO formato'!#REF!</definedName>
    <definedName name="_xlnm._FilterDatabase" localSheetId="5" hidden="1">'NOTA DE ENTREGA'!$B$12:$L$20</definedName>
    <definedName name="_xlnm._FilterDatabase" localSheetId="4" hidden="1">'NOTA DE ENTREGA FORMATO'!#REF!</definedName>
    <definedName name="_xlnm._FilterDatabase" localSheetId="9" hidden="1">'RELACION VTAS - CHS'!$B$6:$O$251</definedName>
    <definedName name="_xlnm._FilterDatabase" localSheetId="11" hidden="1">'REPORTE GASTOS'!$B$5:$I$211</definedName>
    <definedName name="_xlnm._FilterDatabase" localSheetId="12" hidden="1">'REPORTE-CORO'!$A$1:$AB$245</definedName>
    <definedName name="ACTIVIDAD">'[1]LISTAS DE SELECCION'!$B$80:$B$82</definedName>
    <definedName name="ap" localSheetId="1">#REF!</definedName>
    <definedName name="ap" localSheetId="0">#REF!</definedName>
    <definedName name="ap">#REF!</definedName>
    <definedName name="_xlnm.Print_Area" localSheetId="8">FACTURAS!$A$1:$L$40</definedName>
    <definedName name="_xlnm.Print_Area" localSheetId="1">'GUIA DE TRASLADO  MARACAIBO)'!$C$1:$L$27</definedName>
    <definedName name="_xlnm.Print_Area" localSheetId="0">'GUIA DE TRASLADO BARQUISIMETO'!$C$1:$L$27</definedName>
    <definedName name="_xlnm.Print_Area" localSheetId="3">'GUIA DE TRASLADO blanco'!$B$1:$L$33</definedName>
    <definedName name="_xlnm.Print_Area" localSheetId="2">'GUIA DE TRASLADO formato'!$B$1:$L$28</definedName>
    <definedName name="_xlnm.Print_Area" localSheetId="6">'LISTA DE PRECIOS'!$C$3:$F$21</definedName>
    <definedName name="_xlnm.Print_Area" localSheetId="5">'NOTA DE ENTREGA'!$B$1:$L$34</definedName>
    <definedName name="_xlnm.Print_Area" localSheetId="4">'NOTA DE ENTREGA FORMATO'!$B$1:$L$22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5">#REF!</definedName>
    <definedName name="ARTICULO_COMPRA" localSheetId="4">#REF!</definedName>
    <definedName name="ARTICULO_COMPRA" localSheetId="11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5">#REF!</definedName>
    <definedName name="ARTICULO_INVENTARIO" localSheetId="4">#REF!</definedName>
    <definedName name="ARTICULO_INVENTARIO" localSheetId="11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5">#REF!</definedName>
    <definedName name="ARTICULO_PRODUCCION" localSheetId="4">#REF!</definedName>
    <definedName name="ARTICULO_PRODUCCION" localSheetId="11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5">#REF!</definedName>
    <definedName name="ARTICULO_VENTA" localSheetId="4">#REF!</definedName>
    <definedName name="ARTICULO_VENTA" localSheetId="11">#REF!</definedName>
    <definedName name="ARTICULO_VENTA">#REF!</definedName>
    <definedName name="ARTVENT" localSheetId="1">#REF!</definedName>
    <definedName name="ARTVENT" localSheetId="0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5">'RELACION VTAS - CHS'!#REF!</definedName>
    <definedName name="CHS___PEGO_GRIS___SACO_10KG" localSheetId="4">'RELACION VTAS - CHS'!#REF!</definedName>
    <definedName name="CHS___PEGO_GRIS___SACO_10KG" localSheetId="11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5">'RELACION VTAS - CHS'!#REF!</definedName>
    <definedName name="COMERCIAL_HERMANOS_FARAH_DE_PARAGUANA__C._A." localSheetId="4">'RELACION VTAS - CHS'!#REF!</definedName>
    <definedName name="COMERCIAL_HERMANOS_FARAH_DE_PARAGUANA__C._A." localSheetId="11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 localSheetId="1">'[2]RELACION VTAS - CHS'!#REF!</definedName>
    <definedName name="FARAH" localSheetId="0">'[2]RELACION VTAS - CHS'!#REF!</definedName>
    <definedName name="FARAH">'[2]RELACION VTAS - CHS'!#REF!</definedName>
    <definedName name="GRAF" localSheetId="1">#REF!</definedName>
    <definedName name="GRAF" localSheetId="0">#REF!</definedName>
    <definedName name="GRAF" localSheetId="2">#REF!</definedName>
    <definedName name="GRAF" localSheetId="4">#REF!</definedName>
    <definedName name="GRAF" localSheetId="11">#REF!</definedName>
    <definedName name="GRAF">#REF!</definedName>
    <definedName name="GRF" localSheetId="1">#REF!</definedName>
    <definedName name="GRF" localSheetId="0">#REF!</definedName>
    <definedName name="GRF">#REF!</definedName>
    <definedName name="GUIA" localSheetId="1">#REF!</definedName>
    <definedName name="GUIA" localSheetId="0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 localSheetId="1">#REF!</definedName>
    <definedName name="SI" localSheetId="0">#REF!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 localSheetId="1">#REF!</definedName>
    <definedName name="Y" localSheetId="0">#REF!</definedName>
    <definedName name="Y">#REF!</definedName>
    <definedName name="YE" localSheetId="1">#REF!</definedName>
    <definedName name="YE" localSheetId="0">#REF!</definedName>
    <definedName name="YE">#REF!</definedName>
    <definedName name="YES" localSheetId="1">#REF!</definedName>
    <definedName name="YES" localSheetId="0">#REF!</definedName>
    <definedName name="YES" localSheetId="2">#REF!</definedName>
    <definedName name="YES" localSheetId="4">#REF!</definedName>
    <definedName name="YES" localSheetId="11">#REF!</definedName>
    <definedName name="YES">#REF!</definedName>
    <definedName name="YESO" localSheetId="1">#REF!</definedName>
    <definedName name="YESO" localSheetId="0">#REF!</definedName>
    <definedName name="YESO" localSheetId="2">#REF!</definedName>
    <definedName name="YESO" localSheetId="4">#REF!</definedName>
    <definedName name="YESO" localSheetId="11">#REF!</definedName>
    <definedName name="YESO">#REF!</definedName>
    <definedName name="YN" localSheetId="1">#REF!</definedName>
    <definedName name="YN" localSheetId="0">#REF!</definedName>
    <definedName name="YN" localSheetId="2">#REF!</definedName>
    <definedName name="YN" localSheetId="4">#REF!</definedName>
    <definedName name="YN" localSheetId="11">#REF!</definedName>
    <definedName name="YN">#REF!</definedName>
    <definedName name="Z_2EDA8CC3_84EB_4F05_BF1F_BD8B14370E50_.wvu.Cols" localSheetId="9" hidden="1">'RELACION VTAS - CHS'!$A:$A,'RELACION VTAS - CHS'!$D:$E</definedName>
    <definedName name="Z_2EDA8CC3_84EB_4F05_BF1F_BD8B14370E50_.wvu.FilterData" localSheetId="10" hidden="1">COBRANZA!$A$6:$K$201</definedName>
    <definedName name="Z_2EDA8CC3_84EB_4F05_BF1F_BD8B14370E50_.wvu.FilterData" localSheetId="7" hidden="1">'DATOS CLIENTES'!$A$4:$F$148</definedName>
    <definedName name="Z_2EDA8CC3_84EB_4F05_BF1F_BD8B14370E50_.wvu.FilterData" localSheetId="9" hidden="1">'RELACION VTAS - CHS'!$A$6:$O$251</definedName>
    <definedName name="Z_9C7DF5E1_0B31_456B_8B95_9E84EC8BB2AA_.wvu.Cols" localSheetId="9" hidden="1">'RELACION VTAS - CHS'!$A:$A,'RELACION VTAS - CHS'!$D:$E</definedName>
    <definedName name="Z_9C7DF5E1_0B31_456B_8B95_9E84EC8BB2AA_.wvu.FilterData" localSheetId="10" hidden="1">COBRANZA!$A$6:$K$201</definedName>
    <definedName name="Z_9C7DF5E1_0B31_456B_8B95_9E84EC8BB2AA_.wvu.FilterData" localSheetId="7" hidden="1">'DATOS CLIENTES'!$A$4:$F$148</definedName>
    <definedName name="Z_9C7DF5E1_0B31_456B_8B95_9E84EC8BB2AA_.wvu.FilterData" localSheetId="9" hidden="1">'RELACION VTAS - CHS'!$A$6:$O$251</definedName>
  </definedNames>
  <calcPr calcId="162913"/>
  <customWorkbookViews>
    <customWorkbookView name="Yofreddle - Vista personalizada" guid="{2EDA8CC3-84EB-4F05-BF1F-BD8B14370E50}" mergeInterval="0" personalView="1" maximized="1" windowWidth="1276" windowHeight="574" tabRatio="922" activeSheetId="19"/>
    <customWorkbookView name="admin - Vista personalizada" guid="{9C7DF5E1-0B31-456B-8B95-9E84EC8BB2AA}" mergeInterval="0" personalView="1" maximized="1" xWindow="-8" yWindow="-8" windowWidth="1382" windowHeight="744" tabRatio="922" activeSheetId="1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3" i="17" l="1"/>
  <c r="D74" i="17" s="1"/>
  <c r="D75" i="17" s="1"/>
  <c r="D76" i="17" s="1"/>
  <c r="E73" i="17"/>
  <c r="L73" i="17"/>
  <c r="N73" i="17"/>
  <c r="O73" i="17" s="1"/>
  <c r="F74" i="17"/>
  <c r="E74" i="17" s="1"/>
  <c r="K74" i="17"/>
  <c r="L74" i="17" s="1"/>
  <c r="F75" i="17"/>
  <c r="E75" i="17" s="1"/>
  <c r="K75" i="17"/>
  <c r="L75" i="17" s="1"/>
  <c r="F76" i="17"/>
  <c r="E76" i="17" s="1"/>
  <c r="K76" i="17"/>
  <c r="L76" i="17"/>
  <c r="K77" i="17"/>
  <c r="N77" i="17" s="1"/>
  <c r="O77" i="17" s="1"/>
  <c r="M77" i="17"/>
  <c r="L78" i="17"/>
  <c r="N78" i="17"/>
  <c r="O78" i="17"/>
  <c r="D79" i="17"/>
  <c r="F79" i="17"/>
  <c r="E79" i="17" s="1"/>
  <c r="K79" i="17"/>
  <c r="L79" i="17"/>
  <c r="M79" i="17" l="1"/>
  <c r="N79" i="17" s="1"/>
  <c r="O79" i="17" s="1"/>
  <c r="L77" i="17"/>
  <c r="M76" i="17"/>
  <c r="N76" i="17" s="1"/>
  <c r="O76" i="17" s="1"/>
  <c r="M75" i="17"/>
  <c r="N75" i="17" s="1"/>
  <c r="O75" i="17" s="1"/>
  <c r="M74" i="17"/>
  <c r="N74" i="17" s="1"/>
  <c r="O74" i="17" s="1"/>
  <c r="D72" i="17"/>
  <c r="E72" i="17"/>
  <c r="L72" i="17"/>
  <c r="N72" i="17"/>
  <c r="O72" i="17" s="1"/>
  <c r="L148" i="2715" l="1"/>
  <c r="E70" i="17"/>
  <c r="E71" i="17" s="1"/>
  <c r="D70" i="17"/>
  <c r="D71" i="17" s="1"/>
  <c r="D69" i="17"/>
  <c r="E69" i="17"/>
  <c r="L69" i="17"/>
  <c r="N69" i="17"/>
  <c r="O69" i="17" s="1"/>
  <c r="G39" i="16" l="1"/>
  <c r="E68" i="17"/>
  <c r="D68" i="17"/>
  <c r="D67" i="17"/>
  <c r="E67" i="17"/>
  <c r="L67" i="17"/>
  <c r="N67" i="17"/>
  <c r="O67" i="17" s="1"/>
  <c r="L68" i="17"/>
  <c r="N68" i="17" l="1"/>
  <c r="O68" i="17" s="1"/>
  <c r="D66" i="17"/>
  <c r="E66" i="17"/>
  <c r="L66" i="17"/>
  <c r="N66" i="17"/>
  <c r="O66" i="17" s="1"/>
  <c r="D57" i="17" l="1"/>
  <c r="D58" i="17" s="1"/>
  <c r="D59" i="17" s="1"/>
  <c r="D60" i="17" s="1"/>
  <c r="D61" i="17" s="1"/>
  <c r="D62" i="17" s="1"/>
  <c r="D63" i="17" s="1"/>
  <c r="D64" i="17" s="1"/>
  <c r="D65" i="17" s="1"/>
  <c r="E57" i="17"/>
  <c r="E58" i="17" s="1"/>
  <c r="E59" i="17" s="1"/>
  <c r="E60" i="17" s="1"/>
  <c r="E61" i="17"/>
  <c r="E62" i="17" s="1"/>
  <c r="E63" i="17" s="1"/>
  <c r="E64" i="17" s="1"/>
  <c r="E65" i="17" s="1"/>
  <c r="L59" i="17"/>
  <c r="N59" i="17"/>
  <c r="O59" i="17" s="1"/>
  <c r="L60" i="17"/>
  <c r="L61" i="17"/>
  <c r="L62" i="17"/>
  <c r="L63" i="17"/>
  <c r="L64" i="17"/>
  <c r="L65" i="17"/>
  <c r="N65" i="17" l="1"/>
  <c r="O65" i="17" s="1"/>
  <c r="N64" i="17"/>
  <c r="O64" i="17" s="1"/>
  <c r="N63" i="17"/>
  <c r="O63" i="17" s="1"/>
  <c r="N62" i="17"/>
  <c r="O62" i="17" s="1"/>
  <c r="N61" i="17"/>
  <c r="O61" i="17" s="1"/>
  <c r="N60" i="17"/>
  <c r="O60" i="17" s="1"/>
  <c r="N58" i="17"/>
  <c r="O58" i="17" s="1"/>
  <c r="L58" i="17"/>
  <c r="N57" i="17"/>
  <c r="O57" i="17" s="1"/>
  <c r="L57" i="17"/>
  <c r="N56" i="17"/>
  <c r="O56" i="17" s="1"/>
  <c r="L56" i="17"/>
  <c r="N55" i="17"/>
  <c r="O55" i="17" s="1"/>
  <c r="L55" i="17"/>
  <c r="L54" i="17" l="1"/>
  <c r="N54" i="17"/>
  <c r="O54" i="17"/>
  <c r="L53" i="17"/>
  <c r="N53" i="17"/>
  <c r="O53" i="17" s="1"/>
  <c r="L48" i="17" l="1"/>
  <c r="N48" i="17"/>
  <c r="O48" i="17" s="1"/>
  <c r="L49" i="17"/>
  <c r="L50" i="17"/>
  <c r="L51" i="17"/>
  <c r="L52" i="17"/>
  <c r="N52" i="17" l="1"/>
  <c r="O52" i="17" s="1"/>
  <c r="N50" i="17"/>
  <c r="O50" i="17" s="1"/>
  <c r="N51" i="17"/>
  <c r="O51" i="17" s="1"/>
  <c r="N49" i="17"/>
  <c r="O49" i="17" s="1"/>
  <c r="D39" i="17"/>
  <c r="D40" i="17" s="1"/>
  <c r="D41" i="17" s="1"/>
  <c r="E39" i="17"/>
  <c r="E40" i="17" s="1"/>
  <c r="E41" i="17" s="1"/>
  <c r="L39" i="17"/>
  <c r="N39" i="17"/>
  <c r="O39" i="17" s="1"/>
  <c r="L42" i="17"/>
  <c r="M42" i="17"/>
  <c r="N42" i="17" s="1"/>
  <c r="O42" i="17" s="1"/>
  <c r="L43" i="17"/>
  <c r="L44" i="17"/>
  <c r="M44" i="17"/>
  <c r="N44" i="17" s="1"/>
  <c r="O44" i="17" s="1"/>
  <c r="L45" i="17"/>
  <c r="M45" i="17" l="1"/>
  <c r="N45" i="17" s="1"/>
  <c r="O45" i="17" s="1"/>
  <c r="M43" i="17"/>
  <c r="N43" i="17" s="1"/>
  <c r="O43" i="17" s="1"/>
  <c r="M44" i="16"/>
  <c r="L36" i="17"/>
  <c r="N36" i="17"/>
  <c r="O36" i="17" s="1"/>
  <c r="D33" i="17" l="1"/>
  <c r="D34" i="17" s="1"/>
  <c r="D35" i="17" s="1"/>
  <c r="D36" i="17" s="1"/>
  <c r="D37" i="17" s="1"/>
  <c r="D38" i="17" s="1"/>
  <c r="E33" i="17"/>
  <c r="E34" i="17" s="1"/>
  <c r="E35" i="17" s="1"/>
  <c r="E36" i="17" s="1"/>
  <c r="E37" i="17" s="1"/>
  <c r="E38" i="17" s="1"/>
  <c r="L33" i="17"/>
  <c r="N33" i="17"/>
  <c r="O33" i="17" s="1"/>
  <c r="D32" i="17" l="1"/>
  <c r="E32" i="17"/>
  <c r="L32" i="17"/>
  <c r="N32" i="17"/>
  <c r="O32" i="17" s="1"/>
  <c r="D28" i="17"/>
  <c r="D29" i="17" s="1"/>
  <c r="D30" i="17" s="1"/>
  <c r="D31" i="17" s="1"/>
  <c r="E28" i="17"/>
  <c r="E29" i="17" s="1"/>
  <c r="E30" i="17" s="1"/>
  <c r="E31" i="17" s="1"/>
  <c r="L28" i="17"/>
  <c r="N28" i="17"/>
  <c r="O28" i="17" s="1"/>
  <c r="L29" i="17"/>
  <c r="L30" i="17"/>
  <c r="L31" i="17"/>
  <c r="N31" i="17" l="1"/>
  <c r="O31" i="17" s="1"/>
  <c r="N30" i="17"/>
  <c r="O30" i="17" s="1"/>
  <c r="N29" i="17"/>
  <c r="O29" i="17" s="1"/>
  <c r="E24" i="17"/>
  <c r="E25" i="17" s="1"/>
  <c r="E26" i="17" s="1"/>
  <c r="E27" i="17" s="1"/>
  <c r="D23" i="17"/>
  <c r="D24" i="17" s="1"/>
  <c r="D25" i="17" s="1"/>
  <c r="D26" i="17" s="1"/>
  <c r="D27" i="17" s="1"/>
  <c r="E23" i="17"/>
  <c r="L23" i="17"/>
  <c r="N23" i="17"/>
  <c r="O23" i="17" s="1"/>
  <c r="E22" i="17"/>
  <c r="D22" i="17"/>
  <c r="D21" i="17"/>
  <c r="E21" i="17"/>
  <c r="L21" i="17"/>
  <c r="N21" i="17"/>
  <c r="O21" i="17" s="1"/>
  <c r="E19" i="17" l="1"/>
  <c r="E20" i="17" s="1"/>
  <c r="D19" i="17"/>
  <c r="D20" i="17" s="1"/>
  <c r="D18" i="17"/>
  <c r="E18" i="17"/>
  <c r="L18" i="17"/>
  <c r="N18" i="17"/>
  <c r="O18" i="17" s="1"/>
  <c r="E15" i="17"/>
  <c r="E16" i="17" s="1"/>
  <c r="E17" i="17" s="1"/>
  <c r="D14" i="17"/>
  <c r="E14" i="17"/>
  <c r="L14" i="17"/>
  <c r="N14" i="17"/>
  <c r="O14" i="17"/>
  <c r="L15" i="17"/>
  <c r="L16" i="17"/>
  <c r="L17" i="17"/>
  <c r="D15" i="17" l="1"/>
  <c r="D16" i="17" s="1"/>
  <c r="D17" i="17" s="1"/>
  <c r="N17" i="17"/>
  <c r="O17" i="17" s="1"/>
  <c r="N16" i="17"/>
  <c r="O16" i="17" s="1"/>
  <c r="N15" i="17"/>
  <c r="O15" i="17" s="1"/>
  <c r="E10" i="17"/>
  <c r="E11" i="17" s="1"/>
  <c r="E12" i="17" s="1"/>
  <c r="E13" i="17" s="1"/>
  <c r="L10" i="17"/>
  <c r="N10" i="17"/>
  <c r="O10" i="17" s="1"/>
  <c r="L9" i="17" l="1"/>
  <c r="N9" i="17"/>
  <c r="O9" i="17" s="1"/>
  <c r="D7" i="17"/>
  <c r="D8" i="17" s="1"/>
  <c r="D9" i="17" s="1"/>
  <c r="D10" i="17" s="1"/>
  <c r="D11" i="17" s="1"/>
  <c r="D12" i="17" s="1"/>
  <c r="D13" i="17" s="1"/>
  <c r="K250" i="17" l="1"/>
  <c r="L250" i="17" s="1"/>
  <c r="F250" i="17"/>
  <c r="M250" i="17" s="1"/>
  <c r="K249" i="17"/>
  <c r="L249" i="17" s="1"/>
  <c r="F249" i="17"/>
  <c r="M249" i="17" s="1"/>
  <c r="K248" i="17"/>
  <c r="L248" i="17" s="1"/>
  <c r="F248" i="17"/>
  <c r="M248" i="17" s="1"/>
  <c r="K247" i="17"/>
  <c r="L247" i="17" s="1"/>
  <c r="F247" i="17"/>
  <c r="M247" i="17" s="1"/>
  <c r="K246" i="17"/>
  <c r="L246" i="17" s="1"/>
  <c r="F246" i="17"/>
  <c r="M246" i="17" s="1"/>
  <c r="K245" i="17"/>
  <c r="L245" i="17" s="1"/>
  <c r="F245" i="17"/>
  <c r="M245" i="17" s="1"/>
  <c r="K244" i="17"/>
  <c r="L244" i="17" s="1"/>
  <c r="F244" i="17"/>
  <c r="M244" i="17" s="1"/>
  <c r="K243" i="17"/>
  <c r="L243" i="17" s="1"/>
  <c r="F243" i="17"/>
  <c r="M243" i="17" s="1"/>
  <c r="K242" i="17"/>
  <c r="L242" i="17" s="1"/>
  <c r="F242" i="17"/>
  <c r="M242" i="17" s="1"/>
  <c r="K241" i="17"/>
  <c r="L241" i="17" s="1"/>
  <c r="F241" i="17"/>
  <c r="M241" i="17" s="1"/>
  <c r="K240" i="17"/>
  <c r="L240" i="17" s="1"/>
  <c r="F240" i="17"/>
  <c r="M240" i="17" s="1"/>
  <c r="K239" i="17"/>
  <c r="L239" i="17" s="1"/>
  <c r="F239" i="17"/>
  <c r="M239" i="17" s="1"/>
  <c r="K238" i="17"/>
  <c r="L238" i="17" s="1"/>
  <c r="F238" i="17"/>
  <c r="M238" i="17" s="1"/>
  <c r="K237" i="17"/>
  <c r="L237" i="17" s="1"/>
  <c r="F237" i="17"/>
  <c r="M237" i="17" s="1"/>
  <c r="K236" i="17"/>
  <c r="L236" i="17" s="1"/>
  <c r="F236" i="17"/>
  <c r="M236" i="17" s="1"/>
  <c r="K235" i="17"/>
  <c r="L235" i="17" s="1"/>
  <c r="F235" i="17"/>
  <c r="M235" i="17" s="1"/>
  <c r="K234" i="17"/>
  <c r="L234" i="17" s="1"/>
  <c r="F234" i="17"/>
  <c r="M234" i="17" s="1"/>
  <c r="K233" i="17"/>
  <c r="L233" i="17" s="1"/>
  <c r="F233" i="17"/>
  <c r="M233" i="17" s="1"/>
  <c r="K232" i="17"/>
  <c r="L232" i="17" s="1"/>
  <c r="F232" i="17"/>
  <c r="M232" i="17" s="1"/>
  <c r="K231" i="17"/>
  <c r="L231" i="17" s="1"/>
  <c r="F231" i="17"/>
  <c r="M231" i="17" s="1"/>
  <c r="K230" i="17"/>
  <c r="L230" i="17" s="1"/>
  <c r="F230" i="17"/>
  <c r="M230" i="17" s="1"/>
  <c r="K229" i="17"/>
  <c r="L229" i="17" s="1"/>
  <c r="F229" i="17"/>
  <c r="M229" i="17" s="1"/>
  <c r="K228" i="17"/>
  <c r="L228" i="17" s="1"/>
  <c r="F228" i="17"/>
  <c r="M228" i="17" s="1"/>
  <c r="K227" i="17"/>
  <c r="L227" i="17" s="1"/>
  <c r="F227" i="17"/>
  <c r="M227" i="17" s="1"/>
  <c r="K226" i="17"/>
  <c r="L226" i="17" s="1"/>
  <c r="F226" i="17"/>
  <c r="M226" i="17" s="1"/>
  <c r="K225" i="17"/>
  <c r="L225" i="17" s="1"/>
  <c r="F225" i="17"/>
  <c r="M225" i="17" s="1"/>
  <c r="K224" i="17"/>
  <c r="L224" i="17" s="1"/>
  <c r="F224" i="17"/>
  <c r="M224" i="17" s="1"/>
  <c r="K223" i="17"/>
  <c r="L223" i="17" s="1"/>
  <c r="F223" i="17"/>
  <c r="M223" i="17" s="1"/>
  <c r="K222" i="17"/>
  <c r="L222" i="17" s="1"/>
  <c r="F222" i="17"/>
  <c r="M222" i="17" s="1"/>
  <c r="K221" i="17"/>
  <c r="L221" i="17" s="1"/>
  <c r="F221" i="17"/>
  <c r="M221" i="17" s="1"/>
  <c r="K220" i="17"/>
  <c r="L220" i="17" s="1"/>
  <c r="F220" i="17"/>
  <c r="M220" i="17" s="1"/>
  <c r="K219" i="17"/>
  <c r="L219" i="17" s="1"/>
  <c r="F219" i="17"/>
  <c r="M219" i="17" s="1"/>
  <c r="K218" i="17"/>
  <c r="L218" i="17" s="1"/>
  <c r="F218" i="17"/>
  <c r="M218" i="17" s="1"/>
  <c r="K217" i="17"/>
  <c r="L217" i="17" s="1"/>
  <c r="F217" i="17"/>
  <c r="M217" i="17" s="1"/>
  <c r="K216" i="17"/>
  <c r="L216" i="17" s="1"/>
  <c r="F216" i="17"/>
  <c r="M216" i="17" s="1"/>
  <c r="K215" i="17"/>
  <c r="L215" i="17" s="1"/>
  <c r="F215" i="17"/>
  <c r="M215" i="17" s="1"/>
  <c r="K214" i="17"/>
  <c r="L214" i="17" s="1"/>
  <c r="F214" i="17"/>
  <c r="M214" i="17" s="1"/>
  <c r="K213" i="17"/>
  <c r="L213" i="17" s="1"/>
  <c r="F213" i="17"/>
  <c r="M213" i="17" s="1"/>
  <c r="K212" i="17"/>
  <c r="L212" i="17" s="1"/>
  <c r="F212" i="17"/>
  <c r="M212" i="17" s="1"/>
  <c r="K211" i="17"/>
  <c r="L211" i="17" s="1"/>
  <c r="F211" i="17"/>
  <c r="M211" i="17" s="1"/>
  <c r="K210" i="17"/>
  <c r="L210" i="17" s="1"/>
  <c r="F210" i="17"/>
  <c r="M210" i="17" s="1"/>
  <c r="K209" i="17"/>
  <c r="L209" i="17" s="1"/>
  <c r="F209" i="17"/>
  <c r="M209" i="17" s="1"/>
  <c r="K208" i="17"/>
  <c r="L208" i="17" s="1"/>
  <c r="F208" i="17"/>
  <c r="M208" i="17" s="1"/>
  <c r="K207" i="17"/>
  <c r="L207" i="17" s="1"/>
  <c r="F207" i="17"/>
  <c r="K206" i="17"/>
  <c r="L206" i="17" s="1"/>
  <c r="F206" i="17"/>
  <c r="M206" i="17" s="1"/>
  <c r="K205" i="17"/>
  <c r="L205" i="17" s="1"/>
  <c r="F205" i="17"/>
  <c r="M205" i="17" s="1"/>
  <c r="K204" i="17"/>
  <c r="L204" i="17" s="1"/>
  <c r="F204" i="17"/>
  <c r="M204" i="17" s="1"/>
  <c r="K203" i="17"/>
  <c r="L203" i="17" s="1"/>
  <c r="F203" i="17"/>
  <c r="K202" i="17"/>
  <c r="L202" i="17" s="1"/>
  <c r="F202" i="17"/>
  <c r="M202" i="17" s="1"/>
  <c r="K201" i="17"/>
  <c r="L201" i="17" s="1"/>
  <c r="F201" i="17"/>
  <c r="M201" i="17" s="1"/>
  <c r="K200" i="17"/>
  <c r="L200" i="17" s="1"/>
  <c r="F200" i="17"/>
  <c r="M200" i="17" s="1"/>
  <c r="K199" i="17"/>
  <c r="L199" i="17" s="1"/>
  <c r="F199" i="17"/>
  <c r="K198" i="17"/>
  <c r="L198" i="17" s="1"/>
  <c r="F198" i="17"/>
  <c r="M198" i="17" s="1"/>
  <c r="K197" i="17"/>
  <c r="L197" i="17" s="1"/>
  <c r="F197" i="17"/>
  <c r="M197" i="17" s="1"/>
  <c r="K196" i="17"/>
  <c r="L196" i="17" s="1"/>
  <c r="F196" i="17"/>
  <c r="M196" i="17" s="1"/>
  <c r="K195" i="17"/>
  <c r="L195" i="17" s="1"/>
  <c r="F195" i="17"/>
  <c r="K194" i="17"/>
  <c r="L194" i="17" s="1"/>
  <c r="F194" i="17"/>
  <c r="M194" i="17" s="1"/>
  <c r="K193" i="17"/>
  <c r="L193" i="17" s="1"/>
  <c r="F193" i="17"/>
  <c r="M193" i="17" s="1"/>
  <c r="K192" i="17"/>
  <c r="L192" i="17" s="1"/>
  <c r="F192" i="17"/>
  <c r="M192" i="17" s="1"/>
  <c r="K191" i="17"/>
  <c r="L191" i="17" s="1"/>
  <c r="F191" i="17"/>
  <c r="K190" i="17"/>
  <c r="L190" i="17" s="1"/>
  <c r="F190" i="17"/>
  <c r="M190" i="17" s="1"/>
  <c r="K189" i="17"/>
  <c r="L189" i="17" s="1"/>
  <c r="F189" i="17"/>
  <c r="M189" i="17" s="1"/>
  <c r="K188" i="17"/>
  <c r="L188" i="17" s="1"/>
  <c r="F188" i="17"/>
  <c r="M188" i="17" s="1"/>
  <c r="K187" i="17"/>
  <c r="L187" i="17" s="1"/>
  <c r="F187" i="17"/>
  <c r="K186" i="17"/>
  <c r="L186" i="17" s="1"/>
  <c r="F186" i="17"/>
  <c r="M186" i="17" s="1"/>
  <c r="K185" i="17"/>
  <c r="L185" i="17" s="1"/>
  <c r="F185" i="17"/>
  <c r="M185" i="17" s="1"/>
  <c r="K184" i="17"/>
  <c r="L184" i="17" s="1"/>
  <c r="F184" i="17"/>
  <c r="M184" i="17" s="1"/>
  <c r="K183" i="17"/>
  <c r="L183" i="17" s="1"/>
  <c r="F183" i="17"/>
  <c r="K182" i="17"/>
  <c r="L182" i="17" s="1"/>
  <c r="F182" i="17"/>
  <c r="M182" i="17" s="1"/>
  <c r="K181" i="17"/>
  <c r="L181" i="17" s="1"/>
  <c r="F181" i="17"/>
  <c r="M181" i="17" s="1"/>
  <c r="K180" i="17"/>
  <c r="L180" i="17" s="1"/>
  <c r="F180" i="17"/>
  <c r="M180" i="17" s="1"/>
  <c r="K179" i="17"/>
  <c r="L179" i="17" s="1"/>
  <c r="F179" i="17"/>
  <c r="K178" i="17"/>
  <c r="L178" i="17" s="1"/>
  <c r="F178" i="17"/>
  <c r="M178" i="17" s="1"/>
  <c r="K177" i="17"/>
  <c r="L177" i="17" s="1"/>
  <c r="F177" i="17"/>
  <c r="M177" i="17" s="1"/>
  <c r="K176" i="17"/>
  <c r="L176" i="17" s="1"/>
  <c r="F176" i="17"/>
  <c r="M176" i="17" s="1"/>
  <c r="K175" i="17"/>
  <c r="L175" i="17" s="1"/>
  <c r="F175" i="17"/>
  <c r="K174" i="17"/>
  <c r="L174" i="17" s="1"/>
  <c r="F174" i="17"/>
  <c r="M174" i="17" s="1"/>
  <c r="K173" i="17"/>
  <c r="L173" i="17" s="1"/>
  <c r="F173" i="17"/>
  <c r="M173" i="17" s="1"/>
  <c r="K172" i="17"/>
  <c r="L172" i="17" s="1"/>
  <c r="F172" i="17"/>
  <c r="K171" i="17"/>
  <c r="L171" i="17" s="1"/>
  <c r="F171" i="17"/>
  <c r="M171" i="17" s="1"/>
  <c r="K170" i="17"/>
  <c r="L170" i="17" s="1"/>
  <c r="F170" i="17"/>
  <c r="M170" i="17" s="1"/>
  <c r="K169" i="17"/>
  <c r="L169" i="17" s="1"/>
  <c r="F169" i="17"/>
  <c r="M169" i="17" s="1"/>
  <c r="K168" i="17"/>
  <c r="L168" i="17" s="1"/>
  <c r="F168" i="17"/>
  <c r="K167" i="17"/>
  <c r="L167" i="17" s="1"/>
  <c r="F167" i="17"/>
  <c r="M167" i="17" s="1"/>
  <c r="K166" i="17"/>
  <c r="L166" i="17" s="1"/>
  <c r="F166" i="17"/>
  <c r="M166" i="17" s="1"/>
  <c r="K165" i="17"/>
  <c r="L165" i="17" s="1"/>
  <c r="F165" i="17"/>
  <c r="M165" i="17" s="1"/>
  <c r="K164" i="17"/>
  <c r="L164" i="17" s="1"/>
  <c r="F164" i="17"/>
  <c r="M164" i="17" s="1"/>
  <c r="K163" i="17"/>
  <c r="L163" i="17" s="1"/>
  <c r="F163" i="17"/>
  <c r="M163" i="17" s="1"/>
  <c r="K162" i="17"/>
  <c r="L162" i="17" s="1"/>
  <c r="F162" i="17"/>
  <c r="M162" i="17" s="1"/>
  <c r="K161" i="17"/>
  <c r="L161" i="17" s="1"/>
  <c r="F161" i="17"/>
  <c r="M161" i="17" s="1"/>
  <c r="K160" i="17"/>
  <c r="L160" i="17" s="1"/>
  <c r="F160" i="17"/>
  <c r="M160" i="17" s="1"/>
  <c r="K159" i="17"/>
  <c r="L159" i="17" s="1"/>
  <c r="F159" i="17"/>
  <c r="M159" i="17" s="1"/>
  <c r="K158" i="17"/>
  <c r="L158" i="17" s="1"/>
  <c r="F158" i="17"/>
  <c r="M158" i="17" s="1"/>
  <c r="K157" i="17"/>
  <c r="L157" i="17" s="1"/>
  <c r="F157" i="17"/>
  <c r="M157" i="17" s="1"/>
  <c r="K156" i="17"/>
  <c r="L156" i="17" s="1"/>
  <c r="F156" i="17"/>
  <c r="M156" i="17" s="1"/>
  <c r="K155" i="17"/>
  <c r="L155" i="17" s="1"/>
  <c r="F155" i="17"/>
  <c r="M155" i="17" s="1"/>
  <c r="K154" i="17"/>
  <c r="L154" i="17" s="1"/>
  <c r="F154" i="17"/>
  <c r="M154" i="17" s="1"/>
  <c r="K153" i="17"/>
  <c r="L153" i="17" s="1"/>
  <c r="F153" i="17"/>
  <c r="M153" i="17" s="1"/>
  <c r="K152" i="17"/>
  <c r="L152" i="17" s="1"/>
  <c r="F152" i="17"/>
  <c r="M152" i="17" s="1"/>
  <c r="K151" i="17"/>
  <c r="L151" i="17" s="1"/>
  <c r="F151" i="17"/>
  <c r="M151" i="17" s="1"/>
  <c r="K150" i="17"/>
  <c r="L150" i="17" s="1"/>
  <c r="F150" i="17"/>
  <c r="M150" i="17" s="1"/>
  <c r="K149" i="17"/>
  <c r="L149" i="17" s="1"/>
  <c r="F149" i="17"/>
  <c r="M149" i="17" s="1"/>
  <c r="K148" i="17"/>
  <c r="L148" i="17" s="1"/>
  <c r="F148" i="17"/>
  <c r="M148" i="17" s="1"/>
  <c r="K147" i="17"/>
  <c r="L147" i="17" s="1"/>
  <c r="F147" i="17"/>
  <c r="M147" i="17" s="1"/>
  <c r="K146" i="17"/>
  <c r="L146" i="17" s="1"/>
  <c r="F146" i="17"/>
  <c r="M146" i="17" s="1"/>
  <c r="K145" i="17"/>
  <c r="L145" i="17" s="1"/>
  <c r="F145" i="17"/>
  <c r="M145" i="17" s="1"/>
  <c r="K144" i="17"/>
  <c r="L144" i="17" s="1"/>
  <c r="F144" i="17"/>
  <c r="M144" i="17" s="1"/>
  <c r="K143" i="17"/>
  <c r="L143" i="17" s="1"/>
  <c r="F143" i="17"/>
  <c r="M143" i="17" s="1"/>
  <c r="K142" i="17"/>
  <c r="L142" i="17" s="1"/>
  <c r="F142" i="17"/>
  <c r="M142" i="17" s="1"/>
  <c r="K141" i="17"/>
  <c r="L141" i="17" s="1"/>
  <c r="F141" i="17"/>
  <c r="M141" i="17" s="1"/>
  <c r="K140" i="17"/>
  <c r="L140" i="17" s="1"/>
  <c r="F140" i="17"/>
  <c r="M140" i="17" s="1"/>
  <c r="K139" i="17"/>
  <c r="L139" i="17" s="1"/>
  <c r="F139" i="17"/>
  <c r="M139" i="17" s="1"/>
  <c r="K138" i="17"/>
  <c r="L138" i="17" s="1"/>
  <c r="F138" i="17"/>
  <c r="M138" i="17" s="1"/>
  <c r="K137" i="17"/>
  <c r="L137" i="17" s="1"/>
  <c r="F137" i="17"/>
  <c r="M137" i="17" s="1"/>
  <c r="K136" i="17"/>
  <c r="L136" i="17" s="1"/>
  <c r="F136" i="17"/>
  <c r="M136" i="17" s="1"/>
  <c r="K135" i="17"/>
  <c r="L135" i="17" s="1"/>
  <c r="F135" i="17"/>
  <c r="M135" i="17" s="1"/>
  <c r="K134" i="17"/>
  <c r="L134" i="17" s="1"/>
  <c r="F134" i="17"/>
  <c r="M134" i="17" s="1"/>
  <c r="K133" i="17"/>
  <c r="L133" i="17" s="1"/>
  <c r="F133" i="17"/>
  <c r="M133" i="17" s="1"/>
  <c r="K132" i="17"/>
  <c r="L132" i="17" s="1"/>
  <c r="F132" i="17"/>
  <c r="M132" i="17" s="1"/>
  <c r="K131" i="17"/>
  <c r="L131" i="17" s="1"/>
  <c r="F131" i="17"/>
  <c r="M131" i="17" s="1"/>
  <c r="K130" i="17"/>
  <c r="L130" i="17" s="1"/>
  <c r="F130" i="17"/>
  <c r="M130" i="17" s="1"/>
  <c r="K129" i="17"/>
  <c r="L129" i="17" s="1"/>
  <c r="F129" i="17"/>
  <c r="M129" i="17" s="1"/>
  <c r="K128" i="17"/>
  <c r="L128" i="17" s="1"/>
  <c r="F128" i="17"/>
  <c r="M128" i="17" s="1"/>
  <c r="K127" i="17"/>
  <c r="L127" i="17" s="1"/>
  <c r="F127" i="17"/>
  <c r="K126" i="17"/>
  <c r="L126" i="17" s="1"/>
  <c r="F126" i="17"/>
  <c r="K125" i="17"/>
  <c r="L125" i="17" s="1"/>
  <c r="F125" i="17"/>
  <c r="K124" i="17"/>
  <c r="L124" i="17" s="1"/>
  <c r="F124" i="17"/>
  <c r="K123" i="17"/>
  <c r="L123" i="17" s="1"/>
  <c r="F123" i="17"/>
  <c r="K122" i="17"/>
  <c r="L122" i="17" s="1"/>
  <c r="F122" i="17"/>
  <c r="K121" i="17"/>
  <c r="L121" i="17" s="1"/>
  <c r="F121" i="17"/>
  <c r="K120" i="17"/>
  <c r="L120" i="17" s="1"/>
  <c r="F120" i="17"/>
  <c r="K119" i="17"/>
  <c r="L119" i="17" s="1"/>
  <c r="F119" i="17"/>
  <c r="K118" i="17"/>
  <c r="L118" i="17" s="1"/>
  <c r="F118" i="17"/>
  <c r="K117" i="17"/>
  <c r="L117" i="17" s="1"/>
  <c r="F117" i="17"/>
  <c r="K116" i="17"/>
  <c r="L116" i="17" s="1"/>
  <c r="F116" i="17"/>
  <c r="K115" i="17"/>
  <c r="L115" i="17" s="1"/>
  <c r="F115" i="17"/>
  <c r="K114" i="17"/>
  <c r="L114" i="17" s="1"/>
  <c r="F114" i="17"/>
  <c r="K113" i="17"/>
  <c r="L113" i="17" s="1"/>
  <c r="F113" i="17"/>
  <c r="K112" i="17"/>
  <c r="L112" i="17" s="1"/>
  <c r="F112" i="17"/>
  <c r="K111" i="17"/>
  <c r="L111" i="17" s="1"/>
  <c r="F111" i="17"/>
  <c r="K110" i="17"/>
  <c r="L110" i="17" s="1"/>
  <c r="F110" i="17"/>
  <c r="K109" i="17"/>
  <c r="L109" i="17" s="1"/>
  <c r="F109" i="17"/>
  <c r="K108" i="17"/>
  <c r="L108" i="17" s="1"/>
  <c r="F108" i="17"/>
  <c r="K107" i="17"/>
  <c r="L107" i="17" s="1"/>
  <c r="F107" i="17"/>
  <c r="K106" i="17"/>
  <c r="L106" i="17" s="1"/>
  <c r="F106" i="17"/>
  <c r="K105" i="17"/>
  <c r="L105" i="17" s="1"/>
  <c r="F105" i="17"/>
  <c r="K104" i="17"/>
  <c r="L104" i="17" s="1"/>
  <c r="F104" i="17"/>
  <c r="K103" i="17"/>
  <c r="L103" i="17" s="1"/>
  <c r="F103" i="17"/>
  <c r="K102" i="17"/>
  <c r="L102" i="17" s="1"/>
  <c r="F102" i="17"/>
  <c r="K101" i="17"/>
  <c r="L101" i="17" s="1"/>
  <c r="F101" i="17"/>
  <c r="K100" i="17"/>
  <c r="L100" i="17" s="1"/>
  <c r="F100" i="17"/>
  <c r="K99" i="17"/>
  <c r="L99" i="17" s="1"/>
  <c r="F99" i="17"/>
  <c r="K98" i="17"/>
  <c r="L98" i="17" s="1"/>
  <c r="F98" i="17"/>
  <c r="K97" i="17"/>
  <c r="L97" i="17" s="1"/>
  <c r="F97" i="17"/>
  <c r="K96" i="17"/>
  <c r="L96" i="17" s="1"/>
  <c r="F96" i="17"/>
  <c r="K95" i="17"/>
  <c r="L95" i="17" s="1"/>
  <c r="F95" i="17"/>
  <c r="K94" i="17"/>
  <c r="L94" i="17" s="1"/>
  <c r="F94" i="17"/>
  <c r="K93" i="17"/>
  <c r="L93" i="17" s="1"/>
  <c r="F93" i="17"/>
  <c r="K92" i="17"/>
  <c r="L92" i="17" s="1"/>
  <c r="F92" i="17"/>
  <c r="K91" i="17"/>
  <c r="L91" i="17" s="1"/>
  <c r="F91" i="17"/>
  <c r="K90" i="17"/>
  <c r="L90" i="17" s="1"/>
  <c r="F90" i="17"/>
  <c r="K89" i="17"/>
  <c r="L89" i="17" s="1"/>
  <c r="F89" i="17"/>
  <c r="K88" i="17"/>
  <c r="L88" i="17" s="1"/>
  <c r="F88" i="17"/>
  <c r="K87" i="17"/>
  <c r="L87" i="17" s="1"/>
  <c r="F87" i="17"/>
  <c r="K86" i="17"/>
  <c r="L86" i="17" s="1"/>
  <c r="F86" i="17"/>
  <c r="K85" i="17"/>
  <c r="L85" i="17" s="1"/>
  <c r="F85" i="17"/>
  <c r="K84" i="17"/>
  <c r="L84" i="17" s="1"/>
  <c r="F84" i="17"/>
  <c r="K83" i="17"/>
  <c r="L83" i="17" s="1"/>
  <c r="F83" i="17"/>
  <c r="K82" i="17"/>
  <c r="L82" i="17" s="1"/>
  <c r="F82" i="17"/>
  <c r="K81" i="17"/>
  <c r="L81" i="17" s="1"/>
  <c r="F81" i="17"/>
  <c r="K80" i="17"/>
  <c r="L80" i="17" s="1"/>
  <c r="F80" i="17"/>
  <c r="L47" i="17"/>
  <c r="L46" i="17"/>
  <c r="L7" i="17"/>
  <c r="D80" i="17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N204" i="17" l="1"/>
  <c r="O204" i="17" s="1"/>
  <c r="N206" i="17"/>
  <c r="O206" i="17" s="1"/>
  <c r="N235" i="17"/>
  <c r="O235" i="17" s="1"/>
  <c r="N211" i="17"/>
  <c r="O211" i="17" s="1"/>
  <c r="N140" i="17"/>
  <c r="O140" i="17" s="1"/>
  <c r="N142" i="17"/>
  <c r="O142" i="17" s="1"/>
  <c r="N144" i="17"/>
  <c r="O144" i="17" s="1"/>
  <c r="N146" i="17"/>
  <c r="O146" i="17" s="1"/>
  <c r="N163" i="17"/>
  <c r="O163" i="17" s="1"/>
  <c r="N131" i="17"/>
  <c r="O131" i="17" s="1"/>
  <c r="N156" i="17"/>
  <c r="O156" i="17" s="1"/>
  <c r="N158" i="17"/>
  <c r="O158" i="17" s="1"/>
  <c r="N160" i="17"/>
  <c r="O160" i="17" s="1"/>
  <c r="N162" i="17"/>
  <c r="O162" i="17" s="1"/>
  <c r="N167" i="17"/>
  <c r="O167" i="17" s="1"/>
  <c r="N188" i="17"/>
  <c r="O188" i="17" s="1"/>
  <c r="N190" i="17"/>
  <c r="O190" i="17" s="1"/>
  <c r="N192" i="17"/>
  <c r="O192" i="17" s="1"/>
  <c r="N194" i="17"/>
  <c r="O194" i="17" s="1"/>
  <c r="N223" i="17"/>
  <c r="O223" i="17" s="1"/>
  <c r="N232" i="17"/>
  <c r="O232" i="17" s="1"/>
  <c r="N234" i="17"/>
  <c r="O234" i="17" s="1"/>
  <c r="N248" i="17"/>
  <c r="O248" i="17" s="1"/>
  <c r="N250" i="17"/>
  <c r="O250" i="17" s="1"/>
  <c r="N135" i="17"/>
  <c r="O135" i="17" s="1"/>
  <c r="N147" i="17"/>
  <c r="O147" i="17" s="1"/>
  <c r="N216" i="17"/>
  <c r="O216" i="17" s="1"/>
  <c r="N218" i="17"/>
  <c r="O218" i="17" s="1"/>
  <c r="N220" i="17"/>
  <c r="O220" i="17" s="1"/>
  <c r="N222" i="17"/>
  <c r="O222" i="17" s="1"/>
  <c r="N227" i="17"/>
  <c r="O227" i="17" s="1"/>
  <c r="N243" i="17"/>
  <c r="O243" i="17" s="1"/>
  <c r="N128" i="17"/>
  <c r="O128" i="17" s="1"/>
  <c r="N130" i="17"/>
  <c r="O130" i="17" s="1"/>
  <c r="N132" i="17"/>
  <c r="O132" i="17" s="1"/>
  <c r="N134" i="17"/>
  <c r="O134" i="17" s="1"/>
  <c r="N151" i="17"/>
  <c r="O151" i="17" s="1"/>
  <c r="N174" i="17"/>
  <c r="O174" i="17" s="1"/>
  <c r="N176" i="17"/>
  <c r="O176" i="17" s="1"/>
  <c r="N178" i="17"/>
  <c r="O178" i="17" s="1"/>
  <c r="N240" i="17"/>
  <c r="O240" i="17" s="1"/>
  <c r="N139" i="17"/>
  <c r="O139" i="17" s="1"/>
  <c r="N148" i="17"/>
  <c r="O148" i="17" s="1"/>
  <c r="N150" i="17"/>
  <c r="O150" i="17" s="1"/>
  <c r="N155" i="17"/>
  <c r="O155" i="17" s="1"/>
  <c r="N164" i="17"/>
  <c r="O164" i="17" s="1"/>
  <c r="N166" i="17"/>
  <c r="O166" i="17" s="1"/>
  <c r="N171" i="17"/>
  <c r="O171" i="17" s="1"/>
  <c r="N180" i="17"/>
  <c r="O180" i="17" s="1"/>
  <c r="N182" i="17"/>
  <c r="O182" i="17" s="1"/>
  <c r="N196" i="17"/>
  <c r="O196" i="17" s="1"/>
  <c r="N198" i="17"/>
  <c r="O198" i="17" s="1"/>
  <c r="N208" i="17"/>
  <c r="O208" i="17" s="1"/>
  <c r="N210" i="17"/>
  <c r="O210" i="17" s="1"/>
  <c r="N215" i="17"/>
  <c r="O215" i="17" s="1"/>
  <c r="N224" i="17"/>
  <c r="O224" i="17" s="1"/>
  <c r="N226" i="17"/>
  <c r="O226" i="17" s="1"/>
  <c r="N231" i="17"/>
  <c r="O231" i="17" s="1"/>
  <c r="N239" i="17"/>
  <c r="O239" i="17" s="1"/>
  <c r="N247" i="17"/>
  <c r="O247" i="17" s="1"/>
  <c r="N136" i="17"/>
  <c r="O136" i="17" s="1"/>
  <c r="N138" i="17"/>
  <c r="O138" i="17" s="1"/>
  <c r="N143" i="17"/>
  <c r="O143" i="17" s="1"/>
  <c r="N152" i="17"/>
  <c r="O152" i="17" s="1"/>
  <c r="N154" i="17"/>
  <c r="O154" i="17" s="1"/>
  <c r="N159" i="17"/>
  <c r="O159" i="17" s="1"/>
  <c r="N170" i="17"/>
  <c r="O170" i="17" s="1"/>
  <c r="N184" i="17"/>
  <c r="O184" i="17" s="1"/>
  <c r="N186" i="17"/>
  <c r="O186" i="17" s="1"/>
  <c r="N200" i="17"/>
  <c r="O200" i="17" s="1"/>
  <c r="N202" i="17"/>
  <c r="O202" i="17" s="1"/>
  <c r="N212" i="17"/>
  <c r="O212" i="17" s="1"/>
  <c r="N214" i="17"/>
  <c r="O214" i="17" s="1"/>
  <c r="N219" i="17"/>
  <c r="O219" i="17" s="1"/>
  <c r="N228" i="17"/>
  <c r="O228" i="17" s="1"/>
  <c r="N230" i="17"/>
  <c r="O230" i="17" s="1"/>
  <c r="N236" i="17"/>
  <c r="O236" i="17" s="1"/>
  <c r="N244" i="17"/>
  <c r="O244" i="17" s="1"/>
  <c r="N238" i="17"/>
  <c r="O238" i="17" s="1"/>
  <c r="N242" i="17"/>
  <c r="O242" i="17" s="1"/>
  <c r="N246" i="17"/>
  <c r="O246" i="17" s="1"/>
  <c r="N129" i="17"/>
  <c r="O129" i="17" s="1"/>
  <c r="N133" i="17"/>
  <c r="O133" i="17" s="1"/>
  <c r="N137" i="17"/>
  <c r="O137" i="17" s="1"/>
  <c r="N141" i="17"/>
  <c r="O141" i="17" s="1"/>
  <c r="N145" i="17"/>
  <c r="O145" i="17" s="1"/>
  <c r="N149" i="17"/>
  <c r="O149" i="17" s="1"/>
  <c r="N153" i="17"/>
  <c r="O153" i="17" s="1"/>
  <c r="N157" i="17"/>
  <c r="O157" i="17" s="1"/>
  <c r="N161" i="17"/>
  <c r="O161" i="17" s="1"/>
  <c r="N165" i="17"/>
  <c r="O165" i="17" s="1"/>
  <c r="N169" i="17"/>
  <c r="O169" i="17" s="1"/>
  <c r="N173" i="17"/>
  <c r="O173" i="17" s="1"/>
  <c r="N177" i="17"/>
  <c r="O177" i="17" s="1"/>
  <c r="N181" i="17"/>
  <c r="O181" i="17" s="1"/>
  <c r="N185" i="17"/>
  <c r="O185" i="17" s="1"/>
  <c r="N189" i="17"/>
  <c r="O189" i="17" s="1"/>
  <c r="N193" i="17"/>
  <c r="O193" i="17" s="1"/>
  <c r="N197" i="17"/>
  <c r="O197" i="17" s="1"/>
  <c r="N201" i="17"/>
  <c r="O201" i="17" s="1"/>
  <c r="N205" i="17"/>
  <c r="O205" i="17" s="1"/>
  <c r="N209" i="17"/>
  <c r="O209" i="17" s="1"/>
  <c r="N213" i="17"/>
  <c r="O213" i="17" s="1"/>
  <c r="N217" i="17"/>
  <c r="O217" i="17" s="1"/>
  <c r="N221" i="17"/>
  <c r="O221" i="17" s="1"/>
  <c r="N225" i="17"/>
  <c r="O225" i="17" s="1"/>
  <c r="N229" i="17"/>
  <c r="O229" i="17" s="1"/>
  <c r="N233" i="17"/>
  <c r="O233" i="17" s="1"/>
  <c r="N237" i="17"/>
  <c r="O237" i="17" s="1"/>
  <c r="N241" i="17"/>
  <c r="O241" i="17" s="1"/>
  <c r="N245" i="17"/>
  <c r="O245" i="17" s="1"/>
  <c r="N249" i="17"/>
  <c r="O249" i="17" s="1"/>
  <c r="E234" i="17"/>
  <c r="E238" i="17"/>
  <c r="E218" i="17"/>
  <c r="E174" i="17"/>
  <c r="E176" i="17"/>
  <c r="E178" i="17"/>
  <c r="E180" i="17"/>
  <c r="E182" i="17"/>
  <c r="E184" i="17"/>
  <c r="E186" i="17"/>
  <c r="E188" i="17"/>
  <c r="E190" i="17"/>
  <c r="E192" i="17"/>
  <c r="E194" i="17"/>
  <c r="E196" i="17"/>
  <c r="E198" i="17"/>
  <c r="E200" i="17"/>
  <c r="E202" i="17"/>
  <c r="E204" i="17"/>
  <c r="E206" i="17"/>
  <c r="E208" i="17"/>
  <c r="E210" i="17"/>
  <c r="E226" i="17"/>
  <c r="E155" i="17"/>
  <c r="E157" i="17"/>
  <c r="E159" i="17"/>
  <c r="E161" i="17"/>
  <c r="E214" i="17"/>
  <c r="E222" i="17"/>
  <c r="E230" i="17"/>
  <c r="E162" i="17"/>
  <c r="E163" i="17"/>
  <c r="E165" i="17"/>
  <c r="E166" i="17"/>
  <c r="E213" i="17"/>
  <c r="E217" i="17"/>
  <c r="E221" i="17"/>
  <c r="E225" i="17"/>
  <c r="E229" i="17"/>
  <c r="E233" i="17"/>
  <c r="E237" i="17"/>
  <c r="E241" i="17"/>
  <c r="E245" i="17"/>
  <c r="E249" i="17"/>
  <c r="E129" i="17"/>
  <c r="E131" i="17"/>
  <c r="E133" i="17"/>
  <c r="E135" i="17"/>
  <c r="E137" i="17"/>
  <c r="E139" i="17"/>
  <c r="E141" i="17"/>
  <c r="E143" i="17"/>
  <c r="E145" i="17"/>
  <c r="E147" i="17"/>
  <c r="E149" i="17"/>
  <c r="E151" i="17"/>
  <c r="E153" i="17"/>
  <c r="E242" i="17"/>
  <c r="E246" i="17"/>
  <c r="E130" i="17"/>
  <c r="E134" i="17"/>
  <c r="E138" i="17"/>
  <c r="E142" i="17"/>
  <c r="E146" i="17"/>
  <c r="E150" i="17"/>
  <c r="E154" i="17"/>
  <c r="E158" i="17"/>
  <c r="E250" i="17"/>
  <c r="M46" i="17"/>
  <c r="N46" i="17" s="1"/>
  <c r="O46" i="17" s="1"/>
  <c r="M47" i="17"/>
  <c r="N47" i="17" s="1"/>
  <c r="O47" i="17" s="1"/>
  <c r="E211" i="17"/>
  <c r="E215" i="17"/>
  <c r="E219" i="17"/>
  <c r="E223" i="17"/>
  <c r="E227" i="17"/>
  <c r="E231" i="17"/>
  <c r="E235" i="17"/>
  <c r="E239" i="17"/>
  <c r="E243" i="17"/>
  <c r="E247" i="17"/>
  <c r="E128" i="17"/>
  <c r="E132" i="17"/>
  <c r="E136" i="17"/>
  <c r="E140" i="17"/>
  <c r="E144" i="17"/>
  <c r="E148" i="17"/>
  <c r="E152" i="17"/>
  <c r="E156" i="17"/>
  <c r="E160" i="17"/>
  <c r="E164" i="17"/>
  <c r="E170" i="17"/>
  <c r="E212" i="17"/>
  <c r="E216" i="17"/>
  <c r="E220" i="17"/>
  <c r="E224" i="17"/>
  <c r="E228" i="17"/>
  <c r="E232" i="17"/>
  <c r="E236" i="17"/>
  <c r="E240" i="17"/>
  <c r="E244" i="17"/>
  <c r="E248" i="17"/>
  <c r="M81" i="17"/>
  <c r="N81" i="17" s="1"/>
  <c r="O81" i="17" s="1"/>
  <c r="E81" i="17"/>
  <c r="M80" i="17"/>
  <c r="N80" i="17" s="1"/>
  <c r="O80" i="17" s="1"/>
  <c r="E80" i="17"/>
  <c r="M82" i="17"/>
  <c r="N82" i="17" s="1"/>
  <c r="O82" i="17" s="1"/>
  <c r="E82" i="17"/>
  <c r="M84" i="17"/>
  <c r="N84" i="17" s="1"/>
  <c r="O84" i="17" s="1"/>
  <c r="E84" i="17"/>
  <c r="M85" i="17"/>
  <c r="N85" i="17" s="1"/>
  <c r="O85" i="17" s="1"/>
  <c r="E85" i="17"/>
  <c r="M86" i="17"/>
  <c r="N86" i="17" s="1"/>
  <c r="O86" i="17" s="1"/>
  <c r="E86" i="17"/>
  <c r="M87" i="17"/>
  <c r="N87" i="17" s="1"/>
  <c r="O87" i="17" s="1"/>
  <c r="E87" i="17"/>
  <c r="M88" i="17"/>
  <c r="N88" i="17" s="1"/>
  <c r="O88" i="17" s="1"/>
  <c r="E88" i="17"/>
  <c r="M89" i="17"/>
  <c r="N89" i="17" s="1"/>
  <c r="O89" i="17" s="1"/>
  <c r="E89" i="17"/>
  <c r="M90" i="17"/>
  <c r="N90" i="17" s="1"/>
  <c r="O90" i="17" s="1"/>
  <c r="E90" i="17"/>
  <c r="M91" i="17"/>
  <c r="N91" i="17" s="1"/>
  <c r="O91" i="17" s="1"/>
  <c r="E91" i="17"/>
  <c r="M92" i="17"/>
  <c r="N92" i="17" s="1"/>
  <c r="O92" i="17" s="1"/>
  <c r="E92" i="17"/>
  <c r="M93" i="17"/>
  <c r="N93" i="17" s="1"/>
  <c r="O93" i="17" s="1"/>
  <c r="E93" i="17"/>
  <c r="M94" i="17"/>
  <c r="N94" i="17" s="1"/>
  <c r="O94" i="17" s="1"/>
  <c r="E94" i="17"/>
  <c r="M95" i="17"/>
  <c r="N95" i="17" s="1"/>
  <c r="O95" i="17" s="1"/>
  <c r="E95" i="17"/>
  <c r="M96" i="17"/>
  <c r="N96" i="17" s="1"/>
  <c r="O96" i="17" s="1"/>
  <c r="E96" i="17"/>
  <c r="M97" i="17"/>
  <c r="N97" i="17" s="1"/>
  <c r="O97" i="17" s="1"/>
  <c r="E97" i="17"/>
  <c r="M98" i="17"/>
  <c r="N98" i="17" s="1"/>
  <c r="O98" i="17" s="1"/>
  <c r="E98" i="17"/>
  <c r="M99" i="17"/>
  <c r="N99" i="17" s="1"/>
  <c r="O99" i="17" s="1"/>
  <c r="E99" i="17"/>
  <c r="M100" i="17"/>
  <c r="N100" i="17" s="1"/>
  <c r="O100" i="17" s="1"/>
  <c r="E100" i="17"/>
  <c r="M101" i="17"/>
  <c r="N101" i="17" s="1"/>
  <c r="O101" i="17" s="1"/>
  <c r="E101" i="17"/>
  <c r="M102" i="17"/>
  <c r="N102" i="17" s="1"/>
  <c r="O102" i="17" s="1"/>
  <c r="E102" i="17"/>
  <c r="M103" i="17"/>
  <c r="N103" i="17" s="1"/>
  <c r="O103" i="17" s="1"/>
  <c r="E103" i="17"/>
  <c r="M104" i="17"/>
  <c r="N104" i="17" s="1"/>
  <c r="O104" i="17" s="1"/>
  <c r="E104" i="17"/>
  <c r="M105" i="17"/>
  <c r="N105" i="17" s="1"/>
  <c r="O105" i="17" s="1"/>
  <c r="E105" i="17"/>
  <c r="M106" i="17"/>
  <c r="N106" i="17" s="1"/>
  <c r="O106" i="17" s="1"/>
  <c r="E106" i="17"/>
  <c r="M107" i="17"/>
  <c r="N107" i="17" s="1"/>
  <c r="O107" i="17" s="1"/>
  <c r="E107" i="17"/>
  <c r="M108" i="17"/>
  <c r="N108" i="17" s="1"/>
  <c r="O108" i="17" s="1"/>
  <c r="E108" i="17"/>
  <c r="M109" i="17"/>
  <c r="N109" i="17" s="1"/>
  <c r="O109" i="17" s="1"/>
  <c r="E109" i="17"/>
  <c r="M110" i="17"/>
  <c r="N110" i="17" s="1"/>
  <c r="O110" i="17" s="1"/>
  <c r="E110" i="17"/>
  <c r="M111" i="17"/>
  <c r="N111" i="17" s="1"/>
  <c r="O111" i="17" s="1"/>
  <c r="E111" i="17"/>
  <c r="M112" i="17"/>
  <c r="N112" i="17" s="1"/>
  <c r="O112" i="17" s="1"/>
  <c r="E112" i="17"/>
  <c r="M113" i="17"/>
  <c r="N113" i="17" s="1"/>
  <c r="O113" i="17" s="1"/>
  <c r="E113" i="17"/>
  <c r="M114" i="17"/>
  <c r="N114" i="17" s="1"/>
  <c r="O114" i="17" s="1"/>
  <c r="E114" i="17"/>
  <c r="M115" i="17"/>
  <c r="N115" i="17" s="1"/>
  <c r="O115" i="17" s="1"/>
  <c r="E115" i="17"/>
  <c r="M116" i="17"/>
  <c r="N116" i="17" s="1"/>
  <c r="O116" i="17" s="1"/>
  <c r="E116" i="17"/>
  <c r="M117" i="17"/>
  <c r="N117" i="17" s="1"/>
  <c r="O117" i="17" s="1"/>
  <c r="E117" i="17"/>
  <c r="M118" i="17"/>
  <c r="N118" i="17" s="1"/>
  <c r="O118" i="17" s="1"/>
  <c r="E118" i="17"/>
  <c r="M119" i="17"/>
  <c r="N119" i="17" s="1"/>
  <c r="O119" i="17" s="1"/>
  <c r="E119" i="17"/>
  <c r="M120" i="17"/>
  <c r="N120" i="17" s="1"/>
  <c r="O120" i="17" s="1"/>
  <c r="E120" i="17"/>
  <c r="M121" i="17"/>
  <c r="N121" i="17" s="1"/>
  <c r="O121" i="17" s="1"/>
  <c r="E121" i="17"/>
  <c r="M122" i="17"/>
  <c r="N122" i="17" s="1"/>
  <c r="O122" i="17" s="1"/>
  <c r="E122" i="17"/>
  <c r="M123" i="17"/>
  <c r="N123" i="17" s="1"/>
  <c r="O123" i="17" s="1"/>
  <c r="E123" i="17"/>
  <c r="M124" i="17"/>
  <c r="N124" i="17" s="1"/>
  <c r="O124" i="17" s="1"/>
  <c r="E124" i="17"/>
  <c r="M125" i="17"/>
  <c r="N125" i="17" s="1"/>
  <c r="O125" i="17" s="1"/>
  <c r="E125" i="17"/>
  <c r="M126" i="17"/>
  <c r="N126" i="17" s="1"/>
  <c r="O126" i="17" s="1"/>
  <c r="E126" i="17"/>
  <c r="M127" i="17"/>
  <c r="N127" i="17" s="1"/>
  <c r="O127" i="17" s="1"/>
  <c r="E127" i="17"/>
  <c r="M168" i="17"/>
  <c r="N168" i="17" s="1"/>
  <c r="O168" i="17" s="1"/>
  <c r="E168" i="17"/>
  <c r="M172" i="17"/>
  <c r="N172" i="17" s="1"/>
  <c r="O172" i="17" s="1"/>
  <c r="E172" i="17"/>
  <c r="M187" i="17"/>
  <c r="N187" i="17" s="1"/>
  <c r="O187" i="17" s="1"/>
  <c r="E187" i="17"/>
  <c r="M203" i="17"/>
  <c r="N203" i="17" s="1"/>
  <c r="O203" i="17" s="1"/>
  <c r="E203" i="17"/>
  <c r="M179" i="17"/>
  <c r="N179" i="17" s="1"/>
  <c r="O179" i="17" s="1"/>
  <c r="E179" i="17"/>
  <c r="M195" i="17"/>
  <c r="N195" i="17" s="1"/>
  <c r="O195" i="17" s="1"/>
  <c r="E195" i="17"/>
  <c r="M83" i="17"/>
  <c r="N83" i="17" s="1"/>
  <c r="O83" i="17" s="1"/>
  <c r="E83" i="17"/>
  <c r="E167" i="17"/>
  <c r="E171" i="17"/>
  <c r="M175" i="17"/>
  <c r="N175" i="17" s="1"/>
  <c r="O175" i="17" s="1"/>
  <c r="E175" i="17"/>
  <c r="M183" i="17"/>
  <c r="N183" i="17" s="1"/>
  <c r="O183" i="17" s="1"/>
  <c r="E183" i="17"/>
  <c r="M191" i="17"/>
  <c r="N191" i="17" s="1"/>
  <c r="O191" i="17" s="1"/>
  <c r="E191" i="17"/>
  <c r="M199" i="17"/>
  <c r="N199" i="17" s="1"/>
  <c r="O199" i="17" s="1"/>
  <c r="E199" i="17"/>
  <c r="M207" i="17"/>
  <c r="N207" i="17" s="1"/>
  <c r="O207" i="17" s="1"/>
  <c r="E207" i="17"/>
  <c r="E169" i="17"/>
  <c r="E173" i="17"/>
  <c r="E177" i="17"/>
  <c r="E181" i="17"/>
  <c r="E185" i="17"/>
  <c r="E189" i="17"/>
  <c r="E193" i="17"/>
  <c r="E197" i="17"/>
  <c r="E201" i="17"/>
  <c r="E205" i="17"/>
  <c r="E209" i="17"/>
  <c r="K135" i="2715" l="1"/>
  <c r="G127" i="2715"/>
  <c r="G121" i="2715" l="1"/>
  <c r="G120" i="2715"/>
  <c r="J70" i="2715" l="1"/>
  <c r="I116" i="2715"/>
  <c r="I117" i="2715"/>
  <c r="I114" i="2715"/>
  <c r="I115" i="2715"/>
  <c r="I112" i="2715"/>
  <c r="I113" i="2715"/>
  <c r="I127" i="2715"/>
  <c r="I126" i="2715"/>
  <c r="I125" i="2715"/>
  <c r="I124" i="2715"/>
  <c r="I123" i="2715"/>
  <c r="I122" i="2715"/>
  <c r="I121" i="2715"/>
  <c r="I120" i="2715"/>
  <c r="I119" i="2715"/>
  <c r="I118" i="2715"/>
  <c r="I111" i="2715"/>
  <c r="I110" i="2715"/>
  <c r="I109" i="2715"/>
  <c r="I108" i="2715"/>
  <c r="I107" i="2715"/>
  <c r="I106" i="2715"/>
  <c r="I105" i="2715"/>
  <c r="I104" i="2715"/>
  <c r="I103" i="2715"/>
  <c r="I102" i="2715"/>
  <c r="I101" i="2715"/>
  <c r="I94" i="2715" l="1"/>
  <c r="I95" i="2715"/>
  <c r="I96" i="2715"/>
  <c r="I97" i="2715"/>
  <c r="I98" i="2715"/>
  <c r="I99" i="2715"/>
  <c r="G100" i="2715"/>
  <c r="I100" i="2715"/>
  <c r="G101" i="2715"/>
  <c r="K10" i="2716" l="1"/>
  <c r="J81" i="2715" l="1"/>
  <c r="O14" i="2716" l="1"/>
  <c r="O21" i="2716"/>
  <c r="O20" i="2716"/>
  <c r="O13" i="2716" l="1"/>
  <c r="O24" i="2716"/>
  <c r="O18" i="2716"/>
  <c r="O10" i="2716"/>
  <c r="O16" i="2716"/>
  <c r="O17" i="2716"/>
  <c r="O15" i="2716"/>
  <c r="G83" i="2715"/>
  <c r="I83" i="2715" s="1"/>
  <c r="G72" i="2715" l="1"/>
  <c r="G49" i="2715" l="1"/>
  <c r="G30" i="2715" l="1"/>
  <c r="I211" i="2715" l="1"/>
  <c r="I210" i="2715"/>
  <c r="I209" i="2715"/>
  <c r="I208" i="2715"/>
  <c r="I207" i="2715"/>
  <c r="I206" i="2715"/>
  <c r="I205" i="2715"/>
  <c r="I204" i="2715"/>
  <c r="I203" i="2715"/>
  <c r="I202" i="2715"/>
  <c r="I201" i="2715"/>
  <c r="I200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9" i="2715"/>
  <c r="I178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I146" i="2715"/>
  <c r="I145" i="2715"/>
  <c r="I144" i="2715"/>
  <c r="I143" i="2715"/>
  <c r="I142" i="2715"/>
  <c r="I141" i="2715"/>
  <c r="I140" i="2715"/>
  <c r="I139" i="2715"/>
  <c r="I138" i="2715"/>
  <c r="I137" i="2715"/>
  <c r="I136" i="2715"/>
  <c r="I135" i="2715"/>
  <c r="I134" i="2715"/>
  <c r="I133" i="2715"/>
  <c r="I132" i="2715"/>
  <c r="I131" i="2715"/>
  <c r="I130" i="2715"/>
  <c r="I129" i="2715"/>
  <c r="I128" i="2715"/>
  <c r="I93" i="2715"/>
  <c r="I92" i="2715"/>
  <c r="I91" i="2715"/>
  <c r="I90" i="2715"/>
  <c r="I89" i="2715"/>
  <c r="I88" i="2715"/>
  <c r="I87" i="2715"/>
  <c r="I86" i="2715"/>
  <c r="I85" i="2715"/>
  <c r="I84" i="2715"/>
  <c r="I82" i="2715"/>
  <c r="I81" i="2715"/>
  <c r="I80" i="2715"/>
  <c r="I79" i="2715"/>
  <c r="I78" i="2715"/>
  <c r="I77" i="2715"/>
  <c r="I76" i="2715"/>
  <c r="I75" i="2715"/>
  <c r="I74" i="2715"/>
  <c r="I73" i="2715"/>
  <c r="I72" i="2715"/>
  <c r="I71" i="2715"/>
  <c r="I70" i="2715"/>
  <c r="I69" i="2715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4" i="2715"/>
  <c r="I53" i="2715"/>
  <c r="I52" i="2715"/>
  <c r="I51" i="2715"/>
  <c r="I50" i="2715"/>
  <c r="I49" i="2715"/>
  <c r="I48" i="2715"/>
  <c r="I47" i="2715"/>
  <c r="I46" i="2715"/>
  <c r="I45" i="2715"/>
  <c r="I44" i="2715"/>
  <c r="I43" i="2715"/>
  <c r="I42" i="2715"/>
  <c r="I41" i="2715"/>
  <c r="I40" i="2715"/>
  <c r="I39" i="2715"/>
  <c r="I38" i="2715"/>
  <c r="I37" i="2715"/>
  <c r="I36" i="2715"/>
  <c r="I35" i="2715"/>
  <c r="I34" i="2715"/>
  <c r="I33" i="2715"/>
  <c r="I32" i="2715"/>
  <c r="I31" i="2715"/>
  <c r="I30" i="2715"/>
  <c r="I29" i="2715"/>
  <c r="I28" i="2715"/>
  <c r="I27" i="2715"/>
  <c r="I26" i="2715"/>
  <c r="I25" i="2715"/>
  <c r="I24" i="2715"/>
  <c r="I23" i="2715"/>
  <c r="I22" i="2715"/>
  <c r="I21" i="2715"/>
  <c r="I20" i="2715"/>
  <c r="I19" i="2715"/>
  <c r="I18" i="2715"/>
  <c r="I17" i="2715"/>
  <c r="I16" i="2715"/>
  <c r="I15" i="2715"/>
  <c r="I14" i="2715"/>
  <c r="I13" i="2715"/>
  <c r="I12" i="2715"/>
  <c r="I11" i="2715"/>
  <c r="I10" i="2715"/>
  <c r="I9" i="2715"/>
  <c r="I8" i="2715"/>
  <c r="I7" i="2715"/>
  <c r="I6" i="2715"/>
  <c r="L146" i="2715" l="1"/>
  <c r="L149" i="2715"/>
  <c r="L147" i="2715" l="1"/>
  <c r="L145" i="2715"/>
  <c r="L144" i="2715"/>
  <c r="F15" i="18" l="1"/>
  <c r="F16" i="18"/>
  <c r="F17" i="18"/>
  <c r="F18" i="18"/>
  <c r="F19" i="18"/>
  <c r="F20" i="18"/>
  <c r="D30" i="2710" l="1"/>
  <c r="G30" i="2710" l="1"/>
  <c r="T39" i="2710" l="1"/>
  <c r="S39" i="2710"/>
  <c r="R39" i="2710"/>
  <c r="R34" i="2710"/>
  <c r="S6" i="2710"/>
  <c r="S7" i="2710"/>
  <c r="S8" i="2710"/>
  <c r="S9" i="2710"/>
  <c r="S10" i="2710"/>
  <c r="S11" i="2710"/>
  <c r="S12" i="2710"/>
  <c r="S13" i="2710"/>
  <c r="S14" i="2710"/>
  <c r="S15" i="2710"/>
  <c r="S16" i="2710"/>
  <c r="S17" i="2710"/>
  <c r="S18" i="2710"/>
  <c r="S19" i="2710"/>
  <c r="S20" i="2710"/>
  <c r="S21" i="2710"/>
  <c r="S22" i="2710"/>
  <c r="S23" i="2710"/>
  <c r="S24" i="2710"/>
  <c r="S25" i="2710"/>
  <c r="S26" i="2710"/>
  <c r="S27" i="2710"/>
  <c r="S28" i="2710"/>
  <c r="S29" i="2710"/>
  <c r="S30" i="2710"/>
  <c r="S31" i="2710"/>
  <c r="S32" i="2710"/>
  <c r="S33" i="2710"/>
  <c r="S34" i="2710"/>
  <c r="S35" i="2710"/>
  <c r="S36" i="2710"/>
  <c r="S37" i="2710"/>
  <c r="S38" i="2710"/>
  <c r="S5" i="2710"/>
  <c r="R6" i="2710"/>
  <c r="R7" i="2710"/>
  <c r="R8" i="2710"/>
  <c r="R9" i="2710"/>
  <c r="R10" i="2710"/>
  <c r="R11" i="2710"/>
  <c r="R12" i="2710"/>
  <c r="R13" i="2710"/>
  <c r="R14" i="2710"/>
  <c r="R15" i="2710"/>
  <c r="R16" i="2710"/>
  <c r="R17" i="2710"/>
  <c r="R18" i="2710"/>
  <c r="R19" i="2710"/>
  <c r="R20" i="2710"/>
  <c r="R21" i="2710"/>
  <c r="R22" i="2710"/>
  <c r="R23" i="2710"/>
  <c r="R24" i="2710"/>
  <c r="R25" i="2710"/>
  <c r="R26" i="2710"/>
  <c r="R27" i="2710"/>
  <c r="R28" i="2710"/>
  <c r="R29" i="2710"/>
  <c r="R30" i="2710"/>
  <c r="R31" i="2710"/>
  <c r="R32" i="2710"/>
  <c r="R33" i="2710"/>
  <c r="R35" i="2710"/>
  <c r="R36" i="2710"/>
  <c r="R37" i="2710"/>
  <c r="R38" i="2710"/>
  <c r="R5" i="2710"/>
  <c r="T38" i="2710"/>
  <c r="T37" i="2710"/>
  <c r="T36" i="2710"/>
  <c r="T35" i="2710"/>
  <c r="T34" i="2710"/>
  <c r="T33" i="2710"/>
  <c r="T32" i="2710"/>
  <c r="T31" i="2710"/>
  <c r="T30" i="2710"/>
  <c r="T29" i="2710"/>
  <c r="T28" i="2710"/>
  <c r="I24" i="2716" l="1"/>
  <c r="H213" i="2715" l="1"/>
  <c r="I9" i="2720" l="1"/>
  <c r="K9" i="2720"/>
  <c r="K39" i="2720"/>
  <c r="K52" i="2720" s="1"/>
  <c r="K24" i="2720"/>
  <c r="O10" i="2720"/>
  <c r="K10" i="2720"/>
  <c r="O9" i="2720"/>
  <c r="O25" i="2720" l="1"/>
  <c r="K25" i="2720"/>
  <c r="L26" i="2720" s="1"/>
  <c r="L27" i="2720" s="1"/>
  <c r="I10" i="2719" l="1"/>
  <c r="K10" i="2719" s="1"/>
  <c r="I9" i="2719"/>
  <c r="O10" i="2719"/>
  <c r="K9" i="2719" l="1"/>
  <c r="K39" i="2719"/>
  <c r="K52" i="2719" s="1"/>
  <c r="K24" i="2719"/>
  <c r="O9" i="2719"/>
  <c r="O25" i="2719" s="1"/>
  <c r="K25" i="2719" l="1"/>
  <c r="L26" i="2719" s="1"/>
  <c r="L27" i="2719" s="1"/>
  <c r="C6" i="2711" l="1"/>
  <c r="V213" i="2715" l="1"/>
  <c r="U213" i="2715"/>
  <c r="T213" i="2715"/>
  <c r="S213" i="2715"/>
  <c r="R213" i="2715"/>
  <c r="Q213" i="2715"/>
  <c r="P213" i="2715"/>
  <c r="O213" i="2715"/>
  <c r="N213" i="2715"/>
  <c r="A5" i="2715"/>
  <c r="O23" i="2716" l="1"/>
  <c r="O22" i="2716"/>
  <c r="I9" i="18" l="1"/>
  <c r="I7" i="18" l="1"/>
  <c r="I11" i="18"/>
  <c r="I10" i="18"/>
  <c r="I8" i="18"/>
  <c r="I12" i="18"/>
  <c r="O19" i="2716" l="1"/>
  <c r="O12" i="2716"/>
  <c r="O11" i="2716"/>
  <c r="O9" i="2716"/>
  <c r="O25" i="2716" l="1"/>
  <c r="A7" i="2715" l="1"/>
  <c r="A8" i="2715" s="1"/>
  <c r="A9" i="2715" s="1"/>
  <c r="A10" i="2715" s="1"/>
  <c r="A11" i="2715" s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A175" i="2715" s="1"/>
  <c r="A176" i="2715" s="1"/>
  <c r="A177" i="2715" s="1"/>
  <c r="A178" i="2715" s="1"/>
  <c r="A179" i="2715" s="1"/>
  <c r="A180" i="2715" s="1"/>
  <c r="A181" i="2715" s="1"/>
  <c r="A182" i="2715" s="1"/>
  <c r="A183" i="2715" s="1"/>
  <c r="A184" i="2715" s="1"/>
  <c r="A185" i="2715" s="1"/>
  <c r="A186" i="2715" s="1"/>
  <c r="A187" i="2715" s="1"/>
  <c r="A188" i="2715" s="1"/>
  <c r="A189" i="2715" s="1"/>
  <c r="A190" i="2715" s="1"/>
  <c r="A191" i="2715" s="1"/>
  <c r="A192" i="2715" s="1"/>
  <c r="A193" i="2715" s="1"/>
  <c r="A194" i="2715" s="1"/>
  <c r="A195" i="2715" s="1"/>
  <c r="A196" i="2715" s="1"/>
  <c r="A197" i="2715" s="1"/>
  <c r="A198" i="2715" s="1"/>
  <c r="A199" i="2715" s="1"/>
  <c r="A200" i="2715" s="1"/>
  <c r="A201" i="2715" s="1"/>
  <c r="A202" i="2715" s="1"/>
  <c r="A203" i="2715" s="1"/>
  <c r="A204" i="2715" s="1"/>
  <c r="A205" i="2715" s="1"/>
  <c r="A206" i="2715" s="1"/>
  <c r="A207" i="2715" s="1"/>
  <c r="A208" i="2715" s="1"/>
  <c r="A209" i="2715" s="1"/>
  <c r="A210" i="2715" s="1"/>
  <c r="A211" i="2715" s="1"/>
  <c r="X3" i="2718" l="1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K22" i="2716" l="1"/>
  <c r="K9" i="2716" l="1"/>
  <c r="E35" i="2710" l="1"/>
  <c r="D35" i="2710"/>
  <c r="M30" i="2713" l="1"/>
  <c r="M27" i="2713"/>
  <c r="M26" i="2713"/>
  <c r="M24" i="2713"/>
  <c r="M31" i="2713" l="1"/>
  <c r="I214" i="2715"/>
  <c r="G213" i="2715"/>
  <c r="E213" i="2715"/>
  <c r="D213" i="2715"/>
  <c r="F3" i="2715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AD239" i="17" s="1"/>
  <c r="R238" i="17"/>
  <c r="AF238" i="17" s="1"/>
  <c r="R237" i="17"/>
  <c r="R236" i="17"/>
  <c r="R235" i="17"/>
  <c r="AG235" i="17" s="1"/>
  <c r="R234" i="17"/>
  <c r="AF234" i="17" s="1"/>
  <c r="R233" i="17"/>
  <c r="R232" i="17"/>
  <c r="AF232" i="17" s="1"/>
  <c r="R231" i="17"/>
  <c r="AE231" i="17" s="1"/>
  <c r="R230" i="17"/>
  <c r="AG230" i="17" s="1"/>
  <c r="R229" i="17"/>
  <c r="AG229" i="17" s="1"/>
  <c r="R228" i="17"/>
  <c r="AF228" i="17" s="1"/>
  <c r="R227" i="17"/>
  <c r="AF227" i="17" s="1"/>
  <c r="R226" i="17"/>
  <c r="AF226" i="17" s="1"/>
  <c r="R225" i="17"/>
  <c r="AG225" i="17" s="1"/>
  <c r="R224" i="17"/>
  <c r="AB224" i="17" s="1"/>
  <c r="R223" i="17"/>
  <c r="AG223" i="17" s="1"/>
  <c r="R222" i="17"/>
  <c r="AF222" i="17" s="1"/>
  <c r="R221" i="17"/>
  <c r="AE221" i="17" s="1"/>
  <c r="R220" i="17"/>
  <c r="R219" i="17"/>
  <c r="AF219" i="17" s="1"/>
  <c r="R218" i="17"/>
  <c r="AF218" i="17" s="1"/>
  <c r="R217" i="17"/>
  <c r="AF217" i="17" s="1"/>
  <c r="R216" i="17"/>
  <c r="Z216" i="17" s="1"/>
  <c r="R215" i="17"/>
  <c r="AE215" i="17" s="1"/>
  <c r="R214" i="17"/>
  <c r="AG214" i="17" s="1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Z205" i="17" s="1"/>
  <c r="R204" i="17"/>
  <c r="AE204" i="17" s="1"/>
  <c r="R203" i="17"/>
  <c r="R202" i="17"/>
  <c r="AF202" i="17" s="1"/>
  <c r="R201" i="17"/>
  <c r="R200" i="17"/>
  <c r="R199" i="17"/>
  <c r="Z199" i="17" s="1"/>
  <c r="R198" i="17"/>
  <c r="AC198" i="17" s="1"/>
  <c r="R197" i="17"/>
  <c r="Z197" i="17" s="1"/>
  <c r="R196" i="17"/>
  <c r="AF196" i="17" s="1"/>
  <c r="R195" i="17"/>
  <c r="AB195" i="17" s="1"/>
  <c r="R194" i="17"/>
  <c r="R193" i="17"/>
  <c r="AD193" i="17" s="1"/>
  <c r="R192" i="17"/>
  <c r="R191" i="17"/>
  <c r="R190" i="17"/>
  <c r="AF190" i="17" s="1"/>
  <c r="R189" i="17"/>
  <c r="Z189" i="17" s="1"/>
  <c r="R188" i="17"/>
  <c r="AB188" i="17" s="1"/>
  <c r="R187" i="17"/>
  <c r="AG187" i="17" s="1"/>
  <c r="R186" i="17"/>
  <c r="AD186" i="17" s="1"/>
  <c r="R185" i="17"/>
  <c r="AC185" i="17" s="1"/>
  <c r="R184" i="17"/>
  <c r="AD184" i="17" s="1"/>
  <c r="R183" i="17"/>
  <c r="AF183" i="17" s="1"/>
  <c r="R182" i="17"/>
  <c r="AB182" i="17" s="1"/>
  <c r="R181" i="17"/>
  <c r="AD181" i="17" s="1"/>
  <c r="R180" i="17"/>
  <c r="AB180" i="17" s="1"/>
  <c r="R179" i="17"/>
  <c r="AF179" i="17" s="1"/>
  <c r="R178" i="17"/>
  <c r="AD178" i="17" s="1"/>
  <c r="R177" i="17"/>
  <c r="AD177" i="17" s="1"/>
  <c r="R176" i="17"/>
  <c r="AD176" i="17" s="1"/>
  <c r="R175" i="17"/>
  <c r="AG175" i="17" s="1"/>
  <c r="R174" i="17"/>
  <c r="AB174" i="17" s="1"/>
  <c r="R173" i="17"/>
  <c r="AF173" i="17" s="1"/>
  <c r="R172" i="17"/>
  <c r="AF172" i="17" s="1"/>
  <c r="R171" i="17"/>
  <c r="AD171" i="17" s="1"/>
  <c r="R170" i="17"/>
  <c r="R169" i="17"/>
  <c r="AG169" i="17" s="1"/>
  <c r="R168" i="17"/>
  <c r="AC168" i="17" s="1"/>
  <c r="R167" i="17"/>
  <c r="R166" i="17"/>
  <c r="R165" i="17"/>
  <c r="R164" i="17"/>
  <c r="R163" i="17"/>
  <c r="AF163" i="17" s="1"/>
  <c r="R162" i="17"/>
  <c r="AF162" i="17" s="1"/>
  <c r="R161" i="17"/>
  <c r="AF161" i="17" s="1"/>
  <c r="R160" i="17"/>
  <c r="AE160" i="17" s="1"/>
  <c r="R159" i="17"/>
  <c r="R158" i="17"/>
  <c r="R157" i="17"/>
  <c r="R156" i="17"/>
  <c r="R155" i="17"/>
  <c r="AE155" i="17" s="1"/>
  <c r="R154" i="17"/>
  <c r="R153" i="17"/>
  <c r="AF153" i="17" s="1"/>
  <c r="R152" i="17"/>
  <c r="AE152" i="17" s="1"/>
  <c r="R151" i="17"/>
  <c r="R150" i="17"/>
  <c r="R149" i="17"/>
  <c r="AC149" i="17" s="1"/>
  <c r="R148" i="17"/>
  <c r="R147" i="17"/>
  <c r="R146" i="17"/>
  <c r="R145" i="17"/>
  <c r="AF145" i="17" s="1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S7" i="17"/>
  <c r="R7" i="17"/>
  <c r="D64" i="2710"/>
  <c r="G35" i="2710"/>
  <c r="H35" i="2710"/>
  <c r="H34" i="2710"/>
  <c r="G34" i="2710"/>
  <c r="G32" i="2710"/>
  <c r="E32" i="2710"/>
  <c r="F32" i="2710" s="1"/>
  <c r="T27" i="2710"/>
  <c r="Q27" i="2710"/>
  <c r="T26" i="2710"/>
  <c r="Q26" i="2710"/>
  <c r="T25" i="2710"/>
  <c r="Q25" i="2710"/>
  <c r="T24" i="2710"/>
  <c r="Q24" i="2710"/>
  <c r="T23" i="2710"/>
  <c r="Q23" i="2710"/>
  <c r="T22" i="2710"/>
  <c r="Q22" i="2710"/>
  <c r="T21" i="2710"/>
  <c r="Q21" i="2710"/>
  <c r="T20" i="2710"/>
  <c r="Q20" i="2710"/>
  <c r="T19" i="2710"/>
  <c r="Q19" i="2710"/>
  <c r="T18" i="2710"/>
  <c r="Q18" i="2710"/>
  <c r="T17" i="2710"/>
  <c r="Q17" i="2710"/>
  <c r="T16" i="2710"/>
  <c r="Q16" i="2710"/>
  <c r="T15" i="2710"/>
  <c r="Q15" i="2710"/>
  <c r="T14" i="2710"/>
  <c r="Q14" i="2710"/>
  <c r="T13" i="2710"/>
  <c r="Q13" i="2710"/>
  <c r="T12" i="2710"/>
  <c r="Q12" i="2710"/>
  <c r="T11" i="2710"/>
  <c r="Q11" i="2710"/>
  <c r="T10" i="2710"/>
  <c r="Q10" i="2710"/>
  <c r="T9" i="2710"/>
  <c r="Q9" i="2710"/>
  <c r="T8" i="2710"/>
  <c r="Q8" i="2710"/>
  <c r="T7" i="2710"/>
  <c r="Q7" i="2710"/>
  <c r="T6" i="2710"/>
  <c r="Q6" i="2710"/>
  <c r="T5" i="2710"/>
  <c r="Q5" i="2710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9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24" i="2716"/>
  <c r="K23" i="2716"/>
  <c r="K21" i="2716"/>
  <c r="K20" i="2716"/>
  <c r="K19" i="2716"/>
  <c r="K18" i="2716"/>
  <c r="K17" i="2716"/>
  <c r="K16" i="2716"/>
  <c r="K15" i="2716"/>
  <c r="K14" i="2716"/>
  <c r="K13" i="2716"/>
  <c r="K12" i="2716"/>
  <c r="K11" i="2716"/>
  <c r="L70" i="17" l="1"/>
  <c r="N70" i="17"/>
  <c r="O70" i="17" s="1"/>
  <c r="L71" i="17"/>
  <c r="N71" i="17"/>
  <c r="O71" i="17" s="1"/>
  <c r="L41" i="17"/>
  <c r="N41" i="17"/>
  <c r="O41" i="17" s="1"/>
  <c r="L40" i="17"/>
  <c r="N40" i="17"/>
  <c r="O40" i="17" s="1"/>
  <c r="L37" i="17"/>
  <c r="N37" i="17"/>
  <c r="O37" i="17" s="1"/>
  <c r="L38" i="17"/>
  <c r="N38" i="17"/>
  <c r="O38" i="17" s="1"/>
  <c r="L34" i="17"/>
  <c r="N34" i="17"/>
  <c r="O34" i="17" s="1"/>
  <c r="L35" i="17"/>
  <c r="N35" i="17"/>
  <c r="O35" i="17" s="1"/>
  <c r="L25" i="17"/>
  <c r="N25" i="17"/>
  <c r="O25" i="17" s="1"/>
  <c r="L26" i="17"/>
  <c r="N26" i="17"/>
  <c r="O26" i="17" s="1"/>
  <c r="L27" i="17"/>
  <c r="N27" i="17"/>
  <c r="O27" i="17" s="1"/>
  <c r="L24" i="17"/>
  <c r="N24" i="17"/>
  <c r="O24" i="17" s="1"/>
  <c r="L22" i="17"/>
  <c r="N22" i="17"/>
  <c r="O22" i="17" s="1"/>
  <c r="L19" i="17"/>
  <c r="N19" i="17"/>
  <c r="O19" i="17" s="1"/>
  <c r="L20" i="17"/>
  <c r="N20" i="17"/>
  <c r="O20" i="17" s="1"/>
  <c r="L13" i="17"/>
  <c r="N13" i="17"/>
  <c r="O13" i="17" s="1"/>
  <c r="L12" i="17"/>
  <c r="N12" i="17"/>
  <c r="O12" i="17" s="1"/>
  <c r="L11" i="17"/>
  <c r="N11" i="17"/>
  <c r="O11" i="17" s="1"/>
  <c r="L8" i="17"/>
  <c r="N8" i="17"/>
  <c r="O8" i="17" s="1"/>
  <c r="E7" i="17"/>
  <c r="N7" i="17"/>
  <c r="O7" i="17" s="1"/>
  <c r="B21" i="18"/>
  <c r="F21" i="18" s="1"/>
  <c r="F30" i="2710"/>
  <c r="E30" i="2710"/>
  <c r="H30" i="2710" s="1"/>
  <c r="E46" i="2710"/>
  <c r="H46" i="2710" s="1"/>
  <c r="E56" i="2710"/>
  <c r="H56" i="2710" s="1"/>
  <c r="D55" i="2710"/>
  <c r="G55" i="2710" s="1"/>
  <c r="F53" i="2710"/>
  <c r="E52" i="2710"/>
  <c r="H52" i="2710" s="1"/>
  <c r="D51" i="2710"/>
  <c r="G51" i="2710" s="1"/>
  <c r="F49" i="2710"/>
  <c r="E48" i="2710"/>
  <c r="H48" i="2710" s="1"/>
  <c r="D47" i="2710"/>
  <c r="G47" i="2710" s="1"/>
  <c r="F52" i="2710"/>
  <c r="D36" i="2710"/>
  <c r="D56" i="2710"/>
  <c r="G56" i="2710" s="1"/>
  <c r="F54" i="2710"/>
  <c r="E53" i="2710"/>
  <c r="H53" i="2710" s="1"/>
  <c r="D52" i="2710"/>
  <c r="G52" i="2710" s="1"/>
  <c r="F50" i="2710"/>
  <c r="E49" i="2710"/>
  <c r="H49" i="2710" s="1"/>
  <c r="D48" i="2710"/>
  <c r="G48" i="2710" s="1"/>
  <c r="F46" i="2710"/>
  <c r="E55" i="2710"/>
  <c r="H55" i="2710" s="1"/>
  <c r="E51" i="2710"/>
  <c r="H51" i="2710" s="1"/>
  <c r="F48" i="2710"/>
  <c r="F55" i="2710"/>
  <c r="E54" i="2710"/>
  <c r="H54" i="2710" s="1"/>
  <c r="D53" i="2710"/>
  <c r="G53" i="2710" s="1"/>
  <c r="F51" i="2710"/>
  <c r="E50" i="2710"/>
  <c r="H50" i="2710" s="1"/>
  <c r="D49" i="2710"/>
  <c r="G49" i="2710" s="1"/>
  <c r="F47" i="2710"/>
  <c r="D44" i="2710"/>
  <c r="G44" i="2710" s="1"/>
  <c r="F56" i="2710"/>
  <c r="D54" i="2710"/>
  <c r="G54" i="2710" s="1"/>
  <c r="D50" i="2710"/>
  <c r="G50" i="2710" s="1"/>
  <c r="E47" i="2710"/>
  <c r="H47" i="2710" s="1"/>
  <c r="F44" i="2710"/>
  <c r="F45" i="2710"/>
  <c r="E44" i="2710"/>
  <c r="H44" i="2710" s="1"/>
  <c r="D46" i="2710"/>
  <c r="G46" i="2710" s="1"/>
  <c r="E45" i="2710"/>
  <c r="H45" i="2710" s="1"/>
  <c r="D45" i="2710"/>
  <c r="G45" i="2710" s="1"/>
  <c r="J31" i="2713"/>
  <c r="B96" i="18"/>
  <c r="F96" i="18" s="1"/>
  <c r="B138" i="18"/>
  <c r="F138" i="18" s="1"/>
  <c r="B180" i="18"/>
  <c r="F180" i="18" s="1"/>
  <c r="B200" i="18"/>
  <c r="F200" i="18" s="1"/>
  <c r="B171" i="18"/>
  <c r="F171" i="18" s="1"/>
  <c r="B161" i="18"/>
  <c r="F161" i="18" s="1"/>
  <c r="B132" i="18"/>
  <c r="F132" i="18" s="1"/>
  <c r="B173" i="18"/>
  <c r="F173" i="18" s="1"/>
  <c r="B187" i="18"/>
  <c r="F187" i="18" s="1"/>
  <c r="B126" i="18"/>
  <c r="F126" i="18" s="1"/>
  <c r="B123" i="18"/>
  <c r="F123" i="18" s="1"/>
  <c r="B111" i="18"/>
  <c r="F111" i="18" s="1"/>
  <c r="B92" i="18"/>
  <c r="F92" i="18" s="1"/>
  <c r="B192" i="18"/>
  <c r="F192" i="18" s="1"/>
  <c r="B113" i="18"/>
  <c r="F113" i="18" s="1"/>
  <c r="B86" i="18"/>
  <c r="F86" i="18" s="1"/>
  <c r="B182" i="18"/>
  <c r="F182" i="18" s="1"/>
  <c r="B134" i="18"/>
  <c r="F134" i="18" s="1"/>
  <c r="B110" i="18"/>
  <c r="F110" i="18" s="1"/>
  <c r="B82" i="18"/>
  <c r="F82" i="18" s="1"/>
  <c r="B144" i="18"/>
  <c r="F144" i="18" s="1"/>
  <c r="B105" i="18"/>
  <c r="F105" i="18" s="1"/>
  <c r="B91" i="18"/>
  <c r="F91" i="18" s="1"/>
  <c r="B183" i="18"/>
  <c r="F183" i="18" s="1"/>
  <c r="B142" i="18"/>
  <c r="F142" i="18" s="1"/>
  <c r="B199" i="18"/>
  <c r="F199" i="18" s="1"/>
  <c r="B177" i="18"/>
  <c r="F177" i="18" s="1"/>
  <c r="B186" i="18"/>
  <c r="F186" i="18" s="1"/>
  <c r="B83" i="18"/>
  <c r="F83" i="18" s="1"/>
  <c r="B90" i="18"/>
  <c r="F90" i="18" s="1"/>
  <c r="B198" i="18"/>
  <c r="F198" i="18" s="1"/>
  <c r="B190" i="18"/>
  <c r="F190" i="18" s="1"/>
  <c r="B158" i="18"/>
  <c r="F158" i="18" s="1"/>
  <c r="B153" i="18"/>
  <c r="F153" i="18" s="1"/>
  <c r="B193" i="18"/>
  <c r="F193" i="18" s="1"/>
  <c r="B160" i="18"/>
  <c r="F160" i="18" s="1"/>
  <c r="B157" i="18"/>
  <c r="F157" i="18" s="1"/>
  <c r="B172" i="18"/>
  <c r="F172" i="18" s="1"/>
  <c r="B164" i="18"/>
  <c r="F164" i="18" s="1"/>
  <c r="B197" i="18"/>
  <c r="F197" i="18" s="1"/>
  <c r="B100" i="18"/>
  <c r="F100" i="18" s="1"/>
  <c r="B170" i="18"/>
  <c r="F170" i="18" s="1"/>
  <c r="B120" i="18"/>
  <c r="F120" i="18" s="1"/>
  <c r="B109" i="18"/>
  <c r="F109" i="18" s="1"/>
  <c r="B155" i="18"/>
  <c r="F155" i="18" s="1"/>
  <c r="B174" i="18"/>
  <c r="F174" i="18" s="1"/>
  <c r="B107" i="18"/>
  <c r="F107" i="18" s="1"/>
  <c r="B139" i="18"/>
  <c r="F139" i="18" s="1"/>
  <c r="B196" i="18"/>
  <c r="B167" i="18"/>
  <c r="B149" i="18"/>
  <c r="F149" i="18" s="1"/>
  <c r="B102" i="18"/>
  <c r="F102" i="18" s="1"/>
  <c r="B168" i="18"/>
  <c r="B98" i="18"/>
  <c r="B136" i="18"/>
  <c r="F136" i="18" s="1"/>
  <c r="B133" i="18"/>
  <c r="F133" i="18" s="1"/>
  <c r="B127" i="18"/>
  <c r="F127" i="18" s="1"/>
  <c r="B166" i="18"/>
  <c r="F166" i="18" s="1"/>
  <c r="B179" i="18"/>
  <c r="F179" i="18" s="1"/>
  <c r="B87" i="18"/>
  <c r="B117" i="18"/>
  <c r="B176" i="18"/>
  <c r="F176" i="18" s="1"/>
  <c r="B129" i="18"/>
  <c r="F129" i="18" s="1"/>
  <c r="B195" i="18"/>
  <c r="B163" i="18"/>
  <c r="F163" i="18" s="1"/>
  <c r="B191" i="18"/>
  <c r="B104" i="18"/>
  <c r="F104" i="18" s="1"/>
  <c r="B189" i="18"/>
  <c r="F189" i="18" s="1"/>
  <c r="B88" i="18"/>
  <c r="B118" i="18"/>
  <c r="F118" i="18" s="1"/>
  <c r="B194" i="18"/>
  <c r="F194" i="18" s="1"/>
  <c r="B119" i="18"/>
  <c r="F119" i="18" s="1"/>
  <c r="B150" i="18"/>
  <c r="F150" i="18" s="1"/>
  <c r="B128" i="18"/>
  <c r="F128" i="18" s="1"/>
  <c r="B124" i="18"/>
  <c r="F124" i="18" s="1"/>
  <c r="B125" i="18"/>
  <c r="F125" i="18" s="1"/>
  <c r="B122" i="18"/>
  <c r="B131" i="18"/>
  <c r="F131" i="18" s="1"/>
  <c r="B159" i="18"/>
  <c r="F159" i="18" s="1"/>
  <c r="B185" i="18"/>
  <c r="B165" i="18"/>
  <c r="F165" i="18" s="1"/>
  <c r="B147" i="18"/>
  <c r="F147" i="18" s="1"/>
  <c r="B130" i="18"/>
  <c r="F130" i="18" s="1"/>
  <c r="B146" i="18"/>
  <c r="F146" i="18" s="1"/>
  <c r="B115" i="18"/>
  <c r="F115" i="18" s="1"/>
  <c r="B137" i="18"/>
  <c r="F137" i="18" s="1"/>
  <c r="B178" i="18"/>
  <c r="F178" i="18" s="1"/>
  <c r="B156" i="18"/>
  <c r="F156" i="18" s="1"/>
  <c r="B93" i="18"/>
  <c r="F93" i="18" s="1"/>
  <c r="B89" i="18"/>
  <c r="F89" i="18" s="1"/>
  <c r="B108" i="18"/>
  <c r="F108" i="18" s="1"/>
  <c r="B162" i="18"/>
  <c r="F162" i="18" s="1"/>
  <c r="B84" i="18"/>
  <c r="F84" i="18" s="1"/>
  <c r="B101" i="18"/>
  <c r="F101" i="18" s="1"/>
  <c r="B106" i="18"/>
  <c r="F106" i="18" s="1"/>
  <c r="B184" i="18"/>
  <c r="F184" i="18" s="1"/>
  <c r="B140" i="18"/>
  <c r="F140" i="18" s="1"/>
  <c r="B141" i="18"/>
  <c r="B181" i="18"/>
  <c r="F181" i="18" s="1"/>
  <c r="B143" i="18"/>
  <c r="F143" i="18" s="1"/>
  <c r="B169" i="18"/>
  <c r="F169" i="18" s="1"/>
  <c r="B112" i="18"/>
  <c r="F112" i="18" s="1"/>
  <c r="B121" i="18"/>
  <c r="F121" i="18" s="1"/>
  <c r="B201" i="18"/>
  <c r="F201" i="18" s="1"/>
  <c r="B154" i="18"/>
  <c r="B95" i="18"/>
  <c r="F95" i="18" s="1"/>
  <c r="B148" i="18"/>
  <c r="F148" i="18" s="1"/>
  <c r="B103" i="18"/>
  <c r="F103" i="18" s="1"/>
  <c r="B135" i="18"/>
  <c r="F135" i="18" s="1"/>
  <c r="B175" i="18"/>
  <c r="F175" i="18" s="1"/>
  <c r="B188" i="18"/>
  <c r="F188" i="18" s="1"/>
  <c r="B97" i="18"/>
  <c r="F97" i="18" s="1"/>
  <c r="B94" i="18"/>
  <c r="F94" i="18" s="1"/>
  <c r="B85" i="18"/>
  <c r="B116" i="18"/>
  <c r="F116" i="18" s="1"/>
  <c r="B151" i="18"/>
  <c r="F151" i="18" s="1"/>
  <c r="B145" i="18"/>
  <c r="B152" i="18"/>
  <c r="F152" i="18" s="1"/>
  <c r="B114" i="18"/>
  <c r="F114" i="18" s="1"/>
  <c r="F1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J90" i="2713"/>
  <c r="J91" i="2713" s="1"/>
  <c r="L92" i="2713" s="1"/>
  <c r="H32" i="2710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A198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A171" i="17"/>
  <c r="AB31" i="17"/>
  <c r="AE82" i="17"/>
  <c r="AB197" i="17"/>
  <c r="AE10" i="17"/>
  <c r="Z107" i="17"/>
  <c r="AG177" i="17"/>
  <c r="AB22" i="17"/>
  <c r="AC80" i="17"/>
  <c r="Z88" i="17"/>
  <c r="AE107" i="17"/>
  <c r="Y113" i="17"/>
  <c r="AB122" i="17"/>
  <c r="AD128" i="17"/>
  <c r="AA175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E31" i="2710"/>
  <c r="H31" i="2710" s="1"/>
  <c r="G29" i="2710"/>
  <c r="F28" i="2710"/>
  <c r="I28" i="2710" s="1"/>
  <c r="D27" i="2710"/>
  <c r="F26" i="2710"/>
  <c r="I26" i="2710" s="1"/>
  <c r="D25" i="2710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F16" i="2710"/>
  <c r="I16" i="2710" s="1"/>
  <c r="F7" i="2710"/>
  <c r="I7" i="2710" s="1"/>
  <c r="F9" i="2710"/>
  <c r="I9" i="2710" s="1"/>
  <c r="D14" i="2710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H8" i="2710" s="1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1" i="2710"/>
  <c r="E33" i="2710"/>
  <c r="H33" i="2710" s="1"/>
  <c r="F35" i="2710"/>
  <c r="F36" i="2710"/>
  <c r="AE20" i="17"/>
  <c r="AB20" i="17"/>
  <c r="AD95" i="17"/>
  <c r="AC95" i="17"/>
  <c r="AE156" i="17"/>
  <c r="AD156" i="17"/>
  <c r="AG164" i="17"/>
  <c r="Z164" i="17"/>
  <c r="D6" i="2710"/>
  <c r="D10" i="2710"/>
  <c r="F17" i="2710"/>
  <c r="I17" i="2710" s="1"/>
  <c r="E18" i="2710"/>
  <c r="H18" i="2710" s="1"/>
  <c r="F25" i="2710"/>
  <c r="I25" i="2710" s="1"/>
  <c r="E26" i="2710"/>
  <c r="H26" i="2710" s="1"/>
  <c r="E27" i="2710"/>
  <c r="H27" i="2710" s="1"/>
  <c r="D28" i="2710"/>
  <c r="Z136" i="17"/>
  <c r="AE147" i="17"/>
  <c r="AA147" i="17"/>
  <c r="AE169" i="17"/>
  <c r="AB169" i="17"/>
  <c r="AA169" i="17"/>
  <c r="Y169" i="17"/>
  <c r="AG194" i="17"/>
  <c r="AC194" i="17"/>
  <c r="E6" i="2710"/>
  <c r="D5" i="2710"/>
  <c r="F6" i="2710"/>
  <c r="I6" i="2710" s="1"/>
  <c r="D7" i="2710"/>
  <c r="F8" i="2710"/>
  <c r="I8" i="2710" s="1"/>
  <c r="D9" i="2710"/>
  <c r="G9" i="2710" s="1"/>
  <c r="F10" i="2710"/>
  <c r="I10" i="2710" s="1"/>
  <c r="D11" i="2710"/>
  <c r="F12" i="2710"/>
  <c r="I12" i="2710" s="1"/>
  <c r="D13" i="2710"/>
  <c r="F14" i="2710"/>
  <c r="I14" i="2710" s="1"/>
  <c r="D16" i="2710"/>
  <c r="F21" i="2710"/>
  <c r="I21" i="2710" s="1"/>
  <c r="E22" i="2710"/>
  <c r="H22" i="2710" s="1"/>
  <c r="E23" i="2710"/>
  <c r="H23" i="2710" s="1"/>
  <c r="D24" i="2710"/>
  <c r="F29" i="2710"/>
  <c r="I29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AF167" i="17"/>
  <c r="Z167" i="17"/>
  <c r="AF192" i="17"/>
  <c r="AC192" i="17"/>
  <c r="Y192" i="17"/>
  <c r="F5" i="2710"/>
  <c r="I5" i="2710" s="1"/>
  <c r="D8" i="2710"/>
  <c r="F11" i="2710"/>
  <c r="I11" i="2710" s="1"/>
  <c r="D12" i="2710"/>
  <c r="F13" i="2710"/>
  <c r="AF165" i="17"/>
  <c r="AG165" i="17"/>
  <c r="Z165" i="17"/>
  <c r="AE200" i="17"/>
  <c r="AC200" i="17"/>
  <c r="E5" i="2710"/>
  <c r="E7" i="2710"/>
  <c r="E9" i="2710"/>
  <c r="H9" i="2710" s="1"/>
  <c r="E11" i="2710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H25" i="2710" s="1"/>
  <c r="D26" i="2710"/>
  <c r="G36" i="2710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AG150" i="17"/>
  <c r="Y150" i="17"/>
  <c r="AC158" i="17"/>
  <c r="AG158" i="17"/>
  <c r="Y158" i="17"/>
  <c r="Z190" i="17"/>
  <c r="AD202" i="17"/>
  <c r="E253" i="17"/>
  <c r="A253" i="17" s="1"/>
  <c r="Y92" i="17"/>
  <c r="Z106" i="17"/>
  <c r="Y111" i="17"/>
  <c r="Z124" i="17"/>
  <c r="Z132" i="17"/>
  <c r="AG171" i="17"/>
  <c r="Z172" i="17"/>
  <c r="AA181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G198" i="17"/>
  <c r="AB211" i="17"/>
  <c r="AD213" i="17"/>
  <c r="Y217" i="17"/>
  <c r="Z219" i="17"/>
  <c r="Y221" i="17"/>
  <c r="AC223" i="17"/>
  <c r="AE227" i="17"/>
  <c r="AA229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AA164" i="17"/>
  <c r="Y165" i="17"/>
  <c r="AE165" i="17"/>
  <c r="Y167" i="17"/>
  <c r="AD179" i="17"/>
  <c r="AD183" i="17"/>
  <c r="AE190" i="17"/>
  <c r="AA192" i="17"/>
  <c r="AA194" i="17"/>
  <c r="AD195" i="17"/>
  <c r="AA196" i="17"/>
  <c r="Z202" i="17"/>
  <c r="AG204" i="17"/>
  <c r="Y206" i="17"/>
  <c r="AG208" i="17"/>
  <c r="AG210" i="17"/>
  <c r="Z211" i="17"/>
  <c r="AG221" i="17"/>
  <c r="AA222" i="17"/>
  <c r="AA223" i="17"/>
  <c r="AB226" i="17"/>
  <c r="AG227" i="17"/>
  <c r="AB228" i="17"/>
  <c r="AC231" i="17"/>
  <c r="AG234" i="17"/>
  <c r="AG239" i="17"/>
  <c r="AE242" i="17"/>
  <c r="AA249" i="17"/>
  <c r="AE137" i="17"/>
  <c r="AE179" i="17"/>
  <c r="AE183" i="17"/>
  <c r="AG231" i="17"/>
  <c r="AB96" i="17"/>
  <c r="AD99" i="17"/>
  <c r="AE113" i="17"/>
  <c r="Z117" i="17"/>
  <c r="Z125" i="17"/>
  <c r="Z133" i="17"/>
  <c r="Y137" i="17"/>
  <c r="AB138" i="17"/>
  <c r="AE141" i="17"/>
  <c r="AD153" i="17"/>
  <c r="AA155" i="17"/>
  <c r="AD161" i="17"/>
  <c r="AA163" i="17"/>
  <c r="AA165" i="17"/>
  <c r="AD167" i="17"/>
  <c r="AF169" i="17"/>
  <c r="AC175" i="17"/>
  <c r="AA177" i="17"/>
  <c r="Y179" i="17"/>
  <c r="AC181" i="17"/>
  <c r="Y183" i="17"/>
  <c r="AG192" i="17"/>
  <c r="Z193" i="17"/>
  <c r="Z195" i="17"/>
  <c r="AE202" i="17"/>
  <c r="Y204" i="17"/>
  <c r="AD206" i="17"/>
  <c r="Y208" i="17"/>
  <c r="AA210" i="17"/>
  <c r="AA212" i="17"/>
  <c r="AB217" i="17"/>
  <c r="AA218" i="17"/>
  <c r="AE219" i="17"/>
  <c r="AA221" i="17"/>
  <c r="AA227" i="17"/>
  <c r="AC229" i="17"/>
  <c r="Y231" i="17"/>
  <c r="AA234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A208" i="17"/>
  <c r="AC212" i="17"/>
  <c r="Z231" i="17"/>
  <c r="AE245" i="17"/>
  <c r="AD70" i="17"/>
  <c r="AE69" i="17"/>
  <c r="J32" i="2713"/>
  <c r="L33" i="2713" s="1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G144" i="17"/>
  <c r="AD144" i="17"/>
  <c r="AA144" i="17"/>
  <c r="AC146" i="17"/>
  <c r="AB146" i="17"/>
  <c r="AG148" i="17"/>
  <c r="AA148" i="17"/>
  <c r="Z148" i="17"/>
  <c r="AF170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F149" i="17"/>
  <c r="AG149" i="17"/>
  <c r="AA149" i="17"/>
  <c r="AE149" i="17"/>
  <c r="Z149" i="17"/>
  <c r="AG152" i="17"/>
  <c r="AD152" i="17"/>
  <c r="AA152" i="17"/>
  <c r="AC154" i="17"/>
  <c r="AB154" i="17"/>
  <c r="AG156" i="17"/>
  <c r="AA156" i="17"/>
  <c r="Z156" i="17"/>
  <c r="AA170" i="17"/>
  <c r="AD205" i="17"/>
  <c r="AB205" i="17"/>
  <c r="AF230" i="17"/>
  <c r="AE230" i="17"/>
  <c r="Z230" i="17"/>
  <c r="AD230" i="17"/>
  <c r="Y230" i="17"/>
  <c r="AC230" i="17"/>
  <c r="AA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A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F157" i="17"/>
  <c r="AG157" i="17"/>
  <c r="AA157" i="17"/>
  <c r="AE157" i="17"/>
  <c r="Z157" i="17"/>
  <c r="AG160" i="17"/>
  <c r="AD160" i="17"/>
  <c r="AA160" i="17"/>
  <c r="AB173" i="17"/>
  <c r="AG173" i="17"/>
  <c r="AA173" i="17"/>
  <c r="AE173" i="17"/>
  <c r="Y173" i="17"/>
  <c r="AD185" i="17"/>
  <c r="AA185" i="17"/>
  <c r="AG185" i="17"/>
  <c r="Y185" i="17"/>
  <c r="AE185" i="17"/>
  <c r="AF187" i="17"/>
  <c r="AE187" i="17"/>
  <c r="Z187" i="17"/>
  <c r="AD187" i="17"/>
  <c r="Y187" i="17"/>
  <c r="AC187" i="17"/>
  <c r="AA187" i="17"/>
  <c r="AF214" i="17"/>
  <c r="AE214" i="17"/>
  <c r="Z214" i="17"/>
  <c r="AD214" i="17"/>
  <c r="Y214" i="17"/>
  <c r="AC214" i="17"/>
  <c r="AA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A145" i="17"/>
  <c r="AG145" i="17"/>
  <c r="AA153" i="17"/>
  <c r="AG153" i="17"/>
  <c r="AA161" i="17"/>
  <c r="AG161" i="17"/>
  <c r="AD164" i="17"/>
  <c r="AC165" i="17"/>
  <c r="AA167" i="17"/>
  <c r="AG167" i="17"/>
  <c r="AF171" i="17"/>
  <c r="AE171" i="17"/>
  <c r="AC171" i="17"/>
  <c r="AD191" i="17"/>
  <c r="Z191" i="17"/>
  <c r="AF194" i="17"/>
  <c r="AE194" i="17"/>
  <c r="Z194" i="17"/>
  <c r="AD194" i="17"/>
  <c r="Y194" i="17"/>
  <c r="AF198" i="17"/>
  <c r="AE198" i="17"/>
  <c r="Z198" i="17"/>
  <c r="AD198" i="17"/>
  <c r="Y198" i="17"/>
  <c r="AF200" i="17"/>
  <c r="AA200" i="17"/>
  <c r="AG200" i="17"/>
  <c r="Y200" i="17"/>
  <c r="AF204" i="17"/>
  <c r="AC204" i="17"/>
  <c r="AA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F175" i="17"/>
  <c r="AE175" i="17"/>
  <c r="Z175" i="17"/>
  <c r="AD175" i="17"/>
  <c r="Y175" i="17"/>
  <c r="AE189" i="17"/>
  <c r="AB189" i="17"/>
  <c r="AD201" i="17"/>
  <c r="Z201" i="17"/>
  <c r="AD207" i="17"/>
  <c r="Z207" i="17"/>
  <c r="AF223" i="17"/>
  <c r="AE223" i="17"/>
  <c r="Z223" i="17"/>
  <c r="AD223" i="17"/>
  <c r="Y223" i="17"/>
  <c r="AG233" i="17"/>
  <c r="AE233" i="17"/>
  <c r="AA233" i="17"/>
  <c r="AC177" i="17"/>
  <c r="AA179" i="17"/>
  <c r="AG179" i="17"/>
  <c r="AE181" i="17"/>
  <c r="AA183" i="17"/>
  <c r="AG183" i="17"/>
  <c r="AA190" i="17"/>
  <c r="AG190" i="17"/>
  <c r="AE196" i="17"/>
  <c r="AA202" i="17"/>
  <c r="AG202" i="17"/>
  <c r="AA206" i="17"/>
  <c r="AG206" i="17"/>
  <c r="AC208" i="17"/>
  <c r="AE212" i="17"/>
  <c r="AE217" i="17"/>
  <c r="AA219" i="17"/>
  <c r="AG219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G181" i="17"/>
  <c r="AC183" i="17"/>
  <c r="AC190" i="17"/>
  <c r="AE192" i="17"/>
  <c r="Y196" i="17"/>
  <c r="AG196" i="17"/>
  <c r="AC202" i="17"/>
  <c r="AC206" i="17"/>
  <c r="AE208" i="17"/>
  <c r="Y212" i="17"/>
  <c r="AG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G151" i="17"/>
  <c r="AC151" i="17"/>
  <c r="Y151" i="17"/>
  <c r="AE151" i="17"/>
  <c r="AB151" i="17"/>
  <c r="AA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F151" i="17"/>
  <c r="AD159" i="17"/>
  <c r="Z159" i="17"/>
  <c r="AG159" i="17"/>
  <c r="AC159" i="17"/>
  <c r="Y159" i="17"/>
  <c r="AE159" i="17"/>
  <c r="AB159" i="17"/>
  <c r="AA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AF159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A146" i="17"/>
  <c r="AD146" i="17"/>
  <c r="Z146" i="17"/>
  <c r="AF146" i="17"/>
  <c r="AB150" i="17"/>
  <c r="AE154" i="17"/>
  <c r="AA154" i="17"/>
  <c r="AD154" i="17"/>
  <c r="Z154" i="17"/>
  <c r="AF154" i="17"/>
  <c r="AB158" i="17"/>
  <c r="AG162" i="17"/>
  <c r="AC162" i="17"/>
  <c r="Y162" i="17"/>
  <c r="AE162" i="17"/>
  <c r="AA162" i="17"/>
  <c r="AD162" i="17"/>
  <c r="Z162" i="17"/>
  <c r="AG166" i="17"/>
  <c r="AC166" i="17"/>
  <c r="Y166" i="17"/>
  <c r="AE166" i="17"/>
  <c r="Z166" i="17"/>
  <c r="AB166" i="17"/>
  <c r="AF166" i="17"/>
  <c r="AA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G146" i="17"/>
  <c r="AD147" i="17"/>
  <c r="Z147" i="17"/>
  <c r="AG147" i="17"/>
  <c r="AC147" i="17"/>
  <c r="Y147" i="17"/>
  <c r="AF147" i="17"/>
  <c r="Y154" i="17"/>
  <c r="AG154" i="17"/>
  <c r="AD155" i="17"/>
  <c r="Z155" i="17"/>
  <c r="AG155" i="17"/>
  <c r="AC155" i="17"/>
  <c r="Y155" i="17"/>
  <c r="AF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A150" i="17"/>
  <c r="AD150" i="17"/>
  <c r="Z150" i="17"/>
  <c r="AF150" i="17"/>
  <c r="AE158" i="17"/>
  <c r="AA158" i="17"/>
  <c r="AD158" i="17"/>
  <c r="Z158" i="17"/>
  <c r="AF158" i="17"/>
  <c r="AE168" i="17"/>
  <c r="AA168" i="17"/>
  <c r="AD168" i="17"/>
  <c r="Y168" i="17"/>
  <c r="AG168" i="17"/>
  <c r="AB168" i="17"/>
  <c r="AF168" i="17"/>
  <c r="Z168" i="17"/>
  <c r="AB120" i="17"/>
  <c r="AB124" i="17"/>
  <c r="AB128" i="17"/>
  <c r="AB132" i="17"/>
  <c r="AB136" i="17"/>
  <c r="AF136" i="17"/>
  <c r="AB140" i="17"/>
  <c r="AB144" i="17"/>
  <c r="AF144" i="17"/>
  <c r="AB148" i="17"/>
  <c r="AF148" i="17"/>
  <c r="AB152" i="17"/>
  <c r="AF152" i="17"/>
  <c r="AB156" i="17"/>
  <c r="AF156" i="17"/>
  <c r="AB160" i="17"/>
  <c r="AF160" i="17"/>
  <c r="Y163" i="17"/>
  <c r="AC163" i="17"/>
  <c r="AG163" i="17"/>
  <c r="AB164" i="17"/>
  <c r="AF164" i="17"/>
  <c r="AG170" i="17"/>
  <c r="AC170" i="17"/>
  <c r="Y170" i="17"/>
  <c r="AD170" i="17"/>
  <c r="AE172" i="17"/>
  <c r="AA172" i="17"/>
  <c r="AC172" i="17"/>
  <c r="AA174" i="17"/>
  <c r="AF174" i="17"/>
  <c r="AB176" i="17"/>
  <c r="AB178" i="17"/>
  <c r="AE180" i="17"/>
  <c r="AA180" i="17"/>
  <c r="AG180" i="17"/>
  <c r="AC180" i="17"/>
  <c r="Y180" i="17"/>
  <c r="AF180" i="17"/>
  <c r="AG182" i="17"/>
  <c r="AC182" i="17"/>
  <c r="Y182" i="17"/>
  <c r="AE182" i="17"/>
  <c r="AA182" i="17"/>
  <c r="AF182" i="17"/>
  <c r="AB184" i="17"/>
  <c r="AB186" i="17"/>
  <c r="AE188" i="17"/>
  <c r="AA188" i="17"/>
  <c r="AG188" i="17"/>
  <c r="AC188" i="17"/>
  <c r="Y188" i="17"/>
  <c r="AF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G174" i="17"/>
  <c r="AC174" i="17"/>
  <c r="Y174" i="17"/>
  <c r="AD174" i="17"/>
  <c r="AE176" i="17"/>
  <c r="AA176" i="17"/>
  <c r="AG176" i="17"/>
  <c r="AC176" i="17"/>
  <c r="Y176" i="17"/>
  <c r="AF176" i="17"/>
  <c r="AG178" i="17"/>
  <c r="AC178" i="17"/>
  <c r="Y178" i="17"/>
  <c r="AE178" i="17"/>
  <c r="AA178" i="17"/>
  <c r="AF178" i="17"/>
  <c r="AE184" i="17"/>
  <c r="AA184" i="17"/>
  <c r="AG184" i="17"/>
  <c r="AC184" i="17"/>
  <c r="Y184" i="17"/>
  <c r="AF184" i="17"/>
  <c r="AG186" i="17"/>
  <c r="AC186" i="17"/>
  <c r="Y186" i="17"/>
  <c r="AE186" i="17"/>
  <c r="AA186" i="17"/>
  <c r="AF186" i="17"/>
  <c r="AB163" i="17"/>
  <c r="AB172" i="17"/>
  <c r="AG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F177" i="17"/>
  <c r="AB181" i="17"/>
  <c r="AF181" i="17"/>
  <c r="AB185" i="17"/>
  <c r="AF185" i="17"/>
  <c r="AG189" i="17"/>
  <c r="AC189" i="17"/>
  <c r="Y189" i="17"/>
  <c r="AD189" i="17"/>
  <c r="AG191" i="17"/>
  <c r="AC191" i="17"/>
  <c r="Y191" i="17"/>
  <c r="AE191" i="17"/>
  <c r="AA191" i="17"/>
  <c r="AF191" i="17"/>
  <c r="AE193" i="17"/>
  <c r="AA193" i="17"/>
  <c r="AG193" i="17"/>
  <c r="AC193" i="17"/>
  <c r="Y193" i="17"/>
  <c r="AF193" i="17"/>
  <c r="AG199" i="17"/>
  <c r="AC199" i="17"/>
  <c r="Y199" i="17"/>
  <c r="AE199" i="17"/>
  <c r="AA199" i="17"/>
  <c r="AF199" i="17"/>
  <c r="AE201" i="17"/>
  <c r="AA201" i="17"/>
  <c r="AG201" i="17"/>
  <c r="AC201" i="17"/>
  <c r="Y201" i="17"/>
  <c r="AF201" i="17"/>
  <c r="AG207" i="17"/>
  <c r="AC207" i="17"/>
  <c r="Y207" i="17"/>
  <c r="AE207" i="17"/>
  <c r="AA207" i="17"/>
  <c r="AF207" i="17"/>
  <c r="AE209" i="17"/>
  <c r="AA209" i="17"/>
  <c r="AG209" i="17"/>
  <c r="AC209" i="17"/>
  <c r="Y209" i="17"/>
  <c r="AF209" i="17"/>
  <c r="AF215" i="17"/>
  <c r="AB215" i="17"/>
  <c r="AD215" i="17"/>
  <c r="Y215" i="17"/>
  <c r="AG215" i="17"/>
  <c r="AA215" i="17"/>
  <c r="AG218" i="17"/>
  <c r="AC218" i="17"/>
  <c r="Y218" i="17"/>
  <c r="AE218" i="17"/>
  <c r="Z218" i="17"/>
  <c r="AB218" i="17"/>
  <c r="AE220" i="17"/>
  <c r="AA220" i="17"/>
  <c r="AD220" i="17"/>
  <c r="Y220" i="17"/>
  <c r="AG220" i="17"/>
  <c r="AB220" i="17"/>
  <c r="AG222" i="17"/>
  <c r="AC222" i="17"/>
  <c r="Y222" i="17"/>
  <c r="AB222" i="17"/>
  <c r="AE222" i="17"/>
  <c r="Z222" i="17"/>
  <c r="AG224" i="17"/>
  <c r="AC224" i="17"/>
  <c r="Y224" i="17"/>
  <c r="AE224" i="17"/>
  <c r="AA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A189" i="17"/>
  <c r="AF189" i="17"/>
  <c r="AB191" i="17"/>
  <c r="AB193" i="17"/>
  <c r="AG195" i="17"/>
  <c r="AC195" i="17"/>
  <c r="Y195" i="17"/>
  <c r="AE195" i="17"/>
  <c r="AA195" i="17"/>
  <c r="AF195" i="17"/>
  <c r="AE197" i="17"/>
  <c r="AA197" i="17"/>
  <c r="AG197" i="17"/>
  <c r="AC197" i="17"/>
  <c r="Y197" i="17"/>
  <c r="AF197" i="17"/>
  <c r="AB199" i="17"/>
  <c r="AB201" i="17"/>
  <c r="AG203" i="17"/>
  <c r="AC203" i="17"/>
  <c r="Y203" i="17"/>
  <c r="AE203" i="17"/>
  <c r="AA203" i="17"/>
  <c r="AF203" i="17"/>
  <c r="AE205" i="17"/>
  <c r="AA205" i="17"/>
  <c r="AG205" i="17"/>
  <c r="AC205" i="17"/>
  <c r="Y205" i="17"/>
  <c r="AF205" i="17"/>
  <c r="AB207" i="17"/>
  <c r="AB209" i="17"/>
  <c r="AG211" i="17"/>
  <c r="AC211" i="17"/>
  <c r="Y211" i="17"/>
  <c r="AE211" i="17"/>
  <c r="AA211" i="17"/>
  <c r="AF211" i="17"/>
  <c r="AE213" i="17"/>
  <c r="AA213" i="17"/>
  <c r="AG213" i="17"/>
  <c r="AC213" i="17"/>
  <c r="Y213" i="17"/>
  <c r="AF213" i="17"/>
  <c r="AC215" i="17"/>
  <c r="AE216" i="17"/>
  <c r="AA216" i="17"/>
  <c r="AG216" i="17"/>
  <c r="AB216" i="17"/>
  <c r="AD216" i="17"/>
  <c r="Y216" i="17"/>
  <c r="AD218" i="17"/>
  <c r="AC220" i="17"/>
  <c r="AD222" i="17"/>
  <c r="AF224" i="17"/>
  <c r="AE226" i="17"/>
  <c r="AA226" i="17"/>
  <c r="AG226" i="17"/>
  <c r="AC226" i="17"/>
  <c r="Y226" i="17"/>
  <c r="AD226" i="17"/>
  <c r="Z226" i="17"/>
  <c r="AG228" i="17"/>
  <c r="AC228" i="17"/>
  <c r="Y228" i="17"/>
  <c r="AE228" i="17"/>
  <c r="AA228" i="17"/>
  <c r="Z228" i="17"/>
  <c r="AD228" i="17"/>
  <c r="AD232" i="17"/>
  <c r="Z232" i="17"/>
  <c r="AG232" i="17"/>
  <c r="AC232" i="17"/>
  <c r="Y232" i="17"/>
  <c r="AE232" i="17"/>
  <c r="AA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A217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AA231" i="17"/>
  <c r="Y233" i="17"/>
  <c r="AC233" i="17"/>
  <c r="AB234" i="17"/>
  <c r="AA235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194" i="17"/>
  <c r="A210" i="17"/>
  <c r="A226" i="17"/>
  <c r="A234" i="17"/>
  <c r="A242" i="17"/>
  <c r="A250" i="17"/>
  <c r="A202" i="17"/>
  <c r="A218" i="17"/>
  <c r="A230" i="17"/>
  <c r="A238" i="17"/>
  <c r="A246" i="17"/>
  <c r="A145" i="17"/>
  <c r="A149" i="17"/>
  <c r="A153" i="17"/>
  <c r="A157" i="17"/>
  <c r="A161" i="17"/>
  <c r="A165" i="17"/>
  <c r="A169" i="17"/>
  <c r="A173" i="17"/>
  <c r="A177" i="17"/>
  <c r="A181" i="17"/>
  <c r="A185" i="17"/>
  <c r="A189" i="17"/>
  <c r="A193" i="17"/>
  <c r="A195" i="17"/>
  <c r="A205" i="17"/>
  <c r="A209" i="17"/>
  <c r="A211" i="17"/>
  <c r="A221" i="17"/>
  <c r="A225" i="17"/>
  <c r="A233" i="17"/>
  <c r="A241" i="17"/>
  <c r="A249" i="17"/>
  <c r="AE56" i="17"/>
  <c r="AD56" i="17"/>
  <c r="Z56" i="17"/>
  <c r="A147" i="17"/>
  <c r="A151" i="17"/>
  <c r="A155" i="17"/>
  <c r="A159" i="17"/>
  <c r="A163" i="17"/>
  <c r="A167" i="17"/>
  <c r="A171" i="17"/>
  <c r="A175" i="17"/>
  <c r="A179" i="17"/>
  <c r="A183" i="17"/>
  <c r="A187" i="17"/>
  <c r="A191" i="17"/>
  <c r="A197" i="17"/>
  <c r="A201" i="17"/>
  <c r="A203" i="17"/>
  <c r="A213" i="17"/>
  <c r="A217" i="17"/>
  <c r="A219" i="17"/>
  <c r="A229" i="17"/>
  <c r="A237" i="17"/>
  <c r="A245" i="17"/>
  <c r="AB56" i="17"/>
  <c r="A144" i="17"/>
  <c r="A146" i="17"/>
  <c r="A152" i="17"/>
  <c r="A154" i="17"/>
  <c r="A160" i="17"/>
  <c r="A162" i="17"/>
  <c r="A168" i="17"/>
  <c r="A170" i="17"/>
  <c r="A176" i="17"/>
  <c r="A178" i="17"/>
  <c r="A184" i="17"/>
  <c r="A186" i="17"/>
  <c r="A192" i="17"/>
  <c r="A200" i="17"/>
  <c r="A208" i="17"/>
  <c r="A216" i="17"/>
  <c r="A224" i="17"/>
  <c r="A199" i="17"/>
  <c r="A207" i="17"/>
  <c r="A215" i="17"/>
  <c r="A223" i="17"/>
  <c r="A148" i="17"/>
  <c r="A150" i="17"/>
  <c r="A156" i="17"/>
  <c r="A158" i="17"/>
  <c r="A164" i="17"/>
  <c r="A166" i="17"/>
  <c r="A172" i="17"/>
  <c r="A174" i="17"/>
  <c r="A180" i="17"/>
  <c r="A182" i="17"/>
  <c r="A188" i="17"/>
  <c r="A190" i="17"/>
  <c r="A196" i="17"/>
  <c r="A198" i="17"/>
  <c r="A204" i="17"/>
  <c r="A206" i="17"/>
  <c r="A212" i="17"/>
  <c r="A214" i="17"/>
  <c r="A220" i="17"/>
  <c r="A222" i="17"/>
  <c r="A227" i="17"/>
  <c r="A231" i="17"/>
  <c r="A235" i="17"/>
  <c r="A239" i="17"/>
  <c r="A243" i="17"/>
  <c r="A247" i="17"/>
  <c r="A228" i="17"/>
  <c r="A232" i="17"/>
  <c r="A236" i="17"/>
  <c r="A240" i="17"/>
  <c r="A244" i="17"/>
  <c r="A248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A7" i="17" l="1"/>
  <c r="E8" i="17"/>
  <c r="E9" i="17" s="1"/>
  <c r="D21" i="18"/>
  <c r="I21" i="18"/>
  <c r="C21" i="18"/>
  <c r="A8" i="17"/>
  <c r="D152" i="18"/>
  <c r="C152" i="18"/>
  <c r="I152" i="18"/>
  <c r="I116" i="18"/>
  <c r="D116" i="18"/>
  <c r="C116" i="18"/>
  <c r="C188" i="18"/>
  <c r="D188" i="18"/>
  <c r="I188" i="18"/>
  <c r="C154" i="18"/>
  <c r="D154" i="18"/>
  <c r="I154" i="18"/>
  <c r="D169" i="18"/>
  <c r="C169" i="18"/>
  <c r="I169" i="18"/>
  <c r="C181" i="18"/>
  <c r="D181" i="18"/>
  <c r="I181" i="18"/>
  <c r="C140" i="18"/>
  <c r="I140" i="18"/>
  <c r="D140" i="18"/>
  <c r="C101" i="18"/>
  <c r="D101" i="18"/>
  <c r="I101" i="18"/>
  <c r="D108" i="18"/>
  <c r="I108" i="18"/>
  <c r="C108" i="18"/>
  <c r="C93" i="18"/>
  <c r="I93" i="18"/>
  <c r="D93" i="18"/>
  <c r="I156" i="18"/>
  <c r="D156" i="18"/>
  <c r="C156" i="18"/>
  <c r="I115" i="18"/>
  <c r="C115" i="18"/>
  <c r="D115" i="18"/>
  <c r="D165" i="18"/>
  <c r="C165" i="18"/>
  <c r="I165" i="18"/>
  <c r="I122" i="18"/>
  <c r="D122" i="18"/>
  <c r="C122" i="18"/>
  <c r="C150" i="18"/>
  <c r="I150" i="18"/>
  <c r="D150" i="18"/>
  <c r="D163" i="18"/>
  <c r="I163" i="18"/>
  <c r="C163" i="18"/>
  <c r="D117" i="18"/>
  <c r="I117" i="18"/>
  <c r="C117" i="18"/>
  <c r="C127" i="18"/>
  <c r="I127" i="18"/>
  <c r="D127" i="18"/>
  <c r="D98" i="18"/>
  <c r="C98" i="18"/>
  <c r="I98" i="18"/>
  <c r="D167" i="18"/>
  <c r="C167" i="18"/>
  <c r="I167" i="18"/>
  <c r="C107" i="18"/>
  <c r="I107" i="18"/>
  <c r="D10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I177" i="18"/>
  <c r="C177" i="18"/>
  <c r="D177" i="18"/>
  <c r="I183" i="18"/>
  <c r="D183" i="18"/>
  <c r="C183" i="18"/>
  <c r="I144" i="18"/>
  <c r="C144" i="18"/>
  <c r="D144" i="18"/>
  <c r="I182" i="18"/>
  <c r="C182" i="18"/>
  <c r="D182" i="18"/>
  <c r="C126" i="18"/>
  <c r="I126" i="18"/>
  <c r="D126" i="18"/>
  <c r="C161" i="18"/>
  <c r="I161" i="18"/>
  <c r="D161" i="18"/>
  <c r="C138" i="18"/>
  <c r="I138" i="18"/>
  <c r="D138" i="18"/>
  <c r="D145" i="18"/>
  <c r="I145" i="18"/>
  <c r="C145" i="18"/>
  <c r="D85" i="18"/>
  <c r="C85" i="18"/>
  <c r="I85" i="18"/>
  <c r="C103" i="18"/>
  <c r="I103" i="18"/>
  <c r="D103" i="18"/>
  <c r="C201" i="18"/>
  <c r="D201" i="18"/>
  <c r="I201" i="18"/>
  <c r="I143" i="18"/>
  <c r="D143" i="18"/>
  <c r="C143" i="18"/>
  <c r="D141" i="18"/>
  <c r="I141" i="18"/>
  <c r="C141" i="18"/>
  <c r="C146" i="18"/>
  <c r="I146" i="18"/>
  <c r="D146" i="18"/>
  <c r="C185" i="18"/>
  <c r="I185" i="18"/>
  <c r="D185" i="18"/>
  <c r="I125" i="18"/>
  <c r="D125" i="18"/>
  <c r="C125" i="18"/>
  <c r="C119" i="18"/>
  <c r="D119" i="18"/>
  <c r="I119" i="18"/>
  <c r="I88" i="18"/>
  <c r="D88" i="18"/>
  <c r="C88" i="18"/>
  <c r="C191" i="18"/>
  <c r="D191" i="18"/>
  <c r="I191" i="18"/>
  <c r="C195" i="18"/>
  <c r="I195" i="18"/>
  <c r="D195" i="18"/>
  <c r="C87" i="18"/>
  <c r="D87" i="18"/>
  <c r="I87" i="18"/>
  <c r="C133" i="18"/>
  <c r="D133" i="18"/>
  <c r="I133" i="18"/>
  <c r="D168" i="18"/>
  <c r="C168" i="18"/>
  <c r="I168" i="18"/>
  <c r="D196" i="18"/>
  <c r="C196" i="18"/>
  <c r="I196" i="18"/>
  <c r="I100" i="18"/>
  <c r="C100" i="18"/>
  <c r="D100" i="18"/>
  <c r="C172" i="18"/>
  <c r="I172" i="18"/>
  <c r="D172" i="18"/>
  <c r="I153" i="18"/>
  <c r="C153" i="18"/>
  <c r="D153" i="18"/>
  <c r="C90" i="18"/>
  <c r="D90" i="18"/>
  <c r="I90" i="18"/>
  <c r="D83" i="18"/>
  <c r="C83" i="18"/>
  <c r="I83" i="18"/>
  <c r="I199" i="18"/>
  <c r="C199" i="18"/>
  <c r="D199" i="18"/>
  <c r="D82" i="18"/>
  <c r="C82" i="18"/>
  <c r="I82" i="18"/>
  <c r="C86" i="18"/>
  <c r="I86" i="18"/>
  <c r="D86" i="18"/>
  <c r="D92" i="18"/>
  <c r="I92" i="18"/>
  <c r="C92" i="18"/>
  <c r="I187" i="18"/>
  <c r="C187" i="18"/>
  <c r="D187" i="18"/>
  <c r="D171" i="18"/>
  <c r="C171" i="18"/>
  <c r="I171" i="18"/>
  <c r="C96" i="18"/>
  <c r="I96" i="18"/>
  <c r="D96" i="18"/>
  <c r="F167" i="18"/>
  <c r="F117" i="18"/>
  <c r="F98" i="18"/>
  <c r="F195" i="18"/>
  <c r="F87" i="18"/>
  <c r="F154" i="18"/>
  <c r="F122" i="18"/>
  <c r="F141" i="18"/>
  <c r="F145" i="18"/>
  <c r="F191" i="18"/>
  <c r="F88" i="18"/>
  <c r="C151" i="18"/>
  <c r="I151" i="18"/>
  <c r="D151" i="18"/>
  <c r="C94" i="18"/>
  <c r="D94" i="18"/>
  <c r="I94" i="18"/>
  <c r="C175" i="18"/>
  <c r="D175" i="18"/>
  <c r="I175" i="18"/>
  <c r="C148" i="18"/>
  <c r="D148" i="18"/>
  <c r="I148" i="18"/>
  <c r="C121" i="18"/>
  <c r="D121" i="18"/>
  <c r="I121" i="18"/>
  <c r="C184" i="18"/>
  <c r="I184" i="18"/>
  <c r="D184" i="18"/>
  <c r="I84" i="18"/>
  <c r="D84" i="18"/>
  <c r="C84" i="18"/>
  <c r="C178" i="18"/>
  <c r="I178" i="18"/>
  <c r="D178" i="18"/>
  <c r="D130" i="18"/>
  <c r="I130" i="18"/>
  <c r="C130" i="18"/>
  <c r="D159" i="18"/>
  <c r="C159" i="18"/>
  <c r="I159" i="18"/>
  <c r="I124" i="18"/>
  <c r="C124" i="18"/>
  <c r="D124" i="18"/>
  <c r="C194" i="18"/>
  <c r="I194" i="18"/>
  <c r="D194" i="18"/>
  <c r="C189" i="18"/>
  <c r="D189" i="18"/>
  <c r="I189" i="18"/>
  <c r="D129" i="18"/>
  <c r="C129" i="18"/>
  <c r="I129" i="18"/>
  <c r="C179" i="18"/>
  <c r="I179" i="18"/>
  <c r="D179" i="18"/>
  <c r="D102" i="18"/>
  <c r="C102" i="18"/>
  <c r="I102" i="18"/>
  <c r="C174" i="18"/>
  <c r="D174" i="18"/>
  <c r="I174" i="18"/>
  <c r="D109" i="18"/>
  <c r="C109" i="18"/>
  <c r="I109" i="18"/>
  <c r="D197" i="18"/>
  <c r="C197" i="18"/>
  <c r="I197" i="18"/>
  <c r="D157" i="18"/>
  <c r="I157" i="18"/>
  <c r="C157" i="18"/>
  <c r="I158" i="18"/>
  <c r="C158" i="18"/>
  <c r="D158" i="18"/>
  <c r="I142" i="18"/>
  <c r="D142" i="18"/>
  <c r="C142" i="18"/>
  <c r="D91" i="18"/>
  <c r="C91" i="18"/>
  <c r="I91" i="18"/>
  <c r="I110" i="18"/>
  <c r="D110" i="18"/>
  <c r="C110" i="18"/>
  <c r="D113" i="18"/>
  <c r="C113" i="18"/>
  <c r="I113" i="18"/>
  <c r="I111" i="18"/>
  <c r="D111" i="18"/>
  <c r="C111" i="18"/>
  <c r="C173" i="18"/>
  <c r="D173" i="18"/>
  <c r="I173" i="18"/>
  <c r="D200" i="18"/>
  <c r="C200" i="18"/>
  <c r="I200" i="18"/>
  <c r="F168" i="18"/>
  <c r="F185" i="18"/>
  <c r="F85" i="18"/>
  <c r="F196" i="18"/>
  <c r="I114" i="18"/>
  <c r="D114" i="18"/>
  <c r="C114" i="18"/>
  <c r="C97" i="18"/>
  <c r="D97" i="18"/>
  <c r="I97" i="18"/>
  <c r="C135" i="18"/>
  <c r="D135" i="18"/>
  <c r="I135" i="18"/>
  <c r="I95" i="18"/>
  <c r="D95" i="18"/>
  <c r="C95" i="18"/>
  <c r="D112" i="18"/>
  <c r="C112" i="18"/>
  <c r="I112" i="18"/>
  <c r="I106" i="18"/>
  <c r="C106" i="18"/>
  <c r="D106" i="18"/>
  <c r="D162" i="18"/>
  <c r="I162" i="18"/>
  <c r="C162" i="18"/>
  <c r="C89" i="18"/>
  <c r="I89" i="18"/>
  <c r="D89" i="18"/>
  <c r="D137" i="18"/>
  <c r="I137" i="18"/>
  <c r="C137" i="18"/>
  <c r="D147" i="18"/>
  <c r="I147" i="18"/>
  <c r="C147" i="18"/>
  <c r="I131" i="18"/>
  <c r="C131" i="18"/>
  <c r="D131" i="18"/>
  <c r="D128" i="18"/>
  <c r="I128" i="18"/>
  <c r="C128" i="18"/>
  <c r="I118" i="18"/>
  <c r="C118" i="18"/>
  <c r="D118" i="18"/>
  <c r="C104" i="18"/>
  <c r="I104" i="18"/>
  <c r="D104" i="18"/>
  <c r="C176" i="18"/>
  <c r="D176" i="18"/>
  <c r="I176" i="18"/>
  <c r="I166" i="18"/>
  <c r="D166" i="18"/>
  <c r="C166" i="18"/>
  <c r="C136" i="18"/>
  <c r="D136" i="18"/>
  <c r="I136" i="18"/>
  <c r="D149" i="18"/>
  <c r="I149" i="18"/>
  <c r="C149" i="18"/>
  <c r="I139" i="18"/>
  <c r="C139" i="18"/>
  <c r="D139" i="18"/>
  <c r="I155" i="18"/>
  <c r="C155" i="18"/>
  <c r="D155" i="18"/>
  <c r="D120" i="18"/>
  <c r="I120" i="18"/>
  <c r="C120" i="18"/>
  <c r="C160" i="18"/>
  <c r="I160" i="18"/>
  <c r="D160" i="18"/>
  <c r="C190" i="18"/>
  <c r="D190" i="18"/>
  <c r="I190" i="18"/>
  <c r="I186" i="18"/>
  <c r="C186" i="18"/>
  <c r="D186" i="18"/>
  <c r="I105" i="18"/>
  <c r="D105" i="18"/>
  <c r="C105" i="18"/>
  <c r="I134" i="18"/>
  <c r="C134" i="18"/>
  <c r="D134" i="18"/>
  <c r="D192" i="18"/>
  <c r="C192" i="18"/>
  <c r="I192" i="18"/>
  <c r="I123" i="18"/>
  <c r="D123" i="18"/>
  <c r="C123" i="18"/>
  <c r="C132" i="18"/>
  <c r="D132" i="18"/>
  <c r="I132" i="18"/>
  <c r="I180" i="18"/>
  <c r="D180" i="18"/>
  <c r="C180" i="18"/>
  <c r="I13" i="18"/>
  <c r="AF135" i="17"/>
  <c r="AF133" i="17"/>
  <c r="AF126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4" i="17"/>
  <c r="AF99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AF107" i="17" l="1"/>
  <c r="AF30" i="17"/>
  <c r="AF105" i="17"/>
  <c r="AF83" i="17"/>
  <c r="AF65" i="17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B22" i="18" l="1"/>
  <c r="L251" i="17"/>
  <c r="L4" i="17" s="1"/>
  <c r="S11" i="17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B23" i="18" l="1"/>
  <c r="C22" i="18"/>
  <c r="I22" i="18"/>
  <c r="D22" i="18"/>
  <c r="F22" i="18"/>
  <c r="I14" i="18"/>
  <c r="F14" i="18"/>
  <c r="AB247" i="2718"/>
  <c r="K247" i="2718" s="1"/>
  <c r="AG9" i="17"/>
  <c r="S12" i="17"/>
  <c r="AA10" i="17"/>
  <c r="A10" i="17"/>
  <c r="I23" i="18" l="1"/>
  <c r="D23" i="18"/>
  <c r="C23" i="18"/>
  <c r="F23" i="18"/>
  <c r="S13" i="17"/>
  <c r="AA11" i="17"/>
  <c r="A11" i="17"/>
  <c r="AG10" i="17"/>
  <c r="A12" i="17" l="1"/>
  <c r="S14" i="17"/>
  <c r="AG11" i="17"/>
  <c r="AA12" i="17"/>
  <c r="A13" i="17" l="1"/>
  <c r="AA13" i="17"/>
  <c r="AG12" i="17"/>
  <c r="S15" i="17"/>
  <c r="B24" i="18" l="1"/>
  <c r="S16" i="17"/>
  <c r="AA14" i="17"/>
  <c r="AG13" i="17"/>
  <c r="A14" i="17" l="1"/>
  <c r="I24" i="18"/>
  <c r="D24" i="18"/>
  <c r="C24" i="18"/>
  <c r="F24" i="18"/>
  <c r="AG14" i="17"/>
  <c r="S17" i="17"/>
  <c r="A15" i="17"/>
  <c r="AA15" i="17"/>
  <c r="AG15" i="17" l="1"/>
  <c r="A16" i="17"/>
  <c r="AA16" i="17"/>
  <c r="S18" i="17"/>
  <c r="S19" i="17" l="1"/>
  <c r="AA17" i="17"/>
  <c r="AG16" i="17"/>
  <c r="A17" i="17" l="1"/>
  <c r="AG17" i="17"/>
  <c r="S20" i="17"/>
  <c r="A18" i="17"/>
  <c r="AA18" i="17"/>
  <c r="B25" i="18" l="1"/>
  <c r="A19" i="17"/>
  <c r="AG18" i="17"/>
  <c r="S21" i="17"/>
  <c r="AA19" i="17"/>
  <c r="C25" i="18" l="1"/>
  <c r="D25" i="18"/>
  <c r="I25" i="18"/>
  <c r="F25" i="18"/>
  <c r="S22" i="17"/>
  <c r="B26" i="18" s="1"/>
  <c r="AG19" i="17"/>
  <c r="AA20" i="17"/>
  <c r="A20" i="17" l="1"/>
  <c r="D26" i="18"/>
  <c r="C26" i="18"/>
  <c r="I26" i="18"/>
  <c r="F26" i="18"/>
  <c r="A21" i="17"/>
  <c r="AA21" i="17"/>
  <c r="AG20" i="17"/>
  <c r="S23" i="17"/>
  <c r="B27" i="18" s="1"/>
  <c r="D27" i="18" l="1"/>
  <c r="C27" i="18"/>
  <c r="I27" i="18"/>
  <c r="F27" i="18"/>
  <c r="A22" i="17"/>
  <c r="AA22" i="17"/>
  <c r="S24" i="17"/>
  <c r="AG21" i="17"/>
  <c r="S25" i="17" l="1"/>
  <c r="A23" i="17"/>
  <c r="AA23" i="17"/>
  <c r="AG22" i="17"/>
  <c r="AG23" i="17" l="1"/>
  <c r="S26" i="17"/>
  <c r="A24" i="17"/>
  <c r="AA24" i="17"/>
  <c r="S27" i="17" l="1"/>
  <c r="B28" i="18" s="1"/>
  <c r="A25" i="17"/>
  <c r="AA25" i="17"/>
  <c r="AG24" i="17"/>
  <c r="C28" i="18" l="1"/>
  <c r="D28" i="18"/>
  <c r="F28" i="18"/>
  <c r="S28" i="17"/>
  <c r="B29" i="18" s="1"/>
  <c r="AA26" i="17"/>
  <c r="AG25" i="17"/>
  <c r="F29" i="18" l="1"/>
  <c r="C29" i="18"/>
  <c r="D29" i="18"/>
  <c r="A26" i="17"/>
  <c r="AG26" i="17"/>
  <c r="S29" i="17"/>
  <c r="A27" i="17"/>
  <c r="AA27" i="17"/>
  <c r="S30" i="17" l="1"/>
  <c r="AA28" i="17"/>
  <c r="A28" i="17"/>
  <c r="AG27" i="17"/>
  <c r="S31" i="17" l="1"/>
  <c r="AA29" i="17"/>
  <c r="A29" i="17" l="1"/>
  <c r="S32" i="17"/>
  <c r="AA30" i="17"/>
  <c r="A30" i="17"/>
  <c r="A31" i="17" l="1"/>
  <c r="AA31" i="17"/>
  <c r="S33" i="17"/>
  <c r="B30" i="18" s="1"/>
  <c r="C30" i="18" l="1"/>
  <c r="F30" i="18"/>
  <c r="D30" i="18"/>
  <c r="S34" i="17"/>
  <c r="B31" i="18" s="1"/>
  <c r="A32" i="17"/>
  <c r="AA32" i="17"/>
  <c r="D31" i="18" l="1"/>
  <c r="C31" i="18"/>
  <c r="F31" i="18"/>
  <c r="A33" i="17"/>
  <c r="S35" i="17"/>
  <c r="AA33" i="17"/>
  <c r="S36" i="17" l="1"/>
  <c r="A34" i="17"/>
  <c r="AA34" i="17"/>
  <c r="S37" i="17" l="1"/>
  <c r="AA35" i="17"/>
  <c r="A35" i="17" l="1"/>
  <c r="S38" i="17"/>
  <c r="A36" i="17"/>
  <c r="AA36" i="17"/>
  <c r="AG35" i="17"/>
  <c r="AG36" i="17" l="1"/>
  <c r="S39" i="17"/>
  <c r="B32" i="18" s="1"/>
  <c r="A37" i="17"/>
  <c r="AA37" i="17"/>
  <c r="C32" i="18" l="1"/>
  <c r="F32" i="18"/>
  <c r="D32" i="18"/>
  <c r="A38" i="17"/>
  <c r="AA38" i="17"/>
  <c r="AG37" i="17"/>
  <c r="S40" i="17"/>
  <c r="A39" i="17" l="1"/>
  <c r="AA39" i="17"/>
  <c r="S41" i="17"/>
  <c r="B33" i="18" s="1"/>
  <c r="AG38" i="17"/>
  <c r="C33" i="18" l="1"/>
  <c r="F33" i="18"/>
  <c r="D33" i="18"/>
  <c r="S42" i="17"/>
  <c r="A40" i="17"/>
  <c r="AA40" i="17"/>
  <c r="AG39" i="17"/>
  <c r="AA41" i="17" l="1"/>
  <c r="AG40" i="17"/>
  <c r="S43" i="17"/>
  <c r="A41" i="17" l="1"/>
  <c r="S44" i="17"/>
  <c r="AG41" i="17"/>
  <c r="A42" i="17"/>
  <c r="AA42" i="17"/>
  <c r="S45" i="17" l="1"/>
  <c r="B34" i="18" s="1"/>
  <c r="AG42" i="17"/>
  <c r="A43" i="17"/>
  <c r="AA43" i="17"/>
  <c r="C34" i="18" l="1"/>
  <c r="F34" i="18"/>
  <c r="D34" i="18"/>
  <c r="S46" i="17"/>
  <c r="AG43" i="17"/>
  <c r="A44" i="17"/>
  <c r="AA44" i="17"/>
  <c r="AG44" i="17" l="1"/>
  <c r="S47" i="17"/>
  <c r="B35" i="18" s="1"/>
  <c r="A45" i="17"/>
  <c r="AA45" i="17"/>
  <c r="D35" i="18" l="1"/>
  <c r="C35" i="18"/>
  <c r="F35" i="18"/>
  <c r="AG45" i="17"/>
  <c r="S48" i="17"/>
  <c r="A46" i="17"/>
  <c r="AA46" i="17"/>
  <c r="AG46" i="17" l="1"/>
  <c r="AA47" i="17"/>
  <c r="S49" i="17"/>
  <c r="A47" i="17" l="1"/>
  <c r="S50" i="17"/>
  <c r="AG47" i="17"/>
  <c r="A48" i="17"/>
  <c r="AA48" i="17"/>
  <c r="S51" i="17" l="1"/>
  <c r="AG48" i="17"/>
  <c r="A49" i="17"/>
  <c r="AA49" i="17"/>
  <c r="AG49" i="17" l="1"/>
  <c r="S52" i="17"/>
  <c r="A50" i="17"/>
  <c r="AA50" i="17"/>
  <c r="A51" i="17" l="1"/>
  <c r="AA51" i="17"/>
  <c r="AG50" i="17"/>
  <c r="S53" i="17"/>
  <c r="S54" i="17" l="1"/>
  <c r="AG51" i="17"/>
  <c r="A52" i="17"/>
  <c r="AA52" i="17"/>
  <c r="AG52" i="17" l="1"/>
  <c r="S55" i="17"/>
  <c r="A53" i="17"/>
  <c r="AA53" i="17"/>
  <c r="B99" i="18" l="1"/>
  <c r="AA54" i="17"/>
  <c r="A54" i="17"/>
  <c r="AG53" i="17"/>
  <c r="S56" i="17"/>
  <c r="F99" i="18" l="1"/>
  <c r="D99" i="18"/>
  <c r="C99" i="18"/>
  <c r="I99" i="18"/>
  <c r="B36" i="18"/>
  <c r="C36" i="18" s="1"/>
  <c r="S57" i="17"/>
  <c r="A55" i="17"/>
  <c r="AA55" i="17"/>
  <c r="AG54" i="17"/>
  <c r="D36" i="18" l="1"/>
  <c r="F36" i="18"/>
  <c r="AG55" i="17"/>
  <c r="S58" i="17"/>
  <c r="A56" i="17"/>
  <c r="AA56" i="17"/>
  <c r="S59" i="17" l="1"/>
  <c r="AG56" i="17"/>
  <c r="A57" i="17"/>
  <c r="AA57" i="17"/>
  <c r="AG57" i="17" l="1"/>
  <c r="S60" i="17"/>
  <c r="AA58" i="17"/>
  <c r="A58" i="17"/>
  <c r="AG58" i="17" l="1"/>
  <c r="S61" i="17"/>
  <c r="AA59" i="17"/>
  <c r="A59" i="17"/>
  <c r="S62" i="17" l="1"/>
  <c r="AA60" i="17"/>
  <c r="A60" i="17"/>
  <c r="AG59" i="17"/>
  <c r="S63" i="17" l="1"/>
  <c r="AA61" i="17"/>
  <c r="AG60" i="17"/>
  <c r="B37" i="18" l="1"/>
  <c r="A61" i="17"/>
  <c r="S64" i="17"/>
  <c r="A62" i="17"/>
  <c r="AA62" i="17"/>
  <c r="AG61" i="17"/>
  <c r="B38" i="18" l="1"/>
  <c r="C37" i="18"/>
  <c r="F37" i="18"/>
  <c r="D37" i="18"/>
  <c r="S65" i="17"/>
  <c r="AA63" i="17"/>
  <c r="AG62" i="17"/>
  <c r="C38" i="18" l="1"/>
  <c r="D38" i="18"/>
  <c r="F38" i="18"/>
  <c r="A63" i="17"/>
  <c r="A64" i="17"/>
  <c r="S66" i="17"/>
  <c r="AA64" i="17"/>
  <c r="AG63" i="17"/>
  <c r="A65" i="17" l="1"/>
  <c r="AA65" i="17"/>
  <c r="S67" i="17"/>
  <c r="AG64" i="17"/>
  <c r="S68" i="17" l="1"/>
  <c r="AA66" i="17"/>
  <c r="AG65" i="17"/>
  <c r="A66" i="17" l="1"/>
  <c r="S69" i="17"/>
  <c r="A67" i="17"/>
  <c r="AA67" i="17"/>
  <c r="AG66" i="17"/>
  <c r="A68" i="17" l="1"/>
  <c r="S70" i="17"/>
  <c r="B39" i="18" s="1"/>
  <c r="AA68" i="17"/>
  <c r="AG67" i="17"/>
  <c r="F39" i="18" l="1"/>
  <c r="D39" i="18"/>
  <c r="C39" i="18"/>
  <c r="S71" i="17"/>
  <c r="A69" i="17"/>
  <c r="AA69" i="17"/>
  <c r="AG68" i="17"/>
  <c r="A70" i="17" l="1"/>
  <c r="AA70" i="17"/>
  <c r="S72" i="17"/>
  <c r="AG69" i="17"/>
  <c r="S73" i="17" l="1"/>
  <c r="A71" i="17"/>
  <c r="AA71" i="17"/>
  <c r="AG70" i="17"/>
  <c r="S74" i="17" l="1"/>
  <c r="B40" i="18" s="1"/>
  <c r="A72" i="17"/>
  <c r="AA72" i="17"/>
  <c r="AG71" i="17"/>
  <c r="F40" i="18" l="1"/>
  <c r="C40" i="18"/>
  <c r="D40" i="18"/>
  <c r="A73" i="17"/>
  <c r="S75" i="17"/>
  <c r="B41" i="18" s="1"/>
  <c r="AA73" i="17"/>
  <c r="AG72" i="17"/>
  <c r="C41" i="18" l="1"/>
  <c r="D41" i="18"/>
  <c r="F41" i="18"/>
  <c r="S76" i="17"/>
  <c r="A74" i="17"/>
  <c r="AA74" i="17"/>
  <c r="AG73" i="17"/>
  <c r="S77" i="17" l="1"/>
  <c r="A75" i="17"/>
  <c r="AA75" i="17"/>
  <c r="S78" i="17" l="1"/>
  <c r="A76" i="17"/>
  <c r="AA76" i="17"/>
  <c r="AG75" i="17"/>
  <c r="S79" i="17" l="1"/>
  <c r="B44" i="18" s="1"/>
  <c r="A77" i="17"/>
  <c r="AA77" i="17"/>
  <c r="AG76" i="17"/>
  <c r="I44" i="18" l="1"/>
  <c r="D44" i="18"/>
  <c r="F44" i="18"/>
  <c r="C44" i="18"/>
  <c r="S80" i="17"/>
  <c r="AA78" i="17"/>
  <c r="AG77" i="17"/>
  <c r="A78" i="17" l="1"/>
  <c r="A79" i="17"/>
  <c r="AA79" i="17"/>
  <c r="S81" i="17"/>
  <c r="AG78" i="17"/>
  <c r="A80" i="17" l="1"/>
  <c r="S82" i="17"/>
  <c r="B45" i="18" s="1"/>
  <c r="AA80" i="17"/>
  <c r="AG79" i="17"/>
  <c r="I45" i="18" l="1"/>
  <c r="C45" i="18"/>
  <c r="F45" i="18"/>
  <c r="D45" i="18"/>
  <c r="S83" i="17"/>
  <c r="AA81" i="17"/>
  <c r="AG80" i="17"/>
  <c r="A81" i="17" l="1"/>
  <c r="A82" i="17"/>
  <c r="AA82" i="17"/>
  <c r="S84" i="17"/>
  <c r="AG81" i="17"/>
  <c r="A83" i="17" l="1"/>
  <c r="S85" i="17"/>
  <c r="AA83" i="17"/>
  <c r="AG82" i="17"/>
  <c r="B46" i="18" l="1"/>
  <c r="A84" i="17"/>
  <c r="AG83" i="17"/>
  <c r="AA84" i="17"/>
  <c r="S86" i="17"/>
  <c r="B47" i="18" l="1"/>
  <c r="D46" i="18"/>
  <c r="F46" i="18"/>
  <c r="C46" i="18"/>
  <c r="I46" i="18"/>
  <c r="S87" i="17"/>
  <c r="AG84" i="17"/>
  <c r="AA85" i="17"/>
  <c r="C47" i="18" l="1"/>
  <c r="F47" i="18"/>
  <c r="D47" i="18"/>
  <c r="I47" i="18"/>
  <c r="A85" i="17"/>
  <c r="S88" i="17"/>
  <c r="A86" i="17"/>
  <c r="AA86" i="17"/>
  <c r="AG85" i="17"/>
  <c r="S89" i="17" l="1"/>
  <c r="B48" i="18" s="1"/>
  <c r="A87" i="17"/>
  <c r="AA87" i="17"/>
  <c r="AG86" i="17"/>
  <c r="D48" i="18" l="1"/>
  <c r="I48" i="18"/>
  <c r="F48" i="18"/>
  <c r="C48" i="18"/>
  <c r="B42" i="18"/>
  <c r="S90" i="17"/>
  <c r="B49" i="18" s="1"/>
  <c r="A88" i="17"/>
  <c r="AA88" i="17"/>
  <c r="AG87" i="17"/>
  <c r="F49" i="18" l="1"/>
  <c r="D49" i="18"/>
  <c r="I49" i="18"/>
  <c r="C49" i="18"/>
  <c r="C42" i="18"/>
  <c r="D42" i="18"/>
  <c r="I42" i="18"/>
  <c r="F42" i="18"/>
  <c r="S91" i="17"/>
  <c r="B50" i="18" s="1"/>
  <c r="A89" i="17"/>
  <c r="AA89" i="17"/>
  <c r="AG88" i="17"/>
  <c r="C50" i="18" l="1"/>
  <c r="I50" i="18"/>
  <c r="F50" i="18"/>
  <c r="D50" i="18"/>
  <c r="AA91" i="17"/>
  <c r="S92" i="17"/>
  <c r="A90" i="17"/>
  <c r="AA90" i="17"/>
  <c r="AG89" i="17"/>
  <c r="AA92" i="17" l="1"/>
  <c r="AG91" i="17"/>
  <c r="A91" i="17"/>
  <c r="S93" i="17"/>
  <c r="B51" i="18" s="1"/>
  <c r="AG90" i="17"/>
  <c r="F51" i="18" l="1"/>
  <c r="C51" i="18"/>
  <c r="D51" i="18"/>
  <c r="I51" i="18"/>
  <c r="B43" i="18"/>
  <c r="S94" i="17"/>
  <c r="A92" i="17" l="1"/>
  <c r="AG92" i="17"/>
  <c r="D43" i="18"/>
  <c r="I43" i="18"/>
  <c r="C43" i="18"/>
  <c r="F43" i="18"/>
  <c r="S95" i="17"/>
  <c r="AA93" i="17"/>
  <c r="A93" i="17"/>
  <c r="S96" i="17" l="1"/>
  <c r="A94" i="17"/>
  <c r="AA94" i="17"/>
  <c r="AG93" i="17"/>
  <c r="S97" i="17" l="1"/>
  <c r="A95" i="17"/>
  <c r="AA95" i="17"/>
  <c r="AG94" i="17"/>
  <c r="AG95" i="17" l="1"/>
  <c r="S98" i="17"/>
  <c r="A96" i="17"/>
  <c r="AA96" i="17"/>
  <c r="A97" i="17" l="1"/>
  <c r="S99" i="17"/>
  <c r="B52" i="18" s="1"/>
  <c r="AA97" i="17"/>
  <c r="AG96" i="17"/>
  <c r="F52" i="18" l="1"/>
  <c r="D52" i="18"/>
  <c r="I52" i="18"/>
  <c r="C52" i="18"/>
  <c r="S100" i="17"/>
  <c r="B53" i="18" s="1"/>
  <c r="C53" i="18" s="1"/>
  <c r="A98" i="17"/>
  <c r="AA98" i="17"/>
  <c r="AG97" i="17"/>
  <c r="F53" i="18" l="1"/>
  <c r="I53" i="18"/>
  <c r="D53" i="18"/>
  <c r="A99" i="17"/>
  <c r="AA99" i="17"/>
  <c r="S101" i="17"/>
  <c r="B54" i="18" s="1"/>
  <c r="AG98" i="17"/>
  <c r="C54" i="18" l="1"/>
  <c r="D54" i="18"/>
  <c r="I54" i="18"/>
  <c r="F54" i="18"/>
  <c r="S102" i="17"/>
  <c r="B55" i="18" s="1"/>
  <c r="A100" i="17"/>
  <c r="AA100" i="17"/>
  <c r="AG99" i="17"/>
  <c r="F55" i="18" l="1"/>
  <c r="D55" i="18"/>
  <c r="C55" i="18"/>
  <c r="S103" i="17"/>
  <c r="A101" i="17"/>
  <c r="AA101" i="17"/>
  <c r="AG100" i="17"/>
  <c r="S104" i="17" l="1"/>
  <c r="A102" i="17"/>
  <c r="AA102" i="17"/>
  <c r="AG101" i="17"/>
  <c r="A103" i="17" l="1"/>
  <c r="AA103" i="17"/>
  <c r="S105" i="17"/>
  <c r="AG102" i="17"/>
  <c r="B56" i="18" l="1"/>
  <c r="C56" i="18" s="1"/>
  <c r="A104" i="17"/>
  <c r="S106" i="17"/>
  <c r="AG103" i="17"/>
  <c r="AA104" i="17"/>
  <c r="F56" i="18" l="1"/>
  <c r="I56" i="18"/>
  <c r="D56" i="18"/>
  <c r="A105" i="17"/>
  <c r="AA105" i="17"/>
  <c r="S107" i="17"/>
  <c r="AG104" i="17"/>
  <c r="B57" i="18" l="1"/>
  <c r="D57" i="18" s="1"/>
  <c r="A106" i="17"/>
  <c r="S108" i="17"/>
  <c r="AA106" i="17"/>
  <c r="AG105" i="17"/>
  <c r="F57" i="18" l="1"/>
  <c r="C57" i="18"/>
  <c r="I57" i="18"/>
  <c r="S109" i="17"/>
  <c r="AA107" i="17"/>
  <c r="AG106" i="17"/>
  <c r="B58" i="18" l="1"/>
  <c r="A107" i="17"/>
  <c r="S110" i="17"/>
  <c r="A108" i="17"/>
  <c r="AA108" i="17"/>
  <c r="AG107" i="17"/>
  <c r="I58" i="18" l="1"/>
  <c r="C58" i="18"/>
  <c r="F58" i="18"/>
  <c r="D58" i="18"/>
  <c r="A109" i="17"/>
  <c r="S111" i="17"/>
  <c r="AA109" i="17"/>
  <c r="AG108" i="17"/>
  <c r="B59" i="18" l="1"/>
  <c r="S112" i="17"/>
  <c r="A110" i="17"/>
  <c r="AA110" i="17"/>
  <c r="AG109" i="17"/>
  <c r="F59" i="18" l="1"/>
  <c r="C59" i="18"/>
  <c r="D59" i="18"/>
  <c r="I59" i="18"/>
  <c r="A111" i="17"/>
  <c r="S113" i="17"/>
  <c r="AA111" i="17"/>
  <c r="AG110" i="17"/>
  <c r="A112" i="17" l="1"/>
  <c r="B60" i="18"/>
  <c r="AA112" i="17"/>
  <c r="S114" i="17"/>
  <c r="AG111" i="17"/>
  <c r="I60" i="18" l="1"/>
  <c r="F60" i="18"/>
  <c r="D60" i="18"/>
  <c r="C60" i="18"/>
  <c r="S115" i="17"/>
  <c r="A113" i="17"/>
  <c r="AA113" i="17"/>
  <c r="AG112" i="17"/>
  <c r="A114" i="17" l="1"/>
  <c r="S116" i="17"/>
  <c r="AA114" i="17"/>
  <c r="AG113" i="17"/>
  <c r="B61" i="18" l="1"/>
  <c r="AA115" i="17"/>
  <c r="S117" i="17"/>
  <c r="AG114" i="17"/>
  <c r="A115" i="17" l="1"/>
  <c r="B72" i="18"/>
  <c r="F72" i="18" s="1"/>
  <c r="B62" i="18"/>
  <c r="I61" i="18"/>
  <c r="D61" i="18"/>
  <c r="C61" i="18"/>
  <c r="F61" i="18"/>
  <c r="A116" i="17"/>
  <c r="AA116" i="17"/>
  <c r="S118" i="17"/>
  <c r="AG115" i="17"/>
  <c r="D62" i="18" l="1"/>
  <c r="C62" i="18"/>
  <c r="I62" i="18"/>
  <c r="F62" i="18"/>
  <c r="I72" i="18"/>
  <c r="C72" i="18"/>
  <c r="D72" i="18"/>
  <c r="B73" i="18"/>
  <c r="S119" i="17"/>
  <c r="A117" i="17"/>
  <c r="AA117" i="17"/>
  <c r="AG116" i="17"/>
  <c r="B74" i="18" l="1"/>
  <c r="C74" i="18" s="1"/>
  <c r="F73" i="18"/>
  <c r="I73" i="18"/>
  <c r="D73" i="18"/>
  <c r="C73" i="18"/>
  <c r="A118" i="17"/>
  <c r="S120" i="17"/>
  <c r="AA118" i="17"/>
  <c r="AG117" i="17"/>
  <c r="D74" i="18" l="1"/>
  <c r="I74" i="18"/>
  <c r="F74" i="18"/>
  <c r="B75" i="18"/>
  <c r="S121" i="17"/>
  <c r="AA119" i="17"/>
  <c r="AG118" i="17"/>
  <c r="A119" i="17" l="1"/>
  <c r="B76" i="18"/>
  <c r="F75" i="18"/>
  <c r="I75" i="18"/>
  <c r="C75" i="18"/>
  <c r="D75" i="18"/>
  <c r="S122" i="17"/>
  <c r="A120" i="17"/>
  <c r="AA120" i="17"/>
  <c r="AG119" i="17"/>
  <c r="B63" i="18" l="1"/>
  <c r="B77" i="18"/>
  <c r="F76" i="18"/>
  <c r="I76" i="18"/>
  <c r="C76" i="18"/>
  <c r="D76" i="18"/>
  <c r="A121" i="17"/>
  <c r="AA121" i="17"/>
  <c r="S123" i="17"/>
  <c r="AG120" i="17"/>
  <c r="B64" i="18" l="1"/>
  <c r="I63" i="18"/>
  <c r="D63" i="18"/>
  <c r="C63" i="18"/>
  <c r="F63" i="18"/>
  <c r="B78" i="18"/>
  <c r="F77" i="18"/>
  <c r="I77" i="18"/>
  <c r="D77" i="18"/>
  <c r="C77" i="18"/>
  <c r="A122" i="17"/>
  <c r="AA122" i="17"/>
  <c r="S124" i="17"/>
  <c r="AG121" i="17"/>
  <c r="B65" i="18" l="1"/>
  <c r="D64" i="18"/>
  <c r="C64" i="18"/>
  <c r="F64" i="18"/>
  <c r="I64" i="18"/>
  <c r="F78" i="18"/>
  <c r="D78" i="18"/>
  <c r="C78" i="18"/>
  <c r="I78" i="18"/>
  <c r="S125" i="17"/>
  <c r="A123" i="17"/>
  <c r="AA123" i="17"/>
  <c r="AG122" i="17"/>
  <c r="B66" i="18" l="1"/>
  <c r="D65" i="18"/>
  <c r="F65" i="18"/>
  <c r="C65" i="18"/>
  <c r="I65" i="18"/>
  <c r="S126" i="17"/>
  <c r="A124" i="17"/>
  <c r="AA124" i="17"/>
  <c r="AG123" i="17"/>
  <c r="B79" i="18" l="1"/>
  <c r="F79" i="18" s="1"/>
  <c r="I66" i="18"/>
  <c r="C66" i="18"/>
  <c r="F66" i="18"/>
  <c r="D66" i="18"/>
  <c r="A125" i="17"/>
  <c r="AA125" i="17"/>
  <c r="S127" i="17"/>
  <c r="AG124" i="17"/>
  <c r="B67" i="18" l="1"/>
  <c r="C79" i="18"/>
  <c r="I79" i="18"/>
  <c r="D79" i="18"/>
  <c r="S128" i="17"/>
  <c r="A126" i="17"/>
  <c r="AA126" i="17"/>
  <c r="AG125" i="17"/>
  <c r="F67" i="18" l="1"/>
  <c r="D67" i="18"/>
  <c r="C67" i="18"/>
  <c r="I67" i="18"/>
  <c r="S129" i="17"/>
  <c r="A127" i="17"/>
  <c r="AA127" i="17"/>
  <c r="AG126" i="17"/>
  <c r="B80" i="18" l="1"/>
  <c r="F80" i="18" s="1"/>
  <c r="A128" i="17"/>
  <c r="AA128" i="17"/>
  <c r="S130" i="17"/>
  <c r="AG127" i="17"/>
  <c r="B68" i="18" l="1"/>
  <c r="D68" i="18" s="1"/>
  <c r="C80" i="18"/>
  <c r="D80" i="18"/>
  <c r="I80" i="18"/>
  <c r="S131" i="17"/>
  <c r="A129" i="17"/>
  <c r="AA129" i="17"/>
  <c r="AG128" i="17"/>
  <c r="B69" i="18" l="1"/>
  <c r="D69" i="18" s="1"/>
  <c r="F68" i="18"/>
  <c r="I68" i="18"/>
  <c r="C68" i="18"/>
  <c r="A130" i="17"/>
  <c r="B81" i="18"/>
  <c r="F81" i="18" s="1"/>
  <c r="AG129" i="17"/>
  <c r="S132" i="17"/>
  <c r="AA130" i="17"/>
  <c r="I69" i="18" l="1"/>
  <c r="F69" i="18"/>
  <c r="C69" i="18"/>
  <c r="B70" i="18"/>
  <c r="C70" i="18" s="1"/>
  <c r="C81" i="18"/>
  <c r="D81" i="18"/>
  <c r="I81" i="18"/>
  <c r="S133" i="17"/>
  <c r="AG130" i="17"/>
  <c r="AA131" i="17"/>
  <c r="B71" i="18" l="1"/>
  <c r="I71" i="18" s="1"/>
  <c r="D70" i="18"/>
  <c r="F70" i="18"/>
  <c r="I70" i="18"/>
  <c r="A131" i="17"/>
  <c r="S134" i="17"/>
  <c r="P5" i="17" s="1"/>
  <c r="A132" i="17"/>
  <c r="AA132" i="17"/>
  <c r="AG131" i="17"/>
  <c r="F71" i="18" l="1"/>
  <c r="D71" i="18"/>
  <c r="C71" i="18"/>
  <c r="S135" i="17"/>
  <c r="A133" i="17"/>
  <c r="AA133" i="17"/>
  <c r="AG132" i="17"/>
  <c r="A134" i="17" l="1"/>
  <c r="AA134" i="17"/>
  <c r="S136" i="17"/>
  <c r="AG133" i="17"/>
  <c r="S137" i="17" l="1"/>
  <c r="AG134" i="17"/>
  <c r="A135" i="17"/>
  <c r="AA135" i="17"/>
  <c r="S138" i="17" l="1"/>
  <c r="A136" i="17"/>
  <c r="AA136" i="17"/>
  <c r="AG135" i="17"/>
  <c r="S139" i="17" l="1"/>
  <c r="A137" i="17"/>
  <c r="AA137" i="17"/>
  <c r="AG136" i="17"/>
  <c r="S140" i="17" l="1"/>
  <c r="A138" i="17"/>
  <c r="AA138" i="17"/>
  <c r="AG137" i="17"/>
  <c r="S141" i="17" l="1"/>
  <c r="A139" i="17"/>
  <c r="AA139" i="17"/>
  <c r="AG138" i="17"/>
  <c r="A140" i="17" l="1"/>
  <c r="AA140" i="17"/>
  <c r="S142" i="17"/>
  <c r="AG139" i="17"/>
  <c r="S143" i="17" l="1"/>
  <c r="AG140" i="17"/>
  <c r="A141" i="17"/>
  <c r="AA141" i="17"/>
  <c r="S144" i="17" l="1"/>
  <c r="S145" i="17" s="1"/>
  <c r="S146" i="17" s="1"/>
  <c r="S147" i="17" s="1"/>
  <c r="S148" i="17" s="1"/>
  <c r="S149" i="17" s="1"/>
  <c r="S150" i="17" s="1"/>
  <c r="S151" i="17" s="1"/>
  <c r="S152" i="17" s="1"/>
  <c r="V151" i="17"/>
  <c r="V218" i="17"/>
  <c r="V170" i="17"/>
  <c r="A142" i="17"/>
  <c r="AA142" i="17"/>
  <c r="U142" i="17"/>
  <c r="U36" i="17"/>
  <c r="V217" i="17"/>
  <c r="V213" i="17"/>
  <c r="V245" i="17"/>
  <c r="V138" i="17"/>
  <c r="V124" i="17"/>
  <c r="V203" i="17"/>
  <c r="V249" i="17"/>
  <c r="V193" i="17"/>
  <c r="V136" i="17"/>
  <c r="AG141" i="17"/>
  <c r="V204" i="17"/>
  <c r="L7" i="16" l="1"/>
  <c r="D9" i="16"/>
  <c r="E2" i="2717" s="1"/>
  <c r="J7" i="16"/>
  <c r="J7" i="2711" s="1"/>
  <c r="K7" i="16"/>
  <c r="A143" i="17"/>
  <c r="I18" i="16" s="1"/>
  <c r="AA143" i="17"/>
  <c r="V150" i="17"/>
  <c r="V225" i="17"/>
  <c r="V206" i="17"/>
  <c r="V173" i="17"/>
  <c r="V167" i="17"/>
  <c r="V195" i="17"/>
  <c r="V220" i="17"/>
  <c r="V145" i="17"/>
  <c r="V224" i="17"/>
  <c r="V184" i="17"/>
  <c r="V205" i="17"/>
  <c r="V215" i="17"/>
  <c r="V228" i="17"/>
  <c r="V163" i="17"/>
  <c r="V187" i="17"/>
  <c r="V244" i="17"/>
  <c r="V221" i="17"/>
  <c r="V131" i="17"/>
  <c r="V235" i="17"/>
  <c r="V174" i="17"/>
  <c r="V181" i="17"/>
  <c r="V223" i="17"/>
  <c r="V242" i="17"/>
  <c r="U88" i="17"/>
  <c r="U150" i="17"/>
  <c r="U78" i="17"/>
  <c r="U220" i="17"/>
  <c r="U172" i="17"/>
  <c r="V53" i="17"/>
  <c r="V41" i="17"/>
  <c r="U48" i="17"/>
  <c r="V13" i="17"/>
  <c r="U120" i="17"/>
  <c r="U18" i="17"/>
  <c r="U73" i="17"/>
  <c r="V111" i="17"/>
  <c r="V109" i="17"/>
  <c r="U154" i="17"/>
  <c r="U103" i="17"/>
  <c r="U155" i="17"/>
  <c r="U224" i="17"/>
  <c r="U122" i="17"/>
  <c r="V20" i="17"/>
  <c r="U125" i="17"/>
  <c r="U72" i="17"/>
  <c r="U209" i="17"/>
  <c r="U74" i="17"/>
  <c r="U98" i="17"/>
  <c r="V75" i="17"/>
  <c r="U40" i="17"/>
  <c r="U71" i="17"/>
  <c r="V103" i="17"/>
  <c r="V21" i="17"/>
  <c r="U53" i="17"/>
  <c r="U228" i="17"/>
  <c r="U64" i="17"/>
  <c r="U7" i="17"/>
  <c r="V112" i="17"/>
  <c r="U197" i="17"/>
  <c r="V92" i="17"/>
  <c r="V130" i="17"/>
  <c r="V55" i="17"/>
  <c r="V230" i="17"/>
  <c r="U177" i="17"/>
  <c r="V12" i="17"/>
  <c r="V231" i="17"/>
  <c r="V186" i="17"/>
  <c r="V147" i="17"/>
  <c r="V188" i="17"/>
  <c r="V199" i="17"/>
  <c r="V177" i="17"/>
  <c r="V24" i="17"/>
  <c r="V185" i="17"/>
  <c r="V238" i="17"/>
  <c r="V247" i="17"/>
  <c r="V162" i="17"/>
  <c r="V194" i="17"/>
  <c r="V219" i="17"/>
  <c r="U234" i="17"/>
  <c r="V197" i="17"/>
  <c r="V234" i="17"/>
  <c r="V135" i="17"/>
  <c r="V210" i="17"/>
  <c r="U249" i="17"/>
  <c r="V114" i="17"/>
  <c r="U126" i="17"/>
  <c r="V42" i="17"/>
  <c r="V16" i="17"/>
  <c r="U11" i="17"/>
  <c r="U243" i="17"/>
  <c r="U119" i="17"/>
  <c r="U205" i="17"/>
  <c r="U8" i="17"/>
  <c r="V108" i="17"/>
  <c r="V61" i="17"/>
  <c r="U62" i="17"/>
  <c r="U191" i="17"/>
  <c r="V59" i="17"/>
  <c r="V36" i="17"/>
  <c r="U109" i="17"/>
  <c r="U51" i="17"/>
  <c r="V122" i="17"/>
  <c r="U46" i="17"/>
  <c r="U144" i="17"/>
  <c r="V47" i="17"/>
  <c r="U93" i="17"/>
  <c r="U230" i="17"/>
  <c r="U79" i="17"/>
  <c r="V23" i="17"/>
  <c r="U242" i="17"/>
  <c r="U189" i="17"/>
  <c r="U167" i="17"/>
  <c r="U182" i="17"/>
  <c r="U65" i="17"/>
  <c r="U95" i="17"/>
  <c r="U55" i="17"/>
  <c r="U121" i="17"/>
  <c r="U99" i="17"/>
  <c r="V123" i="17"/>
  <c r="V22" i="17"/>
  <c r="U200" i="17"/>
  <c r="V67" i="17"/>
  <c r="U37" i="17"/>
  <c r="V66" i="17"/>
  <c r="U17" i="17"/>
  <c r="U221" i="17"/>
  <c r="V95" i="17"/>
  <c r="U217" i="17"/>
  <c r="V68" i="17"/>
  <c r="U244" i="17"/>
  <c r="V79" i="17"/>
  <c r="U141" i="17"/>
  <c r="U124" i="17"/>
  <c r="U29" i="17"/>
  <c r="V18" i="17"/>
  <c r="U14" i="17"/>
  <c r="V26" i="17"/>
  <c r="V120" i="17"/>
  <c r="U87" i="17"/>
  <c r="U92" i="17"/>
  <c r="U60" i="17"/>
  <c r="V15" i="17"/>
  <c r="U59" i="17"/>
  <c r="V179" i="17"/>
  <c r="U68" i="17"/>
  <c r="V180" i="17"/>
  <c r="V208" i="17"/>
  <c r="V212" i="17"/>
  <c r="V50" i="17"/>
  <c r="V132" i="17"/>
  <c r="U16" i="17"/>
  <c r="V37" i="17"/>
  <c r="V198" i="17"/>
  <c r="V233" i="17"/>
  <c r="U233" i="17"/>
  <c r="U130" i="17"/>
  <c r="V88" i="17"/>
  <c r="U170" i="17"/>
  <c r="V125" i="17"/>
  <c r="U180" i="17"/>
  <c r="V196" i="17"/>
  <c r="V153" i="17"/>
  <c r="V169" i="17"/>
  <c r="V236" i="17"/>
  <c r="V248" i="17"/>
  <c r="U206" i="17"/>
  <c r="V126" i="17"/>
  <c r="U135" i="17"/>
  <c r="V113" i="17"/>
  <c r="V128" i="17"/>
  <c r="V17" i="17"/>
  <c r="U179" i="17"/>
  <c r="U108" i="17"/>
  <c r="U50" i="17"/>
  <c r="U146" i="17"/>
  <c r="U107" i="17"/>
  <c r="V65" i="17"/>
  <c r="V77" i="17"/>
  <c r="U56" i="17"/>
  <c r="U76" i="17"/>
  <c r="V63" i="17"/>
  <c r="U70" i="17"/>
  <c r="U210" i="17"/>
  <c r="V105" i="17"/>
  <c r="V48" i="17"/>
  <c r="V57" i="17"/>
  <c r="U232" i="17"/>
  <c r="V7" i="17"/>
  <c r="U19" i="17"/>
  <c r="U169" i="17"/>
  <c r="U9" i="17"/>
  <c r="U105" i="17"/>
  <c r="U248" i="17"/>
  <c r="U41" i="17"/>
  <c r="U156" i="17"/>
  <c r="U222" i="17"/>
  <c r="V51" i="17"/>
  <c r="U196" i="17"/>
  <c r="V56" i="17"/>
  <c r="V71" i="17"/>
  <c r="V45" i="17"/>
  <c r="U198" i="17"/>
  <c r="U90" i="17"/>
  <c r="V87" i="17"/>
  <c r="V118" i="17"/>
  <c r="U133" i="17"/>
  <c r="V76" i="17"/>
  <c r="U32" i="17"/>
  <c r="U139" i="17"/>
  <c r="V89" i="17"/>
  <c r="U42" i="17"/>
  <c r="V82" i="17"/>
  <c r="U181" i="17"/>
  <c r="U94" i="17"/>
  <c r="V35" i="17"/>
  <c r="U188" i="17"/>
  <c r="V115" i="17"/>
  <c r="V8" i="17"/>
  <c r="U75" i="17"/>
  <c r="V19" i="17"/>
  <c r="U211" i="17"/>
  <c r="U58" i="17"/>
  <c r="U178" i="17"/>
  <c r="U174" i="17"/>
  <c r="U22" i="17"/>
  <c r="U236" i="17"/>
  <c r="V209" i="17"/>
  <c r="V211" i="17"/>
  <c r="V160" i="17"/>
  <c r="V200" i="17"/>
  <c r="V157" i="17"/>
  <c r="V229" i="17"/>
  <c r="V207" i="17"/>
  <c r="V202" i="17"/>
  <c r="V152" i="17"/>
  <c r="V165" i="17"/>
  <c r="V222" i="17"/>
  <c r="V216" i="17"/>
  <c r="V243" i="17"/>
  <c r="V168" i="17"/>
  <c r="V178" i="17"/>
  <c r="V191" i="17"/>
  <c r="V190" i="17"/>
  <c r="V214" i="17"/>
  <c r="V158" i="17"/>
  <c r="U25" i="17"/>
  <c r="U21" i="17"/>
  <c r="U143" i="17"/>
  <c r="V227" i="17"/>
  <c r="U145" i="17"/>
  <c r="U140" i="17"/>
  <c r="U20" i="17"/>
  <c r="U49" i="17"/>
  <c r="U115" i="17"/>
  <c r="U195" i="17"/>
  <c r="U127" i="17"/>
  <c r="V119" i="17"/>
  <c r="U110" i="17"/>
  <c r="U163" i="17"/>
  <c r="U10" i="17"/>
  <c r="E22" i="18" s="1"/>
  <c r="G22" i="18" s="1"/>
  <c r="U193" i="17"/>
  <c r="U175" i="17"/>
  <c r="U77" i="17"/>
  <c r="U157" i="17"/>
  <c r="U227" i="17"/>
  <c r="U61" i="17"/>
  <c r="V38" i="17"/>
  <c r="V133" i="17"/>
  <c r="U158" i="17"/>
  <c r="U152" i="17"/>
  <c r="U184" i="17"/>
  <c r="V52" i="17"/>
  <c r="V127" i="17"/>
  <c r="U67" i="17"/>
  <c r="U199" i="17"/>
  <c r="U238" i="17"/>
  <c r="U207" i="17"/>
  <c r="V99" i="17"/>
  <c r="U246" i="17"/>
  <c r="U123" i="17"/>
  <c r="U215" i="17"/>
  <c r="U30" i="17"/>
  <c r="U63" i="17"/>
  <c r="V110" i="17"/>
  <c r="V102" i="17"/>
  <c r="U153" i="17"/>
  <c r="U47" i="17"/>
  <c r="U24" i="17"/>
  <c r="U52" i="17"/>
  <c r="U208" i="17"/>
  <c r="U214" i="17"/>
  <c r="U44" i="17"/>
  <c r="V11" i="17"/>
  <c r="V93" i="17"/>
  <c r="U69" i="17"/>
  <c r="U112" i="17"/>
  <c r="V107" i="17"/>
  <c r="U86" i="17"/>
  <c r="V60" i="17"/>
  <c r="U226" i="17"/>
  <c r="V90" i="17"/>
  <c r="U192" i="17"/>
  <c r="U213" i="17"/>
  <c r="U194" i="17"/>
  <c r="V117" i="17"/>
  <c r="U117" i="17"/>
  <c r="U149" i="17"/>
  <c r="V121" i="17"/>
  <c r="V134" i="17"/>
  <c r="U176" i="17"/>
  <c r="U33" i="17"/>
  <c r="U229" i="17"/>
  <c r="U212" i="17"/>
  <c r="V14" i="17"/>
  <c r="U223" i="17"/>
  <c r="V25" i="17"/>
  <c r="U245" i="17"/>
  <c r="U89" i="17"/>
  <c r="U166" i="17"/>
  <c r="U84" i="17"/>
  <c r="U118" i="17"/>
  <c r="U23" i="17"/>
  <c r="U250" i="17"/>
  <c r="U160" i="17"/>
  <c r="V44" i="17"/>
  <c r="U148" i="17"/>
  <c r="U225" i="17"/>
  <c r="U216" i="17"/>
  <c r="U128" i="17"/>
  <c r="U80" i="17"/>
  <c r="U137" i="17"/>
  <c r="U132" i="17"/>
  <c r="U35" i="17"/>
  <c r="U102" i="17"/>
  <c r="U15" i="17"/>
  <c r="V96" i="17"/>
  <c r="V62" i="17"/>
  <c r="U185" i="17"/>
  <c r="U43" i="17"/>
  <c r="V161" i="17"/>
  <c r="V241" i="17"/>
  <c r="V250" i="17"/>
  <c r="V171" i="17"/>
  <c r="V159" i="17"/>
  <c r="V201" i="17"/>
  <c r="V164" i="17"/>
  <c r="V182" i="17"/>
  <c r="U165" i="17"/>
  <c r="V10" i="17"/>
  <c r="U237" i="17"/>
  <c r="V104" i="17"/>
  <c r="V84" i="17"/>
  <c r="V239" i="17"/>
  <c r="V172" i="17"/>
  <c r="V246" i="17"/>
  <c r="V232" i="17"/>
  <c r="U66" i="17"/>
  <c r="V69" i="17"/>
  <c r="V156" i="17"/>
  <c r="V85" i="17"/>
  <c r="U28" i="17"/>
  <c r="U91" i="17"/>
  <c r="U235" i="17"/>
  <c r="V81" i="17"/>
  <c r="V94" i="17"/>
  <c r="U39" i="17"/>
  <c r="V78" i="17"/>
  <c r="U129" i="17"/>
  <c r="V100" i="17"/>
  <c r="U97" i="17"/>
  <c r="U202" i="17"/>
  <c r="U203" i="17"/>
  <c r="U219" i="17"/>
  <c r="V39" i="17"/>
  <c r="V129" i="17"/>
  <c r="U168" i="17"/>
  <c r="U218" i="17"/>
  <c r="U138" i="17"/>
  <c r="U100" i="17"/>
  <c r="V72" i="17"/>
  <c r="U173" i="17"/>
  <c r="U13" i="17"/>
  <c r="V176" i="17"/>
  <c r="U241" i="17"/>
  <c r="V148" i="17"/>
  <c r="V183" i="17"/>
  <c r="U85" i="17"/>
  <c r="V91" i="17"/>
  <c r="U240" i="17"/>
  <c r="V40" i="17"/>
  <c r="U82" i="17"/>
  <c r="U159" i="17"/>
  <c r="U31" i="17"/>
  <c r="V64" i="17"/>
  <c r="U239" i="17"/>
  <c r="V106" i="17"/>
  <c r="U45" i="17"/>
  <c r="U187" i="17"/>
  <c r="V80" i="17"/>
  <c r="V9" i="17"/>
  <c r="U54" i="17"/>
  <c r="U26" i="17"/>
  <c r="U83" i="17"/>
  <c r="U162" i="17"/>
  <c r="U27" i="17"/>
  <c r="U136" i="17"/>
  <c r="U114" i="17"/>
  <c r="U113" i="17"/>
  <c r="U104" i="17"/>
  <c r="U247" i="17"/>
  <c r="U161" i="17"/>
  <c r="U231" i="17"/>
  <c r="V58" i="17"/>
  <c r="U190" i="17"/>
  <c r="V137" i="17"/>
  <c r="U171" i="17"/>
  <c r="V97" i="17"/>
  <c r="V144" i="17"/>
  <c r="V146" i="17"/>
  <c r="V240" i="17"/>
  <c r="V166" i="17"/>
  <c r="V149" i="17"/>
  <c r="V189" i="17"/>
  <c r="V154" i="17"/>
  <c r="U147" i="17"/>
  <c r="V70" i="17"/>
  <c r="U164" i="17"/>
  <c r="U204" i="17"/>
  <c r="U12" i="17"/>
  <c r="V49" i="17"/>
  <c r="V98" i="17"/>
  <c r="V226" i="17"/>
  <c r="V237" i="17"/>
  <c r="V175" i="17"/>
  <c r="V192" i="17"/>
  <c r="V83" i="17"/>
  <c r="V27" i="17"/>
  <c r="U131" i="17"/>
  <c r="V54" i="17"/>
  <c r="U81" i="17"/>
  <c r="V46" i="17"/>
  <c r="U201" i="17"/>
  <c r="U101" i="17"/>
  <c r="V116" i="17"/>
  <c r="U134" i="17"/>
  <c r="U34" i="17"/>
  <c r="V101" i="17"/>
  <c r="U96" i="17"/>
  <c r="U183" i="17"/>
  <c r="U57" i="17"/>
  <c r="V43" i="17"/>
  <c r="U151" i="17"/>
  <c r="V86" i="17"/>
  <c r="U116" i="17"/>
  <c r="U38" i="17"/>
  <c r="U186" i="17"/>
  <c r="U111" i="17"/>
  <c r="V155" i="17"/>
  <c r="U106" i="17"/>
  <c r="AG142" i="17"/>
  <c r="S153" i="17"/>
  <c r="E23" i="18" l="1"/>
  <c r="G23" i="18" s="1"/>
  <c r="E21" i="18"/>
  <c r="G21" i="18" s="1"/>
  <c r="E37" i="18"/>
  <c r="E32" i="18"/>
  <c r="E29" i="18"/>
  <c r="E35" i="18"/>
  <c r="E28" i="18"/>
  <c r="E27" i="18"/>
  <c r="G27" i="18" s="1"/>
  <c r="E25" i="18"/>
  <c r="G25" i="18" s="1"/>
  <c r="E26" i="18"/>
  <c r="G26" i="18" s="1"/>
  <c r="E39" i="18"/>
  <c r="E34" i="18"/>
  <c r="E41" i="18"/>
  <c r="E33" i="18"/>
  <c r="E36" i="18"/>
  <c r="E31" i="18"/>
  <c r="E30" i="18"/>
  <c r="E24" i="18"/>
  <c r="G24" i="18" s="1"/>
  <c r="E40" i="18"/>
  <c r="H24" i="18"/>
  <c r="J24" i="18" s="1"/>
  <c r="H26" i="18"/>
  <c r="J26" i="18" s="1"/>
  <c r="H21" i="18"/>
  <c r="J21" i="18" s="1"/>
  <c r="H25" i="18"/>
  <c r="J25" i="18" s="1"/>
  <c r="H22" i="18"/>
  <c r="J22" i="18" s="1"/>
  <c r="H23" i="18"/>
  <c r="J23" i="18" s="1"/>
  <c r="E38" i="18"/>
  <c r="E96" i="18"/>
  <c r="G96" i="18" s="1"/>
  <c r="E87" i="18"/>
  <c r="G87" i="18" s="1"/>
  <c r="E99" i="18"/>
  <c r="G99" i="18" s="1"/>
  <c r="E118" i="18"/>
  <c r="G118" i="18" s="1"/>
  <c r="E193" i="18"/>
  <c r="G193" i="18" s="1"/>
  <c r="E151" i="18"/>
  <c r="G151" i="18" s="1"/>
  <c r="E116" i="18"/>
  <c r="G116" i="18" s="1"/>
  <c r="E76" i="18"/>
  <c r="G76" i="18" s="1"/>
  <c r="E145" i="18"/>
  <c r="G145" i="18" s="1"/>
  <c r="E137" i="18"/>
  <c r="G137" i="18" s="1"/>
  <c r="G13" i="18"/>
  <c r="E71" i="18"/>
  <c r="G71" i="18" s="1"/>
  <c r="E139" i="18"/>
  <c r="G139" i="18" s="1"/>
  <c r="E107" i="18"/>
  <c r="G107" i="18" s="1"/>
  <c r="E74" i="18"/>
  <c r="G74" i="18" s="1"/>
  <c r="E125" i="18"/>
  <c r="G125" i="18" s="1"/>
  <c r="E121" i="18"/>
  <c r="G121" i="18" s="1"/>
  <c r="E194" i="18"/>
  <c r="G194" i="18" s="1"/>
  <c r="E89" i="18"/>
  <c r="G89" i="18" s="1"/>
  <c r="E133" i="18"/>
  <c r="G133" i="18" s="1"/>
  <c r="E75" i="18"/>
  <c r="G75" i="18" s="1"/>
  <c r="E54" i="18"/>
  <c r="G54" i="18" s="1"/>
  <c r="E91" i="18"/>
  <c r="G91" i="18" s="1"/>
  <c r="E100" i="18"/>
  <c r="G100" i="18" s="1"/>
  <c r="E67" i="18"/>
  <c r="G67" i="18" s="1"/>
  <c r="E184" i="18"/>
  <c r="G184" i="18" s="1"/>
  <c r="E195" i="18"/>
  <c r="G195" i="18" s="1"/>
  <c r="E68" i="18"/>
  <c r="G68" i="18" s="1"/>
  <c r="E138" i="18"/>
  <c r="G138" i="18" s="1"/>
  <c r="E94" i="18"/>
  <c r="G94" i="18" s="1"/>
  <c r="E95" i="18"/>
  <c r="G95" i="18" s="1"/>
  <c r="E82" i="18"/>
  <c r="G82" i="18" s="1"/>
  <c r="E44" i="18"/>
  <c r="G44" i="18" s="1"/>
  <c r="E58" i="18"/>
  <c r="G58" i="18" s="1"/>
  <c r="E181" i="18"/>
  <c r="G181" i="18" s="1"/>
  <c r="E65" i="18"/>
  <c r="G65" i="18" s="1"/>
  <c r="E178" i="18"/>
  <c r="G178" i="18" s="1"/>
  <c r="E61" i="18"/>
  <c r="G61" i="18" s="1"/>
  <c r="E154" i="18"/>
  <c r="G154" i="18" s="1"/>
  <c r="E144" i="18"/>
  <c r="G144" i="18" s="1"/>
  <c r="E77" i="18"/>
  <c r="G77" i="18" s="1"/>
  <c r="E101" i="18"/>
  <c r="G101" i="18" s="1"/>
  <c r="E52" i="18"/>
  <c r="G52" i="18" s="1"/>
  <c r="E114" i="18"/>
  <c r="G114" i="18" s="1"/>
  <c r="E157" i="18"/>
  <c r="G157" i="18" s="1"/>
  <c r="E90" i="18"/>
  <c r="G90" i="18" s="1"/>
  <c r="E64" i="18"/>
  <c r="G64" i="18" s="1"/>
  <c r="E161" i="18"/>
  <c r="G161" i="18" s="1"/>
  <c r="E140" i="18"/>
  <c r="G140" i="18" s="1"/>
  <c r="E187" i="18"/>
  <c r="G187" i="18" s="1"/>
  <c r="J14" i="18"/>
  <c r="E179" i="18"/>
  <c r="G179" i="18" s="1"/>
  <c r="E110" i="18"/>
  <c r="G110" i="18" s="1"/>
  <c r="E109" i="18"/>
  <c r="G109" i="18" s="1"/>
  <c r="E80" i="18"/>
  <c r="G80" i="18" s="1"/>
  <c r="E93" i="18"/>
  <c r="G93" i="18" s="1"/>
  <c r="E47" i="18"/>
  <c r="G47" i="18" s="1"/>
  <c r="E186" i="18"/>
  <c r="G186" i="18" s="1"/>
  <c r="E149" i="18"/>
  <c r="G149" i="18" s="1"/>
  <c r="E103" i="18"/>
  <c r="G103" i="18" s="1"/>
  <c r="E148" i="18"/>
  <c r="G148" i="18" s="1"/>
  <c r="E105" i="18"/>
  <c r="G105" i="18" s="1"/>
  <c r="E174" i="18"/>
  <c r="G174" i="18" s="1"/>
  <c r="E124" i="18"/>
  <c r="G124" i="18" s="1"/>
  <c r="E169" i="18"/>
  <c r="G169" i="18" s="1"/>
  <c r="E72" i="18"/>
  <c r="G72" i="18" s="1"/>
  <c r="E104" i="18"/>
  <c r="G104" i="18" s="1"/>
  <c r="E43" i="18"/>
  <c r="G43" i="18" s="1"/>
  <c r="E129" i="18"/>
  <c r="G129" i="18" s="1"/>
  <c r="E142" i="18"/>
  <c r="G142" i="18" s="1"/>
  <c r="E183" i="18"/>
  <c r="G183" i="18" s="1"/>
  <c r="E166" i="18"/>
  <c r="G166" i="18" s="1"/>
  <c r="E45" i="18"/>
  <c r="G45" i="18" s="1"/>
  <c r="E168" i="18"/>
  <c r="G168" i="18" s="1"/>
  <c r="E49" i="18"/>
  <c r="G49" i="18" s="1"/>
  <c r="E165" i="18"/>
  <c r="G165" i="18" s="1"/>
  <c r="E150" i="18"/>
  <c r="G150" i="18" s="1"/>
  <c r="E182" i="18"/>
  <c r="G182" i="18" s="1"/>
  <c r="E164" i="18"/>
  <c r="G164" i="18" s="1"/>
  <c r="E132" i="18"/>
  <c r="G132" i="18" s="1"/>
  <c r="E117" i="18"/>
  <c r="G117" i="18" s="1"/>
  <c r="E97" i="18"/>
  <c r="G97" i="18" s="1"/>
  <c r="E92" i="18"/>
  <c r="G92" i="18" s="1"/>
  <c r="E111" i="18"/>
  <c r="G111" i="18" s="1"/>
  <c r="E198" i="18"/>
  <c r="G198" i="18" s="1"/>
  <c r="E57" i="18"/>
  <c r="G57" i="18" s="1"/>
  <c r="E189" i="18"/>
  <c r="G189" i="18" s="1"/>
  <c r="E60" i="18"/>
  <c r="G60" i="18" s="1"/>
  <c r="E63" i="18"/>
  <c r="G63" i="18" s="1"/>
  <c r="E163" i="18"/>
  <c r="G163" i="18" s="1"/>
  <c r="E171" i="18"/>
  <c r="G171" i="18" s="1"/>
  <c r="E200" i="18"/>
  <c r="G200" i="18" s="1"/>
  <c r="E180" i="18"/>
  <c r="G180" i="18" s="1"/>
  <c r="E78" i="18"/>
  <c r="G78" i="18" s="1"/>
  <c r="E42" i="18"/>
  <c r="G42" i="18" s="1"/>
  <c r="E62" i="18"/>
  <c r="G62" i="18" s="1"/>
  <c r="E50" i="18"/>
  <c r="G50" i="18" s="1"/>
  <c r="E119" i="18"/>
  <c r="G119" i="18" s="1"/>
  <c r="E70" i="18"/>
  <c r="G70" i="18" s="1"/>
  <c r="E141" i="18"/>
  <c r="G141" i="18" s="1"/>
  <c r="E156" i="18"/>
  <c r="G156" i="18" s="1"/>
  <c r="E112" i="18"/>
  <c r="G112" i="18" s="1"/>
  <c r="E73" i="18"/>
  <c r="G73" i="18" s="1"/>
  <c r="E55" i="18"/>
  <c r="G55" i="18" s="1"/>
  <c r="E79" i="18"/>
  <c r="G79" i="18" s="1"/>
  <c r="E177" i="18"/>
  <c r="G177" i="18" s="1"/>
  <c r="E131" i="18"/>
  <c r="G131" i="18" s="1"/>
  <c r="E128" i="18"/>
  <c r="G128" i="18" s="1"/>
  <c r="E120" i="18"/>
  <c r="G120" i="18" s="1"/>
  <c r="E170" i="18"/>
  <c r="G170" i="18" s="1"/>
  <c r="E197" i="18"/>
  <c r="G197" i="18" s="1"/>
  <c r="E173" i="18"/>
  <c r="G173" i="18" s="1"/>
  <c r="E153" i="18"/>
  <c r="G153" i="18" s="1"/>
  <c r="E130" i="18"/>
  <c r="G130" i="18" s="1"/>
  <c r="E122" i="18"/>
  <c r="G122" i="18" s="1"/>
  <c r="E81" i="18"/>
  <c r="G81" i="18" s="1"/>
  <c r="E127" i="18"/>
  <c r="G127" i="18" s="1"/>
  <c r="E102" i="18"/>
  <c r="G102" i="18" s="1"/>
  <c r="E46" i="18"/>
  <c r="G46" i="18" s="1"/>
  <c r="E69" i="18"/>
  <c r="G69" i="18" s="1"/>
  <c r="E83" i="18"/>
  <c r="G83" i="18" s="1"/>
  <c r="E147" i="18"/>
  <c r="G147" i="18" s="1"/>
  <c r="E185" i="18"/>
  <c r="G185" i="18" s="1"/>
  <c r="E159" i="18"/>
  <c r="G159" i="18" s="1"/>
  <c r="E143" i="18"/>
  <c r="G143" i="18" s="1"/>
  <c r="E86" i="18"/>
  <c r="G86" i="18" s="1"/>
  <c r="E113" i="18"/>
  <c r="G113" i="18" s="1"/>
  <c r="E192" i="18"/>
  <c r="G192" i="18" s="1"/>
  <c r="E53" i="18"/>
  <c r="G53" i="18" s="1"/>
  <c r="E191" i="18"/>
  <c r="G191" i="18" s="1"/>
  <c r="E176" i="18"/>
  <c r="G176" i="18" s="1"/>
  <c r="E146" i="18"/>
  <c r="G146" i="18" s="1"/>
  <c r="E199" i="18"/>
  <c r="G199" i="18" s="1"/>
  <c r="E160" i="18"/>
  <c r="G160" i="18" s="1"/>
  <c r="E59" i="18"/>
  <c r="G59" i="18" s="1"/>
  <c r="E188" i="18"/>
  <c r="G188" i="18" s="1"/>
  <c r="E98" i="18"/>
  <c r="G98" i="18" s="1"/>
  <c r="E175" i="18"/>
  <c r="G175" i="18" s="1"/>
  <c r="E201" i="18"/>
  <c r="G201" i="18" s="1"/>
  <c r="E158" i="18"/>
  <c r="G158" i="18" s="1"/>
  <c r="E190" i="18"/>
  <c r="G190" i="18" s="1"/>
  <c r="E88" i="18"/>
  <c r="G88" i="18" s="1"/>
  <c r="E126" i="18"/>
  <c r="G126" i="18" s="1"/>
  <c r="E56" i="18"/>
  <c r="G56" i="18" s="1"/>
  <c r="E84" i="18"/>
  <c r="G84" i="18" s="1"/>
  <c r="E167" i="18"/>
  <c r="G167" i="18" s="1"/>
  <c r="G14" i="18"/>
  <c r="J13" i="18"/>
  <c r="E135" i="18"/>
  <c r="G135" i="18" s="1"/>
  <c r="E136" i="18"/>
  <c r="G136" i="18" s="1"/>
  <c r="E115" i="18"/>
  <c r="G115" i="18" s="1"/>
  <c r="E134" i="18"/>
  <c r="G134" i="18" s="1"/>
  <c r="E48" i="18"/>
  <c r="G48" i="18" s="1"/>
  <c r="E162" i="18"/>
  <c r="G162" i="18" s="1"/>
  <c r="E108" i="18"/>
  <c r="G108" i="18" s="1"/>
  <c r="E66" i="18"/>
  <c r="G66" i="18" s="1"/>
  <c r="E196" i="18"/>
  <c r="G196" i="18" s="1"/>
  <c r="E85" i="18"/>
  <c r="G85" i="18" s="1"/>
  <c r="E152" i="18"/>
  <c r="G152" i="18" s="1"/>
  <c r="E155" i="18"/>
  <c r="G155" i="18" s="1"/>
  <c r="E51" i="18"/>
  <c r="G51" i="18" s="1"/>
  <c r="E172" i="18"/>
  <c r="G172" i="18" s="1"/>
  <c r="E106" i="18"/>
  <c r="G106" i="18" s="1"/>
  <c r="E123" i="18"/>
  <c r="G123" i="18" s="1"/>
  <c r="J10" i="18"/>
  <c r="J7" i="18"/>
  <c r="G9" i="18"/>
  <c r="J11" i="18"/>
  <c r="G11" i="18"/>
  <c r="J9" i="18"/>
  <c r="G8" i="18"/>
  <c r="G10" i="18"/>
  <c r="G7" i="18"/>
  <c r="J12" i="18"/>
  <c r="G12" i="18"/>
  <c r="J8" i="18"/>
  <c r="I24" i="2711"/>
  <c r="I12" i="2717"/>
  <c r="I11" i="16"/>
  <c r="F4" i="2717" s="1"/>
  <c r="D9" i="2711"/>
  <c r="J9" i="16"/>
  <c r="I4" i="2717" s="1"/>
  <c r="D10" i="16"/>
  <c r="D3" i="2717" s="1"/>
  <c r="I23" i="16"/>
  <c r="I17" i="2717" s="1"/>
  <c r="I30" i="16"/>
  <c r="I20" i="16"/>
  <c r="I14" i="2717" s="1"/>
  <c r="I28" i="16"/>
  <c r="I19" i="16"/>
  <c r="I27" i="16"/>
  <c r="I29" i="16"/>
  <c r="I21" i="16"/>
  <c r="I26" i="16"/>
  <c r="I20" i="2717" s="1"/>
  <c r="I24" i="16"/>
  <c r="I18" i="2717" s="1"/>
  <c r="I22" i="16"/>
  <c r="AG143" i="17"/>
  <c r="V140" i="17"/>
  <c r="S154" i="17"/>
  <c r="I30" i="2711" l="1"/>
  <c r="I29" i="2711"/>
  <c r="I28" i="2711"/>
  <c r="I16" i="2717"/>
  <c r="C11" i="2711"/>
  <c r="C10" i="2711"/>
  <c r="J9" i="2711"/>
  <c r="V143" i="17"/>
  <c r="V139" i="17"/>
  <c r="V142" i="17"/>
  <c r="V141" i="17"/>
  <c r="I13" i="2717"/>
  <c r="I25" i="2711"/>
  <c r="I15" i="2717"/>
  <c r="I27" i="2711"/>
  <c r="I26" i="2711"/>
  <c r="S155" i="17"/>
  <c r="S156" i="17" l="1"/>
  <c r="S157" i="17" l="1"/>
  <c r="S158" i="17" l="1"/>
  <c r="S159" i="17" l="1"/>
  <c r="S160" i="17" l="1"/>
  <c r="S161" i="17" l="1"/>
  <c r="S162" i="17" l="1"/>
  <c r="S163" i="17" l="1"/>
  <c r="S164" i="17" l="1"/>
  <c r="S165" i="17" l="1"/>
  <c r="S166" i="17" l="1"/>
  <c r="S167" i="17" l="1"/>
  <c r="S168" i="17" l="1"/>
  <c r="S169" i="17" l="1"/>
  <c r="S170" i="17" l="1"/>
  <c r="S171" i="17" l="1"/>
  <c r="S172" i="17" l="1"/>
  <c r="S173" i="17" l="1"/>
  <c r="S174" i="17" l="1"/>
  <c r="S175" i="17" l="1"/>
  <c r="S176" i="17" l="1"/>
  <c r="S177" i="17" l="1"/>
  <c r="S178" i="17" l="1"/>
  <c r="S179" i="17" l="1"/>
  <c r="S180" i="17" l="1"/>
  <c r="S181" i="17" l="1"/>
  <c r="S182" i="17" l="1"/>
  <c r="S183" i="17" l="1"/>
  <c r="S184" i="17" l="1"/>
  <c r="S185" i="17" l="1"/>
  <c r="S186" i="17" l="1"/>
  <c r="S187" i="17" l="1"/>
  <c r="S188" i="17" l="1"/>
  <c r="S189" i="17" l="1"/>
  <c r="S190" i="17" l="1"/>
  <c r="S191" i="17" l="1"/>
  <c r="S192" i="17" l="1"/>
  <c r="S193" i="17" l="1"/>
  <c r="S194" i="17" l="1"/>
  <c r="S195" i="17" l="1"/>
  <c r="S196" i="17" l="1"/>
  <c r="S197" i="17" l="1"/>
  <c r="S198" i="17" l="1"/>
  <c r="S199" i="17" l="1"/>
  <c r="S200" i="17" l="1"/>
  <c r="S201" i="17" l="1"/>
  <c r="S202" i="17" l="1"/>
  <c r="S203" i="17" l="1"/>
  <c r="S204" i="17" l="1"/>
  <c r="S205" i="17" l="1"/>
  <c r="S206" i="17" l="1"/>
  <c r="S207" i="17" l="1"/>
  <c r="S208" i="17" l="1"/>
  <c r="S209" i="17" l="1"/>
  <c r="S210" i="17" l="1"/>
  <c r="S211" i="17" l="1"/>
  <c r="S212" i="17" l="1"/>
  <c r="S213" i="17" l="1"/>
  <c r="S214" i="17" l="1"/>
  <c r="S215" i="17" l="1"/>
  <c r="S216" i="17" l="1"/>
  <c r="S217" i="17" l="1"/>
  <c r="S218" i="17" l="1"/>
  <c r="S219" i="17" l="1"/>
  <c r="S220" i="17" l="1"/>
  <c r="S221" i="17" l="1"/>
  <c r="S222" i="17" l="1"/>
  <c r="S223" i="17" l="1"/>
  <c r="S224" i="17" l="1"/>
  <c r="S225" i="17" l="1"/>
  <c r="S226" i="17" l="1"/>
  <c r="S227" i="17" l="1"/>
  <c r="S228" i="17" l="1"/>
  <c r="S229" i="17" l="1"/>
  <c r="S230" i="17" l="1"/>
  <c r="S231" i="17" l="1"/>
  <c r="S232" i="17" l="1"/>
  <c r="S233" i="17" l="1"/>
  <c r="S234" i="17" l="1"/>
  <c r="S235" i="17" l="1"/>
  <c r="S236" i="17" l="1"/>
  <c r="S237" i="17" l="1"/>
  <c r="S238" i="17" l="1"/>
  <c r="S239" i="17" l="1"/>
  <c r="S240" i="17" l="1"/>
  <c r="S241" i="17" l="1"/>
  <c r="S242" i="17" l="1"/>
  <c r="S243" i="17" l="1"/>
  <c r="S244" i="17" l="1"/>
  <c r="S245" i="17" l="1"/>
  <c r="S246" i="17" l="1"/>
  <c r="S247" i="17" l="1"/>
  <c r="S248" i="17" l="1"/>
  <c r="S249" i="17" l="1"/>
  <c r="B16" i="16" l="1"/>
  <c r="D16" i="16" s="1"/>
  <c r="B24" i="16"/>
  <c r="C18" i="2717" s="1"/>
  <c r="B21" i="16"/>
  <c r="D21" i="16" s="1"/>
  <c r="B28" i="16"/>
  <c r="B20" i="16"/>
  <c r="D20" i="16" s="1"/>
  <c r="B23" i="16"/>
  <c r="B29" i="16"/>
  <c r="B27" i="16"/>
  <c r="D27" i="16" s="1"/>
  <c r="B18" i="16"/>
  <c r="D18" i="16" s="1"/>
  <c r="B19" i="16"/>
  <c r="D19" i="16" s="1"/>
  <c r="B17" i="16"/>
  <c r="D17" i="16" s="1"/>
  <c r="B26" i="16"/>
  <c r="C20" i="2717" s="1"/>
  <c r="B25" i="16"/>
  <c r="C19" i="2717" s="1"/>
  <c r="B30" i="16"/>
  <c r="B22" i="16"/>
  <c r="S250" i="17"/>
  <c r="B203" i="18"/>
  <c r="D23" i="16" l="1"/>
  <c r="D29" i="2711" s="1"/>
  <c r="C17" i="2717"/>
  <c r="D22" i="16"/>
  <c r="C16" i="2717"/>
  <c r="C15" i="2717"/>
  <c r="D24" i="16"/>
  <c r="D30" i="2711" s="1"/>
  <c r="D26" i="16"/>
  <c r="J22" i="16"/>
  <c r="B28" i="2711"/>
  <c r="B21" i="2711"/>
  <c r="C11" i="2717"/>
  <c r="D29" i="16"/>
  <c r="J29" i="16"/>
  <c r="J21" i="16"/>
  <c r="B27" i="2711"/>
  <c r="E203" i="18"/>
  <c r="F203" i="18"/>
  <c r="D203" i="18"/>
  <c r="I203" i="18"/>
  <c r="C203" i="18"/>
  <c r="J30" i="16"/>
  <c r="D30" i="16"/>
  <c r="B25" i="2711"/>
  <c r="J19" i="16"/>
  <c r="C13" i="2717"/>
  <c r="J23" i="16"/>
  <c r="K17" i="2717" s="1"/>
  <c r="B29" i="2711"/>
  <c r="B30" i="2711"/>
  <c r="J24" i="16"/>
  <c r="K18" i="2717" s="1"/>
  <c r="D25" i="16"/>
  <c r="D31" i="2711" s="1"/>
  <c r="B31" i="2711"/>
  <c r="B24" i="2711"/>
  <c r="C12" i="2717"/>
  <c r="J18" i="16"/>
  <c r="C14" i="2717"/>
  <c r="J20" i="16"/>
  <c r="B26" i="2711"/>
  <c r="B20" i="2711"/>
  <c r="C10" i="2717"/>
  <c r="J26" i="16"/>
  <c r="K20" i="2717" s="1"/>
  <c r="J27" i="16"/>
  <c r="J28" i="16"/>
  <c r="D28" i="16"/>
  <c r="D27" i="2711" l="1"/>
  <c r="D15" i="2717"/>
  <c r="D28" i="2711"/>
  <c r="D16" i="2717"/>
  <c r="J26" i="2711"/>
  <c r="K14" i="2717"/>
  <c r="J30" i="2711"/>
  <c r="J29" i="2711"/>
  <c r="J27" i="2711"/>
  <c r="K15" i="2717"/>
  <c r="J28" i="2711"/>
  <c r="K16" i="2717"/>
  <c r="G203" i="18"/>
  <c r="D10" i="2717"/>
  <c r="D20" i="2711"/>
  <c r="D12" i="2717"/>
  <c r="D24" i="2711"/>
  <c r="K13" i="2717"/>
  <c r="J25" i="2711"/>
  <c r="D14" i="2717"/>
  <c r="D26" i="2711"/>
  <c r="J24" i="2711"/>
  <c r="K12" i="2717"/>
  <c r="D21" i="2711"/>
  <c r="D11" i="2717"/>
  <c r="D25" i="2711"/>
  <c r="D13" i="2717"/>
  <c r="AG32" i="17" l="1"/>
  <c r="AG30" i="17"/>
  <c r="V32" i="17" l="1"/>
  <c r="AG28" i="17"/>
  <c r="AG29" i="17"/>
  <c r="AG31" i="17"/>
  <c r="AG34" i="17"/>
  <c r="V29" i="17" l="1"/>
  <c r="V28" i="17"/>
  <c r="V30" i="17"/>
  <c r="V34" i="17"/>
  <c r="V31" i="17"/>
  <c r="H27" i="18" l="1"/>
  <c r="J27" i="18" s="1"/>
  <c r="I16" i="16"/>
  <c r="I10" i="2717" s="1"/>
  <c r="I17" i="16"/>
  <c r="J17" i="16" s="1"/>
  <c r="I15" i="16"/>
  <c r="I9" i="2717" s="1"/>
  <c r="B15" i="16"/>
  <c r="D15" i="16" l="1"/>
  <c r="D9" i="2717" s="1"/>
  <c r="C9" i="2717"/>
  <c r="J21" i="2711"/>
  <c r="K11" i="2717"/>
  <c r="I20" i="2711"/>
  <c r="J16" i="16"/>
  <c r="K10" i="2717" s="1"/>
  <c r="I11" i="2717"/>
  <c r="I21" i="2711"/>
  <c r="J15" i="16"/>
  <c r="B18" i="2711"/>
  <c r="I18" i="2711"/>
  <c r="K9" i="2717" l="1"/>
  <c r="J20" i="2711"/>
  <c r="D18" i="2711"/>
  <c r="J18" i="2711"/>
  <c r="I25" i="16" l="1"/>
  <c r="I19" i="2717" s="1"/>
  <c r="I55" i="18"/>
  <c r="AG74" i="17"/>
  <c r="I31" i="2711" l="1"/>
  <c r="J25" i="16"/>
  <c r="J38" i="16" s="1"/>
  <c r="M45" i="16" s="1"/>
  <c r="K19" i="2717" l="1"/>
  <c r="K22" i="2717" s="1"/>
  <c r="J31" i="2711"/>
  <c r="J32" i="2711" s="1"/>
  <c r="K33" i="2711" s="1"/>
  <c r="K34" i="2711" s="1"/>
  <c r="V74" i="17"/>
  <c r="V73" i="17"/>
  <c r="L23" i="2717" l="1"/>
  <c r="L24" i="2717" s="1"/>
  <c r="J39" i="16"/>
  <c r="J40" i="16" s="1"/>
  <c r="I39" i="16"/>
  <c r="I28" i="18"/>
  <c r="I32" i="18"/>
  <c r="I36" i="18"/>
  <c r="I40" i="18"/>
  <c r="I35" i="18"/>
  <c r="I39" i="18"/>
  <c r="I29" i="18"/>
  <c r="I33" i="18"/>
  <c r="I37" i="18"/>
  <c r="I41" i="18"/>
  <c r="I15" i="18"/>
  <c r="J15" i="18" s="1"/>
  <c r="I17" i="18"/>
  <c r="J17" i="18" s="1"/>
  <c r="I19" i="18"/>
  <c r="J19" i="18" s="1"/>
  <c r="I20" i="18"/>
  <c r="J20" i="18" s="1"/>
  <c r="I16" i="18"/>
  <c r="J16" i="18" s="1"/>
  <c r="I18" i="18"/>
  <c r="J18" i="18" s="1"/>
  <c r="I31" i="18"/>
  <c r="G29" i="18"/>
  <c r="G31" i="18"/>
  <c r="G33" i="18"/>
  <c r="I34" i="18"/>
  <c r="G34" i="18"/>
  <c r="I38" i="18"/>
  <c r="G38" i="18"/>
  <c r="G39" i="18"/>
  <c r="G41" i="18"/>
  <c r="G20" i="18"/>
  <c r="G18" i="18"/>
  <c r="G28" i="18"/>
  <c r="G30" i="18"/>
  <c r="G32" i="18"/>
  <c r="G35" i="18"/>
  <c r="G36" i="18"/>
  <c r="G37" i="18"/>
  <c r="G40" i="18"/>
  <c r="G15" i="18"/>
  <c r="G17" i="18"/>
  <c r="G19" i="18"/>
  <c r="G16" i="18"/>
  <c r="G5" i="18" l="1"/>
  <c r="I30" i="18"/>
  <c r="AG33" i="17"/>
  <c r="V33" i="17" l="1"/>
  <c r="O251" i="17"/>
  <c r="H30" i="18" l="1"/>
  <c r="J30" i="18" s="1"/>
  <c r="H46" i="18"/>
  <c r="J46" i="18" s="1"/>
  <c r="H44" i="18"/>
  <c r="J44" i="18" s="1"/>
  <c r="H143" i="18"/>
  <c r="J143" i="18" s="1"/>
  <c r="H64" i="18"/>
  <c r="J64" i="18" s="1"/>
  <c r="H182" i="18"/>
  <c r="J182" i="18" s="1"/>
  <c r="H120" i="18"/>
  <c r="J120" i="18" s="1"/>
  <c r="H128" i="18"/>
  <c r="J128" i="18" s="1"/>
  <c r="H53" i="18"/>
  <c r="J53" i="18" s="1"/>
  <c r="H200" i="18"/>
  <c r="J200" i="18" s="1"/>
  <c r="H112" i="18"/>
  <c r="J112" i="18" s="1"/>
  <c r="H189" i="18"/>
  <c r="J189" i="18" s="1"/>
  <c r="H169" i="18"/>
  <c r="J169" i="18" s="1"/>
  <c r="H87" i="18"/>
  <c r="J87" i="18" s="1"/>
  <c r="H134" i="18"/>
  <c r="J134" i="18" s="1"/>
  <c r="H92" i="18"/>
  <c r="J92" i="18" s="1"/>
  <c r="H188" i="18"/>
  <c r="J188" i="18" s="1"/>
  <c r="H145" i="18"/>
  <c r="J145" i="18" s="1"/>
  <c r="H73" i="18"/>
  <c r="J73" i="18" s="1"/>
  <c r="H131" i="18"/>
  <c r="J131" i="18" s="1"/>
  <c r="H86" i="18"/>
  <c r="J86" i="18" s="1"/>
  <c r="H68" i="18"/>
  <c r="J68" i="18" s="1"/>
  <c r="H178" i="18"/>
  <c r="J178" i="18" s="1"/>
  <c r="H75" i="18"/>
  <c r="J75" i="18" s="1"/>
  <c r="H194" i="18"/>
  <c r="J194" i="18" s="1"/>
  <c r="H67" i="18"/>
  <c r="J67" i="18" s="1"/>
  <c r="H136" i="18"/>
  <c r="J136" i="18" s="1"/>
  <c r="H71" i="18"/>
  <c r="J71" i="18" s="1"/>
  <c r="H160" i="18"/>
  <c r="J160" i="18" s="1"/>
  <c r="H155" i="18"/>
  <c r="J155" i="18" s="1"/>
  <c r="H63" i="18"/>
  <c r="J63" i="18" s="1"/>
  <c r="H70" i="18"/>
  <c r="J70" i="18" s="1"/>
  <c r="H175" i="18"/>
  <c r="J175" i="18" s="1"/>
  <c r="H152" i="18"/>
  <c r="J152" i="18" s="1"/>
  <c r="H125" i="18"/>
  <c r="J125" i="18" s="1"/>
  <c r="H60" i="18"/>
  <c r="J60" i="18" s="1"/>
  <c r="H151" i="18"/>
  <c r="J151" i="18" s="1"/>
  <c r="H69" i="18"/>
  <c r="J69" i="18" s="1"/>
  <c r="H133" i="18"/>
  <c r="J133" i="18" s="1"/>
  <c r="H185" i="18"/>
  <c r="J185" i="18" s="1"/>
  <c r="H85" i="18"/>
  <c r="J85" i="18" s="1"/>
  <c r="H173" i="18"/>
  <c r="J173" i="18" s="1"/>
  <c r="H29" i="18"/>
  <c r="J29" i="18" s="1"/>
  <c r="H43" i="18"/>
  <c r="J43" i="18" s="1"/>
  <c r="H47" i="18"/>
  <c r="J47" i="18" s="1"/>
  <c r="H76" i="18"/>
  <c r="J76" i="18" s="1"/>
  <c r="H164" i="18"/>
  <c r="J164" i="18" s="1"/>
  <c r="H119" i="18"/>
  <c r="J119" i="18" s="1"/>
  <c r="H83" i="18"/>
  <c r="J83" i="18" s="1"/>
  <c r="H113" i="18"/>
  <c r="J113" i="18" s="1"/>
  <c r="H193" i="18"/>
  <c r="J193" i="18" s="1"/>
  <c r="H107" i="18"/>
  <c r="J107" i="18" s="1"/>
  <c r="H199" i="18"/>
  <c r="J199" i="18" s="1"/>
  <c r="H93" i="18"/>
  <c r="J93" i="18" s="1"/>
  <c r="H106" i="18"/>
  <c r="J106" i="18" s="1"/>
  <c r="H162" i="18"/>
  <c r="J162" i="18" s="1"/>
  <c r="H49" i="18"/>
  <c r="J49" i="18" s="1"/>
  <c r="H153" i="18"/>
  <c r="J153" i="18" s="1"/>
  <c r="H90" i="18"/>
  <c r="J90" i="18" s="1"/>
  <c r="H187" i="18"/>
  <c r="J187" i="18" s="1"/>
  <c r="H127" i="18"/>
  <c r="J127" i="18" s="1"/>
  <c r="H98" i="18"/>
  <c r="J98" i="18" s="1"/>
  <c r="H159" i="18"/>
  <c r="J159" i="18" s="1"/>
  <c r="H172" i="18"/>
  <c r="J172" i="18" s="1"/>
  <c r="H109" i="18"/>
  <c r="J109" i="18" s="1"/>
  <c r="H88" i="18"/>
  <c r="J88" i="18" s="1"/>
  <c r="H104" i="18"/>
  <c r="J104" i="18" s="1"/>
  <c r="H198" i="18"/>
  <c r="J198" i="18" s="1"/>
  <c r="H192" i="18"/>
  <c r="J192" i="18" s="1"/>
  <c r="H166" i="18"/>
  <c r="J166" i="18" s="1"/>
  <c r="H102" i="18"/>
  <c r="J102" i="18" s="1"/>
  <c r="H167" i="18"/>
  <c r="J167" i="18" s="1"/>
  <c r="H72" i="18"/>
  <c r="J72" i="18" s="1"/>
  <c r="H195" i="18"/>
  <c r="J195" i="18" s="1"/>
  <c r="H66" i="18"/>
  <c r="J66" i="18" s="1"/>
  <c r="H177" i="18"/>
  <c r="J177" i="18" s="1"/>
  <c r="H118" i="18"/>
  <c r="J118" i="18" s="1"/>
  <c r="H103" i="18"/>
  <c r="J103" i="18" s="1"/>
  <c r="H149" i="18"/>
  <c r="J149" i="18" s="1"/>
  <c r="H140" i="18"/>
  <c r="J140" i="18" s="1"/>
  <c r="H138" i="18"/>
  <c r="J138" i="18" s="1"/>
  <c r="H52" i="18"/>
  <c r="J52" i="18" s="1"/>
  <c r="H161" i="18"/>
  <c r="J161" i="18" s="1"/>
  <c r="H39" i="18"/>
  <c r="J39" i="18" s="1"/>
  <c r="H32" i="18"/>
  <c r="J32" i="18" s="1"/>
  <c r="H40" i="18"/>
  <c r="J40" i="18" s="1"/>
  <c r="H31" i="18"/>
  <c r="J31" i="18" s="1"/>
  <c r="H34" i="18"/>
  <c r="J34" i="18" s="1"/>
  <c r="H38" i="18"/>
  <c r="J38" i="18" s="1"/>
  <c r="H41" i="18"/>
  <c r="J41" i="18" s="1"/>
  <c r="H42" i="18"/>
  <c r="J42" i="18" s="1"/>
  <c r="H55" i="18"/>
  <c r="J55" i="18" s="1"/>
  <c r="H148" i="18"/>
  <c r="J148" i="18" s="1"/>
  <c r="H126" i="18"/>
  <c r="J126" i="18" s="1"/>
  <c r="H108" i="18"/>
  <c r="J108" i="18" s="1"/>
  <c r="H174" i="18"/>
  <c r="J174" i="18" s="1"/>
  <c r="H141" i="18"/>
  <c r="J141" i="18" s="1"/>
  <c r="H115" i="18"/>
  <c r="J115" i="18" s="1"/>
  <c r="H51" i="18"/>
  <c r="J51" i="18" s="1"/>
  <c r="H91" i="18"/>
  <c r="J91" i="18" s="1"/>
  <c r="H130" i="18"/>
  <c r="J130" i="18" s="1"/>
  <c r="H110" i="18"/>
  <c r="J110" i="18" s="1"/>
  <c r="H191" i="18"/>
  <c r="J191" i="18" s="1"/>
  <c r="H84" i="18"/>
  <c r="J84" i="18" s="1"/>
  <c r="H114" i="18"/>
  <c r="J114" i="18" s="1"/>
  <c r="H181" i="18"/>
  <c r="J181" i="18" s="1"/>
  <c r="H100" i="18"/>
  <c r="J100" i="18" s="1"/>
  <c r="H101" i="18"/>
  <c r="J101" i="18" s="1"/>
  <c r="H116" i="18"/>
  <c r="J116" i="18" s="1"/>
  <c r="H80" i="18"/>
  <c r="J80" i="18" s="1"/>
  <c r="H171" i="18"/>
  <c r="J171" i="18" s="1"/>
  <c r="H97" i="18"/>
  <c r="J97" i="18" s="1"/>
  <c r="H122" i="18"/>
  <c r="J122" i="18" s="1"/>
  <c r="H201" i="18"/>
  <c r="J201" i="18" s="1"/>
  <c r="H94" i="18"/>
  <c r="J94" i="18" s="1"/>
  <c r="H121" i="18"/>
  <c r="J121" i="18" s="1"/>
  <c r="H180" i="18"/>
  <c r="J180" i="18" s="1"/>
  <c r="H156" i="18"/>
  <c r="J156" i="18" s="1"/>
  <c r="H61" i="18"/>
  <c r="J61" i="18" s="1"/>
  <c r="H57" i="18"/>
  <c r="J57" i="18" s="1"/>
  <c r="H132" i="18"/>
  <c r="J132" i="18" s="1"/>
  <c r="H203" i="18"/>
  <c r="J203" i="18" s="1"/>
  <c r="H129" i="18"/>
  <c r="J129" i="18" s="1"/>
  <c r="H124" i="18"/>
  <c r="J124" i="18" s="1"/>
  <c r="H176" i="18"/>
  <c r="J176" i="18" s="1"/>
  <c r="H168" i="18"/>
  <c r="J168" i="18" s="1"/>
  <c r="H147" i="18"/>
  <c r="J147" i="18" s="1"/>
  <c r="H123" i="18"/>
  <c r="J123" i="18" s="1"/>
  <c r="H163" i="18"/>
  <c r="J163" i="18" s="1"/>
  <c r="H56" i="18"/>
  <c r="J56" i="18" s="1"/>
  <c r="H33" i="18"/>
  <c r="J33" i="18" s="1"/>
  <c r="H45" i="18"/>
  <c r="J45" i="18" s="1"/>
  <c r="H184" i="18"/>
  <c r="J184" i="18" s="1"/>
  <c r="H82" i="18"/>
  <c r="J82" i="18" s="1"/>
  <c r="H170" i="18"/>
  <c r="J170" i="18" s="1"/>
  <c r="H59" i="18"/>
  <c r="J59" i="18" s="1"/>
  <c r="H154" i="18"/>
  <c r="J154" i="18" s="1"/>
  <c r="H95" i="18"/>
  <c r="J95" i="18" s="1"/>
  <c r="H65" i="18"/>
  <c r="J65" i="18" s="1"/>
  <c r="H142" i="18"/>
  <c r="J142" i="18" s="1"/>
  <c r="H165" i="18"/>
  <c r="J165" i="18" s="1"/>
  <c r="H74" i="18"/>
  <c r="J74" i="18" s="1"/>
  <c r="H81" i="18"/>
  <c r="J81" i="18" s="1"/>
  <c r="H139" i="18"/>
  <c r="J139" i="18" s="1"/>
  <c r="H48" i="18"/>
  <c r="J48" i="18" s="1"/>
  <c r="H89" i="18"/>
  <c r="J89" i="18" s="1"/>
  <c r="H144" i="18"/>
  <c r="J144" i="18" s="1"/>
  <c r="H146" i="18"/>
  <c r="J146" i="18" s="1"/>
  <c r="H50" i="18"/>
  <c r="J50" i="18" s="1"/>
  <c r="H58" i="18"/>
  <c r="J58" i="18" s="1"/>
  <c r="H96" i="18"/>
  <c r="J96" i="18" s="1"/>
  <c r="H105" i="18"/>
  <c r="J105" i="18" s="1"/>
  <c r="H79" i="18"/>
  <c r="J79" i="18" s="1"/>
  <c r="H190" i="18"/>
  <c r="J190" i="18" s="1"/>
  <c r="H137" i="18"/>
  <c r="J137" i="18" s="1"/>
  <c r="H99" i="18"/>
  <c r="J99" i="18" s="1"/>
  <c r="H117" i="18"/>
  <c r="J117" i="18" s="1"/>
  <c r="H196" i="18"/>
  <c r="J196" i="18" s="1"/>
  <c r="H197" i="18"/>
  <c r="J197" i="18" s="1"/>
  <c r="H77" i="18"/>
  <c r="J77" i="18" s="1"/>
  <c r="H111" i="18"/>
  <c r="J111" i="18" s="1"/>
  <c r="H186" i="18"/>
  <c r="J186" i="18" s="1"/>
  <c r="H62" i="18"/>
  <c r="J62" i="18" s="1"/>
  <c r="H158" i="18"/>
  <c r="J158" i="18" s="1"/>
  <c r="H183" i="18"/>
  <c r="J183" i="18" s="1"/>
  <c r="H54" i="18"/>
  <c r="J54" i="18" s="1"/>
  <c r="H135" i="18"/>
  <c r="J135" i="18" s="1"/>
  <c r="H157" i="18"/>
  <c r="J157" i="18" s="1"/>
  <c r="H179" i="18"/>
  <c r="J179" i="18" s="1"/>
  <c r="H78" i="18"/>
  <c r="J78" i="18" s="1"/>
  <c r="H150" i="18"/>
  <c r="J150" i="18" s="1"/>
  <c r="H35" i="18"/>
  <c r="J35" i="18" s="1"/>
  <c r="H28" i="18"/>
  <c r="J28" i="18" s="1"/>
  <c r="H36" i="18"/>
  <c r="J36" i="18" s="1"/>
  <c r="H37" i="18"/>
  <c r="J37" i="18" s="1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<sst xmlns="http://schemas.openxmlformats.org/spreadsheetml/2006/main" count="8509" uniqueCount="1772">
  <si>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</si>
  <si>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</si>
  <si>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</si>
  <si>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</si>
  <si>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</si>
  <si>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</si>
  <si>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</si>
  <si>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</si>
  <si>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</si>
  <si>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</si>
  <si>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</si>
  <si>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</si>
  <si>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</si>
  <si>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</si>
  <si>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</si>
  <si>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</si>
  <si>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</si>
  <si>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</si>
  <si>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</si>
  <si>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</si>
  <si>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</si>
  <si>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</si>
  <si>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</si>
  <si>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</si>
  <si>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</si>
  <si>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</si>
  <si>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</si>
  <si>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</si>
  <si>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</si>
  <si>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</si>
  <si>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</si>
  <si>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</si>
  <si>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</si>
  <si>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</si>
  <si>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</si>
  <si>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</si>
  <si>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</si>
  <si>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</si>
  <si>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</si>
  <si>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</si>
  <si>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</si>
  <si>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</si>
  <si>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</si>
  <si>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</si>
  <si>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</si>
  <si>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</si>
  <si>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</si>
  <si>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</si>
  <si>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</si>
  <si>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</si>
  <si>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</si>
  <si>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</si>
  <si>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</si>
  <si>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</si>
  <si>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</si>
  <si>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</si>
  <si>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</si>
  <si>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</si>
  <si>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</si>
  <si>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</si>
  <si>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</si>
  <si>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</si>
  <si>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</si>
  <si>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</si>
  <si>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</si>
  <si>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</si>
  <si>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</si>
  <si>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</si>
  <si>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</si>
  <si>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</si>
  <si>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</si>
  <si>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</si>
  <si>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</si>
  <si>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</si>
  <si>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</si>
  <si>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</si>
  <si>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</si>
  <si>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</si>
  <si>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</si>
  <si>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</si>
  <si>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</si>
  <si>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</si>
  <si>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</si>
  <si>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</si>
  <si>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</si>
  <si>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</si>
  <si>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</si>
  <si>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</si>
  <si>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</si>
  <si>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</si>
  <si>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</si>
  <si>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</si>
  <si>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</si>
  <si>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</si>
  <si>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</si>
  <si>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</si>
  <si>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</si>
  <si>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</si>
  <si>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</si>
  <si>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</si>
  <si>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</si>
  <si>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</si>
  <si>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</si>
  <si>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</si>
  <si>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</si>
  <si>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</si>
  <si>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</si>
  <si>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</si>
  <si>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</si>
  <si>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</si>
  <si>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</si>
  <si>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</si>
  <si>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</si>
  <si>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</si>
  <si>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</si>
  <si>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</si>
  <si>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</si>
  <si>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</si>
  <si>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</si>
  <si>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</si>
  <si>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</si>
  <si>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</si>
  <si>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</si>
  <si>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</si>
  <si>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</si>
  <si>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</si>
  <si>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</si>
  <si>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</si>
  <si>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</si>
  <si>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</si>
  <si>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</si>
  <si>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</si>
  <si>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</si>
  <si>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</si>
  <si>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</si>
  <si>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</si>
  <si>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</si>
  <si>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</si>
  <si>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</si>
  <si>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</si>
  <si>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</si>
  <si>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</si>
  <si>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</si>
  <si>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</si>
  <si>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</si>
  <si>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</si>
  <si>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</si>
  <si>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</si>
  <si>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</si>
  <si>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</si>
  <si>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</si>
  <si>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</si>
  <si>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</si>
  <si>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</si>
  <si>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</si>
  <si>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</si>
  <si>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</si>
  <si>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</si>
  <si>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</si>
  <si>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</si>
  <si>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</si>
  <si>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</si>
  <si>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</si>
  <si>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</si>
  <si>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</si>
  <si>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</si>
  <si>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</si>
  <si>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</si>
  <si>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</si>
  <si>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</si>
  <si>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</si>
  <si>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</si>
  <si>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</si>
  <si>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</si>
  <si>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</si>
  <si>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</si>
  <si>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</si>
  <si>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</si>
  <si>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</si>
  <si>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</si>
  <si>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</si>
  <si>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</si>
  <si>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</si>
  <si>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</si>
  <si>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</si>
  <si>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</si>
  <si>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</si>
  <si>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</si>
  <si>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</si>
  <si>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</si>
  <si>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</si>
  <si>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</si>
  <si>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</si>
  <si>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</si>
  <si>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</si>
  <si>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</si>
  <si>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</si>
  <si>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</si>
  <si>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</si>
  <si>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</si>
  <si>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</si>
  <si>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</si>
  <si>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</si>
  <si>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</si>
  <si>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</si>
  <si>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</si>
  <si>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</si>
  <si>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</si>
  <si>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</si>
  <si>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</si>
  <si>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</si>
  <si>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</si>
  <si>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</si>
  <si>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</si>
  <si>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</si>
  <si>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</si>
  <si>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</si>
  <si>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</si>
  <si>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</si>
  <si>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</si>
  <si>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</si>
  <si>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</si>
  <si>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</si>
  <si>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</si>
  <si>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</si>
  <si>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</si>
  <si>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</si>
  <si>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</si>
  <si>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</si>
  <si>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</si>
  <si>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</si>
  <si>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</si>
  <si>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</si>
  <si>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</si>
  <si>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</si>
  <si>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</si>
  <si>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</si>
  <si>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</si>
  <si>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</si>
  <si>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</si>
  <si>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</si>
  <si>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</si>
  <si>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</si>
  <si>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</si>
  <si>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</si>
  <si>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</si>
  <si>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</si>
  <si>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</si>
  <si>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</si>
  <si>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</si>
  <si>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</si>
  <si>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</si>
  <si>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</si>
  <si>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</si>
  <si>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</si>
  <si>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</si>
  <si>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</si>
  <si>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</si>
  <si>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</si>
  <si>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</si>
  <si>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</si>
  <si>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</si>
  <si>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</si>
  <si>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</si>
  <si>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</si>
  <si>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</si>
  <si>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</si>
  <si>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</si>
  <si>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</si>
  <si>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</si>
  <si>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</si>
  <si>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</si>
  <si>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</si>
  <si>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</si>
  <si>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</si>
  <si>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</si>
  <si>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</si>
  <si>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</si>
  <si>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</si>
  <si>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</si>
  <si>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</si>
  <si>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</si>
  <si>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</si>
  <si>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</si>
  <si>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</si>
  <si>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</si>
  <si>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</si>
  <si>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</si>
  <si>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</si>
  <si>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</si>
  <si>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</si>
  <si>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</si>
  <si>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</si>
  <si>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</si>
  <si>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</si>
  <si>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</si>
  <si>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</si>
  <si>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</si>
  <si>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</si>
  <si>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</si>
  <si>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</si>
  <si>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</si>
  <si>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</si>
  <si>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</si>
  <si>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</si>
  <si>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</si>
  <si>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</si>
  <si>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</si>
  <si>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</si>
  <si>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</si>
  <si>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</si>
  <si>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</si>
  <si>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</si>
  <si>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</si>
  <si>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</si>
  <si>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</si>
  <si>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</si>
  <si>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</si>
  <si>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</si>
  <si>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</si>
  <si>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</si>
  <si>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</si>
  <si>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</si>
  <si>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</si>
  <si>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</si>
  <si>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</si>
  <si>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</si>
  <si>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</si>
  <si>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</si>
  <si>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</si>
  <si>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</si>
  <si>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</si>
  <si>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</si>
  <si>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</si>
  <si>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</si>
  <si>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</si>
  <si>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</si>
  <si>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</si>
  <si>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</si>
  <si>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</si>
  <si>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</si>
  <si>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</si>
  <si>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</si>
  <si>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</si>
  <si>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</si>
  <si>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</si>
  <si>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</si>
  <si>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</si>
  <si>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</si>
  <si>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</si>
  <si>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</si>
  <si>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</si>
  <si>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</si>
  <si>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</si>
  <si>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</si>
  <si>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</si>
  <si>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</si>
  <si>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</si>
  <si>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</si>
  <si>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</si>
  <si>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</si>
  <si>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</si>
  <si>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</si>
  <si>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</si>
  <si>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</si>
  <si>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</si>
  <si>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</si>
  <si>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</si>
  <si>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</si>
  <si>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</si>
  <si>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</si>
  <si>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</si>
  <si>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</si>
  <si>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</si>
  <si>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</si>
  <si>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</si>
  <si>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</si>
  <si>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</si>
  <si>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</si>
  <si>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</si>
  <si>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</si>
  <si>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</si>
  <si>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</si>
  <si>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</si>
  <si>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</si>
  <si>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</si>
  <si>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</si>
  <si>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</si>
  <si>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</si>
  <si>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</si>
  <si>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</si>
  <si>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</si>
  <si>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</si>
  <si>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</si>
  <si>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</si>
  <si>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</si>
  <si>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</si>
  <si>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</si>
  <si>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</si>
  <si>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</si>
  <si>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</si>
  <si>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</si>
  <si>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</si>
  <si>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</si>
  <si>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</si>
  <si>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</si>
  <si>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</si>
  <si>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</si>
  <si>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</si>
  <si>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</si>
  <si>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</si>
  <si>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</si>
  <si>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</si>
  <si>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</si>
  <si>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</si>
  <si>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</si>
  <si>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</si>
  <si>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</si>
  <si>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</si>
  <si>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</si>
  <si>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</si>
  <si>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</si>
  <si>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</si>
  <si>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</si>
  <si>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</si>
  <si>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</si>
  <si>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</si>
  <si>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</si>
  <si>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</si>
  <si>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</si>
  <si>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</si>
  <si>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</si>
  <si>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</si>
  <si>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</si>
  <si>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</si>
  <si>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</si>
  <si>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</si>
  <si>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</si>
  <si>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</si>
  <si>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</si>
  <si>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</si>
  <si>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</si>
  <si>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</si>
  <si>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</si>
  <si>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</si>
  <si>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</si>
  <si>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</si>
  <si>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</si>
  <si>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</si>
  <si>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</si>
  <si>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</si>
  <si>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</si>
  <si>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</si>
  <si>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</si>
  <si>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</si>
  <si>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</si>
  <si>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</si>
  <si>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</si>
  <si>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</si>
  <si>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</si>
  <si>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</si>
  <si>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</si>
  <si>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</si>
  <si>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</si>
  <si>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</si>
  <si>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</si>
  <si>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</si>
  <si>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</si>
  <si>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</si>
  <si>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</si>
  <si>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</si>
  <si>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</si>
  <si>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</si>
  <si>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</si>
  <si>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</si>
  <si>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</si>
  <si>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</si>
  <si>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</si>
  <si>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</si>
  <si>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</si>
  <si>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</si>
  <si>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</si>
  <si>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</si>
  <si>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</si>
  <si>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</si>
  <si>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</si>
  <si>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</si>
  <si>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</si>
  <si>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</si>
  <si>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</si>
  <si>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</si>
  <si>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</si>
  <si>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</si>
  <si>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</si>
  <si>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</si>
  <si>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</si>
  <si>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</si>
  <si>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</si>
  <si>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</si>
  <si>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</si>
  <si>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</si>
  <si>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</si>
  <si>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</si>
  <si>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</si>
  <si>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</si>
  <si>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</si>
  <si>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</si>
  <si>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</si>
  <si>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</si>
  <si>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</si>
  <si>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</si>
  <si>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</si>
  <si>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</si>
  <si>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</si>
  <si>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</si>
  <si>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</si>
  <si>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</si>
  <si>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</si>
  <si>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</si>
  <si>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</si>
  <si>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</si>
  <si>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</si>
  <si>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</si>
  <si>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</si>
  <si>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</si>
  <si>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</si>
  <si>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</si>
  <si>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</si>
  <si>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</si>
  <si>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</si>
  <si>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</si>
  <si>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</si>
  <si>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</si>
  <si>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</si>
  <si>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</si>
  <si>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</si>
  <si>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</si>
  <si>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</si>
  <si>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</si>
  <si>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</si>
  <si>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</si>
  <si>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</si>
  <si>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</si>
  <si>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</si>
  <si>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</si>
  <si>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</si>
  <si>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</si>
  <si>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</si>
  <si>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</si>
  <si>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</si>
  <si>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</si>
  <si>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</si>
  <si>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</si>
  <si>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</si>
  <si>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</si>
  <si>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</si>
  <si>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</si>
  <si>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</si>
  <si>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</si>
  <si>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</si>
  <si>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</si>
  <si>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</si>
  <si>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</si>
  <si>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</si>
  <si>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</si>
  <si>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</si>
  <si>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</si>
  <si>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</si>
  <si>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</si>
  <si>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</si>
  <si>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</si>
  <si>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</si>
  <si>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</si>
  <si>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</si>
  <si>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</si>
  <si>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</si>
  <si>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</si>
  <si>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</si>
  <si>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</si>
  <si>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</si>
  <si>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</si>
  <si>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</si>
  <si>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</si>
  <si>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</si>
  <si>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</si>
  <si>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</si>
  <si>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</si>
  <si>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</si>
  <si>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</si>
  <si>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</si>
  <si>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</si>
  <si>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</si>
  <si>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</si>
  <si>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</si>
  <si>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</si>
  <si>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</si>
  <si>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</si>
  <si>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</si>
  <si>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</si>
  <si>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</si>
  <si>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</si>
  <si>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</si>
  <si>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</si>
  <si>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</si>
  <si>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</si>
  <si>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</si>
  <si>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</si>
  <si>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</si>
  <si>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</si>
  <si>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</si>
  <si>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</si>
  <si>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</si>
  <si>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</si>
  <si>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</si>
  <si>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</si>
  <si>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</si>
  <si>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</si>
  <si>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</si>
  <si>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</si>
  <si>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</si>
  <si>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</si>
  <si>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</si>
  <si>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</si>
  <si>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</si>
  <si>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</si>
  <si>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</si>
  <si>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</si>
  <si>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</si>
  <si>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</si>
  <si>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</si>
  <si>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</si>
  <si>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</si>
  <si>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</si>
  <si>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</si>
  <si>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</si>
  <si>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</si>
  <si>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</si>
  <si>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</si>
  <si>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</si>
  <si>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</si>
  <si>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</si>
  <si>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</si>
  <si>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</si>
  <si>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</si>
  <si>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</si>
  <si>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</si>
  <si>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</si>
  <si>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</si>
  <si>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</si>
  <si>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</si>
  <si>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</si>
  <si>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</si>
  <si>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</si>
  <si>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</si>
  <si>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</si>
  <si>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</si>
  <si>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</si>
  <si>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</si>
  <si>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</si>
  <si>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</si>
  <si>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</si>
  <si>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</si>
  <si>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</si>
  <si>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</si>
  <si>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</si>
  <si>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</si>
  <si>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</si>
  <si>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</si>
  <si>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</si>
  <si>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</si>
  <si>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</si>
  <si>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</si>
  <si>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</si>
  <si>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</si>
  <si>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</si>
  <si>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</si>
  <si>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</si>
  <si>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</si>
  <si>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</si>
  <si>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</si>
  <si>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</si>
  <si>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</si>
  <si>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</si>
  <si>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</si>
  <si>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</si>
  <si>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</si>
  <si>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</si>
  <si>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</si>
  <si>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</si>
  <si>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</si>
  <si>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</si>
  <si>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</si>
  <si>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</si>
  <si>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</si>
  <si>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</si>
  <si>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</si>
  <si>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</si>
  <si>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</si>
  <si>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</si>
  <si>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</si>
  <si>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</si>
  <si>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</si>
  <si>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</si>
  <si>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</si>
  <si>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</si>
  <si>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</si>
  <si>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</si>
  <si>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</si>
  <si>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</si>
  <si>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</si>
  <si>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</si>
  <si>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</si>
  <si>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</si>
  <si>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</si>
  <si>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</si>
  <si>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</si>
  <si>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</si>
  <si>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</si>
  <si>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</si>
  <si>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</si>
  <si>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</si>
  <si>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</si>
  <si>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</si>
  <si>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</si>
  <si>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</si>
  <si>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</si>
  <si>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</si>
  <si>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</si>
  <si>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</si>
  <si>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</si>
  <si>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</si>
  <si>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</si>
  <si>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</si>
  <si>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TOTAL BS.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</si>
  <si>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</si>
  <si>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</si>
  <si>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</si>
  <si>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</si>
  <si>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</si>
  <si>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</si>
  <si>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</si>
  <si>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</si>
  <si>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</si>
  <si>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</si>
  <si>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</si>
  <si>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</si>
  <si>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</si>
  <si>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</si>
  <si>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</si>
  <si>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</si>
  <si>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</si>
  <si>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</si>
  <si>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</si>
  <si>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</si>
  <si>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</si>
  <si>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</si>
  <si>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</si>
  <si>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</si>
  <si>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</si>
  <si>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</si>
  <si>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</si>
  <si>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</si>
  <si>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</si>
  <si>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</si>
  <si>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</si>
  <si>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</si>
  <si>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</si>
  <si>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</si>
  <si>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</si>
  <si>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</si>
  <si>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</si>
  <si>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</si>
  <si>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</si>
  <si>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</si>
  <si>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</si>
  <si>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</si>
  <si>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</si>
  <si>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</si>
  <si>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</si>
  <si>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</si>
  <si>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</si>
  <si>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</si>
  <si>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</si>
  <si>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</si>
  <si>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</si>
  <si>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</si>
  <si>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</si>
  <si>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</si>
  <si>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</si>
  <si>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</si>
  <si>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</si>
  <si>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</si>
  <si>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</si>
  <si>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</si>
  <si>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</si>
  <si>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</si>
  <si>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</si>
  <si>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</si>
  <si>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</si>
  <si>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</si>
  <si>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</si>
  <si>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</si>
  <si>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</si>
  <si>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</si>
  <si>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</si>
  <si>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</si>
  <si>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</si>
  <si>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</si>
  <si>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</si>
  <si>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</si>
  <si>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</si>
  <si>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</si>
  <si>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</si>
  <si>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</si>
  <si>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0412-2891758</t>
  </si>
  <si>
    <t>TERRAZA DEL CLUB DE GOLF, MARAVEN, EDO. FALCON</t>
  </si>
  <si>
    <t>CHS CONSTRUCCIONES Y MATERIALES C.A.-PUNTO FIJO</t>
  </si>
  <si>
    <t>GUIA DE TRASLADO CORO-PUNTO FIJO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</si>
  <si>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</si>
  <si>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</si>
  <si>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</si>
  <si>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</si>
  <si>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</si>
  <si>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</si>
  <si>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</si>
  <si>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</si>
  <si>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</si>
  <si>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</si>
  <si>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</si>
  <si>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</si>
  <si>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</si>
  <si>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</si>
  <si>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</si>
  <si>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</si>
  <si>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</si>
  <si>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</si>
  <si>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</si>
  <si>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</si>
  <si>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</si>
  <si>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</si>
  <si>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´04122891758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</si>
  <si>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</si>
  <si>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</si>
  <si>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</si>
  <si>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</si>
  <si>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</si>
  <si>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</si>
  <si>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</si>
  <si>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</si>
  <si>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</si>
  <si>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</si>
  <si>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</si>
  <si>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</si>
  <si>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</si>
  <si>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</si>
  <si>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</si>
  <si>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</si>
  <si>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</si>
  <si>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</si>
  <si>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SF014</t>
  </si>
  <si>
    <t>SF030</t>
  </si>
  <si>
    <t>CHS - CAL - SACO 20 KG</t>
  </si>
  <si>
    <t>CHS - PINTURA IMPERMEABLE EN POLVO - SACO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</si>
  <si>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</si>
  <si>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</si>
  <si>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</si>
  <si>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</si>
  <si>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</si>
  <si>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</si>
  <si>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</si>
  <si>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</si>
  <si>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</si>
  <si>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</si>
  <si>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</si>
  <si>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</si>
  <si>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</si>
  <si>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</si>
  <si>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</si>
  <si>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</si>
  <si>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</si>
  <si>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</si>
  <si>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</si>
  <si>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</si>
  <si>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</si>
  <si>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</si>
  <si>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</si>
  <si>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</si>
  <si>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</si>
  <si>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</si>
  <si>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</si>
  <si>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</si>
  <si>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</si>
  <si>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</si>
  <si>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</si>
  <si>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</si>
  <si>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</si>
  <si>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</si>
  <si>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</si>
  <si>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</si>
  <si>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I.V.A 16%</t>
  </si>
  <si>
    <t>SUB- TOTAL Bs.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</si>
  <si>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</si>
  <si>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</si>
  <si>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</si>
  <si>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</si>
  <si>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</si>
  <si>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</si>
  <si>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</si>
  <si>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</si>
  <si>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</si>
  <si>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</si>
  <si>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</si>
  <si>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</si>
  <si>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</si>
  <si>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</si>
  <si>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</si>
  <si>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</si>
  <si>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</si>
  <si>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</si>
  <si>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</si>
  <si>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</si>
  <si>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</si>
  <si>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</si>
  <si>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</si>
  <si>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</si>
  <si>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</si>
  <si>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</si>
  <si>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</si>
  <si>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</si>
  <si>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</si>
  <si>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</si>
  <si>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</si>
  <si>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</si>
  <si>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</si>
  <si>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</si>
  <si>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TIPO OPER.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</si>
  <si>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</si>
  <si>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</si>
  <si>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</si>
  <si>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</si>
  <si>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</si>
  <si>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</si>
  <si>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</si>
  <si>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</si>
  <si>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</si>
  <si>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</si>
  <si>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</si>
  <si>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</si>
  <si>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</si>
  <si>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</si>
  <si>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</si>
  <si>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</si>
  <si>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</si>
  <si>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</si>
  <si>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</si>
  <si>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</si>
  <si>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</si>
  <si>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</si>
  <si>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</si>
  <si>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</si>
  <si>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</si>
  <si>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</si>
  <si>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</si>
  <si>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</si>
  <si>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</si>
  <si>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</si>
  <si>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</si>
  <si>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</si>
  <si>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</si>
  <si>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</si>
  <si>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</si>
  <si>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</si>
  <si>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</si>
  <si>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</si>
  <si>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</si>
  <si>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</si>
  <si>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</si>
  <si>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</si>
  <si>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</si>
  <si>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</si>
  <si>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</si>
  <si>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</si>
  <si>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</si>
  <si>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</si>
  <si>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</si>
  <si>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</si>
  <si>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</si>
  <si>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</si>
  <si>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</si>
  <si>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</si>
  <si>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</si>
  <si>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</si>
  <si>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</si>
  <si>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</si>
  <si>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</si>
  <si>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</si>
  <si>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</si>
  <si>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</si>
  <si>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</si>
  <si>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</si>
  <si>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</si>
  <si>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</si>
  <si>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</si>
  <si>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</si>
  <si>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</si>
  <si>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</si>
  <si>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</si>
  <si>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IMPERMEABILIZANTE PLUS: 1,91</t>
  </si>
  <si>
    <t>CEMENTO BLCO 1K: 1,15</t>
  </si>
  <si>
    <t>CAL 1K: 0,7</t>
  </si>
  <si>
    <t>YESO 1K: 1,24</t>
  </si>
  <si>
    <t>IMPERMEABILIZANTE PLUS: 2</t>
  </si>
  <si>
    <t>CEMENTO BLCO 1K: 1,2</t>
  </si>
  <si>
    <t>CAL 1K: 0,72</t>
  </si>
  <si>
    <t>YESO 1K: 1,3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</si>
  <si>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</si>
  <si>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</si>
  <si>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</si>
  <si>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</si>
  <si>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</si>
  <si>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</si>
  <si>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</si>
  <si>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</si>
  <si>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</si>
  <si>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</si>
  <si>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</si>
  <si>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</si>
  <si>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</si>
  <si>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</si>
  <si>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</si>
  <si>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</si>
  <si>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</si>
  <si>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BS</t>
  </si>
  <si>
    <t>GOLLO</t>
  </si>
  <si>
    <t>CRISTIAN</t>
  </si>
  <si>
    <t>J-412599445</t>
  </si>
  <si>
    <t>0412-6662063</t>
  </si>
  <si>
    <t>AV. PINTO SALINAS, ENTRE GARCES Y CALLE PURURECHE, SECTOR BOBARE, CORO, EDO. FALCON</t>
  </si>
  <si>
    <t>INVERSIONES FONSECA BLOCKS, C.A.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</si>
  <si>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</si>
  <si>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</si>
  <si>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</si>
  <si>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</si>
  <si>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</si>
  <si>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</si>
  <si>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</si>
  <si>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</si>
  <si>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</si>
  <si>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</si>
  <si>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</si>
  <si>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</si>
  <si>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</si>
  <si>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</si>
  <si>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</si>
  <si>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</si>
  <si>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</si>
  <si>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</si>
  <si>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</si>
  <si>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</si>
  <si>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</si>
  <si>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</si>
  <si>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</si>
  <si>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</si>
  <si>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</si>
  <si>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</si>
  <si>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</si>
  <si>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</si>
  <si>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</si>
  <si>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</si>
  <si>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</si>
  <si>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</si>
  <si>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</si>
  <si>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CHS- ESTILOSA HIDROXIETIL- 85GRS</t>
  </si>
  <si>
    <t>JUAN CARLOS  MATUTE RAGA</t>
  </si>
  <si>
    <t>V-12182946</t>
  </si>
  <si>
    <t>`04126438694</t>
  </si>
  <si>
    <t>URB. LAS DELICIAS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</si>
  <si>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</si>
  <si>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</si>
  <si>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</si>
  <si>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</si>
  <si>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</si>
  <si>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</si>
  <si>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PARTICULAR</t>
  </si>
  <si>
    <t>OSMARY MAMA OSCAR</t>
  </si>
  <si>
    <t>`04146835072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</si>
  <si>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</si>
  <si>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</si>
  <si>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</si>
  <si>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</si>
  <si>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</si>
  <si>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</si>
  <si>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</si>
  <si>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</si>
  <si>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</si>
  <si>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</si>
  <si>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</si>
  <si>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CHS - TALCO INDUSTRIAL - SACO 15KG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</si>
  <si>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</si>
  <si>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</si>
  <si>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</si>
  <si>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</si>
  <si>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</si>
  <si>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</si>
  <si>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</si>
  <si>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</si>
  <si>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</si>
  <si>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</si>
  <si>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</si>
  <si>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</si>
  <si>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</si>
  <si>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</si>
  <si>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</si>
  <si>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</si>
  <si>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</si>
  <si>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</si>
  <si>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</si>
  <si>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</si>
  <si>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</si>
  <si>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</si>
  <si>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</si>
  <si>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</si>
  <si>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</si>
  <si>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</si>
  <si>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</si>
  <si>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</si>
  <si>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</si>
  <si>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</si>
  <si>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</si>
  <si>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</si>
  <si>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</si>
  <si>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</si>
  <si>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</si>
  <si>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</si>
  <si>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</si>
  <si>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1JAVI EFREN CHIRINOSCHS - PEGO GRIS - SACO 15KG</t>
  </si>
  <si>
    <t>1JAVI EFREN CHIRINOSCHS - PEGO BLANCO - SACO 15KG</t>
  </si>
  <si>
    <t>IMPERMEABILIZANTE EN POLVO PLUS+ (450grs+120cc)</t>
  </si>
  <si>
    <t xml:space="preserve">JESUS </t>
  </si>
  <si>
    <t>FRANCO</t>
  </si>
  <si>
    <t>FERRETERIA AJGT, C.A.</t>
  </si>
  <si>
    <t>J-29488717-1</t>
  </si>
  <si>
    <t>`0414-6833471</t>
  </si>
  <si>
    <t>AV. ALI PRIMERA CON CALLEJON CUBA, CORO, ESTADO FALCON</t>
  </si>
  <si>
    <t>FERREAGRO ZULIA, C.A.</t>
  </si>
  <si>
    <t>J-40808092-3</t>
  </si>
  <si>
    <t>`0268-7471518</t>
  </si>
  <si>
    <t>V-28403254</t>
  </si>
  <si>
    <t>`04126607644</t>
  </si>
  <si>
    <t>1ENYERBERTH FORNELINO FERRETERIA FORNE E, F.P.CHS - GRAFIADO EN POLVO - SACO 15KG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</si>
  <si>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</si>
  <si>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</si>
  <si>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</si>
  <si>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</si>
  <si>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</si>
  <si>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1ENYERBERTH FORNELINO FERRETERIA FORNE E, F.P.STYLOSA TIPO A (50GR.)</t>
  </si>
  <si>
    <t>MACRO 100GR: 1,22</t>
  </si>
  <si>
    <t>MICRO 100GR: 1,81</t>
  </si>
  <si>
    <t>PASTA PLUS 3K: 2,18</t>
  </si>
  <si>
    <t>PASTA 0,75K: 0,55</t>
  </si>
  <si>
    <t>GRAFIADO 6K: 2,03</t>
  </si>
  <si>
    <t>BASE REND. 1K: 1,56</t>
  </si>
  <si>
    <t>CAL LIQ. 1GAL: 1,76</t>
  </si>
  <si>
    <t>PEGO 7KG: 1,54</t>
  </si>
  <si>
    <t>PEGO 10KG: 2,04</t>
  </si>
  <si>
    <t>PEGA PLUS 15KG: 2,01</t>
  </si>
  <si>
    <t>CONCRE PLUS 15KG: 2,19</t>
  </si>
  <si>
    <t>PEGO 15KG: 2,91</t>
  </si>
  <si>
    <t>STYLOSA "A" 50GR: 2,41</t>
  </si>
  <si>
    <t>GRAFIADO 15K: 4,32</t>
  </si>
  <si>
    <t>PASTA PLUS 8K: 5,05</t>
  </si>
  <si>
    <t>PINT IMP 10K: 5,59</t>
  </si>
  <si>
    <t>PEGO B 15K: 3,45</t>
  </si>
  <si>
    <t xml:space="preserve">EST. GRIS 12K: 5,63 </t>
  </si>
  <si>
    <t>MACRO 100GR: 1,28</t>
  </si>
  <si>
    <t>MICRO 100GR: 1,9</t>
  </si>
  <si>
    <t>PASTA PLUS 3K: 2,28</t>
  </si>
  <si>
    <t>PASTA 0,75K: 0,58</t>
  </si>
  <si>
    <t>GRAFIADO 6K: 2,12</t>
  </si>
  <si>
    <t>BASE REND. 1K: 1,69</t>
  </si>
  <si>
    <t>CAL LIQ. 1GAL: 1,84</t>
  </si>
  <si>
    <t>PEGO 7KG: 1,58</t>
  </si>
  <si>
    <t>PEGO 10KG: 2,09</t>
  </si>
  <si>
    <t>PEGA PLUS 15KG: 2,13</t>
  </si>
  <si>
    <t>CONCRE PLUS 15KG: 2,34</t>
  </si>
  <si>
    <t>PEGO 15KG: 2,98</t>
  </si>
  <si>
    <t>STYLOSA "A" 50GR: 2,52</t>
  </si>
  <si>
    <t>GRAFIADO 15K: 4,45</t>
  </si>
  <si>
    <t>PASTA PLUS 8K: 5,29</t>
  </si>
  <si>
    <t>PINT IMP 10K: 5,85</t>
  </si>
  <si>
    <t>PEGO B 15K: 3,5</t>
  </si>
  <si>
    <t xml:space="preserve">EST. GRIS 12K: 5,9 </t>
  </si>
  <si>
    <t>1PARTICULARCHS - PINTURA IMPERMEABLE - SACO 10KG</t>
  </si>
  <si>
    <t>FERRECONSTRUCCIONES FERRECO C.A.</t>
  </si>
  <si>
    <t>J-50180897-0</t>
  </si>
  <si>
    <t>`0412667648</t>
  </si>
  <si>
    <t>CALLE CALLEJON JURADO ENTRE AVENIDA INDEPENDENCIA Y CALLE GARCES LOCAL NRO S/N SECTOR BOBARE CORO SANTA ANA DE CORO FALCON ZONA POSTAL 4101</t>
  </si>
  <si>
    <t>BOLSAS</t>
  </si>
  <si>
    <t>CHS- PEGO GRIS - SACO 10KG</t>
  </si>
  <si>
    <t>CHS- PINTURA IMPERMEABLE  - SACO 10 KG</t>
  </si>
  <si>
    <t>´04127513864</t>
  </si>
  <si>
    <t>CARMEN CRISTINA CAMACHO URDANETA</t>
  </si>
  <si>
    <t>V-10453721</t>
  </si>
  <si>
    <t>URBANIZACION LA VICTORIA TERCERA ETAPA CALLE 18 Nº 1781. MARACAIBO, EDO. ZULIA</t>
  </si>
  <si>
    <t>CHS- GRAFIADO EN POLVO  - SACO 15 KG</t>
  </si>
  <si>
    <t>SFC-0522-032</t>
  </si>
  <si>
    <t>SFC-0522-036</t>
  </si>
  <si>
    <t>SFC-0522-037</t>
  </si>
  <si>
    <t>1DIMACO 2021, C.AMACROFIBRA TEREFTALATO DE DIMETILO (100 GR)</t>
  </si>
  <si>
    <t>SFC-0522-042</t>
  </si>
  <si>
    <t>SFC-0522-043</t>
  </si>
  <si>
    <t>JOSE LUIS WELMAN</t>
  </si>
  <si>
    <t>V-19.252.339</t>
  </si>
  <si>
    <t xml:space="preserve">URB. LA MORA, CABUDARE, ESTADO LARA </t>
  </si>
  <si>
    <t>URBANIZACION LA MORA, CABUDARE, ESTADO LARA</t>
  </si>
  <si>
    <t>CORO - CABUDARE (BARQUISIMETO)</t>
  </si>
  <si>
    <t>´04121682915</t>
  </si>
  <si>
    <t>CODISVEN, C.A.</t>
  </si>
  <si>
    <t>CHS - MATERO HEXAGONAL - GRAFIADO BLANCO</t>
  </si>
  <si>
    <t>J-40500501-7</t>
  </si>
  <si>
    <t>`04246856729</t>
  </si>
  <si>
    <t>CARRETERA ENTRADA A LOS PEROZOS ENTRE AV. RAMON ANTONIO MEDINA, LOCAL NRO. S/N, SECTOR LOS PEROZOS, SANTA ANA DE CORO - MCPIO MIRANDA-EDO. FALCON</t>
  </si>
  <si>
    <t>CHS-IMPERMEABILIZANTE EN POLVO - SACO 450G+120CC</t>
  </si>
  <si>
    <t>MAMA</t>
  </si>
  <si>
    <t>SFC-0622-013</t>
  </si>
  <si>
    <t>1CODISVEN, C.A.CHS - PINTURA IMPERMEABLE - SACO 10KG</t>
  </si>
  <si>
    <t>1FERRETERIA PEPINO, S.A.MACROFIBRA TEREFTALATO DE DIMETILO (100 GR)</t>
  </si>
  <si>
    <t>SFC-0622-006</t>
  </si>
  <si>
    <t>SFC-0622-009</t>
  </si>
  <si>
    <t>CHS - MEZCLI - PEGO 15KG</t>
  </si>
  <si>
    <t>CHS - MATERO HEXAGONAL PEQ. - TEXTURIZADO GRIS</t>
  </si>
  <si>
    <t>CHS - MATERO HEXAGONAL PEQ. - TEXTURIZADO BLANCO</t>
  </si>
  <si>
    <t>CHS - MATERO HEXAGONAL PEQ. - GRAFIADO GRIS</t>
  </si>
  <si>
    <t>CHS - MATERO HEXAGONAL PEQ. - GRAFIADO BLANCO</t>
  </si>
  <si>
    <t>CHS - CASTELATTO - 40x15x8 CM - 22 pzas</t>
  </si>
  <si>
    <t>MICROFIBRA POLIPROPILENO (600 GR)</t>
  </si>
  <si>
    <t>CHS - TRAPEZZIO 20X40 - 20 pzas</t>
  </si>
  <si>
    <t>CHS - TRAPEZZIO 18X36 - 24 pzas</t>
  </si>
  <si>
    <t>CHS - STELLA -10 CM - 20 pzas</t>
  </si>
  <si>
    <t>CHS - RHOMBUS -15X20 CM - 36 pzas</t>
  </si>
  <si>
    <t>CHS - HEXAGONO -15 CM - 18 pzas</t>
  </si>
  <si>
    <t>MEZ-PEGO15KG</t>
  </si>
  <si>
    <t>MAT. HEX. TG</t>
  </si>
  <si>
    <t>MAT. HEX. TB</t>
  </si>
  <si>
    <t>MAT. HEX. GG</t>
  </si>
  <si>
    <t>MAT. HEX. GB</t>
  </si>
  <si>
    <t>CASTELATTO</t>
  </si>
  <si>
    <t>TRAPEZZIO 20</t>
  </si>
  <si>
    <t>TRAPEZZIO 18</t>
  </si>
  <si>
    <t>STELLA</t>
  </si>
  <si>
    <t>RHOMBUS</t>
  </si>
  <si>
    <t>MICRO 600GR.</t>
  </si>
  <si>
    <t>CHS - MATERO HEXAGONAL - TEXTURIZADO GRIS</t>
  </si>
  <si>
    <t>CHS - MATERO HEXAGONAL - TEXTURIZADO BLANCO</t>
  </si>
  <si>
    <t>CHS - MATERO HEXAGONAL - GRAFIADO GRIS</t>
  </si>
  <si>
    <t>CHS - CASTELLATO</t>
  </si>
  <si>
    <t xml:space="preserve">MICRO  FIBRA 600GR </t>
  </si>
  <si>
    <t>CHS - TRAPEZZIO 20X40</t>
  </si>
  <si>
    <t>CHS - TRAPEZZIO 18X36</t>
  </si>
  <si>
    <t>CHS - STELLA</t>
  </si>
  <si>
    <t>CHS - RHOMBUS</t>
  </si>
  <si>
    <t>CHS - HEXAGONO 3D</t>
  </si>
  <si>
    <t>CAL - 5KG</t>
  </si>
  <si>
    <t>STYLOSA 85GR: 1,56</t>
  </si>
  <si>
    <t>CAL - 5KG: 2,59</t>
  </si>
  <si>
    <t>CASTELATTO: 14,8</t>
  </si>
  <si>
    <t>MICRO 600GR.: 9,7</t>
  </si>
  <si>
    <t>TRAPEZZIO 20: 12,41</t>
  </si>
  <si>
    <t>TRAPEZZIO 18: 11,94</t>
  </si>
  <si>
    <t>STELLA: 13,84</t>
  </si>
  <si>
    <t>RHOMBUS: 13,36</t>
  </si>
  <si>
    <t>MEZ-PEGO15KG: 3,91</t>
  </si>
  <si>
    <t>MAT. HEX. TG: 1,43</t>
  </si>
  <si>
    <t>MAT. HEX. TB: 1,46</t>
  </si>
  <si>
    <t>MAT. HEX. GG: 1,5</t>
  </si>
  <si>
    <t>MAT. HEX. GB: 1,5</t>
  </si>
  <si>
    <t>STYLOSA 85GR: 1,7</t>
  </si>
  <si>
    <t>CAL - 5KG: 2,71</t>
  </si>
  <si>
    <t>CASTELATTO: 15,5</t>
  </si>
  <si>
    <t>MICRO 600GR.: 10,17</t>
  </si>
  <si>
    <t>TRAPEZZIO 20: 13</t>
  </si>
  <si>
    <t>TRAPEZZIO 18: 12,5</t>
  </si>
  <si>
    <t>STELLA: 14,5</t>
  </si>
  <si>
    <t>RHOMBUS: 14</t>
  </si>
  <si>
    <t>MEZ-PEGO15KG: 4,1</t>
  </si>
  <si>
    <t>MAT. HEX. TG: 1,5</t>
  </si>
  <si>
    <t>MAT. HEX. TB: 1,53</t>
  </si>
  <si>
    <t>MAT. HEX. GG: 1,57</t>
  </si>
  <si>
    <t xml:space="preserve">MAT. HEX. GB: 1,57 </t>
  </si>
  <si>
    <t>CHS - PINTURA IMPERMEABLE EN POLVO- SACO 10KG</t>
  </si>
  <si>
    <t>TOTAL CENTER, C.A.</t>
  </si>
  <si>
    <t>J-50223165-0</t>
  </si>
  <si>
    <t>AV. MANAURE TRONCAL 4 ENTRE AUTOPISTA VARIANTE SUR Y CALLEJON CADAFE LOCAL NRO S/N SECTOR CENTRO SANTA ANA DE CORO FALCON ZONA POSTAL 4101</t>
  </si>
  <si>
    <t>`04146449787</t>
  </si>
  <si>
    <t>INVERSIONES SANTA ANA DE LA CRUZ, C.A.</t>
  </si>
  <si>
    <t>J-50124080-9</t>
  </si>
  <si>
    <t>AV. TIRSO SALAVERRIA CON CALLE ITURBE, EDIF DON GIUSEPPE PISO P/B LOCAL 2 SECTOR CENTRO SANTA ANA DE CORO FALCON ZONA POSTAL 4101</t>
  </si>
  <si>
    <t>`04146848245</t>
  </si>
  <si>
    <t xml:space="preserve">CAMION </t>
  </si>
  <si>
    <t>SFC-0622-026</t>
  </si>
  <si>
    <t>CEMENTO</t>
  </si>
  <si>
    <t>CHS+ MATERO HEXAGONAL PEQUEÑO-TEXTURIZADO BLANCO</t>
  </si>
  <si>
    <t>CHS+ MATERO HEXAGONAL PEQUEÑO-GRAFIADO BLANCO</t>
  </si>
  <si>
    <t>CHS+ MATERO HEXAGONAL PEQUEÑO-GRAFIADO GRIS</t>
  </si>
  <si>
    <t>1COSEIMPA CORO, C. A.MACROFIBRA TEREFTALATO DE DIMETILO (100 GR)</t>
  </si>
  <si>
    <t>1COSEIMPA CORO, C. A.STYLOSA TIPO A (50GR.)</t>
  </si>
  <si>
    <t>1COSEIMPA CORO, C. A.CHS - CAL PREPARADA LIQUIDA (1 GAL)</t>
  </si>
  <si>
    <t>1COSEIMPA CORO, C. A.CHS - MATERO HEXAGONAL PEQ. - GRAFIADO GRIS</t>
  </si>
  <si>
    <t>1COSEIMPA CORO, C. A.CHS - MATERO HEXAGONAL PEQ. - GRAFIADO BLANCO</t>
  </si>
  <si>
    <t>2COSEIMPA CORO, C. A.MACROFIBRA TEREFTALATO DE DIMETILO (100 GR)</t>
  </si>
  <si>
    <t>2COSEIMPA CORO, C. A.STYLOSA TIPO A (50GR.)</t>
  </si>
  <si>
    <t>2COSEIMPA CORO, C. A.CHS - CAL PREPARADA LIQUIDA (1 GAL)</t>
  </si>
  <si>
    <t>1INVERSIONES Y SERVICIOS TOTALES, C.A.STYLOSA TIPO A (50GR.)</t>
  </si>
  <si>
    <t>SFC-0622-018</t>
  </si>
  <si>
    <t>2DIMACO 2021, C.AMACROFIBRA TEREFTALATO DE DIMETILO (100 GR)</t>
  </si>
  <si>
    <t>SFC-0622-021</t>
  </si>
  <si>
    <t>SFC-0622-022</t>
  </si>
  <si>
    <t>SFC-0622-023</t>
  </si>
  <si>
    <t>1FERRETERIA MONTE ALTO F.E., C.A.CHS - PEGO GRIS - SACO 10KG</t>
  </si>
  <si>
    <t>SFC-0622-024</t>
  </si>
  <si>
    <t>1INVERSIONES FONSECA BLOCKS, C.A.CHS - ESTUCO GRIS - SACO 12KG</t>
  </si>
  <si>
    <t>1INVERSIONES FONSECA BLOCKS, C.A.CHS - PASTA EN POLVO PLUS - SACO 8KG</t>
  </si>
  <si>
    <t>SFC-0622-027</t>
  </si>
  <si>
    <t>1COSEIMPA CORO, C. A.CHS - PINTURA IMPERMEABLE - SACO 10KG</t>
  </si>
  <si>
    <t>2COSEIMPA CORO, C. A.CHS - PINTURA IMPERMEABLE - SACO 10KG</t>
  </si>
  <si>
    <t>1INVERSIONES FONSECA BLOCKS, C.A.CHS - PINTURA IMPERMEABLE - SACO 10KG</t>
  </si>
  <si>
    <t>CHS - MEZCLI - PEGO Impermeable - SACO 15KG</t>
  </si>
  <si>
    <t>FRANK MUNELO</t>
  </si>
  <si>
    <t>V-12732931</t>
  </si>
  <si>
    <t>`04124270814</t>
  </si>
  <si>
    <t>PARCELAMIENTO SUR INDEPENDENCIA, CALLE GONZALEZ # 48, SANTA ANA DE CORO, FALCON</t>
  </si>
  <si>
    <t>SFC-0622-035</t>
  </si>
  <si>
    <t>CARLOS PENSO</t>
  </si>
  <si>
    <t>`04129675025</t>
  </si>
  <si>
    <t>CORO-FALCON</t>
  </si>
  <si>
    <t>SFC-0622-030</t>
  </si>
  <si>
    <t>SFC-0622-032</t>
  </si>
  <si>
    <t>SFC-0622-028</t>
  </si>
  <si>
    <t>SFC-0622-031</t>
  </si>
  <si>
    <t>SFC-0622-033</t>
  </si>
  <si>
    <t>SFC-0622-034</t>
  </si>
  <si>
    <t>2INVERSIONES FONSECA BLOCKS, C.A.CHS - PINTURA IMPERMEABLE - SACO 10KG</t>
  </si>
  <si>
    <t>2INVERSIONES Y SERVICIOS TOTALES, C.A.STYLOSA TIPO A (50GR.)</t>
  </si>
  <si>
    <t>1INVERSIONES Y SERVICIOS TOTALES, C.A.CHS - ESTUCO GRIS - SACO 12KG</t>
  </si>
  <si>
    <t>SFC-0622-037</t>
  </si>
  <si>
    <t>1CARLOS PENSOCHS - PINTURA IMPERMEABLE - SACO 10KG</t>
  </si>
  <si>
    <t>INVERSIONES FONSECA BLOCKS, C.A.SFC-0622-035</t>
  </si>
  <si>
    <t>CARMEN MOLINASFC-0622-030</t>
  </si>
  <si>
    <t>FRANK MUNELOSFC-0622-032</t>
  </si>
  <si>
    <t>PARTICULARSFC-0622-027</t>
  </si>
  <si>
    <t>GASOIL CAMION</t>
  </si>
  <si>
    <t>100LTS DE GASOIL PARA CAMION</t>
  </si>
  <si>
    <t>SFC-0722-002</t>
  </si>
  <si>
    <t>SFC-0722-005</t>
  </si>
  <si>
    <t xml:space="preserve">PARA CONSULTAS </t>
  </si>
  <si>
    <t>MATERIAS PRIMAS</t>
  </si>
  <si>
    <t>COMPRA DE 33 CEMENTO BLANCO 21,25KG+2 SIKA 101 +5KG ELECTRODOS+TEIPE</t>
  </si>
  <si>
    <t>CAMIONCITO</t>
  </si>
  <si>
    <t>30LTS GASOLINA+4LTS ACEITE CAJA+1LT LIGA DE FRENOS</t>
  </si>
  <si>
    <t>SFC-0722-006</t>
  </si>
  <si>
    <t>SFC-0722-009</t>
  </si>
  <si>
    <t>SFC-0722-003</t>
  </si>
  <si>
    <t>COMPRA DE DOS KIT DE GOMAS DE FRENOS DE ATRÁS+1LT VALVULINA</t>
  </si>
  <si>
    <t>PAGO DE NOMINA DEL 04 AL 10-07-22</t>
  </si>
  <si>
    <t>ADELANTO PARTE DE BONO JULIO 2022</t>
  </si>
  <si>
    <t>SFC-0722-004</t>
  </si>
  <si>
    <t>SFC-0722-008</t>
  </si>
  <si>
    <t>TALLER</t>
  </si>
  <si>
    <t>IPSI TALLER PERSONAL DE ALTO RENDIMIENTO</t>
  </si>
  <si>
    <t>COMPRA DE 20 SACOS DE CEMENTO GRIS DE 40kG 5$</t>
  </si>
  <si>
    <t>ING. ANGEL HERNANDEZ</t>
  </si>
  <si>
    <t>`04148677291</t>
  </si>
  <si>
    <t>CURIA DIOSESANA</t>
  </si>
  <si>
    <t>SFC-0722-013</t>
  </si>
  <si>
    <t>MOTOR</t>
  </si>
  <si>
    <t>COMPRA DE MOTOR 220 PARA MOLINO GRANDE</t>
  </si>
  <si>
    <t>SFC-0722-007</t>
  </si>
  <si>
    <t>COMPRA DE 40 SACOS DE CEMENTO GRIS 40KG-5,5$</t>
  </si>
  <si>
    <t>P.O.P</t>
  </si>
  <si>
    <t>20 TAPABOCAS(40$)+RESMA DE 50 PAPEL ETIQUETA(15)</t>
  </si>
  <si>
    <t>SFC-0722-016</t>
  </si>
  <si>
    <t>COMPRA DE 15 SACOS DE CEMENTO GRIS 40KG-5,5$</t>
  </si>
  <si>
    <t>PAGO DE NOMINA DEL 11 AL 17-07-22</t>
  </si>
  <si>
    <t>2DO. ADELANTO PARTE DE BONO JULIO 2022</t>
  </si>
  <si>
    <t xml:space="preserve">BATERIA </t>
  </si>
  <si>
    <t>COMPRA DE BATERIA DE 800AMP CAMIONCITO</t>
  </si>
  <si>
    <t>HIDROFALCON</t>
  </si>
  <si>
    <t>PAGO ABRIL Y MAYO 2022</t>
  </si>
  <si>
    <t>SFC-0722-019</t>
  </si>
  <si>
    <t xml:space="preserve">2000 BOLSAS DE FIBRA </t>
  </si>
  <si>
    <t>SFC-0722-020</t>
  </si>
  <si>
    <t>SFC-0722-021</t>
  </si>
  <si>
    <t>PAGO ZELLE</t>
  </si>
  <si>
    <t>PAGO POR 250$ A ELEMASARUBA@GMAIL.COM</t>
  </si>
  <si>
    <t>PAGO POR 200$ A JCPADRONPERICH@GMAIL.COM</t>
  </si>
  <si>
    <t>COMPRA DE 2000 BOLSAS PARA FIBRA</t>
  </si>
  <si>
    <t>SFC-0722-022</t>
  </si>
  <si>
    <t>COMPRA DE 100LTS GASOIL A 25$</t>
  </si>
  <si>
    <t>DISTRIBUIDORA MADEIRA, C.A.</t>
  </si>
  <si>
    <t>AV. ROMULO GALLEGOS DIAGONAL AL BANCO BNC, CORO, ESTADO FALCON</t>
  </si>
  <si>
    <t>`40127995132</t>
  </si>
  <si>
    <t>FLETE</t>
  </si>
  <si>
    <t>PAGO DE NOMINA DEL 18 AL 24-07-22</t>
  </si>
  <si>
    <t>FLETE MACROFIBRA DESDE MARACAIBO 150KG</t>
  </si>
  <si>
    <t>SFC-0722-011</t>
  </si>
  <si>
    <t>SFC-0722-027</t>
  </si>
  <si>
    <t>SFC-0722-010</t>
  </si>
  <si>
    <t>SFC-0722-030</t>
  </si>
  <si>
    <t>SFC-0722-014</t>
  </si>
  <si>
    <t>SFC-0722-026</t>
  </si>
  <si>
    <t>SFC-0722-031</t>
  </si>
  <si>
    <t>PAGO FLETE CORO - PUNTO FIJO: FIBRAS, ESTILOSA+Impermeab.</t>
  </si>
  <si>
    <t>CHS</t>
  </si>
  <si>
    <t>SFC-0722-034</t>
  </si>
  <si>
    <t>2LTS ACAEITE DE MOTOR, 1LTS LIGA DE FRENOS</t>
  </si>
  <si>
    <t>SFC-0722-033</t>
  </si>
  <si>
    <t xml:space="preserve">CAL </t>
  </si>
  <si>
    <t xml:space="preserve">PAGO DE CAL </t>
  </si>
  <si>
    <t>FLETE CAL PAPA</t>
  </si>
  <si>
    <t>SFC-0722-012</t>
  </si>
  <si>
    <t>PAGO DE NOMINA DEL 19 AL 31-07-22</t>
  </si>
  <si>
    <t>ADELANTO PRESTACIONES SOCIALES DEL 10-01-22 AL 10-07-22</t>
  </si>
  <si>
    <t>BONO DE PRODUCCION DE JULIO 2022</t>
  </si>
  <si>
    <t>RESTO BONO DE PRODUCCION DE JULIO 2022</t>
  </si>
  <si>
    <t>PAGO TOTAL NOMINA + LIQUIDACION</t>
  </si>
  <si>
    <t>PAGO</t>
  </si>
  <si>
    <t>DSTO</t>
  </si>
  <si>
    <t>BONO ESPECIAL POR FLETE DE CAL</t>
  </si>
  <si>
    <t>SFC-0722-001</t>
  </si>
  <si>
    <t>200LTS GASOIL CAMION</t>
  </si>
  <si>
    <t>SFC-0722-035</t>
  </si>
  <si>
    <t xml:space="preserve">AGAZAJO </t>
  </si>
  <si>
    <t xml:space="preserve">AGAZAJO TRABAJADORES </t>
  </si>
  <si>
    <t>COMPRA DE 20 SACOS DE CEMENTO GRIS 40KG-5,5$</t>
  </si>
  <si>
    <t>1JAVI EFREN CHIRINOSCHS - ESTUCO GRIS - SACO 12KG</t>
  </si>
  <si>
    <t>1JAVI EFREN CHIRINOSCHS - PASTA EN POLVO PLUS - SACO 3KG</t>
  </si>
  <si>
    <t>1JAVI EFREN CHIRINOSCHS - PINTURA IMPERMEABLE - SACO 10KG</t>
  </si>
  <si>
    <t>1INVERSIONES Y SERVICIOS TOTALES, C.A.CHS - PINTURA IMPERMEABLE - SACO 10KG</t>
  </si>
  <si>
    <t>2INVERSIONES Y SERVICIOS TOTALES, C.A.CHS - PINTURA IMPERMEABLE - SACO 10KG</t>
  </si>
  <si>
    <t>1INVERSIONES Y SERVICIOS TOTALES, C.A.CHS - PASTA EN POLVO PLUS - SACO 8KG</t>
  </si>
  <si>
    <t>1FERRETERIA Y MATERIALES BUENA ESPERANZA, C. A.STYLOSA HIDROXIETIL (85 GRAMOS)</t>
  </si>
  <si>
    <t>1FERRETERIA FORNE H, C.A.CHS - PASTA EN POLVO PLUS - SACO 3KG</t>
  </si>
  <si>
    <t>1FERRETERIA FORNE H, C.A.STYLOSA TIPO A (50GR.)</t>
  </si>
  <si>
    <t>1FERRETERIA FORNE H, C.A.MACROFIBRA TEREFTALATO DE DIMETILO (100 GR)</t>
  </si>
  <si>
    <t>1FERRETERIA FORNE H, C.A.CHS - PINTURA IMPERMEABLE - SACO 10KG</t>
  </si>
  <si>
    <t>1FERRETERIA FORNE H, C.A.CHS - GRAFIADO EN POLVO - SACO 15KG</t>
  </si>
  <si>
    <t>1DIMACO 2021, C.ACHS - ESTUCO GRIS - SACO 12KG</t>
  </si>
  <si>
    <t>1DIMACO 2021, C.ACHS - CEMENTO BLANCO - SACO 1 KG</t>
  </si>
  <si>
    <t>1CONSTRUCCIONES INMOBILIARIAS EL CARDON, C.ACHS - PINTURA IMPERMEABLE - SACO 10KG</t>
  </si>
  <si>
    <t>1ING. ANGEL HERNANDEZCHS - PINTURA IMPERMEABLE - SACO 10KG</t>
  </si>
  <si>
    <t>1ING. ANGEL HERNANDEZCHS - MEZCLI - PEGO 15KG</t>
  </si>
  <si>
    <t>1FERRETERIA Y MATERIALES RICHIUSA, C. A.CHS - PASTA EN POLVO PLUS - SACO 3KG</t>
  </si>
  <si>
    <t>1FERRETERIA Y MATERIALES RICHIUSA, C. A.STYLOSA TIPO A (50GR.)</t>
  </si>
  <si>
    <t>SFC-0722-015</t>
  </si>
  <si>
    <t>1RAY  PEREZCHS - GRAFIADO EN POLVO - SACO 15KG</t>
  </si>
  <si>
    <t>1RAY  PEREZCHS - PASTA EN POLVO PLUS - SACO 3KG</t>
  </si>
  <si>
    <t>1RAY  PEREZCHS - PASTA EN POLVO PLUS - SACO 8KG</t>
  </si>
  <si>
    <t>SFC-0722-017</t>
  </si>
  <si>
    <t>1LINDANY CASA ROCACHS - PEGO GRIS - SACO 15KG</t>
  </si>
  <si>
    <t>1LINDANY CASA ROCACHS - PEGO BLANCO - SACO 15KG</t>
  </si>
  <si>
    <t>SFC-0722-018</t>
  </si>
  <si>
    <t>1FALCONIANA DE MATERIALES, C.A.MACROFIBRA TEREFTALATO DE DIMETILO (100 GR)</t>
  </si>
  <si>
    <t>1FALCONIANA DE MATERIALES, C.A.CHS - ESTUCO GRIS - SACO 12KG</t>
  </si>
  <si>
    <t>2CODISVEN, C.A.CHS - PINTURA IMPERMEABLE - SACO 10KG</t>
  </si>
  <si>
    <t>1CARLOS PENSOCHS - MEZCLI - PEGO 15KG</t>
  </si>
  <si>
    <t>2INVERSIONES FONSECA BLOCKS, C.A.CHS - PASTA EN POLVO PLUS - SACO 8KG</t>
  </si>
  <si>
    <t>1INVERSIONES FONSECA BLOCKS, C.A.CHS - PASTA EN POLVO PLUS - SACO 3KG</t>
  </si>
  <si>
    <t>1INVERSIONES FONSECA BLOCKS, C.A.CHS - MATERO HEXAGONAL PEQ. - TEXTURIZADO BLANCO</t>
  </si>
  <si>
    <t>SFC-0722-023</t>
  </si>
  <si>
    <t>1FERRETERIA MONTE ALTO F.E., C.A.CHS - ESTUCO GRIS - SACO 12KG</t>
  </si>
  <si>
    <t>1FERRETERIA MONTE ALTO F.E., C.A.CHS - PINTURA IMPERMEABLE - SACO 10KG</t>
  </si>
  <si>
    <t>1FERRETERIA MONTE ALTO F.E., C.A.STYLOSA HIDROXIETIL (85 GRAMOS)</t>
  </si>
  <si>
    <t>1FERRETERIA MONTE ALTO F.E., C.A.MACROFIBRA TEREFTALATO DE DIMETILO (100 GR)</t>
  </si>
  <si>
    <t>1FERRETERIA MONTE ALTO F.E., C.A.MICROFIBRA POLIPROPILENO (100 GR)</t>
  </si>
  <si>
    <t>SFC-0722-024</t>
  </si>
  <si>
    <t>1ENYERBERTH FORNELINO FERRETERIA FORNE E, F.P.MACROFIBRA TEREFTALATO DE DIMETILO (100 GR)</t>
  </si>
  <si>
    <t>1ENYERBERTH FORNELINO FERRETERIA FORNE E, F.P.CHS - PINTURA IMPERMEABLE - SACO 10KG</t>
  </si>
  <si>
    <t>2ENYERBERTH FORNELINO FERRETERIA FORNE E, F.P.STYLOSA TIPO A (50GR.)</t>
  </si>
  <si>
    <t>SFC-0722-025</t>
  </si>
  <si>
    <t>1DISTRIBUIDORA MADEIRA, C.A.CHS - PASTA EN POLVO - SACO 0,75 KG</t>
  </si>
  <si>
    <t>1DISTRIBUIDORA MADEIRA, C.A.CHS - PASTA EN POLVO PLUS - SACO 3KG</t>
  </si>
  <si>
    <t>1DISTRIBUIDORA MADEIRA, C.A.CHS - BASE RENDIDORA PINTURA (1,25 KG)</t>
  </si>
  <si>
    <t>1DISTRIBUIDORA MADEIRA, C.A.CHS - CAL PREPARADA LIQUIDA (1 GAL)</t>
  </si>
  <si>
    <t>1DISTRIBUIDORA MADEIRA, C.A.CHS - PINTURA IMPERMEABLE - SACO 10KG</t>
  </si>
  <si>
    <t>2ENYERBERTH FORNELINO FERRETERIA FORNE E, F.P.CHS - PINTURA IMPERMEABLE - SACO 10KG</t>
  </si>
  <si>
    <t>SFC-0722-028</t>
  </si>
  <si>
    <t>1FERRE CERAMICAS FALCON, C.A.CHS - CEMENTO BLANCO - SACO 4,5 KG</t>
  </si>
  <si>
    <t>1FERRE CERAMICAS FALCON, C.A.CHS - CEMENTO BLANCO - SACO 1 KG</t>
  </si>
  <si>
    <t>1FERRE CERAMICAS FALCON, C.A.STYLOSA TIPO A (50GR.)</t>
  </si>
  <si>
    <t>1FERRE CERAMICAS FALCON, C.A.MACROFIBRA TEREFTALATO DE DIMETILO (100 GR)</t>
  </si>
  <si>
    <t>1FERRE CERAMICAS FALCON, C.A.CHS - PINTURA IMPERMEABLE - SACO 10KG</t>
  </si>
  <si>
    <t>1FERRE CERAMICAS FALCON, C.A.CHS - YESO - SACO 1 KG</t>
  </si>
  <si>
    <t>SFC-0722-029</t>
  </si>
  <si>
    <t>2FERRETERIA FORNE H, C.A.CHS - GRAFIADO EN POLVO - SACO 15KG</t>
  </si>
  <si>
    <t>1FERRETERIA FORNE H, C.A.CHS - PASTA EN POLVO - SACO 0,75 KG</t>
  </si>
  <si>
    <t>2FERRETERIA FORNE H, C.A.STYLOSA TIPO A (50GR.)</t>
  </si>
  <si>
    <t>1ALCIDES CAMACHOCHS - PINTURA IMPERMEABLE - SACO 10KG</t>
  </si>
  <si>
    <t>1INVERSIONES ALEXANDER N C.A.STYLOSA TIPO A (50GR.)</t>
  </si>
  <si>
    <t>SFC-0722-032</t>
  </si>
  <si>
    <t>3COSEIMPA CORO, C. A.STYLOSA TIPO A (50GR.)</t>
  </si>
  <si>
    <t>3COSEIMPA CORO, C. A.MACROFIBRA TEREFTALATO DE DIMETILO (100 GR)</t>
  </si>
  <si>
    <t>3COSEIMPA CORO, C. A.CHS - CAL PREPARADA LIQUIDA (1 GAL)</t>
  </si>
  <si>
    <t>4COSEIMPA CORO, C. A.STYLOSA TIPO A (50GR.)</t>
  </si>
  <si>
    <t>4COSEIMPA CORO, C. A.MACROFIBRA TEREFTALATO DE DIMETILO (100 GR)</t>
  </si>
  <si>
    <t>4COSEIMPA CORO, C. A.CHS - CAL PREPARADA LIQUIDA (1 GAL)</t>
  </si>
  <si>
    <t>2ENYERBERTH FORNELINO FERRETERIA FORNE E, F.P.MACROFIBRA TEREFTALATO DE DIMETILO (100 GR)</t>
  </si>
  <si>
    <t>1ENYERBERTH FORNELINO FERRETERIA FORNE E, F.P.CHS - PASTA EN POLVO - SACO 0,75 KG</t>
  </si>
  <si>
    <t>1ENYERBERTH FORNELINO FERRETERIA FORNE E, F.P.CHS - PASTA EN POLVO PLUS - SACO 3KG</t>
  </si>
  <si>
    <t>1ENYERBERTH FORNELINO FERRETERIA FORNE E, F.P.CHS - PASTA EN POLVO PLUS - SACO 8KG</t>
  </si>
  <si>
    <t>3ENYERBERTH FORNELINO FERRETERIA FORNE E, F.P.STYLOSA TIPO A (50GR.)</t>
  </si>
  <si>
    <t>2JAVI EFREN CHIRINOSCHS - PINTURA IMPERMEABLE - SACO 10KG</t>
  </si>
  <si>
    <t>2JAVI EFREN CHIRINOSCHS - PEGO GRIS - SACO 15KG</t>
  </si>
  <si>
    <t>2JAVI EFREN CHIRINOSCHS - PEGO BLANCO - SACO 15KG</t>
  </si>
  <si>
    <t>1JAVI EFREN CHIRINOSCHS - GRAFIADO EN POLVO - SACO 15KG</t>
  </si>
  <si>
    <t>1JAVI EFREN CHIRINOSSTYLOSA TIPO A (50GR.)</t>
  </si>
  <si>
    <t>1JAVI EFREN CHIRINOSCHS - CEMENTO BLANCO - SACO 1 KG</t>
  </si>
  <si>
    <t>JAVI EFREN CHIRINOSSFC-0522-032</t>
  </si>
  <si>
    <t>GASOIL CAMION100LTS DE GASOIL PARA CAMION</t>
  </si>
  <si>
    <t>COMERCIALIZADORA SAN BENITOSFC-0522-036</t>
  </si>
  <si>
    <t>FERREAGRO ZULIA, C.A.SFC-0622-024</t>
  </si>
  <si>
    <t>CARLOS PENSOSFC-0622-037</t>
  </si>
  <si>
    <t>INVERSIONES Y SERVICIOS TOTALES, C.A.SFC-0722-002</t>
  </si>
  <si>
    <t>CEMENTOCOMPRA DE 20 SACOS DE CEMENTO GRIS DE 40kG 5$</t>
  </si>
  <si>
    <t xml:space="preserve">MAMAPARA CONSULTAS </t>
  </si>
  <si>
    <t>MATERIAS PRIMASCOMPRA DE 33 CEMENTO BLANCO 21,25KG+2 SIKA 101 +5KG ELECTRODOS+TEIPE</t>
  </si>
  <si>
    <t>CAMIONCITO30LTS GASOLINA+4LTS ACEITE CAJA+1LT LIGA DE FRENOS</t>
  </si>
  <si>
    <t>FERRETERIA PEPINO, S.A.SFC-0722-003</t>
  </si>
  <si>
    <t>INVERSIONES Y SERVICIOS TOTALES, C.A.SFC-0722-005</t>
  </si>
  <si>
    <t>COSEIMPA CORO, C. A.SFC-0722-006</t>
  </si>
  <si>
    <t>CAMIONCITOCOMPRA DE DOS KIT DE GOMAS DE FRENOS DE ATRÁS+1LT VALVULINA</t>
  </si>
  <si>
    <t>CRISTIANPAGO DE NOMINA DEL 04 AL 10-07-22</t>
  </si>
  <si>
    <t>RAYPAGO DE NOMINA DEL 04 AL 10-07-22</t>
  </si>
  <si>
    <t>GOLLOPAGO DE NOMINA DEL 04 AL 10-07-22</t>
  </si>
  <si>
    <t>JESUS PAGO DE NOMINA DEL 04 AL 10-07-22</t>
  </si>
  <si>
    <t>MAMA-ALMACENPAGO DE NOMINA DEL 04 AL 10-07-22</t>
  </si>
  <si>
    <t>ISVIPAGO DE NOMINA DEL 04 AL 10-07-22</t>
  </si>
  <si>
    <t>GOLLOADELANTO PARTE DE BONO JULIO 2022</t>
  </si>
  <si>
    <t>INVERSIONES FONSECA BLOCKS, C.A.SFC-0722-004</t>
  </si>
  <si>
    <t>DIMACO 2021, C.ASFC-0622-006</t>
  </si>
  <si>
    <t>DIMACO 2021, C.ASFC-0622-018</t>
  </si>
  <si>
    <t>DIMACO 2021, C.ASFC-0622-028</t>
  </si>
  <si>
    <t>FERRETERIA Y MATERIALES BUENA ESPERANZA, C. A.SFC-0722-008</t>
  </si>
  <si>
    <t>TALLERIPSI TALLER PERSONAL DE ALTO RENDIMIENTO</t>
  </si>
  <si>
    <t>ENYERBERTH FORNELINO FERRETERIA FORNE E, F.P.SFC-0522-043</t>
  </si>
  <si>
    <t>ENYERBERTH FORNELINO FERRETERIA FORNE E, F.P.SFC-0622-009</t>
  </si>
  <si>
    <t>FERRETERIA FORNE H, C.A.SFC-0722-009</t>
  </si>
  <si>
    <t>ING. ANGEL HERNANDEZSFC-0722-013</t>
  </si>
  <si>
    <t>CARMEN CRISTINA CAMACHO URDANETASFC-0522-042</t>
  </si>
  <si>
    <t>MOTORCOMPRA DE MOTOR 220 PARA MOLINO GRANDE</t>
  </si>
  <si>
    <t>FERRECOLORES CORO, C.A.SFC-0622-021</t>
  </si>
  <si>
    <t>INVERSIONES SANTA ANA DE LA CRUZ, C.A.SFC-0622-033</t>
  </si>
  <si>
    <t>XIOMARA DEL CARMEN YOBERASFC-0622-034</t>
  </si>
  <si>
    <t>CODISVEN, C.A.SFC-0722-007</t>
  </si>
  <si>
    <t>CEMENTOCOMPRA DE 40 SACOS DE CEMENTO GRIS 40KG-5,5$</t>
  </si>
  <si>
    <t>P.O.P20 TAPABOCAS(40$)+RESMA DE 50 PAPEL ETIQUETA(15)</t>
  </si>
  <si>
    <t>INVERSIONES Y SERVICIOS TOTALES, C.A.SFC-0722-016</t>
  </si>
  <si>
    <t>CEMENTOCOMPRA DE 15 SACOS DE CEMENTO GRIS 40KG-5,5$</t>
  </si>
  <si>
    <t>CRISTIANPAGO DE NOMINA DEL 11 AL 17-07-22</t>
  </si>
  <si>
    <t>RAYPAGO DE NOMINA DEL 11 AL 17-07-22</t>
  </si>
  <si>
    <t>GOLLOPAGO DE NOMINA DEL 11 AL 17-07-22</t>
  </si>
  <si>
    <t>JESUS PAGO DE NOMINA DEL 11 AL 17-07-22</t>
  </si>
  <si>
    <t>MAMA-ALMACENPAGO DE NOMINA DEL 11 AL 17-07-22</t>
  </si>
  <si>
    <t>ISVIPAGO DE NOMINA DEL 11 AL 17-07-22</t>
  </si>
  <si>
    <t>FRANCOPAGO DE NOMINA DEL 11 AL 17-07-22</t>
  </si>
  <si>
    <t>GOLLO2DO. ADELANTO PARTE DE BONO JULIO 2022</t>
  </si>
  <si>
    <t>BATERIA COMPRA DE BATERIA DE 800AMP CAMIONCITO</t>
  </si>
  <si>
    <t>HIDROFALCONPAGO ABRIL Y MAYO 2022</t>
  </si>
  <si>
    <t xml:space="preserve">BOLSAS2000 BOLSAS DE FIBRA </t>
  </si>
  <si>
    <t>TOTAL CENTER, C.A.SFC-0622-022</t>
  </si>
  <si>
    <t>DISTRIBUIDORA DISMACONR, C.A.SFC-0622-026</t>
  </si>
  <si>
    <t>INVERSIONES FRANERC, C.A.SFC-0622-031</t>
  </si>
  <si>
    <t>PAGO ZELLEPAGO POR 250$ A ELEMASARUBA@GMAIL.COM</t>
  </si>
  <si>
    <t>PAGO ZELLEPAGO POR 200$ A JCPADRONPERICH@GMAIL.COM</t>
  </si>
  <si>
    <t>FALCONIANA DE MATERIALES, C.A.SFC-0722-019</t>
  </si>
  <si>
    <t>DIMACO 2021, C.ASFC-0722-020</t>
  </si>
  <si>
    <t>BOLSASCOMPRA DE 2000 BOLSAS PARA FIBRA</t>
  </si>
  <si>
    <t>CODISVEN, C.A.SFC-0722-021</t>
  </si>
  <si>
    <t>CARLOS PENSOSFC-0722-022</t>
  </si>
  <si>
    <t>FERRETERIA MONTE ALTO F.E., C.A.SFC-0622-023</t>
  </si>
  <si>
    <t>JAVI EFREN CHIRINOSSFC-0622-013</t>
  </si>
  <si>
    <t>GASOIL CAMIONCOMPRA DE 100LTS GASOIL A 25$</t>
  </si>
  <si>
    <t>FLETEFLETE MACROFIBRA DESDE MARACAIBO 150KG</t>
  </si>
  <si>
    <t>CRISTIANPAGO DE NOMINA DEL 18 AL 24-07-22</t>
  </si>
  <si>
    <t>RAYPAGO DE NOMINA DEL 18 AL 24-07-22</t>
  </si>
  <si>
    <t>GOLLOPAGO DE NOMINA DEL 18 AL 24-07-22</t>
  </si>
  <si>
    <t>JESUS PAGO DE NOMINA DEL 18 AL 24-07-22</t>
  </si>
  <si>
    <t>MAMA-ALMACENPAGO DE NOMINA DEL 18 AL 24-07-22</t>
  </si>
  <si>
    <t>ISVIPAGO DE NOMINA DEL 18 AL 24-07-22</t>
  </si>
  <si>
    <t>FRANCOPAGO DE NOMINA DEL 18 AL 24-07-22</t>
  </si>
  <si>
    <t>ENYERBERTH FORNELINO FERRETERIA FORNE E, F.P.SFC-0722-011</t>
  </si>
  <si>
    <t>PARTICULARSFC-0722-027</t>
  </si>
  <si>
    <t>DIMACO 2021, C.ASFC-0722-010</t>
  </si>
  <si>
    <t>FERRETERIA Y MATERIALES RICHIUSA, C. A.SFC-0722-014</t>
  </si>
  <si>
    <t>FERRETERIA FORNE H, C.A.SFC-0722-030</t>
  </si>
  <si>
    <t>DISTRIBUIDORA MADEIRA, C.A.SFC-0722-026</t>
  </si>
  <si>
    <t>ALCIDES CAMACHOSFC-0722-031</t>
  </si>
  <si>
    <t>FLETEPAGO FLETE CORO - PUNTO FIJO: FIBRAS, ESTILOSA+Impermeab.</t>
  </si>
  <si>
    <t>CAMION 2LTS ACAEITE DE MOTOR, 1LTS LIGA DE FRENOS</t>
  </si>
  <si>
    <t>COSEIMPA CORO, C. A.SFC-0722-033</t>
  </si>
  <si>
    <t>COSEIMPA CORO, C. A.SFC-0722-034</t>
  </si>
  <si>
    <t xml:space="preserve">CAL PAGO DE CAL </t>
  </si>
  <si>
    <t>CAL FLETE CAL PAPA</t>
  </si>
  <si>
    <t>CONSTRUCCIONES INMOBILIARIAS EL CARDON, C.ASFC-0722-012</t>
  </si>
  <si>
    <t>RAYPAGO DE NOMINA DEL 19 AL 31-07-22</t>
  </si>
  <si>
    <t>RAYADELANTO PRESTACIONES SOCIALES DEL 10-01-22 AL 10-07-22</t>
  </si>
  <si>
    <t>CRISTIANPAGO DE NOMINA DEL 19 AL 31-07-22</t>
  </si>
  <si>
    <t>CRISTIANADELANTO PRESTACIONES SOCIALES DEL 10-01-22 AL 10-07-22</t>
  </si>
  <si>
    <t>CRISTIANBONO DE PRODUCCION DE JULIO 2022</t>
  </si>
  <si>
    <t>GOLLOPAGO DE NOMINA DEL 19 AL 31-07-22</t>
  </si>
  <si>
    <t>GOLLOADELANTO PRESTACIONES SOCIALES DEL 10-01-22 AL 10-07-22</t>
  </si>
  <si>
    <t>GOLLORESTO BONO DE PRODUCCION DE JULIO 2022</t>
  </si>
  <si>
    <t>JESUS PAGO DE NOMINA DEL 19 AL 31-07-22</t>
  </si>
  <si>
    <t>JESUS ADELANTO PRESTACIONES SOCIALES DEL 10-01-22 AL 10-07-22</t>
  </si>
  <si>
    <t>JESUS RESTO BONO DE PRODUCCION DE JULIO 2022</t>
  </si>
  <si>
    <t>FRANCOPAGO DE NOMINA DEL 19 AL 31-07-22</t>
  </si>
  <si>
    <t>FRANCOADELANTO PRESTACIONES SOCIALES DEL 10-01-22 AL 10-07-22</t>
  </si>
  <si>
    <t>FRANCORESTO BONO DE PRODUCCION DE JULIO 2022</t>
  </si>
  <si>
    <t>ISVIPAGO DE NOMINA DEL 19 AL 31-07-22</t>
  </si>
  <si>
    <t>ISVIADELANTO PRESTACIONES SOCIALES DEL 10-01-22 AL 10-07-22</t>
  </si>
  <si>
    <t>ISVIRESTO BONO DE PRODUCCION DE JULIO 2022</t>
  </si>
  <si>
    <t>MAMA-ALMACENPAGO DE NOMINA DEL 19 AL 31-07-22</t>
  </si>
  <si>
    <t>GOLLOBONO ESPECIAL POR FLETE DE CAL</t>
  </si>
  <si>
    <t>JAVI EFREN CHIRINOSSFC-0722-001</t>
  </si>
  <si>
    <t>GASOIL CAMION200LTS GASOIL CAMION</t>
  </si>
  <si>
    <t xml:space="preserve">AGAZAJO AGAZAJO TRABAJADORES </t>
  </si>
  <si>
    <t>CEMENTOCOMPRA DE 20 SACOS DE CEMENTO GRIS 40KG-5,5$</t>
  </si>
  <si>
    <t>FERRESERVICIOS INDEPENDENCIA, C.A.</t>
  </si>
  <si>
    <t>J-40326918-1</t>
  </si>
  <si>
    <t>CALLE 08, CASA NRO. 27 URB. INDEPENDENCIA II ETAPA SANTA ANA DE CORO FALCON, ZONA POSTAL 4101</t>
  </si>
  <si>
    <t>`04126863608</t>
  </si>
  <si>
    <t>SFC-0822-001</t>
  </si>
  <si>
    <t>INGRESO</t>
  </si>
  <si>
    <t>08</t>
  </si>
  <si>
    <t>SFC-0822-002</t>
  </si>
  <si>
    <t>EGRESO</t>
  </si>
  <si>
    <t>POLVILLO</t>
  </si>
  <si>
    <t>CAMIONADA DE POLVILLO DE 7M3</t>
  </si>
  <si>
    <t>SFC-0822-005</t>
  </si>
  <si>
    <t>SFC-0822-006</t>
  </si>
  <si>
    <t>SFC-0822-008</t>
  </si>
  <si>
    <t xml:space="preserve">APORTE A RITA DE MEDICINA </t>
  </si>
  <si>
    <t>RITA</t>
  </si>
  <si>
    <t>PAGO DE NOMINA DEL 1 AL 7-08-22</t>
  </si>
  <si>
    <t>PAGO ZELLE A AWILDA-OJEDA@HOTMAIL.COM</t>
  </si>
  <si>
    <t>SFC-0822-009</t>
  </si>
  <si>
    <t>SFC-0822-013</t>
  </si>
  <si>
    <t>COMPRA DE 20 SACOS DE CEMENTO GRIS 40KG A 5,5$</t>
  </si>
  <si>
    <t>MOTORES</t>
  </si>
  <si>
    <t>COMPRA DE 2 MOTORES PARA LA PLANTA DE PRODUCCION</t>
  </si>
  <si>
    <t>SFC-0822-015</t>
  </si>
  <si>
    <t>SFC-0822-016</t>
  </si>
  <si>
    <t>SFC-0822-017</t>
  </si>
  <si>
    <t>SFC-0822-011</t>
  </si>
  <si>
    <t>CEPILLO</t>
  </si>
  <si>
    <t>COMPRA DE CEPILLO DE BARRER PARA PLANTA</t>
  </si>
  <si>
    <t>ZELLE</t>
  </si>
  <si>
    <t>COMPRA DE 6 SACOS 20KG SIKA 101 MORTERO</t>
  </si>
  <si>
    <t>SIKA 101</t>
  </si>
  <si>
    <t>PAGO ZELLE A BOLALOFA@GMAIL.COM</t>
  </si>
  <si>
    <t>COMPRA DE 35 SACOS DE CEMENTO GRIS 40KG A 5,5$</t>
  </si>
  <si>
    <t xml:space="preserve">PAGO DE HIDROFALCON </t>
  </si>
  <si>
    <t>ONEIDA ARTEAGA</t>
  </si>
  <si>
    <t>V-12183534</t>
  </si>
  <si>
    <t>`04246712840</t>
  </si>
  <si>
    <t>CALLE PROYECTO CASA 91 ENTRE BUCHIVACOA Y CHURUGUARA</t>
  </si>
  <si>
    <t>SFC-0822-022</t>
  </si>
  <si>
    <t>SFC-0822-021</t>
  </si>
  <si>
    <t>ARGENIS CAMACHO</t>
  </si>
  <si>
    <t>V-5815920</t>
  </si>
  <si>
    <t>`04127933945</t>
  </si>
  <si>
    <t>ZULIA</t>
  </si>
  <si>
    <t>LA VICTORIA 3ERA. ETAPA CALLE 67 # 81-63. MARACAIBO, EDO. ZULIA</t>
  </si>
  <si>
    <t>AGENTE RETENCION</t>
  </si>
  <si>
    <t>N</t>
  </si>
  <si>
    <t>S</t>
  </si>
  <si>
    <t>SFC-0822-027</t>
  </si>
  <si>
    <t xml:space="preserve">ARGENIS CAMACHO </t>
  </si>
  <si>
    <t>URBANIZACION LA VICTORIA TERCERA ETAPA CALLE 67 Nº 81-68. MARACAIBO, EDO. ZULIA</t>
  </si>
  <si>
    <t>SFC-0822-014</t>
  </si>
  <si>
    <t>FLETE 150KG MACRO desde maracaibo</t>
  </si>
  <si>
    <t>ADELANTO DE BONO DE PRODUCCION AGOSTO 2022 (CAROREÑA)</t>
  </si>
  <si>
    <t>PAGO DE NOMINA DEL 8 AL 14-08-22</t>
  </si>
  <si>
    <t>MAMA-OPERACIÓN</t>
  </si>
  <si>
    <t>PAGO PARA EXAMENES</t>
  </si>
  <si>
    <t>ADELANTO BONO DE PRODUCCION AGOSTO 2022</t>
  </si>
  <si>
    <t>SFC-0822-024</t>
  </si>
  <si>
    <t>COMPRAS</t>
  </si>
  <si>
    <t>COMPRA DE 1 ROLLO DE TEIPE+2DISCOS DE CORTE 4IN + 1 SILICON TRANSPARENTE</t>
  </si>
  <si>
    <t>SFC-0822-019</t>
  </si>
  <si>
    <t>AFRICA</t>
  </si>
  <si>
    <t>SFC-0822-028</t>
  </si>
  <si>
    <t>SFC-0822-029</t>
  </si>
  <si>
    <t>SFC-0822-004</t>
  </si>
  <si>
    <t>GASTOS MEDICINA + BOMBA ANESTESICA</t>
  </si>
  <si>
    <t>COMPRA DE 30 SACOS DE CEMENTO GRIS 40KG A 5,5$</t>
  </si>
  <si>
    <t>MOTOR PARA CERNIDORA MATERIA PRIMA</t>
  </si>
  <si>
    <t xml:space="preserve">CARLOS GARCIA </t>
  </si>
  <si>
    <t>V-7493557</t>
  </si>
  <si>
    <t>`04146820109</t>
  </si>
  <si>
    <t>AV. PINTO SALINAS, CORO</t>
  </si>
  <si>
    <t>20 SON CEMENTO GRIS DE 10KG</t>
  </si>
  <si>
    <t>PAGO DE NOMINA DEL 15 AL 21-08-22</t>
  </si>
  <si>
    <t>SFC-0822-026</t>
  </si>
  <si>
    <t>SFC-0822-031</t>
  </si>
  <si>
    <t>SFC-0822-036</t>
  </si>
  <si>
    <t>2 TOMAS 220V+2ENCHUFES 220V+3 TOMAS DOBLES 110V</t>
  </si>
  <si>
    <t>FERRE-MARKET ANDRES, C.A.</t>
  </si>
  <si>
    <t>J-50064683-6</t>
  </si>
  <si>
    <t>CALLE ZAMORA CON CALLE ITURBE LOCAL NRO. S/N SECTOR PANTANO CENTRO SANTA ANA DE CORO FALCON ZONA POSTAL 4101</t>
  </si>
  <si>
    <t>`04149651980</t>
  </si>
  <si>
    <t>COMPRA DE 8 SACOS DE CEMENTO GRIS 40KG A 5,5$</t>
  </si>
  <si>
    <t xml:space="preserve">CHS - STYLOSA TIPO A (50GR.) </t>
  </si>
  <si>
    <t>CHS - IMPERMEABILIZANTE EN POLVO PLUS+ (450grs+120cc)</t>
  </si>
  <si>
    <t>CHS - MACROFIBRA PARA CONCRETO-100GRS</t>
  </si>
  <si>
    <t>CHS-ESTILOSA TIPO A-50GRS</t>
  </si>
  <si>
    <t>CHS+ MATERO HEXAGONAL PEQUEÑO-TEXTURIZADO GRIS</t>
  </si>
  <si>
    <t>PAGO ZELLE d,artiles@hotmail.com Nº CONFIRMACION hdfx0juu0</t>
  </si>
  <si>
    <t>SFC-0822-047</t>
  </si>
  <si>
    <t>SFC-0822-010</t>
  </si>
  <si>
    <t>SFC-0822-018</t>
  </si>
  <si>
    <t>SFC-0822-023</t>
  </si>
  <si>
    <t>SFC-0822-034</t>
  </si>
  <si>
    <t>SFC-0822-044</t>
  </si>
  <si>
    <t>PAGO DE NOMINA DEL 22 AL 28-08-22</t>
  </si>
  <si>
    <t>PAGO BONO DE PRODUCCION AGOSTO 2022</t>
  </si>
  <si>
    <t>CULMINACION PAGO BONO DE PRODUCCION AGOSTO 2022</t>
  </si>
  <si>
    <t>ADELANTO BONO DE PRODUCCION SEPTIEMBRE 2022</t>
  </si>
  <si>
    <t>SFC-0822-003</t>
  </si>
  <si>
    <t>SFC-0822-033</t>
  </si>
  <si>
    <t>SFC-0822-038</t>
  </si>
  <si>
    <t>COMPRA DE 60 SACOS DE CEMENTO GRIS 40KG A 5,5$</t>
  </si>
  <si>
    <t>JCPADRONPERICH@GMAIL.COM</t>
  </si>
  <si>
    <t>SFC-0822-049</t>
  </si>
  <si>
    <t>SFC-0822-045</t>
  </si>
  <si>
    <t>SFC-0822-050</t>
  </si>
  <si>
    <t>SFC-0822-042</t>
  </si>
  <si>
    <t>SFC-0822-043</t>
  </si>
  <si>
    <t>SFC-0822-020</t>
  </si>
  <si>
    <t>CHS- PEGO GRIS- SACO 30KG A GRANEL</t>
  </si>
  <si>
    <t>`00001877</t>
  </si>
  <si>
    <t>`00001880</t>
  </si>
  <si>
    <t>`00001881</t>
  </si>
  <si>
    <t>`00001882</t>
  </si>
  <si>
    <t>`00001887</t>
  </si>
  <si>
    <t>`00001886</t>
  </si>
  <si>
    <t>`00001891</t>
  </si>
  <si>
    <t>E-CERAMIC, C.A.</t>
  </si>
  <si>
    <t>J-50204745-0</t>
  </si>
  <si>
    <t>`0269-2470133</t>
  </si>
  <si>
    <t>`00001892</t>
  </si>
  <si>
    <t>`00001893</t>
  </si>
  <si>
    <t>INVERSIONES FERREMADEIRA JE, C.A.</t>
  </si>
  <si>
    <t>J-50290220-1</t>
  </si>
  <si>
    <t>`00001895</t>
  </si>
  <si>
    <t>E - CERAMIC, C. A.</t>
  </si>
  <si>
    <t>`00001897</t>
  </si>
  <si>
    <t>`00001898</t>
  </si>
  <si>
    <t>`00001900</t>
  </si>
  <si>
    <t>`00001902</t>
  </si>
  <si>
    <t>`00001901</t>
  </si>
  <si>
    <t xml:space="preserve">FACTURAS NULAS </t>
  </si>
  <si>
    <t>`00001903</t>
  </si>
  <si>
    <t>INVERSIONES Y SUMINISTROS SULAG1, C.A.</t>
  </si>
  <si>
    <t>J-41093788-2</t>
  </si>
  <si>
    <t>`0424-5162467</t>
  </si>
  <si>
    <t>AV. TUMARUSA ENTRE ZAMORA Y GARCES, EDIF. DON EDUARDO PISO PLANTA BAJA, URBANIZACION SANTA IRENE, PUNTO FIJO, FALCON.</t>
  </si>
  <si>
    <t>AUTOPISTA EL PALITO MORON SECTOR INDUSTRIAL, LA PARAGUITA, MORON, EDO. CARABOBO</t>
  </si>
  <si>
    <t>`00001904</t>
  </si>
  <si>
    <t>`00001905</t>
  </si>
  <si>
    <t>`00001906</t>
  </si>
  <si>
    <t>`00001907</t>
  </si>
  <si>
    <t>`00001908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</si>
</sst>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.0_-;\-* #,##0.0_-;_-* &quot;-&quot;??_-;_-@_-"/>
    <numFmt numFmtId="169" formatCode="_-* #,##0_-;\-* #,##0_-;_-* &quot;-&quot;??_-;_-@_-"/>
    <numFmt numFmtId="170" formatCode="0.0%"/>
  </numFmts>
  <fonts count="5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  <font>
      <u/>
      <sz val="11"/>
      <color theme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4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52" fillId="0" borderId="0" applyNumberFormat="0" applyFill="0" applyBorder="0" applyAlignment="0" applyProtection="0"/>
  </cellStyleXfs>
  <cellXfs count="393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8" fillId="9" borderId="0" xfId="0" applyFont="1" applyFill="1" applyBorder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0" fillId="3" borderId="0" xfId="0" applyFill="1" applyBorder="1"/>
    <xf numFmtId="0" fontId="0" fillId="0" borderId="0" xfId="0" applyFill="1" applyBorder="1"/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Font="1" applyFill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0" fillId="0" borderId="0" xfId="0" applyFill="1"/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Border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11" fillId="0" borderId="0" xfId="0" applyFont="1" applyBorder="1"/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Fill="1" applyBorder="1" applyAlignment="1">
      <alignment horizontal="center" vertical="top" wrapText="1"/>
    </xf>
    <xf numFmtId="0" fontId="0" fillId="10" borderId="0" xfId="0" applyFont="1" applyFill="1" applyAlignment="1">
      <alignment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Font="1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Fill="1" applyAlignment="1">
      <alignment vertical="top"/>
    </xf>
    <xf numFmtId="0" fontId="2" fillId="7" borderId="0" xfId="0" applyFont="1" applyFill="1" applyAlignment="1">
      <alignment vertical="center"/>
    </xf>
    <xf numFmtId="169" fontId="14" fillId="0" borderId="0" xfId="1" applyNumberFormat="1" applyFont="1"/>
    <xf numFmtId="0" fontId="0" fillId="0" borderId="0" xfId="0"/>
    <xf numFmtId="0" fontId="14" fillId="0" borderId="0" xfId="0" applyFont="1"/>
    <xf numFmtId="165" fontId="14" fillId="0" borderId="0" xfId="1" applyFont="1"/>
    <xf numFmtId="169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Border="1" applyAlignment="1">
      <alignment horizontal="left"/>
    </xf>
    <xf numFmtId="0" fontId="14" fillId="2" borderId="0" xfId="0" applyFont="1" applyFill="1" applyBorder="1"/>
    <xf numFmtId="49" fontId="0" fillId="0" borderId="1" xfId="0" quotePrefix="1" applyNumberFormat="1" applyFont="1" applyFill="1" applyBorder="1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0" fillId="0" borderId="0" xfId="0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NumberFormat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/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168" fontId="9" fillId="0" borderId="0" xfId="0" applyNumberFormat="1" applyFont="1"/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0" xfId="0" applyFont="1" applyBorder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 applyAlignment="1"/>
    <xf numFmtId="0" fontId="25" fillId="0" borderId="0" xfId="0" applyFont="1" applyAlignment="1"/>
    <xf numFmtId="0" fontId="12" fillId="0" borderId="0" xfId="0" applyFont="1" applyAlignme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165" fontId="12" fillId="0" borderId="0" xfId="1" applyNumberFormat="1" applyFont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0" fontId="30" fillId="0" borderId="0" xfId="0" applyFont="1" applyBorder="1"/>
    <xf numFmtId="165" fontId="30" fillId="0" borderId="0" xfId="1" applyFont="1" applyBorder="1"/>
    <xf numFmtId="0" fontId="33" fillId="0" borderId="0" xfId="0" applyFont="1" applyAlignme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NumberFormat="1" applyFont="1" applyAlignment="1">
      <alignment horizontal="right"/>
    </xf>
    <xf numFmtId="167" fontId="9" fillId="0" borderId="0" xfId="0" applyNumberFormat="1" applyFont="1" applyFill="1" applyAlignment="1">
      <alignment vertical="top"/>
    </xf>
    <xf numFmtId="0" fontId="9" fillId="0" borderId="0" xfId="0" applyFont="1" applyFill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Border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Fill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Border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0" fontId="33" fillId="0" borderId="0" xfId="0" applyFont="1"/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Border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0" fontId="31" fillId="0" borderId="0" xfId="0" applyFont="1" applyFill="1"/>
    <xf numFmtId="167" fontId="31" fillId="0" borderId="0" xfId="0" applyNumberFormat="1" applyFont="1" applyFill="1" applyAlignment="1">
      <alignment vertical="top"/>
    </xf>
    <xf numFmtId="0" fontId="31" fillId="0" borderId="0" xfId="0" applyFont="1" applyFill="1" applyAlignment="1">
      <alignment vertical="top"/>
    </xf>
    <xf numFmtId="0" fontId="31" fillId="0" borderId="0" xfId="0" applyFont="1" applyFill="1" applyAlignment="1">
      <alignment vertical="top" wrapText="1"/>
    </xf>
    <xf numFmtId="0" fontId="0" fillId="0" borderId="1" xfId="0" applyBorder="1"/>
    <xf numFmtId="0" fontId="0" fillId="0" borderId="0" xfId="0" applyAlignment="1"/>
    <xf numFmtId="0" fontId="31" fillId="0" borderId="0" xfId="0" applyFont="1" applyAlignment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26" fillId="0" borderId="0" xfId="0" applyFont="1" applyAlignment="1"/>
    <xf numFmtId="0" fontId="31" fillId="0" borderId="0" xfId="0" applyFont="1" applyFill="1" applyAlignment="1">
      <alignment horizontal="left" vertical="top" wrapText="1"/>
    </xf>
    <xf numFmtId="0" fontId="31" fillId="0" borderId="0" xfId="0" applyFont="1" applyFill="1" applyAlignment="1">
      <alignment horizontal="right"/>
    </xf>
    <xf numFmtId="0" fontId="31" fillId="0" borderId="0" xfId="0" applyFont="1" applyFill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 applyBorder="1"/>
    <xf numFmtId="0" fontId="42" fillId="0" borderId="0" xfId="0" applyFont="1" applyAlignment="1">
      <alignment vertical="top"/>
    </xf>
    <xf numFmtId="0" fontId="31" fillId="0" borderId="0" xfId="0" applyFont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2" fontId="0" fillId="0" borderId="0" xfId="2" applyNumberFormat="1" applyFont="1" applyBorder="1"/>
    <xf numFmtId="14" fontId="0" fillId="3" borderId="1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165" fontId="8" fillId="3" borderId="1" xfId="1" applyFont="1" applyFill="1" applyBorder="1" applyAlignment="1">
      <alignment vertical="top"/>
    </xf>
    <xf numFmtId="0" fontId="9" fillId="9" borderId="0" xfId="0" quotePrefix="1" applyNumberFormat="1" applyFont="1" applyFill="1" applyBorder="1" applyAlignment="1">
      <alignment vertical="top"/>
    </xf>
    <xf numFmtId="0" fontId="12" fillId="0" borderId="0" xfId="0" applyFont="1" applyBorder="1"/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49" fontId="9" fillId="9" borderId="0" xfId="0" quotePrefix="1" applyNumberFormat="1" applyFont="1" applyFill="1" applyBorder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 applyBorder="1"/>
    <xf numFmtId="0" fontId="22" fillId="3" borderId="0" xfId="0" applyFont="1" applyFill="1" applyBorder="1"/>
    <xf numFmtId="0" fontId="9" fillId="3" borderId="0" xfId="0" quotePrefix="1" applyNumberFormat="1" applyFont="1" applyFill="1" applyBorder="1" applyAlignment="1">
      <alignment vertical="top"/>
    </xf>
    <xf numFmtId="0" fontId="0" fillId="3" borderId="1" xfId="0" applyFont="1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0" fontId="9" fillId="0" borderId="0" xfId="0" applyFont="1" applyAlignment="1"/>
    <xf numFmtId="0" fontId="31" fillId="0" borderId="0" xfId="0" applyFont="1" applyAlignment="1">
      <alignment vertical="center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4" fontId="8" fillId="3" borderId="1" xfId="0" applyNumberFormat="1" applyFont="1" applyFill="1" applyBorder="1" applyAlignment="1">
      <alignment horizontal="center" vertical="top"/>
    </xf>
    <xf numFmtId="0" fontId="8" fillId="3" borderId="1" xfId="0" applyFont="1" applyFill="1" applyBorder="1" applyAlignment="1">
      <alignment vertical="top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164" fontId="45" fillId="11" borderId="1" xfId="0" applyNumberFormat="1" applyFont="1" applyFill="1" applyBorder="1"/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10" fillId="0" borderId="0" xfId="0" applyFont="1" applyFill="1"/>
    <xf numFmtId="0" fontId="0" fillId="10" borderId="0" xfId="0" applyFont="1" applyFill="1" applyAlignment="1">
      <alignment horizontal="center" vertical="top" wrapText="1"/>
    </xf>
    <xf numFmtId="0" fontId="0" fillId="3" borderId="1" xfId="0" quotePrefix="1" applyFont="1" applyFill="1" applyBorder="1" applyAlignment="1">
      <alignment horizontal="left" vertical="top" wrapText="1"/>
    </xf>
    <xf numFmtId="0" fontId="8" fillId="7" borderId="1" xfId="0" quotePrefix="1" applyNumberFormat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0" fontId="31" fillId="0" borderId="0" xfId="0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NumberFormat="1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4" fontId="14" fillId="2" borderId="0" xfId="0" applyNumberFormat="1" applyFont="1" applyFill="1" applyAlignment="1">
      <alignment horizontal="left" vertical="center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0" fontId="51" fillId="0" borderId="0" xfId="0" applyFont="1"/>
    <xf numFmtId="169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Fill="1" applyAlignment="1">
      <alignment wrapText="1"/>
    </xf>
    <xf numFmtId="165" fontId="0" fillId="0" borderId="0" xfId="0" applyNumberFormat="1" applyBorder="1"/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165" fontId="9" fillId="0" borderId="0" xfId="0" applyNumberFormat="1" applyFont="1"/>
    <xf numFmtId="2" fontId="31" fillId="0" borderId="7" xfId="0" applyNumberFormat="1" applyFont="1" applyBorder="1"/>
    <xf numFmtId="0" fontId="31" fillId="0" borderId="7" xfId="0" applyFont="1" applyBorder="1"/>
    <xf numFmtId="170" fontId="31" fillId="0" borderId="0" xfId="0" applyNumberFormat="1" applyFont="1"/>
    <xf numFmtId="49" fontId="0" fillId="3" borderId="1" xfId="0" applyNumberFormat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applyNumberFormat="1" applyFont="1" applyFill="1" applyBorder="1" applyAlignment="1">
      <alignment vertical="top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Fill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NumberFormat="1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0" fontId="14" fillId="0" borderId="0" xfId="0" applyFont="1" applyFill="1"/>
    <xf numFmtId="2" fontId="14" fillId="0" borderId="0" xfId="0" applyNumberFormat="1" applyFont="1"/>
    <xf numFmtId="165" fontId="22" fillId="0" borderId="0" xfId="1" applyNumberFormat="1" applyFon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165" fontId="31" fillId="0" borderId="0" xfId="1" applyFont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165" fontId="31" fillId="0" borderId="0" xfId="1" applyFont="1" applyAlignment="1">
      <alignment horizontal="left"/>
    </xf>
    <xf numFmtId="0" fontId="31" fillId="0" borderId="0" xfId="0" applyFont="1" applyAlignment="1">
      <alignment horizontal="left"/>
    </xf>
    <xf numFmtId="169" fontId="31" fillId="0" borderId="0" xfId="1" applyNumberFormat="1" applyFont="1" applyAlignment="1">
      <alignment horizontal="center" vertical="center"/>
    </xf>
    <xf numFmtId="169" fontId="31" fillId="0" borderId="0" xfId="0" applyNumberFormat="1" applyFont="1" applyAlignment="1">
      <alignment horizontal="center" vertical="center"/>
    </xf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0" fillId="0" borderId="0" xfId="0" applyFill="1" applyBorder="1" applyAlignment="1">
      <alignment horizontal="right"/>
    </xf>
    <xf numFmtId="0" fontId="19" fillId="0" borderId="0" xfId="0" applyFont="1" applyFill="1" applyBorder="1" applyAlignment="1">
      <alignment horizontal="righ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6" fillId="0" borderId="1" xfId="0" applyNumberFormat="1" applyFont="1" applyFill="1" applyBorder="1" applyProtection="1">
      <protection locked="0"/>
    </xf>
    <xf numFmtId="0" fontId="0" fillId="2" borderId="0" xfId="0" applyFill="1"/>
    <xf numFmtId="0" fontId="10" fillId="10" borderId="1" xfId="0" applyNumberFormat="1" applyFont="1" applyFill="1" applyBorder="1" applyProtection="1">
      <protection locked="0"/>
    </xf>
    <xf numFmtId="0" fontId="9" fillId="16" borderId="1" xfId="0" applyFont="1" applyFill="1" applyBorder="1" applyAlignment="1">
      <alignment vertical="top" wrapText="1"/>
    </xf>
    <xf numFmtId="0" fontId="0" fillId="16" borderId="1" xfId="0" applyFont="1" applyFill="1" applyBorder="1" applyAlignment="1">
      <alignment vertical="top" wrapText="1"/>
    </xf>
    <xf numFmtId="165" fontId="0" fillId="16" borderId="1" xfId="1" applyFont="1" applyFill="1" applyBorder="1" applyAlignment="1">
      <alignment vertical="top"/>
    </xf>
    <xf numFmtId="165" fontId="8" fillId="16" borderId="1" xfId="1" applyFont="1" applyFill="1" applyBorder="1" applyAlignment="1">
      <alignment vertical="top"/>
    </xf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43" fontId="0" fillId="0" borderId="8" xfId="0" applyNumberFormat="1" applyBorder="1" applyAlignment="1"/>
    <xf numFmtId="0" fontId="0" fillId="0" borderId="8" xfId="0" applyBorder="1" applyAlignment="1"/>
    <xf numFmtId="16" fontId="0" fillId="0" borderId="0" xfId="0" applyNumberFormat="1"/>
    <xf numFmtId="14" fontId="52" fillId="9" borderId="1" xfId="13" applyNumberFormat="1" applyFill="1" applyBorder="1" applyAlignment="1" applyProtection="1">
      <alignment horizontal="left" vertical="top"/>
      <protection locked="0"/>
    </xf>
    <xf numFmtId="165" fontId="9" fillId="2" borderId="1" xfId="1" applyFont="1" applyFill="1" applyBorder="1" applyAlignment="1">
      <alignment vertical="top"/>
    </xf>
    <xf numFmtId="165" fontId="0" fillId="2" borderId="1" xfId="1" applyFont="1" applyFill="1" applyBorder="1" applyAlignment="1">
      <alignment vertical="top"/>
    </xf>
    <xf numFmtId="0" fontId="2" fillId="7" borderId="0" xfId="0" applyNumberFormat="1" applyFont="1" applyFill="1" applyAlignment="1">
      <alignment vertical="center"/>
    </xf>
    <xf numFmtId="9" fontId="9" fillId="0" borderId="0" xfId="2" applyFont="1" applyAlignment="1">
      <alignment horizontal="right"/>
    </xf>
    <xf numFmtId="14" fontId="0" fillId="3" borderId="1" xfId="0" applyNumberFormat="1" applyFill="1" applyBorder="1" applyAlignment="1">
      <alignment horizontal="center" vertical="top"/>
    </xf>
    <xf numFmtId="0" fontId="0" fillId="3" borderId="1" xfId="0" applyFill="1" applyBorder="1" applyAlignment="1">
      <alignment vertical="top" wrapText="1"/>
    </xf>
    <xf numFmtId="0" fontId="0" fillId="17" borderId="0" xfId="0" applyFill="1"/>
    <xf numFmtId="0" fontId="14" fillId="17" borderId="0" xfId="0" applyFont="1" applyFill="1" applyAlignment="1">
      <alignment horizontal="center" vertical="top"/>
    </xf>
    <xf numFmtId="0" fontId="17" fillId="17" borderId="0" xfId="0" applyFont="1" applyFill="1" applyAlignment="1">
      <alignment horizontal="center" vertical="top"/>
    </xf>
    <xf numFmtId="0" fontId="9" fillId="17" borderId="1" xfId="0" quotePrefix="1" applyNumberFormat="1" applyFont="1" applyFill="1" applyBorder="1" applyAlignment="1">
      <alignment vertical="top"/>
    </xf>
    <xf numFmtId="14" fontId="0" fillId="17" borderId="1" xfId="0" applyNumberFormat="1" applyFont="1" applyFill="1" applyBorder="1" applyAlignment="1">
      <alignment horizontal="center" vertical="top"/>
    </xf>
    <xf numFmtId="0" fontId="9" fillId="17" borderId="1" xfId="0" applyFont="1" applyFill="1" applyBorder="1" applyAlignment="1">
      <alignment vertical="top" wrapText="1"/>
    </xf>
    <xf numFmtId="0" fontId="0" fillId="17" borderId="1" xfId="0" applyFont="1" applyFill="1" applyBorder="1" applyAlignment="1">
      <alignment vertical="top" wrapText="1"/>
    </xf>
    <xf numFmtId="165" fontId="9" fillId="17" borderId="1" xfId="1" applyFont="1" applyFill="1" applyBorder="1" applyAlignment="1">
      <alignment vertical="top"/>
    </xf>
    <xf numFmtId="165" fontId="8" fillId="17" borderId="1" xfId="1" applyFont="1" applyFill="1" applyBorder="1" applyAlignment="1">
      <alignment vertical="top"/>
    </xf>
    <xf numFmtId="164" fontId="42" fillId="0" borderId="0" xfId="0" applyNumberFormat="1" applyFont="1"/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165" fontId="15" fillId="0" borderId="0" xfId="0" applyNumberFormat="1" applyFont="1" applyAlignment="1"/>
    <xf numFmtId="0" fontId="31" fillId="0" borderId="0" xfId="0" applyFont="1" applyFill="1" applyAlignment="1">
      <alignment horizontal="left" wrapText="1"/>
    </xf>
    <xf numFmtId="0" fontId="31" fillId="0" borderId="0" xfId="0" applyFont="1" applyFill="1" applyAlignment="1">
      <alignment horizontal="center"/>
    </xf>
    <xf numFmtId="0" fontId="31" fillId="0" borderId="0" xfId="0" applyFont="1" applyAlignment="1">
      <alignment horizontal="left"/>
    </xf>
    <xf numFmtId="165" fontId="24" fillId="0" borderId="0" xfId="0" applyNumberFormat="1" applyFont="1" applyAlignment="1"/>
    <xf numFmtId="165" fontId="31" fillId="0" borderId="2" xfId="1" applyFont="1" applyBorder="1" applyAlignment="1">
      <alignment horizontal="center"/>
    </xf>
    <xf numFmtId="165" fontId="31" fillId="0" borderId="3" xfId="1" applyNumberFormat="1" applyFont="1" applyBorder="1" applyAlignment="1">
      <alignment horizontal="right"/>
    </xf>
    <xf numFmtId="165" fontId="31" fillId="0" borderId="0" xfId="1" applyNumberFormat="1" applyFont="1" applyAlignment="1">
      <alignment horizontal="center"/>
    </xf>
    <xf numFmtId="165" fontId="31" fillId="0" borderId="0" xfId="1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5" fontId="31" fillId="0" borderId="0" xfId="1" applyFont="1" applyAlignment="1">
      <alignment horizontal="center"/>
    </xf>
    <xf numFmtId="0" fontId="25" fillId="0" borderId="0" xfId="0" applyFont="1" applyAlignment="1">
      <alignment horizontal="left"/>
    </xf>
    <xf numFmtId="0" fontId="25" fillId="0" borderId="5" xfId="0" applyFont="1" applyBorder="1" applyAlignment="1">
      <alignment horizontal="center"/>
    </xf>
    <xf numFmtId="165" fontId="31" fillId="0" borderId="3" xfId="1" applyNumberFormat="1" applyFont="1" applyBorder="1" applyAlignment="1">
      <alignment horizontal="left"/>
    </xf>
    <xf numFmtId="165" fontId="31" fillId="0" borderId="0" xfId="1" applyNumberFormat="1" applyFont="1" applyAlignment="1">
      <alignment horizontal="left"/>
    </xf>
    <xf numFmtId="0" fontId="41" fillId="0" borderId="0" xfId="0" applyFont="1" applyFill="1" applyAlignment="1">
      <alignment horizontal="left" vertical="top" wrapText="1"/>
    </xf>
    <xf numFmtId="165" fontId="31" fillId="0" borderId="0" xfId="1" applyFont="1" applyAlignment="1">
      <alignment horizontal="left"/>
    </xf>
    <xf numFmtId="165" fontId="31" fillId="0" borderId="2" xfId="1" applyFont="1" applyBorder="1" applyAlignment="1">
      <alignment horizontal="left"/>
    </xf>
    <xf numFmtId="0" fontId="33" fillId="0" borderId="0" xfId="0" applyFont="1" applyAlignment="1">
      <alignment horizontal="left"/>
    </xf>
    <xf numFmtId="0" fontId="38" fillId="0" borderId="0" xfId="0" applyFont="1" applyFill="1" applyAlignment="1">
      <alignment horizontal="left" vertical="top" wrapText="1"/>
    </xf>
    <xf numFmtId="165" fontId="30" fillId="0" borderId="0" xfId="1" applyFont="1" applyAlignment="1">
      <alignment horizontal="center"/>
    </xf>
    <xf numFmtId="0" fontId="30" fillId="0" borderId="5" xfId="0" applyFont="1" applyBorder="1" applyAlignment="1">
      <alignment horizontal="center"/>
    </xf>
    <xf numFmtId="0" fontId="30" fillId="0" borderId="0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0" fillId="0" borderId="0" xfId="1" applyNumberFormat="1" applyFont="1" applyAlignment="1">
      <alignment horizontal="center"/>
    </xf>
    <xf numFmtId="0" fontId="32" fillId="0" borderId="0" xfId="0" applyFont="1" applyBorder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NumberFormat="1" applyFont="1" applyBorder="1" applyAlignment="1">
      <alignment horizontal="right"/>
    </xf>
    <xf numFmtId="0" fontId="12" fillId="0" borderId="0" xfId="0" applyFont="1" applyAlignment="1">
      <alignment horizontal="left"/>
    </xf>
    <xf numFmtId="169" fontId="12" fillId="0" borderId="0" xfId="1" applyNumberFormat="1" applyFont="1" applyAlignment="1">
      <alignment horizontal="left"/>
    </xf>
    <xf numFmtId="165" fontId="22" fillId="0" borderId="0" xfId="0" applyNumberFormat="1" applyFont="1" applyAlignment="1"/>
    <xf numFmtId="0" fontId="22" fillId="0" borderId="0" xfId="0" applyFont="1" applyAlignment="1">
      <alignment horizontal="left"/>
    </xf>
    <xf numFmtId="0" fontId="20" fillId="0" borderId="0" xfId="0" applyFont="1" applyFill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165" fontId="31" fillId="0" borderId="7" xfId="1" applyFont="1" applyBorder="1" applyAlignment="1">
      <alignment horizontal="center"/>
    </xf>
    <xf numFmtId="165" fontId="15" fillId="0" borderId="0" xfId="1" applyNumberFormat="1" applyFont="1" applyAlignment="1">
      <alignment horizontal="center"/>
    </xf>
    <xf numFmtId="165" fontId="30" fillId="0" borderId="0" xfId="1" applyNumberFormat="1" applyFont="1" applyAlignment="1">
      <alignment horizontal="right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43" fillId="0" borderId="0" xfId="0" applyFont="1" applyAlignment="1">
      <alignment horizontal="left"/>
    </xf>
    <xf numFmtId="165" fontId="22" fillId="0" borderId="0" xfId="1" applyFont="1" applyAlignment="1">
      <alignment horizontal="center"/>
    </xf>
    <xf numFmtId="0" fontId="22" fillId="0" borderId="0" xfId="0" applyFont="1" applyAlignment="1">
      <alignment horizontal="center"/>
    </xf>
    <xf numFmtId="165" fontId="22" fillId="0" borderId="0" xfId="1" applyNumberFormat="1" applyFont="1" applyAlignment="1">
      <alignment horizontal="center"/>
    </xf>
    <xf numFmtId="165" fontId="24" fillId="0" borderId="0" xfId="1" applyFont="1" applyAlignment="1">
      <alignment horizontal="center"/>
    </xf>
    <xf numFmtId="43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</cellXfs>
  <cellStyles count="14">
    <cellStyle name="Hipervínculo" xfId="13" builtinId="8"/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1099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0000CC"/>
      <color rgb="FFFF3300"/>
      <color rgb="FFFFFFCC"/>
      <color rgb="FFFFFF99"/>
      <color rgb="FFFF6600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1362075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1331119" y="1342606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659963" y="1337843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1974387" y="1348208"/>
          <a:ext cx="258614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pSpPr/>
      </xdr:nvGrpSpPr>
      <xdr:grpSpPr>
        <a:xfrm>
          <a:off x="2609850" y="1348208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9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/>
      </xdr:nvGrpSpPr>
      <xdr:grpSpPr>
        <a:xfrm>
          <a:off x="2295425" y="1348208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R_FACTURAS_FREDDY%20CHIRINO-NOVIEMBRE-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CLIENTES"/>
      <sheetName val="FACTURA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mailto:JCPADRONPERICH@GMAIL.COM" TargetMode="External"/><Relationship Id="rId1" Type="http://schemas.openxmlformats.org/officeDocument/2006/relationships/hyperlink" Target="mailto:JCPADRONPERICH@GMAIL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I4" sqref="I4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0"/>
      <c r="C1" s="126"/>
      <c r="D1" s="126"/>
      <c r="E1" s="126"/>
      <c r="F1" s="166"/>
      <c r="G1" s="166"/>
      <c r="H1" s="167"/>
      <c r="I1" s="167"/>
      <c r="J1" s="155"/>
      <c r="K1" s="168"/>
      <c r="L1" s="168"/>
      <c r="M1" s="165"/>
    </row>
    <row r="2" spans="1:21" ht="18.75" customHeight="1">
      <c r="A2" s="8"/>
      <c r="B2" s="100"/>
      <c r="C2" s="169">
        <v>44712</v>
      </c>
      <c r="D2" s="126"/>
      <c r="E2" s="342" t="s">
        <v>1211</v>
      </c>
      <c r="F2" s="342"/>
      <c r="G2" s="342"/>
      <c r="H2" s="342"/>
      <c r="I2" s="342"/>
      <c r="J2" s="166"/>
      <c r="K2" s="166"/>
      <c r="L2" s="166"/>
      <c r="M2" s="170"/>
    </row>
    <row r="3" spans="1:21" ht="24" customHeight="1">
      <c r="A3" s="110" t="s">
        <v>85</v>
      </c>
      <c r="B3" s="111"/>
      <c r="C3" s="166" t="s">
        <v>541</v>
      </c>
      <c r="D3" s="340" t="s">
        <v>1214</v>
      </c>
      <c r="E3" s="340"/>
      <c r="F3" s="340"/>
      <c r="G3" s="340"/>
      <c r="H3" s="340"/>
      <c r="I3" s="340"/>
      <c r="J3" s="340"/>
      <c r="K3" s="340"/>
      <c r="L3" s="340"/>
      <c r="M3" s="268"/>
    </row>
    <row r="4" spans="1:21" ht="38.25" customHeight="1">
      <c r="A4" s="110" t="s">
        <v>86</v>
      </c>
      <c r="B4" s="111"/>
      <c r="C4" s="171"/>
      <c r="D4" s="171"/>
      <c r="E4" s="171"/>
      <c r="I4" s="172" t="s">
        <v>1216</v>
      </c>
      <c r="J4" s="172"/>
      <c r="L4" s="172" t="s">
        <v>1212</v>
      </c>
      <c r="M4" s="170"/>
    </row>
    <row r="5" spans="1:21" ht="20.25" customHeight="1">
      <c r="A5" s="112" t="s">
        <v>788</v>
      </c>
      <c r="B5" s="111"/>
      <c r="C5" s="126"/>
      <c r="D5" s="166"/>
      <c r="E5" s="166"/>
      <c r="F5" s="166"/>
      <c r="G5" s="166"/>
      <c r="H5" s="166"/>
      <c r="I5" s="166"/>
      <c r="J5" s="296"/>
      <c r="K5" s="296"/>
      <c r="L5" s="296"/>
      <c r="M5" s="170"/>
      <c r="O5" s="166"/>
      <c r="U5" s="166" t="s">
        <v>835</v>
      </c>
    </row>
    <row r="6" spans="1:21" ht="18.75">
      <c r="C6" s="126"/>
      <c r="D6" s="126"/>
      <c r="E6" s="126"/>
      <c r="F6" s="166"/>
      <c r="G6" s="166"/>
      <c r="H6" s="166"/>
      <c r="I6" s="166"/>
      <c r="J6" s="166"/>
      <c r="K6" s="166"/>
      <c r="L6" s="166"/>
      <c r="M6" s="170"/>
    </row>
    <row r="7" spans="1:21" ht="24" customHeight="1">
      <c r="C7" s="126"/>
      <c r="D7" s="126"/>
      <c r="E7" s="126"/>
      <c r="F7" s="166"/>
      <c r="G7" s="166"/>
      <c r="H7" s="166"/>
      <c r="I7" s="166"/>
      <c r="J7" s="166"/>
      <c r="K7" s="166"/>
      <c r="L7" s="166"/>
      <c r="M7" s="170"/>
    </row>
    <row r="8" spans="1:21" ht="72" customHeight="1">
      <c r="C8" s="126"/>
      <c r="D8" s="126"/>
      <c r="E8" s="179" t="s">
        <v>1215</v>
      </c>
      <c r="F8" s="166"/>
      <c r="G8" s="166"/>
      <c r="H8" s="166"/>
      <c r="I8" s="166"/>
      <c r="J8" s="166"/>
      <c r="K8" s="166"/>
      <c r="L8" s="166"/>
      <c r="M8" s="170"/>
      <c r="O8" s="85" t="s">
        <v>1044</v>
      </c>
    </row>
    <row r="9" spans="1:21" ht="18.75">
      <c r="C9" s="296">
        <v>25</v>
      </c>
      <c r="D9" s="337" t="s">
        <v>1199</v>
      </c>
      <c r="E9" s="337"/>
      <c r="F9" s="337"/>
      <c r="G9" s="337"/>
      <c r="H9" s="337"/>
      <c r="I9" s="295">
        <f>11*5.07</f>
        <v>55.77</v>
      </c>
      <c r="J9" s="295"/>
      <c r="K9" s="338">
        <f>+I9*C9</f>
        <v>1394.25</v>
      </c>
      <c r="L9" s="338"/>
      <c r="M9" s="170"/>
      <c r="O9" s="85">
        <f>+C9*7</f>
        <v>175</v>
      </c>
    </row>
    <row r="10" spans="1:21" ht="18.75">
      <c r="C10" s="296"/>
      <c r="D10" s="337"/>
      <c r="E10" s="337"/>
      <c r="F10" s="337"/>
      <c r="G10" s="337"/>
      <c r="H10" s="337"/>
      <c r="I10" s="295"/>
      <c r="J10" s="295"/>
      <c r="K10" s="338">
        <f>+I10*C10</f>
        <v>0</v>
      </c>
      <c r="L10" s="338"/>
      <c r="M10" s="170"/>
      <c r="O10" s="85">
        <f>+C10*7</f>
        <v>0</v>
      </c>
    </row>
    <row r="11" spans="1:21" ht="18.75">
      <c r="C11" s="296"/>
      <c r="D11" s="337"/>
      <c r="E11" s="337"/>
      <c r="F11" s="337"/>
      <c r="G11" s="337"/>
      <c r="H11" s="337"/>
      <c r="I11" s="175"/>
      <c r="J11" s="295"/>
      <c r="K11" s="338"/>
      <c r="L11" s="338"/>
      <c r="M11" s="170"/>
    </row>
    <row r="12" spans="1:21" ht="18.75">
      <c r="C12" s="296"/>
      <c r="D12" s="337"/>
      <c r="E12" s="337"/>
      <c r="F12" s="337"/>
      <c r="G12" s="337"/>
      <c r="H12" s="337"/>
      <c r="I12" s="175"/>
      <c r="J12" s="175"/>
      <c r="K12" s="338"/>
      <c r="L12" s="338"/>
      <c r="M12" s="101"/>
    </row>
    <row r="13" spans="1:21" ht="18.75">
      <c r="C13" s="296"/>
      <c r="D13" s="294"/>
      <c r="E13" s="294"/>
      <c r="F13" s="294"/>
      <c r="G13" s="294"/>
      <c r="H13" s="294"/>
      <c r="I13" s="175"/>
      <c r="J13" s="175"/>
      <c r="K13" s="338"/>
      <c r="L13" s="338"/>
      <c r="M13" s="101"/>
    </row>
    <row r="14" spans="1:21" ht="18.75">
      <c r="C14" s="296"/>
      <c r="D14" s="294"/>
      <c r="E14" s="294"/>
      <c r="F14" s="294"/>
      <c r="G14" s="294"/>
      <c r="H14" s="294"/>
      <c r="I14" s="175"/>
      <c r="J14" s="175"/>
      <c r="K14" s="338"/>
      <c r="L14" s="338"/>
      <c r="M14" s="101"/>
    </row>
    <row r="15" spans="1:21" ht="18.75">
      <c r="C15" s="296"/>
      <c r="D15" s="294"/>
      <c r="E15" s="294"/>
      <c r="F15" s="294"/>
      <c r="G15" s="294"/>
      <c r="H15" s="294"/>
      <c r="I15" s="175"/>
      <c r="J15" s="175"/>
      <c r="K15" s="338"/>
      <c r="L15" s="338"/>
      <c r="M15" s="101"/>
    </row>
    <row r="16" spans="1:21" ht="18.75">
      <c r="C16" s="296"/>
      <c r="D16" s="294"/>
      <c r="E16" s="294"/>
      <c r="F16" s="294"/>
      <c r="G16" s="294"/>
      <c r="H16" s="294"/>
      <c r="I16" s="175"/>
      <c r="J16" s="175"/>
      <c r="K16" s="338"/>
      <c r="L16" s="338"/>
      <c r="M16" s="101"/>
    </row>
    <row r="17" spans="3:15" ht="18.75">
      <c r="C17" s="296"/>
      <c r="D17" s="294"/>
      <c r="E17" s="294"/>
      <c r="F17" s="294"/>
      <c r="G17" s="294"/>
      <c r="H17" s="294"/>
      <c r="I17" s="175"/>
      <c r="J17" s="175"/>
      <c r="K17" s="338"/>
      <c r="L17" s="338"/>
      <c r="M17" s="101"/>
    </row>
    <row r="18" spans="3:15" ht="18.75">
      <c r="C18" s="296"/>
      <c r="D18" s="294"/>
      <c r="E18" s="294"/>
      <c r="F18" s="294"/>
      <c r="G18" s="294"/>
      <c r="H18" s="294"/>
      <c r="I18" s="175"/>
      <c r="J18" s="175"/>
      <c r="K18" s="338"/>
      <c r="L18" s="338"/>
      <c r="M18" s="101"/>
    </row>
    <row r="19" spans="3:15" ht="18.75">
      <c r="C19" s="296"/>
      <c r="D19" s="294"/>
      <c r="E19" s="294"/>
      <c r="F19" s="294"/>
      <c r="G19" s="294"/>
      <c r="H19" s="294"/>
      <c r="I19" s="175"/>
      <c r="J19" s="175"/>
      <c r="K19" s="338"/>
      <c r="L19" s="338"/>
      <c r="M19" s="101"/>
    </row>
    <row r="20" spans="3:15" ht="18.75">
      <c r="C20" s="296"/>
      <c r="D20" s="294"/>
      <c r="E20" s="294"/>
      <c r="F20" s="294"/>
      <c r="G20" s="294"/>
      <c r="H20" s="294"/>
      <c r="I20" s="175"/>
      <c r="J20" s="175"/>
      <c r="K20" s="338"/>
      <c r="L20" s="338"/>
      <c r="M20" s="101"/>
    </row>
    <row r="21" spans="3:15" ht="18.75">
      <c r="C21" s="296"/>
      <c r="D21" s="294"/>
      <c r="E21" s="294"/>
      <c r="F21" s="84"/>
      <c r="G21" s="84"/>
      <c r="H21" s="84"/>
      <c r="I21" s="175"/>
      <c r="J21" s="175"/>
      <c r="K21" s="338"/>
      <c r="L21" s="338"/>
      <c r="M21" s="101"/>
    </row>
    <row r="22" spans="3:15" ht="18.75">
      <c r="C22" s="296"/>
      <c r="D22" s="294"/>
      <c r="E22" s="294"/>
      <c r="F22" s="84"/>
      <c r="G22" s="84"/>
      <c r="H22" s="84"/>
      <c r="I22" s="175"/>
      <c r="J22" s="175"/>
      <c r="K22" s="338"/>
      <c r="L22" s="338"/>
      <c r="M22" s="101"/>
    </row>
    <row r="23" spans="3:15" ht="18.75">
      <c r="C23" s="296"/>
      <c r="D23" s="126"/>
      <c r="E23" s="84"/>
      <c r="F23" s="84"/>
      <c r="G23" s="84"/>
      <c r="H23" s="84"/>
      <c r="I23" s="175"/>
      <c r="J23" s="83"/>
      <c r="K23" s="338"/>
      <c r="L23" s="338"/>
    </row>
    <row r="24" spans="3:15" ht="18.75">
      <c r="C24" s="296"/>
      <c r="D24" s="126"/>
      <c r="E24" s="84"/>
      <c r="F24" s="84"/>
      <c r="G24" s="84"/>
      <c r="H24" s="84"/>
      <c r="I24" s="175"/>
      <c r="J24" s="83"/>
      <c r="K24" s="338">
        <f>+I24*C24</f>
        <v>0</v>
      </c>
      <c r="L24" s="338"/>
    </row>
    <row r="25" spans="3:15" ht="15.75">
      <c r="C25" s="84"/>
      <c r="D25" s="84"/>
      <c r="E25" s="84"/>
      <c r="F25" s="84"/>
      <c r="G25" s="84"/>
      <c r="H25" s="84"/>
      <c r="I25" s="92" t="s">
        <v>888</v>
      </c>
      <c r="J25" s="84"/>
      <c r="K25" s="343">
        <f>SUM(K9:L24)</f>
        <v>1394.25</v>
      </c>
      <c r="L25" s="343"/>
      <c r="O25" s="85">
        <f>SUM(O9:O24)</f>
        <v>175</v>
      </c>
    </row>
    <row r="26" spans="3:15">
      <c r="C26" s="84"/>
      <c r="D26" s="84"/>
      <c r="E26" s="84"/>
      <c r="F26" s="84"/>
      <c r="G26" s="84"/>
      <c r="H26" s="84"/>
      <c r="I26" s="92" t="s">
        <v>887</v>
      </c>
      <c r="J26" s="84"/>
      <c r="K26" s="84"/>
      <c r="L26" s="83">
        <f>+K25*0.16</f>
        <v>223.08</v>
      </c>
    </row>
    <row r="27" spans="3:15">
      <c r="C27" s="84"/>
      <c r="D27" s="84"/>
      <c r="E27" s="84"/>
      <c r="F27" s="84"/>
      <c r="G27" s="84"/>
      <c r="H27" s="84"/>
      <c r="I27" s="192" t="s">
        <v>796</v>
      </c>
      <c r="J27" s="84"/>
      <c r="K27" s="84"/>
      <c r="L27" s="83">
        <f>+L26+K25</f>
        <v>1617.33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69">
        <v>44452</v>
      </c>
      <c r="D32" s="126" t="s">
        <v>550</v>
      </c>
      <c r="E32" s="342"/>
      <c r="F32" s="342"/>
      <c r="G32" s="342"/>
      <c r="H32" s="342"/>
      <c r="I32" s="342"/>
      <c r="J32" s="166"/>
      <c r="K32" s="166"/>
      <c r="L32" s="166"/>
      <c r="M32" s="170"/>
    </row>
    <row r="33" spans="3:13" ht="18.75">
      <c r="C33" s="166"/>
      <c r="D33" s="340" t="s">
        <v>898</v>
      </c>
      <c r="E33" s="340"/>
      <c r="F33" s="340"/>
      <c r="G33" s="340"/>
      <c r="H33" s="340"/>
      <c r="I33" s="340"/>
      <c r="J33" s="340"/>
      <c r="K33" s="340"/>
      <c r="L33" s="340"/>
      <c r="M33" s="340"/>
    </row>
    <row r="34" spans="3:13" ht="18.75">
      <c r="C34" s="171"/>
      <c r="D34" s="171"/>
      <c r="E34" s="171"/>
      <c r="F34" s="341">
        <v>4129661907</v>
      </c>
      <c r="G34" s="341"/>
      <c r="H34" s="172"/>
      <c r="I34" s="172" t="s">
        <v>897</v>
      </c>
      <c r="J34" s="173"/>
      <c r="K34" s="173"/>
      <c r="L34" s="173"/>
      <c r="M34" s="170"/>
    </row>
    <row r="35" spans="3:13" ht="18.75">
      <c r="C35" s="126"/>
      <c r="D35" s="166"/>
      <c r="E35" s="166"/>
      <c r="F35" s="166"/>
      <c r="G35" s="166"/>
      <c r="H35" s="166"/>
      <c r="I35" s="166"/>
      <c r="J35" s="296"/>
      <c r="K35" s="296"/>
      <c r="L35" s="296"/>
      <c r="M35" s="170"/>
    </row>
    <row r="36" spans="3:13" ht="18.75">
      <c r="C36" s="126"/>
      <c r="D36" s="126"/>
      <c r="E36" s="126"/>
      <c r="F36" s="166"/>
      <c r="G36" s="166"/>
      <c r="H36" s="166"/>
      <c r="I36" s="166"/>
      <c r="J36" s="166"/>
      <c r="K36" s="166"/>
      <c r="L36" s="166"/>
      <c r="M36" s="170"/>
    </row>
    <row r="37" spans="3:13" ht="18.75">
      <c r="C37" s="126"/>
      <c r="D37" s="126"/>
      <c r="E37" s="126"/>
      <c r="F37" s="166"/>
      <c r="G37" s="166"/>
      <c r="H37" s="166"/>
      <c r="I37" s="166"/>
      <c r="J37" s="166"/>
      <c r="K37" s="166"/>
      <c r="L37" s="166"/>
      <c r="M37" s="170"/>
    </row>
    <row r="38" spans="3:13" ht="18.75">
      <c r="C38" s="126"/>
      <c r="D38" s="126"/>
      <c r="E38" s="174" t="s">
        <v>990</v>
      </c>
      <c r="F38" s="166"/>
      <c r="G38" s="166"/>
      <c r="H38" s="166"/>
      <c r="I38" s="166"/>
      <c r="J38" s="166"/>
      <c r="K38" s="166"/>
      <c r="L38" s="166"/>
      <c r="M38" s="170"/>
    </row>
    <row r="39" spans="3:13" ht="18.75">
      <c r="C39" s="296">
        <v>40</v>
      </c>
      <c r="D39" s="294" t="s">
        <v>1060</v>
      </c>
      <c r="E39" s="294"/>
      <c r="F39" s="297"/>
      <c r="G39" s="294"/>
      <c r="H39" s="294"/>
      <c r="I39" s="295">
        <v>1250000</v>
      </c>
      <c r="J39" s="295"/>
      <c r="K39" s="338">
        <f>+I39*C39</f>
        <v>50000000</v>
      </c>
      <c r="L39" s="338"/>
      <c r="M39" s="170"/>
    </row>
    <row r="40" spans="3:13" ht="18.75">
      <c r="C40" s="296"/>
      <c r="D40" s="294"/>
      <c r="E40" s="294"/>
      <c r="F40" s="296"/>
      <c r="G40" s="294"/>
      <c r="H40" s="294"/>
      <c r="I40" s="295"/>
      <c r="J40" s="295"/>
      <c r="K40" s="338"/>
      <c r="L40" s="338"/>
      <c r="M40" s="170"/>
    </row>
    <row r="41" spans="3:13" ht="18.75">
      <c r="C41" s="296"/>
      <c r="D41" s="294"/>
      <c r="E41" s="294"/>
      <c r="F41" s="296"/>
      <c r="G41" s="294"/>
      <c r="H41" s="294"/>
      <c r="I41" s="295"/>
      <c r="J41" s="295"/>
      <c r="K41" s="338"/>
      <c r="L41" s="338"/>
      <c r="M41" s="170"/>
    </row>
    <row r="42" spans="3:13" ht="18.75">
      <c r="C42" s="296"/>
      <c r="D42" s="294"/>
      <c r="E42" s="294"/>
      <c r="F42" s="296"/>
      <c r="G42" s="294"/>
      <c r="H42" s="294"/>
      <c r="I42" s="175"/>
      <c r="J42" s="175"/>
      <c r="K42" s="338"/>
      <c r="L42" s="338"/>
      <c r="M42" s="101"/>
    </row>
    <row r="43" spans="3:13" ht="18.75">
      <c r="C43" s="296"/>
      <c r="D43" s="294"/>
      <c r="E43" s="294"/>
      <c r="F43" s="296"/>
      <c r="G43" s="294"/>
      <c r="H43" s="294"/>
      <c r="I43" s="175"/>
      <c r="J43" s="175"/>
      <c r="K43" s="338"/>
      <c r="L43" s="338"/>
      <c r="M43" s="101"/>
    </row>
    <row r="44" spans="3:13" ht="18.75">
      <c r="C44" s="296"/>
      <c r="D44" s="294"/>
      <c r="E44" s="294"/>
      <c r="F44" s="296"/>
      <c r="G44" s="294"/>
      <c r="H44" s="294"/>
      <c r="I44" s="175"/>
      <c r="J44" s="175"/>
      <c r="K44" s="338"/>
      <c r="L44" s="338"/>
      <c r="M44" s="101"/>
    </row>
    <row r="45" spans="3:13" ht="18.75">
      <c r="C45" s="296"/>
      <c r="D45" s="294"/>
      <c r="E45" s="294"/>
      <c r="F45" s="296"/>
      <c r="G45" s="294"/>
      <c r="H45" s="294"/>
      <c r="I45" s="175"/>
      <c r="J45" s="175"/>
      <c r="K45" s="338"/>
      <c r="L45" s="338"/>
      <c r="M45" s="101"/>
    </row>
    <row r="46" spans="3:13" ht="18.75">
      <c r="C46" s="296"/>
      <c r="D46" s="126"/>
      <c r="E46" s="84"/>
      <c r="F46" s="296"/>
      <c r="G46" s="126"/>
      <c r="H46" s="84"/>
      <c r="I46" s="175"/>
      <c r="J46" s="175"/>
      <c r="K46" s="338"/>
      <c r="L46" s="338"/>
      <c r="M46" s="101"/>
    </row>
    <row r="47" spans="3:13" ht="18.75">
      <c r="C47" s="296"/>
      <c r="D47" s="126"/>
      <c r="E47" s="84"/>
      <c r="F47" s="296"/>
      <c r="G47" s="126"/>
      <c r="H47" s="84"/>
      <c r="I47" s="175"/>
      <c r="J47" s="175"/>
      <c r="K47" s="338"/>
      <c r="L47" s="338"/>
      <c r="M47" s="101"/>
    </row>
    <row r="48" spans="3:13" ht="18.75">
      <c r="C48" s="296"/>
      <c r="D48" s="337"/>
      <c r="E48" s="337"/>
      <c r="F48" s="337"/>
      <c r="G48" s="337"/>
      <c r="H48" s="337"/>
      <c r="I48" s="175"/>
      <c r="J48" s="175"/>
      <c r="K48" s="338"/>
      <c r="L48" s="338"/>
      <c r="M48" s="101"/>
    </row>
    <row r="49" spans="3:13" ht="18.75">
      <c r="C49" s="296"/>
      <c r="D49" s="337"/>
      <c r="E49" s="337"/>
      <c r="F49" s="337"/>
      <c r="G49" s="337"/>
      <c r="H49" s="337"/>
      <c r="I49" s="175"/>
      <c r="J49" s="175"/>
      <c r="K49" s="338"/>
      <c r="L49" s="338"/>
      <c r="M49" s="101"/>
    </row>
    <row r="50" spans="3:13" ht="18.75">
      <c r="C50" s="296"/>
      <c r="D50" s="337"/>
      <c r="E50" s="337"/>
      <c r="F50" s="337"/>
      <c r="G50" s="337"/>
      <c r="H50" s="337"/>
      <c r="I50" s="175"/>
      <c r="J50" s="175"/>
      <c r="K50" s="338"/>
      <c r="L50" s="338"/>
      <c r="M50" s="101"/>
    </row>
    <row r="51" spans="3:13" ht="18.75">
      <c r="C51" s="296"/>
      <c r="D51" s="126"/>
      <c r="E51" s="84"/>
      <c r="F51" s="84"/>
      <c r="G51" s="84"/>
      <c r="H51" s="84"/>
      <c r="I51" s="175"/>
      <c r="J51" s="83"/>
      <c r="K51" s="338"/>
      <c r="L51" s="338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39">
        <f>SUM(K39:K51)</f>
        <v>50000000</v>
      </c>
      <c r="L52" s="339"/>
    </row>
  </sheetData>
  <mergeCells count="43"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D48:H48"/>
    <mergeCell ref="K48:L48"/>
    <mergeCell ref="D33:M33"/>
    <mergeCell ref="F34:G34"/>
    <mergeCell ref="K39:L39"/>
    <mergeCell ref="K40:L40"/>
    <mergeCell ref="K41:L41"/>
    <mergeCell ref="K42:L42"/>
    <mergeCell ref="K52:L52"/>
    <mergeCell ref="K43:L43"/>
    <mergeCell ref="K44:L44"/>
    <mergeCell ref="K45:L45"/>
    <mergeCell ref="K46:L46"/>
    <mergeCell ref="K47:L47"/>
    <mergeCell ref="D49:H49"/>
    <mergeCell ref="K49:L49"/>
    <mergeCell ref="D50:H50"/>
    <mergeCell ref="K50:L50"/>
    <mergeCell ref="K51:L51"/>
  </mergeCells>
  <conditionalFormatting sqref="C4">
    <cfRule type="expression" dxfId="10993" priority="4">
      <formula>IF(ISODD($A4)=TRUE,1,0)</formula>
    </cfRule>
  </conditionalFormatting>
  <conditionalFormatting sqref="D3">
    <cfRule type="expression" dxfId="10992" priority="3">
      <formula>IF(ISODD($A3)=TRUE,1,0)</formula>
    </cfRule>
  </conditionalFormatting>
  <conditionalFormatting sqref="C34">
    <cfRule type="expression" dxfId="10991" priority="2">
      <formula>IF(ISODD($A34)=TRUE,1,0)</formula>
    </cfRule>
  </conditionalFormatting>
  <conditionalFormatting sqref="D33">
    <cfRule type="expression" dxfId="10990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9" sqref="D9:H9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0"/>
      <c r="C1" s="126"/>
      <c r="D1" s="126"/>
      <c r="E1" s="126"/>
      <c r="F1" s="166"/>
      <c r="G1" s="166"/>
      <c r="H1" s="167"/>
      <c r="I1" s="167"/>
      <c r="J1" s="155"/>
      <c r="K1" s="168"/>
      <c r="L1" s="168"/>
      <c r="M1" s="165"/>
    </row>
    <row r="2" spans="1:21" ht="18.75" customHeight="1">
      <c r="A2" s="8"/>
      <c r="B2" s="100"/>
      <c r="C2" s="169">
        <v>44708</v>
      </c>
      <c r="D2" s="126"/>
      <c r="E2" s="342" t="s">
        <v>1676</v>
      </c>
      <c r="F2" s="342"/>
      <c r="G2" s="342"/>
      <c r="H2" s="342"/>
      <c r="I2" s="342"/>
      <c r="J2" s="166"/>
      <c r="K2" s="166"/>
      <c r="L2" s="166"/>
      <c r="M2" s="170"/>
    </row>
    <row r="3" spans="1:21" ht="24" customHeight="1">
      <c r="A3" s="110" t="s">
        <v>85</v>
      </c>
      <c r="B3" s="111"/>
      <c r="C3" s="166" t="s">
        <v>541</v>
      </c>
      <c r="D3" s="340" t="s">
        <v>1677</v>
      </c>
      <c r="E3" s="340"/>
      <c r="F3" s="340"/>
      <c r="G3" s="340"/>
      <c r="H3" s="340"/>
      <c r="I3" s="340"/>
      <c r="J3" s="340"/>
      <c r="K3" s="340"/>
      <c r="L3" s="340"/>
      <c r="M3" s="268"/>
    </row>
    <row r="4" spans="1:21" ht="38.25" customHeight="1">
      <c r="A4" s="110" t="s">
        <v>86</v>
      </c>
      <c r="B4" s="111"/>
      <c r="C4" s="171"/>
      <c r="D4" s="171"/>
      <c r="E4" s="171"/>
      <c r="I4" s="172" t="s">
        <v>1200</v>
      </c>
      <c r="J4" s="172"/>
      <c r="L4" s="172" t="s">
        <v>1202</v>
      </c>
      <c r="M4" s="170"/>
    </row>
    <row r="5" spans="1:21" ht="20.25" customHeight="1">
      <c r="A5" s="112" t="s">
        <v>788</v>
      </c>
      <c r="B5" s="111"/>
      <c r="C5" s="126"/>
      <c r="D5" s="166"/>
      <c r="E5" s="166"/>
      <c r="F5" s="166"/>
      <c r="G5" s="166"/>
      <c r="H5" s="166"/>
      <c r="I5" s="166"/>
      <c r="J5" s="288"/>
      <c r="K5" s="288"/>
      <c r="L5" s="288"/>
      <c r="M5" s="170"/>
      <c r="O5" s="166"/>
      <c r="U5" s="166" t="s">
        <v>835</v>
      </c>
    </row>
    <row r="6" spans="1:21" ht="18.75">
      <c r="C6" s="126"/>
      <c r="D6" s="126"/>
      <c r="E6" s="126"/>
      <c r="F6" s="166"/>
      <c r="G6" s="166"/>
      <c r="H6" s="166"/>
      <c r="I6" s="166"/>
      <c r="J6" s="166"/>
      <c r="K6" s="166"/>
      <c r="L6" s="166"/>
      <c r="M6" s="170"/>
    </row>
    <row r="7" spans="1:21" ht="24" customHeight="1">
      <c r="C7" s="126"/>
      <c r="D7" s="126"/>
      <c r="E7" s="126"/>
      <c r="F7" s="166"/>
      <c r="G7" s="166"/>
      <c r="H7" s="166"/>
      <c r="I7" s="166"/>
      <c r="J7" s="166"/>
      <c r="K7" s="166"/>
      <c r="L7" s="166"/>
      <c r="M7" s="170"/>
    </row>
    <row r="8" spans="1:21" ht="72" customHeight="1">
      <c r="C8" s="126"/>
      <c r="D8" s="126"/>
      <c r="E8" s="179" t="s">
        <v>990</v>
      </c>
      <c r="F8" s="166"/>
      <c r="G8" s="166"/>
      <c r="H8" s="166"/>
      <c r="I8" s="166"/>
      <c r="J8" s="166"/>
      <c r="K8" s="166"/>
      <c r="L8" s="166"/>
      <c r="M8" s="170"/>
      <c r="O8" s="85" t="s">
        <v>1044</v>
      </c>
    </row>
    <row r="9" spans="1:21" ht="18.75">
      <c r="C9" s="288">
        <v>10</v>
      </c>
      <c r="D9" s="337"/>
      <c r="E9" s="337"/>
      <c r="F9" s="337"/>
      <c r="G9" s="337"/>
      <c r="H9" s="337"/>
      <c r="I9" s="290">
        <f>5*5.1</f>
        <v>25.5</v>
      </c>
      <c r="J9" s="290"/>
      <c r="K9" s="338">
        <f>+I9*C9</f>
        <v>255</v>
      </c>
      <c r="L9" s="338"/>
      <c r="M9" s="170"/>
      <c r="O9" s="85">
        <f>+C9*7</f>
        <v>70</v>
      </c>
    </row>
    <row r="10" spans="1:21" ht="18.75">
      <c r="C10" s="293">
        <v>2</v>
      </c>
      <c r="D10" s="337" t="s">
        <v>1204</v>
      </c>
      <c r="E10" s="337"/>
      <c r="F10" s="337"/>
      <c r="G10" s="337"/>
      <c r="H10" s="337"/>
      <c r="I10" s="292">
        <f>4.5*5.1</f>
        <v>22.95</v>
      </c>
      <c r="J10" s="292"/>
      <c r="K10" s="338">
        <f>+I10*C10</f>
        <v>45.9</v>
      </c>
      <c r="L10" s="338"/>
      <c r="M10" s="170"/>
      <c r="O10" s="85">
        <f>+C10*7</f>
        <v>14</v>
      </c>
    </row>
    <row r="11" spans="1:21" ht="18.75">
      <c r="C11" s="288"/>
      <c r="D11" s="337"/>
      <c r="E11" s="337"/>
      <c r="F11" s="337"/>
      <c r="G11" s="337"/>
      <c r="H11" s="337"/>
      <c r="I11" s="175"/>
      <c r="J11" s="290"/>
      <c r="K11" s="338"/>
      <c r="L11" s="338"/>
      <c r="M11" s="170"/>
    </row>
    <row r="12" spans="1:21" ht="18.75">
      <c r="C12" s="288"/>
      <c r="D12" s="337"/>
      <c r="E12" s="337"/>
      <c r="F12" s="337"/>
      <c r="G12" s="337"/>
      <c r="H12" s="337"/>
      <c r="I12" s="175"/>
      <c r="J12" s="175"/>
      <c r="K12" s="338"/>
      <c r="L12" s="338"/>
      <c r="M12" s="101"/>
    </row>
    <row r="13" spans="1:21" ht="18.75">
      <c r="C13" s="288"/>
      <c r="D13" s="289"/>
      <c r="E13" s="289"/>
      <c r="F13" s="289"/>
      <c r="G13" s="289"/>
      <c r="H13" s="289"/>
      <c r="I13" s="175"/>
      <c r="J13" s="175"/>
      <c r="K13" s="338"/>
      <c r="L13" s="338"/>
      <c r="M13" s="101"/>
    </row>
    <row r="14" spans="1:21" ht="18.75">
      <c r="C14" s="288"/>
      <c r="D14" s="289"/>
      <c r="E14" s="289"/>
      <c r="F14" s="289"/>
      <c r="G14" s="289"/>
      <c r="H14" s="289"/>
      <c r="I14" s="175"/>
      <c r="J14" s="175"/>
      <c r="K14" s="338"/>
      <c r="L14" s="338"/>
      <c r="M14" s="101"/>
    </row>
    <row r="15" spans="1:21" ht="18.75">
      <c r="C15" s="288"/>
      <c r="D15" s="289"/>
      <c r="E15" s="289"/>
      <c r="F15" s="289"/>
      <c r="G15" s="289"/>
      <c r="H15" s="289"/>
      <c r="I15" s="175"/>
      <c r="J15" s="175"/>
      <c r="K15" s="338"/>
      <c r="L15" s="338"/>
      <c r="M15" s="101"/>
    </row>
    <row r="16" spans="1:21" ht="18.75">
      <c r="C16" s="288"/>
      <c r="D16" s="289"/>
      <c r="E16" s="289"/>
      <c r="F16" s="289"/>
      <c r="G16" s="289"/>
      <c r="H16" s="289"/>
      <c r="I16" s="175"/>
      <c r="J16" s="175"/>
      <c r="K16" s="338"/>
      <c r="L16" s="338"/>
      <c r="M16" s="101"/>
    </row>
    <row r="17" spans="3:15" ht="18.75">
      <c r="C17" s="288"/>
      <c r="D17" s="289"/>
      <c r="E17" s="289"/>
      <c r="F17" s="289"/>
      <c r="G17" s="289"/>
      <c r="H17" s="289"/>
      <c r="I17" s="175"/>
      <c r="J17" s="175"/>
      <c r="K17" s="338"/>
      <c r="L17" s="338"/>
      <c r="M17" s="101"/>
    </row>
    <row r="18" spans="3:15" ht="18.75">
      <c r="C18" s="288"/>
      <c r="D18" s="289"/>
      <c r="E18" s="289"/>
      <c r="F18" s="289"/>
      <c r="G18" s="289"/>
      <c r="H18" s="289"/>
      <c r="I18" s="175"/>
      <c r="J18" s="175"/>
      <c r="K18" s="338"/>
      <c r="L18" s="338"/>
      <c r="M18" s="101"/>
    </row>
    <row r="19" spans="3:15" ht="18.75">
      <c r="C19" s="288"/>
      <c r="D19" s="289"/>
      <c r="E19" s="289"/>
      <c r="F19" s="289"/>
      <c r="G19" s="289"/>
      <c r="H19" s="289"/>
      <c r="I19" s="175"/>
      <c r="J19" s="175"/>
      <c r="K19" s="338"/>
      <c r="L19" s="338"/>
      <c r="M19" s="101"/>
    </row>
    <row r="20" spans="3:15" ht="18.75">
      <c r="C20" s="288"/>
      <c r="D20" s="289"/>
      <c r="E20" s="289"/>
      <c r="F20" s="289"/>
      <c r="G20" s="289"/>
      <c r="H20" s="289"/>
      <c r="I20" s="175"/>
      <c r="J20" s="175"/>
      <c r="K20" s="338"/>
      <c r="L20" s="338"/>
      <c r="M20" s="101"/>
    </row>
    <row r="21" spans="3:15" ht="18.75">
      <c r="C21" s="288"/>
      <c r="D21" s="289"/>
      <c r="E21" s="289"/>
      <c r="F21" s="84"/>
      <c r="G21" s="84"/>
      <c r="H21" s="84"/>
      <c r="I21" s="175"/>
      <c r="J21" s="175"/>
      <c r="K21" s="338"/>
      <c r="L21" s="338"/>
      <c r="M21" s="101"/>
    </row>
    <row r="22" spans="3:15" ht="18.75">
      <c r="C22" s="288"/>
      <c r="D22" s="289"/>
      <c r="E22" s="289"/>
      <c r="F22" s="84"/>
      <c r="G22" s="84"/>
      <c r="H22" s="84"/>
      <c r="I22" s="175"/>
      <c r="J22" s="175"/>
      <c r="K22" s="338"/>
      <c r="L22" s="338"/>
      <c r="M22" s="101"/>
    </row>
    <row r="23" spans="3:15" ht="18.75">
      <c r="C23" s="288"/>
      <c r="D23" s="126"/>
      <c r="E23" s="84"/>
      <c r="F23" s="84"/>
      <c r="G23" s="84"/>
      <c r="H23" s="84"/>
      <c r="I23" s="175"/>
      <c r="J23" s="83"/>
      <c r="K23" s="338"/>
      <c r="L23" s="338"/>
    </row>
    <row r="24" spans="3:15" ht="18.75">
      <c r="C24" s="288"/>
      <c r="D24" s="126"/>
      <c r="E24" s="84"/>
      <c r="F24" s="84"/>
      <c r="G24" s="84"/>
      <c r="H24" s="84"/>
      <c r="I24" s="175"/>
      <c r="J24" s="83"/>
      <c r="K24" s="338">
        <f>+I24*C24</f>
        <v>0</v>
      </c>
      <c r="L24" s="338"/>
    </row>
    <row r="25" spans="3:15" ht="15.75">
      <c r="C25" s="84"/>
      <c r="D25" s="84"/>
      <c r="E25" s="84"/>
      <c r="F25" s="84"/>
      <c r="G25" s="84"/>
      <c r="H25" s="84"/>
      <c r="I25" s="92" t="s">
        <v>888</v>
      </c>
      <c r="J25" s="84"/>
      <c r="K25" s="343">
        <f>SUM(K9:L24)</f>
        <v>300.89999999999998</v>
      </c>
      <c r="L25" s="343"/>
      <c r="O25" s="85">
        <f>SUM(O9:O24)</f>
        <v>84</v>
      </c>
    </row>
    <row r="26" spans="3:15">
      <c r="C26" s="84"/>
      <c r="D26" s="84"/>
      <c r="E26" s="84"/>
      <c r="F26" s="84"/>
      <c r="G26" s="84"/>
      <c r="H26" s="84"/>
      <c r="I26" s="92" t="s">
        <v>887</v>
      </c>
      <c r="J26" s="84"/>
      <c r="K26" s="84"/>
      <c r="L26" s="83">
        <f>+K25*0.16</f>
        <v>48.143999999999998</v>
      </c>
    </row>
    <row r="27" spans="3:15">
      <c r="C27" s="84"/>
      <c r="D27" s="84"/>
      <c r="E27" s="84"/>
      <c r="F27" s="84"/>
      <c r="G27" s="84"/>
      <c r="H27" s="84"/>
      <c r="I27" s="192" t="s">
        <v>796</v>
      </c>
      <c r="J27" s="84"/>
      <c r="K27" s="84"/>
      <c r="L27" s="83">
        <f>+L26+K25</f>
        <v>349.04399999999998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69">
        <v>44452</v>
      </c>
      <c r="D32" s="126" t="s">
        <v>550</v>
      </c>
      <c r="E32" s="342"/>
      <c r="F32" s="342"/>
      <c r="G32" s="342"/>
      <c r="H32" s="342"/>
      <c r="I32" s="342"/>
      <c r="J32" s="166"/>
      <c r="K32" s="166"/>
      <c r="L32" s="166"/>
      <c r="M32" s="170"/>
    </row>
    <row r="33" spans="3:13" ht="18.75">
      <c r="C33" s="166"/>
      <c r="D33" s="340" t="s">
        <v>898</v>
      </c>
      <c r="E33" s="340"/>
      <c r="F33" s="340"/>
      <c r="G33" s="340"/>
      <c r="H33" s="340"/>
      <c r="I33" s="340"/>
      <c r="J33" s="340"/>
      <c r="K33" s="340"/>
      <c r="L33" s="340"/>
      <c r="M33" s="340"/>
    </row>
    <row r="34" spans="3:13" ht="18.75">
      <c r="C34" s="171"/>
      <c r="D34" s="171"/>
      <c r="E34" s="171"/>
      <c r="F34" s="341">
        <v>4129661907</v>
      </c>
      <c r="G34" s="341"/>
      <c r="H34" s="172"/>
      <c r="I34" s="172" t="s">
        <v>897</v>
      </c>
      <c r="J34" s="173"/>
      <c r="K34" s="173"/>
      <c r="L34" s="173"/>
      <c r="M34" s="170"/>
    </row>
    <row r="35" spans="3:13" ht="18.75">
      <c r="C35" s="126"/>
      <c r="D35" s="166"/>
      <c r="E35" s="166"/>
      <c r="F35" s="166"/>
      <c r="G35" s="166"/>
      <c r="H35" s="166"/>
      <c r="I35" s="166"/>
      <c r="J35" s="288"/>
      <c r="K35" s="288"/>
      <c r="L35" s="288"/>
      <c r="M35" s="170"/>
    </row>
    <row r="36" spans="3:13" ht="18.75">
      <c r="C36" s="126"/>
      <c r="D36" s="126"/>
      <c r="E36" s="126"/>
      <c r="F36" s="166"/>
      <c r="G36" s="166"/>
      <c r="H36" s="166"/>
      <c r="I36" s="166"/>
      <c r="J36" s="166"/>
      <c r="K36" s="166"/>
      <c r="L36" s="166"/>
      <c r="M36" s="170"/>
    </row>
    <row r="37" spans="3:13" ht="18.75">
      <c r="C37" s="126"/>
      <c r="D37" s="126"/>
      <c r="E37" s="126"/>
      <c r="F37" s="166"/>
      <c r="G37" s="166"/>
      <c r="H37" s="166"/>
      <c r="I37" s="166"/>
      <c r="J37" s="166"/>
      <c r="K37" s="166"/>
      <c r="L37" s="166"/>
      <c r="M37" s="170"/>
    </row>
    <row r="38" spans="3:13" ht="18.75">
      <c r="C38" s="126"/>
      <c r="D38" s="126"/>
      <c r="E38" s="174" t="s">
        <v>990</v>
      </c>
      <c r="F38" s="166"/>
      <c r="G38" s="166"/>
      <c r="H38" s="166"/>
      <c r="I38" s="166"/>
      <c r="J38" s="166"/>
      <c r="K38" s="166"/>
      <c r="L38" s="166"/>
      <c r="M38" s="170"/>
    </row>
    <row r="39" spans="3:13" ht="18.75">
      <c r="C39" s="288">
        <v>40</v>
      </c>
      <c r="D39" s="289" t="s">
        <v>1060</v>
      </c>
      <c r="E39" s="289"/>
      <c r="F39" s="291"/>
      <c r="G39" s="289"/>
      <c r="H39" s="289"/>
      <c r="I39" s="290">
        <v>1250000</v>
      </c>
      <c r="J39" s="290"/>
      <c r="K39" s="338">
        <f>+I39*C39</f>
        <v>50000000</v>
      </c>
      <c r="L39" s="338"/>
      <c r="M39" s="170"/>
    </row>
    <row r="40" spans="3:13" ht="18.75">
      <c r="C40" s="288"/>
      <c r="D40" s="289"/>
      <c r="E40" s="289"/>
      <c r="F40" s="288"/>
      <c r="G40" s="289"/>
      <c r="H40" s="289"/>
      <c r="I40" s="290"/>
      <c r="J40" s="290"/>
      <c r="K40" s="338"/>
      <c r="L40" s="338"/>
      <c r="M40" s="170"/>
    </row>
    <row r="41" spans="3:13" ht="18.75">
      <c r="C41" s="288"/>
      <c r="D41" s="289"/>
      <c r="E41" s="289"/>
      <c r="F41" s="288"/>
      <c r="G41" s="289"/>
      <c r="H41" s="289"/>
      <c r="I41" s="290"/>
      <c r="J41" s="290"/>
      <c r="K41" s="338"/>
      <c r="L41" s="338"/>
      <c r="M41" s="170"/>
    </row>
    <row r="42" spans="3:13" ht="18.75">
      <c r="C42" s="288"/>
      <c r="D42" s="289"/>
      <c r="E42" s="289"/>
      <c r="F42" s="288"/>
      <c r="G42" s="289"/>
      <c r="H42" s="289"/>
      <c r="I42" s="175"/>
      <c r="J42" s="175"/>
      <c r="K42" s="338"/>
      <c r="L42" s="338"/>
      <c r="M42" s="101"/>
    </row>
    <row r="43" spans="3:13" ht="18.75">
      <c r="C43" s="288"/>
      <c r="D43" s="289"/>
      <c r="E43" s="289"/>
      <c r="F43" s="288"/>
      <c r="G43" s="289"/>
      <c r="H43" s="289"/>
      <c r="I43" s="175"/>
      <c r="J43" s="175"/>
      <c r="K43" s="338"/>
      <c r="L43" s="338"/>
      <c r="M43" s="101"/>
    </row>
    <row r="44" spans="3:13" ht="18.75">
      <c r="C44" s="288"/>
      <c r="D44" s="289"/>
      <c r="E44" s="289"/>
      <c r="F44" s="288"/>
      <c r="G44" s="289"/>
      <c r="H44" s="289"/>
      <c r="I44" s="175"/>
      <c r="J44" s="175"/>
      <c r="K44" s="338"/>
      <c r="L44" s="338"/>
      <c r="M44" s="101"/>
    </row>
    <row r="45" spans="3:13" ht="18.75">
      <c r="C45" s="288"/>
      <c r="D45" s="289"/>
      <c r="E45" s="289"/>
      <c r="F45" s="288"/>
      <c r="G45" s="289"/>
      <c r="H45" s="289"/>
      <c r="I45" s="175"/>
      <c r="J45" s="175"/>
      <c r="K45" s="338"/>
      <c r="L45" s="338"/>
      <c r="M45" s="101"/>
    </row>
    <row r="46" spans="3:13" ht="18.75">
      <c r="C46" s="288"/>
      <c r="D46" s="126"/>
      <c r="E46" s="84"/>
      <c r="F46" s="288"/>
      <c r="G46" s="126"/>
      <c r="H46" s="84"/>
      <c r="I46" s="175"/>
      <c r="J46" s="175"/>
      <c r="K46" s="338"/>
      <c r="L46" s="338"/>
      <c r="M46" s="101"/>
    </row>
    <row r="47" spans="3:13" ht="18.75">
      <c r="C47" s="288"/>
      <c r="D47" s="126"/>
      <c r="E47" s="84"/>
      <c r="F47" s="288"/>
      <c r="G47" s="126"/>
      <c r="H47" s="84"/>
      <c r="I47" s="175"/>
      <c r="J47" s="175"/>
      <c r="K47" s="338"/>
      <c r="L47" s="338"/>
      <c r="M47" s="101"/>
    </row>
    <row r="48" spans="3:13" ht="18.75">
      <c r="C48" s="288"/>
      <c r="D48" s="337"/>
      <c r="E48" s="337"/>
      <c r="F48" s="337"/>
      <c r="G48" s="337"/>
      <c r="H48" s="337"/>
      <c r="I48" s="175"/>
      <c r="J48" s="175"/>
      <c r="K48" s="338"/>
      <c r="L48" s="338"/>
      <c r="M48" s="101"/>
    </row>
    <row r="49" spans="3:13" ht="18.75">
      <c r="C49" s="288"/>
      <c r="D49" s="337"/>
      <c r="E49" s="337"/>
      <c r="F49" s="337"/>
      <c r="G49" s="337"/>
      <c r="H49" s="337"/>
      <c r="I49" s="175"/>
      <c r="J49" s="175"/>
      <c r="K49" s="338"/>
      <c r="L49" s="338"/>
      <c r="M49" s="101"/>
    </row>
    <row r="50" spans="3:13" ht="18.75">
      <c r="C50" s="288"/>
      <c r="D50" s="337"/>
      <c r="E50" s="337"/>
      <c r="F50" s="337"/>
      <c r="G50" s="337"/>
      <c r="H50" s="337"/>
      <c r="I50" s="175"/>
      <c r="J50" s="175"/>
      <c r="K50" s="338"/>
      <c r="L50" s="338"/>
      <c r="M50" s="101"/>
    </row>
    <row r="51" spans="3:13" ht="18.75">
      <c r="C51" s="288"/>
      <c r="D51" s="126"/>
      <c r="E51" s="84"/>
      <c r="F51" s="84"/>
      <c r="G51" s="84"/>
      <c r="H51" s="84"/>
      <c r="I51" s="175"/>
      <c r="J51" s="83"/>
      <c r="K51" s="338"/>
      <c r="L51" s="338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39">
        <f>SUM(K39:K51)</f>
        <v>50000000</v>
      </c>
      <c r="L52" s="339"/>
    </row>
  </sheetData>
  <mergeCells count="43"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D48:H48"/>
    <mergeCell ref="K48:L48"/>
    <mergeCell ref="D33:M33"/>
    <mergeCell ref="F34:G34"/>
    <mergeCell ref="K39:L39"/>
    <mergeCell ref="K40:L40"/>
    <mergeCell ref="K41:L41"/>
    <mergeCell ref="K42:L42"/>
    <mergeCell ref="K52:L52"/>
    <mergeCell ref="K43:L43"/>
    <mergeCell ref="K44:L44"/>
    <mergeCell ref="K45:L45"/>
    <mergeCell ref="K46:L46"/>
    <mergeCell ref="K47:L47"/>
    <mergeCell ref="D49:H49"/>
    <mergeCell ref="K49:L49"/>
    <mergeCell ref="D50:H50"/>
    <mergeCell ref="K50:L50"/>
    <mergeCell ref="K51:L51"/>
  </mergeCells>
  <conditionalFormatting sqref="C4">
    <cfRule type="expression" dxfId="10989" priority="4">
      <formula>IF(ISODD($A4)=TRUE,1,0)</formula>
    </cfRule>
  </conditionalFormatting>
  <conditionalFormatting sqref="D3">
    <cfRule type="expression" dxfId="10988" priority="3">
      <formula>IF(ISODD($A3)=TRUE,1,0)</formula>
    </cfRule>
  </conditionalFormatting>
  <conditionalFormatting sqref="C34">
    <cfRule type="expression" dxfId="10987" priority="2">
      <formula>IF(ISODD($A34)=TRUE,1,0)</formula>
    </cfRule>
  </conditionalFormatting>
  <conditionalFormatting sqref="D33">
    <cfRule type="expression" dxfId="10986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E27" sqref="E27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0"/>
      <c r="C1" s="126"/>
      <c r="D1" s="126"/>
      <c r="E1" s="126"/>
      <c r="F1" s="166"/>
      <c r="G1" s="166"/>
      <c r="H1" s="167"/>
      <c r="I1" s="167"/>
      <c r="J1" s="155"/>
      <c r="K1" s="168"/>
      <c r="L1" s="168"/>
      <c r="M1" s="165"/>
    </row>
    <row r="2" spans="1:21" ht="18.75" customHeight="1">
      <c r="A2" s="8"/>
      <c r="B2" s="100"/>
      <c r="C2" s="169">
        <v>44797</v>
      </c>
      <c r="D2" s="126"/>
      <c r="E2" s="342" t="s">
        <v>816</v>
      </c>
      <c r="F2" s="342"/>
      <c r="G2" s="342"/>
      <c r="H2" s="342"/>
      <c r="I2" s="342"/>
      <c r="J2" s="166"/>
      <c r="K2" s="166"/>
      <c r="L2" s="166"/>
      <c r="M2" s="170"/>
    </row>
    <row r="3" spans="1:21" ht="24" customHeight="1">
      <c r="A3" s="110" t="s">
        <v>85</v>
      </c>
      <c r="B3" s="111"/>
      <c r="C3" s="166" t="s">
        <v>541</v>
      </c>
      <c r="D3" s="340" t="s">
        <v>815</v>
      </c>
      <c r="E3" s="340"/>
      <c r="F3" s="340"/>
      <c r="G3" s="340"/>
      <c r="H3" s="340"/>
      <c r="I3" s="340"/>
      <c r="J3" s="340"/>
      <c r="K3" s="340"/>
      <c r="L3" s="340"/>
      <c r="M3" s="268"/>
    </row>
    <row r="4" spans="1:21" ht="38.25" customHeight="1">
      <c r="A4" s="110" t="s">
        <v>86</v>
      </c>
      <c r="B4" s="111"/>
      <c r="C4" s="171"/>
      <c r="D4" s="171"/>
      <c r="E4" s="171"/>
      <c r="I4" s="172" t="s">
        <v>840</v>
      </c>
      <c r="J4" s="172"/>
      <c r="L4" s="172" t="s">
        <v>334</v>
      </c>
      <c r="M4" s="170"/>
    </row>
    <row r="5" spans="1:21" ht="20.25" customHeight="1">
      <c r="A5" s="112" t="s">
        <v>788</v>
      </c>
      <c r="B5" s="111"/>
      <c r="C5" s="126"/>
      <c r="D5" s="166"/>
      <c r="E5" s="166"/>
      <c r="F5" s="166"/>
      <c r="G5" s="166"/>
      <c r="H5" s="166"/>
      <c r="I5" s="166"/>
      <c r="J5" s="176"/>
      <c r="K5" s="176"/>
      <c r="L5" s="176"/>
      <c r="M5" s="170"/>
      <c r="O5" s="166"/>
      <c r="U5" s="166" t="s">
        <v>835</v>
      </c>
    </row>
    <row r="6" spans="1:21" ht="18.75">
      <c r="C6" s="126"/>
      <c r="D6" s="126"/>
      <c r="E6" s="126"/>
      <c r="F6" s="166"/>
      <c r="G6" s="166"/>
      <c r="H6" s="166"/>
      <c r="I6" s="166"/>
      <c r="J6" s="166"/>
      <c r="K6" s="166"/>
      <c r="L6" s="166"/>
      <c r="M6" s="170"/>
    </row>
    <row r="7" spans="1:21" ht="24" customHeight="1">
      <c r="C7" s="126"/>
      <c r="D7" s="126"/>
      <c r="E7" s="126"/>
      <c r="F7" s="166"/>
      <c r="G7" s="166"/>
      <c r="H7" s="166"/>
      <c r="I7" s="166"/>
      <c r="J7" s="166"/>
      <c r="K7" s="166"/>
      <c r="L7" s="166"/>
      <c r="M7" s="170"/>
    </row>
    <row r="8" spans="1:21" ht="72" customHeight="1">
      <c r="C8" s="126"/>
      <c r="D8" s="126"/>
      <c r="E8" s="179" t="s">
        <v>837</v>
      </c>
      <c r="F8" s="166"/>
      <c r="G8" s="166"/>
      <c r="H8" s="166"/>
      <c r="I8" s="166"/>
      <c r="J8" s="166"/>
      <c r="K8" s="166"/>
      <c r="L8" s="166"/>
      <c r="M8" s="170"/>
      <c r="O8" s="85" t="s">
        <v>1044</v>
      </c>
    </row>
    <row r="9" spans="1:21" ht="18.75">
      <c r="C9" s="262">
        <v>200</v>
      </c>
      <c r="D9" s="337" t="s">
        <v>1713</v>
      </c>
      <c r="E9" s="337"/>
      <c r="F9" s="337"/>
      <c r="G9" s="337"/>
      <c r="H9" s="337"/>
      <c r="I9" s="177">
        <v>2.2999999999999998</v>
      </c>
      <c r="J9" s="177"/>
      <c r="K9" s="338">
        <f>+I9*C9</f>
        <v>459.99999999999994</v>
      </c>
      <c r="L9" s="338"/>
      <c r="M9" s="170"/>
      <c r="O9" s="85">
        <f>+C9*7</f>
        <v>1400</v>
      </c>
    </row>
    <row r="10" spans="1:21" ht="18.75">
      <c r="C10" s="176">
        <v>12</v>
      </c>
      <c r="D10" s="337" t="s">
        <v>538</v>
      </c>
      <c r="E10" s="337"/>
      <c r="F10" s="337"/>
      <c r="G10" s="337"/>
      <c r="H10" s="337"/>
      <c r="I10" s="177">
        <v>2.6</v>
      </c>
      <c r="J10" s="177"/>
      <c r="K10" s="338">
        <f>+I10*C10</f>
        <v>31.200000000000003</v>
      </c>
      <c r="L10" s="338"/>
      <c r="M10" s="170"/>
      <c r="O10" s="85">
        <f>+C10*10</f>
        <v>120</v>
      </c>
    </row>
    <row r="11" spans="1:21" ht="18.75">
      <c r="C11" s="182">
        <v>10</v>
      </c>
      <c r="D11" s="337" t="s">
        <v>1712</v>
      </c>
      <c r="E11" s="337"/>
      <c r="F11" s="337"/>
      <c r="G11" s="337"/>
      <c r="H11" s="337"/>
      <c r="I11" s="175">
        <v>2.99</v>
      </c>
      <c r="J11" s="177"/>
      <c r="K11" s="338">
        <f t="shared" ref="K11:K23" si="0">+I11*C11</f>
        <v>29.900000000000002</v>
      </c>
      <c r="L11" s="338"/>
      <c r="M11" s="170"/>
      <c r="O11" s="85">
        <f>+C11*15</f>
        <v>150</v>
      </c>
    </row>
    <row r="12" spans="1:21" ht="18.75">
      <c r="C12" s="302">
        <v>10</v>
      </c>
      <c r="D12" s="301" t="s">
        <v>632</v>
      </c>
      <c r="E12" s="301"/>
      <c r="F12" s="301"/>
      <c r="G12" s="301"/>
      <c r="H12" s="301"/>
      <c r="I12" s="175">
        <v>3.5</v>
      </c>
      <c r="J12" s="175"/>
      <c r="K12" s="338">
        <f t="shared" si="0"/>
        <v>35</v>
      </c>
      <c r="L12" s="338"/>
      <c r="M12" s="101"/>
      <c r="O12" s="85">
        <f>+C12*15</f>
        <v>150</v>
      </c>
    </row>
    <row r="13" spans="1:21" ht="18.75">
      <c r="C13" s="302">
        <v>30</v>
      </c>
      <c r="D13" s="315" t="s">
        <v>758</v>
      </c>
      <c r="E13" s="301"/>
      <c r="F13" s="301"/>
      <c r="G13" s="301"/>
      <c r="H13" s="301"/>
      <c r="I13" s="175">
        <v>5.55</v>
      </c>
      <c r="J13" s="175"/>
      <c r="K13" s="338">
        <f t="shared" si="0"/>
        <v>166.5</v>
      </c>
      <c r="L13" s="338"/>
      <c r="M13" s="101"/>
      <c r="O13" s="85">
        <f>+C13*1</f>
        <v>30</v>
      </c>
    </row>
    <row r="14" spans="1:21" ht="18.75">
      <c r="C14" s="302">
        <v>6</v>
      </c>
      <c r="D14" s="315" t="s">
        <v>923</v>
      </c>
      <c r="E14" s="301"/>
      <c r="F14" s="301"/>
      <c r="G14" s="301"/>
      <c r="H14" s="301"/>
      <c r="I14" s="175">
        <v>10.6</v>
      </c>
      <c r="J14" s="175"/>
      <c r="K14" s="338">
        <f t="shared" si="0"/>
        <v>63.599999999999994</v>
      </c>
      <c r="L14" s="338"/>
      <c r="M14" s="101"/>
      <c r="O14" s="85">
        <f>+C14*30</f>
        <v>180</v>
      </c>
    </row>
    <row r="15" spans="1:21" ht="18.75">
      <c r="C15" s="302">
        <v>100</v>
      </c>
      <c r="D15" s="315" t="s">
        <v>1711</v>
      </c>
      <c r="E15" s="301"/>
      <c r="F15" s="301"/>
      <c r="G15" s="301"/>
      <c r="H15" s="301"/>
      <c r="I15" s="175">
        <v>1.2</v>
      </c>
      <c r="J15" s="175"/>
      <c r="K15" s="338">
        <f t="shared" si="0"/>
        <v>120</v>
      </c>
      <c r="L15" s="338"/>
      <c r="M15" s="101"/>
      <c r="O15" s="85">
        <f>+C15*12</f>
        <v>1200</v>
      </c>
      <c r="Q15" s="85" t="s">
        <v>1700</v>
      </c>
    </row>
    <row r="16" spans="1:21" ht="18.75">
      <c r="C16" s="302">
        <v>200</v>
      </c>
      <c r="D16" s="337" t="s">
        <v>1072</v>
      </c>
      <c r="E16" s="337"/>
      <c r="F16" s="337"/>
      <c r="G16" s="337"/>
      <c r="H16" s="337"/>
      <c r="I16" s="175">
        <v>6</v>
      </c>
      <c r="J16" s="175"/>
      <c r="K16" s="338">
        <f t="shared" si="0"/>
        <v>1200</v>
      </c>
      <c r="L16" s="338"/>
      <c r="M16" s="101"/>
      <c r="O16" s="85">
        <f>+C16*8</f>
        <v>1600</v>
      </c>
    </row>
    <row r="17" spans="3:15" ht="18.75">
      <c r="C17" s="316">
        <v>0</v>
      </c>
      <c r="D17" s="315" t="s">
        <v>1222</v>
      </c>
      <c r="E17" s="315"/>
      <c r="F17" s="315"/>
      <c r="G17" s="315"/>
      <c r="H17" s="315"/>
      <c r="I17" s="175">
        <v>2</v>
      </c>
      <c r="J17" s="175"/>
      <c r="K17" s="338">
        <f t="shared" si="0"/>
        <v>0</v>
      </c>
      <c r="L17" s="338"/>
      <c r="M17" s="101"/>
      <c r="O17" s="85">
        <f>+C17*3</f>
        <v>0</v>
      </c>
    </row>
    <row r="18" spans="3:15" ht="18.75">
      <c r="C18" s="316">
        <v>0</v>
      </c>
      <c r="D18" s="315" t="s">
        <v>1714</v>
      </c>
      <c r="E18" s="315"/>
      <c r="F18" s="315"/>
      <c r="G18" s="315"/>
      <c r="H18" s="315"/>
      <c r="I18" s="175">
        <v>3.5</v>
      </c>
      <c r="J18" s="175"/>
      <c r="K18" s="338">
        <f t="shared" si="0"/>
        <v>0</v>
      </c>
      <c r="L18" s="338"/>
      <c r="M18" s="101"/>
      <c r="O18" s="85">
        <f>+C18*0.1</f>
        <v>0</v>
      </c>
    </row>
    <row r="19" spans="3:15" ht="18.75">
      <c r="C19" s="316">
        <v>0</v>
      </c>
      <c r="D19" s="337" t="s">
        <v>1072</v>
      </c>
      <c r="E19" s="337"/>
      <c r="F19" s="337"/>
      <c r="G19" s="337"/>
      <c r="H19" s="337"/>
      <c r="I19" s="175">
        <v>1.3</v>
      </c>
      <c r="J19" s="175"/>
      <c r="K19" s="338">
        <f t="shared" si="0"/>
        <v>0</v>
      </c>
      <c r="L19" s="338"/>
      <c r="M19" s="101"/>
      <c r="O19" s="85">
        <f>+C19*1</f>
        <v>0</v>
      </c>
    </row>
    <row r="20" spans="3:15" ht="18.75">
      <c r="C20" s="316">
        <v>0</v>
      </c>
      <c r="D20" s="337" t="s">
        <v>1301</v>
      </c>
      <c r="E20" s="337" t="s">
        <v>1301</v>
      </c>
      <c r="F20" s="337" t="s">
        <v>1301</v>
      </c>
      <c r="G20" s="337" t="s">
        <v>1301</v>
      </c>
      <c r="H20" s="337" t="s">
        <v>1301</v>
      </c>
      <c r="I20" s="175">
        <v>3.8</v>
      </c>
      <c r="J20" s="175"/>
      <c r="K20" s="338">
        <f t="shared" si="0"/>
        <v>0</v>
      </c>
      <c r="L20" s="338"/>
      <c r="M20" s="101"/>
      <c r="O20" s="85">
        <f>+C20*15</f>
        <v>0</v>
      </c>
    </row>
    <row r="21" spans="3:15" ht="18.75">
      <c r="C21" s="316">
        <v>0</v>
      </c>
      <c r="D21" s="337" t="s">
        <v>1715</v>
      </c>
      <c r="E21" s="337" t="s">
        <v>1715</v>
      </c>
      <c r="F21" s="337" t="s">
        <v>1715</v>
      </c>
      <c r="G21" s="337" t="s">
        <v>1715</v>
      </c>
      <c r="H21" s="337" t="s">
        <v>1715</v>
      </c>
      <c r="I21" s="175">
        <v>2.8</v>
      </c>
      <c r="J21" s="175"/>
      <c r="K21" s="338">
        <f>+I21*C21</f>
        <v>0</v>
      </c>
      <c r="L21" s="338"/>
      <c r="M21" s="101"/>
      <c r="O21" s="85">
        <f>+C21*15</f>
        <v>0</v>
      </c>
    </row>
    <row r="22" spans="3:15" ht="18.75">
      <c r="C22" s="316">
        <v>0</v>
      </c>
      <c r="D22" s="337" t="s">
        <v>1302</v>
      </c>
      <c r="E22" s="337" t="s">
        <v>1302</v>
      </c>
      <c r="F22" s="337" t="s">
        <v>1302</v>
      </c>
      <c r="G22" s="337" t="s">
        <v>1302</v>
      </c>
      <c r="H22" s="337" t="s">
        <v>1302</v>
      </c>
      <c r="I22" s="175">
        <v>1.1000000000000001</v>
      </c>
      <c r="J22" s="175"/>
      <c r="K22" s="338">
        <f>+I22*C22</f>
        <v>0</v>
      </c>
      <c r="L22" s="338"/>
      <c r="M22" s="101"/>
      <c r="O22" s="85">
        <f>+C22*0.1</f>
        <v>0</v>
      </c>
    </row>
    <row r="23" spans="3:15" ht="18.75">
      <c r="C23" s="316">
        <v>0</v>
      </c>
      <c r="D23" s="337" t="s">
        <v>1303</v>
      </c>
      <c r="E23" s="337" t="s">
        <v>1303</v>
      </c>
      <c r="F23" s="337" t="s">
        <v>1303</v>
      </c>
      <c r="G23" s="337" t="s">
        <v>1303</v>
      </c>
      <c r="H23" s="337" t="s">
        <v>1303</v>
      </c>
      <c r="I23" s="175">
        <v>6.9</v>
      </c>
      <c r="J23" s="83"/>
      <c r="K23" s="338">
        <f t="shared" si="0"/>
        <v>0</v>
      </c>
      <c r="L23" s="338"/>
      <c r="O23" s="85">
        <f>+C23*0.1</f>
        <v>0</v>
      </c>
    </row>
    <row r="24" spans="3:15" ht="18.75">
      <c r="C24" s="176"/>
      <c r="D24" s="126"/>
      <c r="E24" s="84"/>
      <c r="F24" s="84"/>
      <c r="G24" s="84"/>
      <c r="H24" s="84"/>
      <c r="I24" s="175">
        <f>SUM(I9:I23)</f>
        <v>56.139999999999986</v>
      </c>
      <c r="J24" s="83"/>
      <c r="K24" s="338">
        <f>+I24*C24</f>
        <v>0</v>
      </c>
      <c r="L24" s="338"/>
      <c r="O24" s="85">
        <f>+C24*0.1</f>
        <v>0</v>
      </c>
    </row>
    <row r="25" spans="3:15" ht="15.75">
      <c r="C25" s="84"/>
      <c r="D25" s="84"/>
      <c r="E25" s="84"/>
      <c r="F25" s="84"/>
      <c r="G25" s="84"/>
      <c r="H25" s="84"/>
      <c r="I25" s="92" t="s">
        <v>888</v>
      </c>
      <c r="J25" s="84"/>
      <c r="K25" s="343">
        <f>SUM(K9:L24)</f>
        <v>2106.1999999999998</v>
      </c>
      <c r="L25" s="343"/>
      <c r="O25" s="85">
        <f>SUM(O9:O24)</f>
        <v>4830</v>
      </c>
    </row>
    <row r="26" spans="3:15">
      <c r="C26" s="84"/>
      <c r="D26" s="84"/>
      <c r="E26" s="84"/>
      <c r="F26" s="84"/>
      <c r="G26" s="84"/>
      <c r="H26" s="84"/>
      <c r="I26" s="92" t="s">
        <v>887</v>
      </c>
      <c r="J26" s="84"/>
      <c r="K26" s="84"/>
      <c r="L26" s="83">
        <f>+K25*0.16</f>
        <v>336.99199999999996</v>
      </c>
    </row>
    <row r="27" spans="3:15">
      <c r="C27" s="84"/>
      <c r="D27" s="84"/>
      <c r="E27" s="84"/>
      <c r="F27" s="84"/>
      <c r="G27" s="84"/>
      <c r="H27" s="84"/>
      <c r="I27" s="192" t="s">
        <v>796</v>
      </c>
      <c r="J27" s="84"/>
      <c r="K27" s="84"/>
      <c r="L27" s="83">
        <f>+L26+K25</f>
        <v>2443.192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69">
        <v>44452</v>
      </c>
      <c r="D32" s="126" t="s">
        <v>550</v>
      </c>
      <c r="E32" s="342"/>
      <c r="F32" s="342"/>
      <c r="G32" s="342"/>
      <c r="H32" s="342"/>
      <c r="I32" s="342"/>
      <c r="J32" s="166"/>
      <c r="K32" s="166"/>
      <c r="L32" s="166"/>
      <c r="M32" s="170"/>
    </row>
    <row r="33" spans="3:13" ht="18.75">
      <c r="C33" s="166"/>
      <c r="D33" s="340" t="s">
        <v>898</v>
      </c>
      <c r="E33" s="340"/>
      <c r="F33" s="340"/>
      <c r="G33" s="340"/>
      <c r="H33" s="340"/>
      <c r="I33" s="340"/>
      <c r="J33" s="340"/>
      <c r="K33" s="340"/>
      <c r="L33" s="340"/>
      <c r="M33" s="340"/>
    </row>
    <row r="34" spans="3:13" ht="18.75">
      <c r="C34" s="171"/>
      <c r="D34" s="171"/>
      <c r="E34" s="171"/>
      <c r="F34" s="341">
        <v>4129661907</v>
      </c>
      <c r="G34" s="341"/>
      <c r="H34" s="172"/>
      <c r="I34" s="172" t="s">
        <v>897</v>
      </c>
      <c r="J34" s="173"/>
      <c r="K34" s="173"/>
      <c r="L34" s="173"/>
      <c r="M34" s="170"/>
    </row>
    <row r="35" spans="3:13" ht="18.75">
      <c r="C35" s="126"/>
      <c r="D35" s="166"/>
      <c r="E35" s="166"/>
      <c r="F35" s="166"/>
      <c r="G35" s="166"/>
      <c r="H35" s="166"/>
      <c r="I35" s="166"/>
      <c r="J35" s="176"/>
      <c r="K35" s="176"/>
      <c r="L35" s="176"/>
      <c r="M35" s="170"/>
    </row>
    <row r="36" spans="3:13" ht="18.75">
      <c r="C36" s="126"/>
      <c r="D36" s="126"/>
      <c r="E36" s="126"/>
      <c r="F36" s="166"/>
      <c r="G36" s="166"/>
      <c r="H36" s="166"/>
      <c r="I36" s="166"/>
      <c r="J36" s="166"/>
      <c r="K36" s="166"/>
      <c r="L36" s="166"/>
      <c r="M36" s="170"/>
    </row>
    <row r="37" spans="3:13" ht="18.75">
      <c r="C37" s="126"/>
      <c r="D37" s="126"/>
      <c r="E37" s="126"/>
      <c r="F37" s="166"/>
      <c r="G37" s="166"/>
      <c r="H37" s="166"/>
      <c r="I37" s="166"/>
      <c r="J37" s="166"/>
      <c r="K37" s="166"/>
      <c r="L37" s="166"/>
      <c r="M37" s="170"/>
    </row>
    <row r="38" spans="3:13" ht="18.75">
      <c r="C38" s="126"/>
      <c r="D38" s="126"/>
      <c r="E38" s="174" t="s">
        <v>990</v>
      </c>
      <c r="F38" s="166"/>
      <c r="G38" s="166"/>
      <c r="H38" s="166"/>
      <c r="I38" s="166"/>
      <c r="J38" s="166"/>
      <c r="K38" s="166"/>
      <c r="L38" s="166"/>
      <c r="M38" s="170"/>
    </row>
    <row r="39" spans="3:13" ht="18.75">
      <c r="C39" s="262">
        <v>40</v>
      </c>
      <c r="D39" s="263" t="s">
        <v>1060</v>
      </c>
      <c r="E39" s="263"/>
      <c r="F39" s="267"/>
      <c r="G39" s="263"/>
      <c r="H39" s="263"/>
      <c r="I39" s="177">
        <v>1250000</v>
      </c>
      <c r="J39" s="177"/>
      <c r="K39" s="338">
        <f>+I39*C39</f>
        <v>50000000</v>
      </c>
      <c r="L39" s="338"/>
      <c r="M39" s="170"/>
    </row>
    <row r="40" spans="3:13" ht="18.75">
      <c r="C40" s="262"/>
      <c r="D40" s="263"/>
      <c r="E40" s="263"/>
      <c r="F40" s="262"/>
      <c r="G40" s="263"/>
      <c r="H40" s="263"/>
      <c r="I40" s="177"/>
      <c r="J40" s="177"/>
      <c r="K40" s="338"/>
      <c r="L40" s="338"/>
      <c r="M40" s="170"/>
    </row>
    <row r="41" spans="3:13" ht="18.75">
      <c r="C41" s="262"/>
      <c r="D41" s="263"/>
      <c r="E41" s="263"/>
      <c r="F41" s="262"/>
      <c r="G41" s="263"/>
      <c r="H41" s="263"/>
      <c r="I41" s="177"/>
      <c r="J41" s="177"/>
      <c r="K41" s="338"/>
      <c r="L41" s="338"/>
      <c r="M41" s="170"/>
    </row>
    <row r="42" spans="3:13" ht="18.75">
      <c r="C42" s="262"/>
      <c r="D42" s="263"/>
      <c r="E42" s="263"/>
      <c r="F42" s="262"/>
      <c r="G42" s="263"/>
      <c r="H42" s="263"/>
      <c r="I42" s="175"/>
      <c r="J42" s="175"/>
      <c r="K42" s="338"/>
      <c r="L42" s="338"/>
      <c r="M42" s="101"/>
    </row>
    <row r="43" spans="3:13" ht="18.75">
      <c r="C43" s="262"/>
      <c r="D43" s="263"/>
      <c r="E43" s="263"/>
      <c r="F43" s="262"/>
      <c r="G43" s="263"/>
      <c r="H43" s="263"/>
      <c r="I43" s="175"/>
      <c r="J43" s="175"/>
      <c r="K43" s="338"/>
      <c r="L43" s="338"/>
      <c r="M43" s="101"/>
    </row>
    <row r="44" spans="3:13" ht="18.75">
      <c r="C44" s="262"/>
      <c r="D44" s="263"/>
      <c r="E44" s="263"/>
      <c r="F44" s="262"/>
      <c r="G44" s="263"/>
      <c r="H44" s="263"/>
      <c r="I44" s="175"/>
      <c r="J44" s="175"/>
      <c r="K44" s="338"/>
      <c r="L44" s="338"/>
      <c r="M44" s="101"/>
    </row>
    <row r="45" spans="3:13" ht="18.75">
      <c r="C45" s="262"/>
      <c r="D45" s="263"/>
      <c r="E45" s="263"/>
      <c r="F45" s="262"/>
      <c r="G45" s="263"/>
      <c r="H45" s="263"/>
      <c r="I45" s="175"/>
      <c r="J45" s="175"/>
      <c r="K45" s="338"/>
      <c r="L45" s="338"/>
      <c r="M45" s="101"/>
    </row>
    <row r="46" spans="3:13" ht="18.75">
      <c r="C46" s="262"/>
      <c r="D46" s="126"/>
      <c r="E46" s="84"/>
      <c r="F46" s="262"/>
      <c r="G46" s="126"/>
      <c r="H46" s="84"/>
      <c r="I46" s="175"/>
      <c r="J46" s="175"/>
      <c r="K46" s="338"/>
      <c r="L46" s="338"/>
      <c r="M46" s="101"/>
    </row>
    <row r="47" spans="3:13" ht="18.75">
      <c r="C47" s="262"/>
      <c r="D47" s="126"/>
      <c r="E47" s="84"/>
      <c r="F47" s="262"/>
      <c r="G47" s="126"/>
      <c r="H47" s="84"/>
      <c r="I47" s="175"/>
      <c r="J47" s="175"/>
      <c r="K47" s="338"/>
      <c r="L47" s="338"/>
      <c r="M47" s="101"/>
    </row>
    <row r="48" spans="3:13" ht="18.75">
      <c r="C48" s="176"/>
      <c r="D48" s="337"/>
      <c r="E48" s="337"/>
      <c r="F48" s="337"/>
      <c r="G48" s="337"/>
      <c r="H48" s="337"/>
      <c r="I48" s="175"/>
      <c r="J48" s="175"/>
      <c r="K48" s="338"/>
      <c r="L48" s="338"/>
      <c r="M48" s="101"/>
    </row>
    <row r="49" spans="3:13" ht="18.75">
      <c r="C49" s="176"/>
      <c r="D49" s="337"/>
      <c r="E49" s="337"/>
      <c r="F49" s="337"/>
      <c r="G49" s="337"/>
      <c r="H49" s="337"/>
      <c r="I49" s="175"/>
      <c r="J49" s="175"/>
      <c r="K49" s="338"/>
      <c r="L49" s="338"/>
      <c r="M49" s="101"/>
    </row>
    <row r="50" spans="3:13" ht="18.75">
      <c r="C50" s="176"/>
      <c r="D50" s="337"/>
      <c r="E50" s="337"/>
      <c r="F50" s="337"/>
      <c r="G50" s="337"/>
      <c r="H50" s="337"/>
      <c r="I50" s="175"/>
      <c r="J50" s="175"/>
      <c r="K50" s="338"/>
      <c r="L50" s="338"/>
      <c r="M50" s="101"/>
    </row>
    <row r="51" spans="3:13" ht="18.75">
      <c r="C51" s="176"/>
      <c r="D51" s="126"/>
      <c r="E51" s="84"/>
      <c r="F51" s="84"/>
      <c r="G51" s="84"/>
      <c r="H51" s="84"/>
      <c r="I51" s="175"/>
      <c r="J51" s="83"/>
      <c r="K51" s="338"/>
      <c r="L51" s="338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39">
        <f>SUM(K39:K51)</f>
        <v>50000000</v>
      </c>
      <c r="L52" s="339"/>
    </row>
  </sheetData>
  <mergeCells count="48"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D22:H22"/>
    <mergeCell ref="D23:H23"/>
    <mergeCell ref="D21:H21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D19:H19"/>
    <mergeCell ref="D20:H20"/>
    <mergeCell ref="D16:H16"/>
    <mergeCell ref="E2:I2"/>
    <mergeCell ref="D9:H9"/>
    <mergeCell ref="K9:L9"/>
    <mergeCell ref="D10:H10"/>
    <mergeCell ref="K10:L10"/>
    <mergeCell ref="D3:L3"/>
  </mergeCells>
  <conditionalFormatting sqref="C4">
    <cfRule type="expression" dxfId="10985" priority="4">
      <formula>IF(ISODD($A4)=TRUE,1,0)</formula>
    </cfRule>
  </conditionalFormatting>
  <conditionalFormatting sqref="D3">
    <cfRule type="expression" dxfId="10984" priority="3">
      <formula>IF(ISODD($A3)=TRUE,1,0)</formula>
    </cfRule>
  </conditionalFormatting>
  <conditionalFormatting sqref="C34">
    <cfRule type="expression" dxfId="10983" priority="2">
      <formula>IF(ISODD($A34)=TRUE,1,0)</formula>
    </cfRule>
  </conditionalFormatting>
  <conditionalFormatting sqref="D33">
    <cfRule type="expression" dxfId="10982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" zoomScaleNormal="100" zoomScalePageLayoutView="80" workbookViewId="0">
      <selection activeCell="J7" sqref="J7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4.85546875" style="85" customWidth="1"/>
    <col min="4" max="4" width="53.42578125" style="85" bestFit="1" customWidth="1"/>
    <col min="5" max="6" width="11.42578125" style="85"/>
    <col min="7" max="8" width="6.140625" style="85" customWidth="1"/>
    <col min="9" max="9" width="20.140625" style="85" customWidth="1"/>
    <col min="10" max="10" width="4.5703125" style="85" customWidth="1"/>
    <col min="11" max="11" width="4.28515625" style="85" customWidth="1"/>
    <col min="12" max="12" width="22.42578125" style="85" customWidth="1"/>
    <col min="13" max="16384" width="11.42578125" style="85"/>
  </cols>
  <sheetData>
    <row r="2" spans="1:12"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</row>
    <row r="3" spans="1:12"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</row>
    <row r="4" spans="1:12" ht="30.75">
      <c r="B4" s="117"/>
      <c r="C4" s="117"/>
      <c r="D4" s="117"/>
      <c r="E4" s="117"/>
      <c r="G4" s="149"/>
      <c r="H4" s="149"/>
      <c r="I4" s="117"/>
      <c r="J4" s="117"/>
      <c r="K4" s="117"/>
      <c r="L4" s="117"/>
    </row>
    <row r="5" spans="1:12" ht="30.75">
      <c r="B5" s="148" t="s">
        <v>817</v>
      </c>
      <c r="C5" s="117"/>
      <c r="D5" s="117"/>
      <c r="E5" s="119"/>
      <c r="F5" s="119"/>
      <c r="G5" s="119"/>
      <c r="H5" s="119"/>
      <c r="I5" s="119"/>
      <c r="J5" s="119"/>
      <c r="K5" s="119"/>
      <c r="L5" s="117"/>
    </row>
    <row r="6" spans="1:12" ht="18.75" customHeight="1">
      <c r="B6" s="147" t="s">
        <v>812</v>
      </c>
      <c r="C6" s="147"/>
      <c r="D6" s="147"/>
      <c r="E6" s="147"/>
      <c r="F6" s="106" t="s">
        <v>784</v>
      </c>
      <c r="G6" s="147"/>
      <c r="H6" s="147"/>
      <c r="I6" s="147"/>
      <c r="J6" s="147"/>
      <c r="K6" s="147"/>
      <c r="L6" s="147"/>
    </row>
    <row r="7" spans="1:12" ht="41.25" customHeight="1">
      <c r="A7" s="8"/>
      <c r="B7" s="100"/>
      <c r="C7" s="100"/>
      <c r="D7" s="100"/>
      <c r="E7" s="100"/>
      <c r="F7" s="100"/>
      <c r="G7" s="100"/>
      <c r="H7" s="107"/>
      <c r="I7" s="107" t="s">
        <v>785</v>
      </c>
      <c r="J7" s="108">
        <v>29</v>
      </c>
      <c r="K7" s="109" t="s">
        <v>1632</v>
      </c>
      <c r="L7" s="109" t="s">
        <v>1126</v>
      </c>
    </row>
    <row r="8" spans="1:12" ht="7.5" customHeight="1">
      <c r="A8" s="8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</row>
    <row r="9" spans="1:12" ht="20.25" customHeight="1">
      <c r="A9" s="110" t="s">
        <v>85</v>
      </c>
      <c r="B9" s="111" t="s">
        <v>90</v>
      </c>
      <c r="C9" s="111"/>
      <c r="D9" s="350" t="s">
        <v>816</v>
      </c>
      <c r="E9" s="350"/>
      <c r="F9" s="350"/>
      <c r="G9" s="350"/>
      <c r="H9" s="350"/>
      <c r="I9" s="107" t="s">
        <v>6</v>
      </c>
      <c r="J9" s="350" t="s">
        <v>334</v>
      </c>
      <c r="K9" s="350"/>
      <c r="L9" s="350"/>
    </row>
    <row r="10" spans="1:12" ht="21" customHeight="1">
      <c r="A10" s="110" t="s">
        <v>86</v>
      </c>
      <c r="B10" s="111" t="s">
        <v>91</v>
      </c>
      <c r="C10" s="354" t="s">
        <v>815</v>
      </c>
      <c r="D10" s="354"/>
      <c r="E10" s="354"/>
      <c r="F10" s="354"/>
      <c r="G10" s="354"/>
      <c r="H10" s="354"/>
      <c r="I10" s="354"/>
      <c r="J10" s="354"/>
      <c r="K10" s="354"/>
      <c r="L10" s="354"/>
    </row>
    <row r="11" spans="1:12" ht="20.25" customHeight="1">
      <c r="A11" s="112" t="s">
        <v>788</v>
      </c>
      <c r="B11" s="111" t="s">
        <v>92</v>
      </c>
      <c r="C11" s="100" t="s">
        <v>814</v>
      </c>
      <c r="D11" s="111"/>
      <c r="E11" s="111"/>
      <c r="F11" s="111"/>
      <c r="G11" s="111"/>
      <c r="H11" s="111"/>
      <c r="I11" s="111"/>
      <c r="J11" s="350"/>
      <c r="K11" s="350"/>
      <c r="L11" s="350"/>
    </row>
    <row r="12" spans="1:12" ht="18.75">
      <c r="B12" s="151" t="s">
        <v>0</v>
      </c>
      <c r="C12" s="151"/>
      <c r="D12" s="351" t="s">
        <v>88</v>
      </c>
      <c r="E12" s="351"/>
      <c r="F12" s="351"/>
      <c r="G12" s="351"/>
      <c r="H12" s="351"/>
      <c r="I12" s="151" t="s">
        <v>89</v>
      </c>
      <c r="J12" s="351" t="s">
        <v>806</v>
      </c>
      <c r="K12" s="351"/>
      <c r="L12" s="351"/>
    </row>
    <row r="13" spans="1:12" ht="18" hidden="1" customHeight="1">
      <c r="B13" s="8">
        <v>100</v>
      </c>
      <c r="C13" s="8"/>
      <c r="D13" s="370" t="s">
        <v>789</v>
      </c>
      <c r="E13" s="370"/>
      <c r="F13" s="370"/>
      <c r="G13" s="370"/>
      <c r="H13" s="370"/>
      <c r="I13" s="115">
        <f>32/1.12</f>
        <v>28.571428571428569</v>
      </c>
      <c r="J13" s="371">
        <f t="shared" ref="J13:J18" si="0">+I13*B13</f>
        <v>2857.1428571428569</v>
      </c>
      <c r="K13" s="371"/>
      <c r="L13" s="371"/>
    </row>
    <row r="14" spans="1:12" ht="18" hidden="1" customHeight="1">
      <c r="B14" s="116">
        <v>100</v>
      </c>
      <c r="C14" s="8"/>
      <c r="D14" s="370" t="s">
        <v>790</v>
      </c>
      <c r="E14" s="370"/>
      <c r="F14" s="370"/>
      <c r="G14" s="370"/>
      <c r="H14" s="370"/>
      <c r="I14" s="81">
        <v>32</v>
      </c>
      <c r="J14" s="371">
        <f t="shared" si="0"/>
        <v>3200</v>
      </c>
      <c r="K14" s="371"/>
      <c r="L14" s="371"/>
    </row>
    <row r="15" spans="1:12" ht="18" hidden="1" customHeight="1">
      <c r="D15" s="363" t="s">
        <v>791</v>
      </c>
      <c r="E15" s="363"/>
      <c r="F15" s="363"/>
      <c r="G15" s="363"/>
      <c r="H15" s="363"/>
      <c r="I15" s="88">
        <f>27/1.12</f>
        <v>24.107142857142854</v>
      </c>
      <c r="J15" s="364">
        <f t="shared" si="0"/>
        <v>0</v>
      </c>
      <c r="K15" s="364"/>
      <c r="L15" s="364"/>
    </row>
    <row r="16" spans="1:12" ht="18" hidden="1" customHeight="1">
      <c r="D16" s="363" t="s">
        <v>792</v>
      </c>
      <c r="E16" s="363"/>
      <c r="F16" s="363"/>
      <c r="G16" s="363"/>
      <c r="H16" s="363"/>
      <c r="I16" s="88">
        <f>27/1.12</f>
        <v>24.107142857142854</v>
      </c>
      <c r="J16" s="364">
        <f t="shared" si="0"/>
        <v>0</v>
      </c>
      <c r="K16" s="364"/>
      <c r="L16" s="364"/>
    </row>
    <row r="17" spans="2:13" ht="18" hidden="1" customHeight="1">
      <c r="D17" s="363" t="s">
        <v>793</v>
      </c>
      <c r="E17" s="363"/>
      <c r="F17" s="363"/>
      <c r="G17" s="363"/>
      <c r="H17" s="363"/>
      <c r="I17" s="88">
        <f>134/(1.12)</f>
        <v>119.64285714285712</v>
      </c>
      <c r="J17" s="364">
        <f t="shared" si="0"/>
        <v>0</v>
      </c>
      <c r="K17" s="364"/>
      <c r="L17" s="364"/>
    </row>
    <row r="18" spans="2:13" ht="18" customHeight="1">
      <c r="B18" s="299">
        <v>4</v>
      </c>
      <c r="C18" s="126"/>
      <c r="D18" s="342" t="s">
        <v>1738</v>
      </c>
      <c r="E18" s="342"/>
      <c r="F18" s="342"/>
      <c r="G18" s="342"/>
      <c r="H18" s="342"/>
      <c r="I18" s="154">
        <v>8.1999999999999993</v>
      </c>
      <c r="J18" s="349">
        <f t="shared" si="0"/>
        <v>32.799999999999997</v>
      </c>
      <c r="K18" s="349"/>
      <c r="L18" s="349"/>
    </row>
    <row r="19" spans="2:13" ht="15.75" hidden="1" customHeight="1">
      <c r="B19" s="298">
        <v>40</v>
      </c>
      <c r="C19" s="117"/>
      <c r="D19" s="365" t="s">
        <v>1198</v>
      </c>
      <c r="E19" s="365"/>
      <c r="F19" s="365"/>
      <c r="G19" s="365"/>
      <c r="H19" s="365"/>
      <c r="I19" s="140">
        <v>926</v>
      </c>
      <c r="J19" s="359"/>
      <c r="K19" s="359"/>
      <c r="L19" s="359"/>
    </row>
    <row r="20" spans="2:13" ht="18" customHeight="1">
      <c r="B20" s="299"/>
      <c r="C20" s="155"/>
      <c r="D20" s="342"/>
      <c r="E20" s="342"/>
      <c r="F20" s="342"/>
      <c r="G20" s="342"/>
      <c r="H20" s="342"/>
      <c r="I20" s="154"/>
      <c r="J20" s="349">
        <f t="shared" ref="J20:J28" si="1">+I20*B20</f>
        <v>0</v>
      </c>
      <c r="K20" s="349"/>
      <c r="L20" s="349"/>
    </row>
    <row r="21" spans="2:13" ht="18.75">
      <c r="B21" s="299"/>
      <c r="C21" s="157"/>
      <c r="D21" s="342"/>
      <c r="E21" s="342"/>
      <c r="F21" s="342"/>
      <c r="G21" s="342"/>
      <c r="H21" s="342"/>
      <c r="I21" s="158"/>
      <c r="J21" s="349">
        <f t="shared" si="1"/>
        <v>0</v>
      </c>
      <c r="K21" s="349"/>
      <c r="L21" s="349"/>
    </row>
    <row r="22" spans="2:13" ht="18.75">
      <c r="B22" s="299"/>
      <c r="C22" s="126"/>
      <c r="D22" s="342"/>
      <c r="E22" s="342"/>
      <c r="F22" s="342"/>
      <c r="G22" s="342"/>
      <c r="H22" s="342"/>
      <c r="I22" s="159"/>
      <c r="J22" s="349">
        <f t="shared" si="1"/>
        <v>0</v>
      </c>
      <c r="K22" s="349"/>
      <c r="L22" s="349"/>
    </row>
    <row r="23" spans="2:13" ht="18.75">
      <c r="B23" s="299"/>
      <c r="C23" s="157"/>
      <c r="D23" s="342"/>
      <c r="E23" s="342"/>
      <c r="F23" s="342"/>
      <c r="G23" s="342"/>
      <c r="H23" s="342"/>
      <c r="I23" s="154"/>
      <c r="J23" s="349">
        <f t="shared" si="1"/>
        <v>0</v>
      </c>
      <c r="K23" s="349"/>
      <c r="L23" s="349"/>
    </row>
    <row r="24" spans="2:13" ht="18.75">
      <c r="B24" s="299"/>
      <c r="C24" s="156"/>
      <c r="D24" s="342"/>
      <c r="E24" s="342"/>
      <c r="F24" s="342"/>
      <c r="G24" s="342"/>
      <c r="H24" s="342"/>
      <c r="I24" s="154"/>
      <c r="J24" s="349">
        <f t="shared" si="1"/>
        <v>0</v>
      </c>
      <c r="K24" s="349"/>
      <c r="L24" s="349"/>
      <c r="M24" s="85">
        <f>+B24*3</f>
        <v>0</v>
      </c>
    </row>
    <row r="25" spans="2:13" ht="18.75">
      <c r="B25" s="299"/>
      <c r="C25" s="156"/>
      <c r="D25" s="337"/>
      <c r="E25" s="337"/>
      <c r="F25" s="337"/>
      <c r="G25" s="337"/>
      <c r="H25" s="337"/>
      <c r="I25" s="154"/>
      <c r="J25" s="349">
        <f t="shared" si="1"/>
        <v>0</v>
      </c>
      <c r="K25" s="349"/>
      <c r="L25" s="349"/>
    </row>
    <row r="26" spans="2:13" ht="18.75">
      <c r="B26" s="299"/>
      <c r="C26" s="156"/>
      <c r="D26" s="337"/>
      <c r="E26" s="337"/>
      <c r="F26" s="337"/>
      <c r="G26" s="337"/>
      <c r="H26" s="337"/>
      <c r="I26" s="154"/>
      <c r="J26" s="348">
        <f t="shared" si="1"/>
        <v>0</v>
      </c>
      <c r="K26" s="348"/>
      <c r="L26" s="348"/>
      <c r="M26" s="85">
        <f>+B26*7</f>
        <v>0</v>
      </c>
    </row>
    <row r="27" spans="2:13" ht="18.75">
      <c r="B27" s="299"/>
      <c r="C27" s="126"/>
      <c r="D27" s="337"/>
      <c r="E27" s="337"/>
      <c r="F27" s="337"/>
      <c r="G27" s="337"/>
      <c r="H27" s="337"/>
      <c r="I27" s="158"/>
      <c r="J27" s="348">
        <f t="shared" si="1"/>
        <v>0</v>
      </c>
      <c r="K27" s="348"/>
      <c r="L27" s="348"/>
      <c r="M27" s="85">
        <f>+B27*10</f>
        <v>0</v>
      </c>
    </row>
    <row r="28" spans="2:13" ht="15.75" customHeight="1">
      <c r="B28" s="299"/>
      <c r="C28" s="126"/>
      <c r="D28" s="337"/>
      <c r="E28" s="337"/>
      <c r="F28" s="337"/>
      <c r="G28" s="337"/>
      <c r="H28" s="337"/>
      <c r="I28" s="159"/>
      <c r="J28" s="348">
        <f t="shared" si="1"/>
        <v>0</v>
      </c>
      <c r="K28" s="348"/>
      <c r="L28" s="348"/>
    </row>
    <row r="29" spans="2:13" ht="15.75" customHeight="1">
      <c r="B29" s="300"/>
      <c r="C29" s="126"/>
      <c r="D29" s="342"/>
      <c r="E29" s="342"/>
      <c r="F29" s="342"/>
      <c r="G29" s="342"/>
      <c r="H29" s="342"/>
      <c r="I29" s="159"/>
      <c r="J29" s="348">
        <f>+I29*B29</f>
        <v>0</v>
      </c>
      <c r="K29" s="348"/>
      <c r="L29" s="348"/>
    </row>
    <row r="30" spans="2:13" ht="21" customHeight="1">
      <c r="B30" s="126"/>
      <c r="C30" s="126"/>
      <c r="D30" s="342"/>
      <c r="E30" s="342"/>
      <c r="F30" s="342"/>
      <c r="G30" s="342"/>
      <c r="H30" s="342"/>
      <c r="I30" s="159"/>
      <c r="J30" s="344">
        <f>+I30*B30</f>
        <v>0</v>
      </c>
      <c r="K30" s="344"/>
      <c r="L30" s="344"/>
      <c r="M30" s="85">
        <f>+B30*15</f>
        <v>0</v>
      </c>
    </row>
    <row r="31" spans="2:13" ht="18" customHeight="1">
      <c r="B31" s="126"/>
      <c r="C31" s="126"/>
      <c r="D31" s="126"/>
      <c r="E31" s="126"/>
      <c r="F31" s="126"/>
      <c r="G31" s="126"/>
      <c r="H31" s="126"/>
      <c r="I31" s="156" t="s">
        <v>795</v>
      </c>
      <c r="J31" s="345">
        <f>SUBTOTAL(9,J18:L30)</f>
        <v>32.799999999999997</v>
      </c>
      <c r="K31" s="345"/>
      <c r="L31" s="345"/>
      <c r="M31" s="85">
        <f>SUBTOTAL(9,M18:M30)</f>
        <v>0</v>
      </c>
    </row>
    <row r="32" spans="2:13" ht="15.75" customHeight="1">
      <c r="B32" s="126"/>
      <c r="C32" s="126"/>
      <c r="D32" s="126"/>
      <c r="E32" s="126"/>
      <c r="F32" s="126"/>
      <c r="G32" s="126"/>
      <c r="H32" s="126"/>
      <c r="I32" s="126" t="s">
        <v>803</v>
      </c>
      <c r="J32" s="346">
        <f>+J31*0.16</f>
        <v>5.2479999999999993</v>
      </c>
      <c r="K32" s="346"/>
      <c r="L32" s="346"/>
    </row>
    <row r="33" spans="2:12" ht="18.75">
      <c r="B33" s="160"/>
      <c r="C33" s="161"/>
      <c r="D33" s="162"/>
      <c r="E33" s="163"/>
      <c r="F33" s="126"/>
      <c r="G33" s="126"/>
      <c r="H33" s="126"/>
      <c r="I33" s="126" t="s">
        <v>796</v>
      </c>
      <c r="J33" s="152"/>
      <c r="K33" s="153"/>
      <c r="L33" s="152">
        <f>+J31+J32</f>
        <v>38.047999999999995</v>
      </c>
    </row>
    <row r="34" spans="2:12" ht="30.75">
      <c r="B34" s="148"/>
      <c r="C34" s="117"/>
      <c r="D34" s="117"/>
      <c r="E34" s="119"/>
      <c r="F34" s="119"/>
      <c r="G34" s="119"/>
      <c r="H34" s="119"/>
      <c r="I34" s="119"/>
      <c r="J34" s="119"/>
      <c r="K34" s="119"/>
      <c r="L34" s="117"/>
    </row>
    <row r="35" spans="2:12">
      <c r="B35" s="117"/>
      <c r="C35" s="117"/>
      <c r="D35" s="117"/>
      <c r="E35" s="361"/>
      <c r="F35" s="361"/>
      <c r="G35" s="361"/>
      <c r="H35" s="361"/>
      <c r="I35" s="361"/>
      <c r="J35" s="361"/>
      <c r="K35" s="361"/>
      <c r="L35" s="117"/>
    </row>
    <row r="36" spans="2:12" ht="18.75">
      <c r="B36" s="147"/>
      <c r="C36" s="147"/>
      <c r="D36" s="147"/>
      <c r="E36" s="147"/>
      <c r="F36" s="106"/>
      <c r="G36" s="147"/>
      <c r="H36" s="147"/>
      <c r="I36" s="147"/>
      <c r="J36" s="147"/>
      <c r="K36" s="147"/>
      <c r="L36" s="147"/>
    </row>
    <row r="38" spans="2:12"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</row>
    <row r="39" spans="2:12">
      <c r="B39" s="117"/>
      <c r="C39" s="117"/>
      <c r="D39" s="117"/>
      <c r="E39" s="117"/>
      <c r="F39" s="117"/>
      <c r="G39" s="117"/>
      <c r="H39" s="117"/>
      <c r="I39" s="117"/>
      <c r="J39" s="117"/>
      <c r="K39" s="117"/>
      <c r="L39" s="117"/>
    </row>
    <row r="40" spans="2:12" ht="30.75">
      <c r="B40" s="117"/>
      <c r="C40" s="117"/>
      <c r="D40" s="117"/>
      <c r="E40" s="117"/>
      <c r="G40" s="149"/>
      <c r="H40" s="149"/>
      <c r="I40" s="117"/>
      <c r="J40" s="117"/>
      <c r="K40" s="117"/>
      <c r="L40" s="117"/>
    </row>
    <row r="41" spans="2:12" ht="30.75">
      <c r="B41" s="148" t="s">
        <v>813</v>
      </c>
      <c r="C41" s="117"/>
      <c r="D41" s="117"/>
      <c r="E41" s="119"/>
      <c r="F41" s="119"/>
      <c r="G41" s="119"/>
      <c r="H41" s="119"/>
      <c r="I41" s="119"/>
      <c r="J41" s="119"/>
      <c r="K41" s="119"/>
      <c r="L41" s="117"/>
    </row>
    <row r="42" spans="2:12" ht="18.75">
      <c r="B42" s="147" t="s">
        <v>812</v>
      </c>
      <c r="C42" s="147"/>
      <c r="D42" s="147"/>
      <c r="E42" s="147"/>
      <c r="F42" s="106" t="s">
        <v>784</v>
      </c>
      <c r="G42" s="147"/>
      <c r="H42" s="147"/>
      <c r="I42" s="147"/>
      <c r="J42" s="147"/>
      <c r="K42" s="147"/>
      <c r="L42" s="147"/>
    </row>
    <row r="43" spans="2:12" ht="15.75">
      <c r="B43" s="144"/>
      <c r="C43" s="144"/>
      <c r="D43" s="144"/>
      <c r="E43" s="144"/>
      <c r="F43" s="144"/>
      <c r="G43" s="144"/>
      <c r="H43" s="143"/>
      <c r="I43" s="143" t="s">
        <v>785</v>
      </c>
      <c r="J43" s="146">
        <v>24</v>
      </c>
      <c r="K43" s="145" t="s">
        <v>811</v>
      </c>
      <c r="L43" s="145" t="s">
        <v>786</v>
      </c>
    </row>
    <row r="44" spans="2:12" ht="15.75"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</row>
    <row r="45" spans="2:12" ht="15.75">
      <c r="B45" s="121" t="s">
        <v>90</v>
      </c>
      <c r="C45" s="121"/>
      <c r="D45" s="362" t="s">
        <v>810</v>
      </c>
      <c r="E45" s="362"/>
      <c r="F45" s="362"/>
      <c r="G45" s="362"/>
      <c r="H45" s="362"/>
      <c r="I45" s="143" t="s">
        <v>6</v>
      </c>
      <c r="J45" s="357" t="s">
        <v>809</v>
      </c>
      <c r="K45" s="357"/>
      <c r="L45" s="357"/>
    </row>
    <row r="46" spans="2:12" ht="15.75">
      <c r="B46" s="121" t="s">
        <v>91</v>
      </c>
      <c r="C46" s="358" t="s">
        <v>808</v>
      </c>
      <c r="D46" s="358"/>
      <c r="E46" s="358"/>
      <c r="F46" s="358"/>
      <c r="G46" s="358"/>
      <c r="H46" s="358"/>
      <c r="I46" s="358"/>
      <c r="J46" s="358"/>
      <c r="K46" s="358"/>
      <c r="L46" s="358"/>
    </row>
    <row r="47" spans="2:12" ht="15.75">
      <c r="B47" s="121" t="s">
        <v>92</v>
      </c>
      <c r="C47" s="117" t="s">
        <v>807</v>
      </c>
      <c r="D47" s="121"/>
      <c r="E47" s="121"/>
      <c r="F47" s="121"/>
      <c r="G47" s="121"/>
      <c r="H47" s="121"/>
      <c r="I47" s="121"/>
      <c r="J47" s="357"/>
      <c r="K47" s="357"/>
      <c r="L47" s="357"/>
    </row>
    <row r="48" spans="2:12">
      <c r="B48" s="142" t="s">
        <v>0</v>
      </c>
      <c r="C48" s="142"/>
      <c r="D48" s="360" t="s">
        <v>88</v>
      </c>
      <c r="E48" s="360"/>
      <c r="F48" s="360"/>
      <c r="G48" s="360"/>
      <c r="H48" s="360"/>
      <c r="I48" s="142" t="s">
        <v>89</v>
      </c>
      <c r="J48" s="360" t="s">
        <v>806</v>
      </c>
      <c r="K48" s="360"/>
      <c r="L48" s="360"/>
    </row>
    <row r="49" spans="2:12">
      <c r="B49" s="117">
        <v>4</v>
      </c>
      <c r="C49" s="117"/>
      <c r="D49" s="132" t="s">
        <v>805</v>
      </c>
      <c r="E49" s="132"/>
      <c r="F49" s="132"/>
      <c r="G49" s="132"/>
      <c r="H49" s="132"/>
      <c r="I49" s="138">
        <v>6751</v>
      </c>
      <c r="J49" s="359">
        <f>+I49*B49</f>
        <v>27004</v>
      </c>
      <c r="K49" s="359"/>
      <c r="L49" s="359"/>
    </row>
    <row r="50" spans="2:12">
      <c r="B50" s="117">
        <v>40</v>
      </c>
      <c r="C50" s="117"/>
      <c r="D50" s="132" t="s">
        <v>804</v>
      </c>
      <c r="E50" s="132"/>
      <c r="F50" s="132"/>
      <c r="G50" s="132"/>
      <c r="H50" s="132"/>
      <c r="I50" s="138">
        <v>7183</v>
      </c>
      <c r="J50" s="359">
        <f>+I50*B50</f>
        <v>287320</v>
      </c>
      <c r="K50" s="359"/>
      <c r="L50" s="359"/>
    </row>
    <row r="51" spans="2:12">
      <c r="B51" s="119"/>
      <c r="C51" s="119"/>
      <c r="D51" s="132"/>
      <c r="E51" s="132"/>
      <c r="F51" s="132"/>
      <c r="G51" s="132"/>
      <c r="H51" s="132"/>
      <c r="I51" s="141"/>
      <c r="J51" s="359">
        <v>0</v>
      </c>
      <c r="K51" s="359"/>
      <c r="L51" s="359"/>
    </row>
    <row r="52" spans="2:12">
      <c r="B52" s="117"/>
      <c r="C52" s="117"/>
      <c r="D52" s="132"/>
      <c r="E52" s="132"/>
      <c r="F52" s="132"/>
      <c r="G52" s="132"/>
      <c r="H52" s="132"/>
      <c r="I52" s="140"/>
      <c r="J52" s="359">
        <v>0</v>
      </c>
      <c r="K52" s="359"/>
      <c r="L52" s="359"/>
    </row>
    <row r="53" spans="2:12">
      <c r="B53" s="119"/>
      <c r="C53" s="119"/>
      <c r="D53" s="132"/>
      <c r="E53" s="132"/>
      <c r="F53" s="132"/>
      <c r="G53" s="132"/>
      <c r="H53" s="132"/>
      <c r="I53" s="138"/>
      <c r="J53" s="359">
        <v>0</v>
      </c>
      <c r="K53" s="359"/>
      <c r="L53" s="359"/>
    </row>
    <row r="54" spans="2:12">
      <c r="B54" s="119"/>
      <c r="C54" s="119"/>
      <c r="D54" s="139"/>
      <c r="E54" s="132"/>
      <c r="F54" s="132"/>
      <c r="G54" s="132"/>
      <c r="H54" s="132"/>
      <c r="I54" s="138"/>
      <c r="J54" s="359">
        <v>0</v>
      </c>
      <c r="K54" s="359"/>
      <c r="L54" s="359"/>
    </row>
    <row r="55" spans="2:12">
      <c r="B55" s="119"/>
      <c r="C55" s="47"/>
      <c r="D55" s="139"/>
      <c r="E55" s="132"/>
      <c r="F55" s="132"/>
      <c r="G55" s="132"/>
      <c r="H55" s="132"/>
      <c r="I55" s="138"/>
      <c r="J55" s="359">
        <v>0</v>
      </c>
      <c r="K55" s="359"/>
      <c r="L55" s="359"/>
    </row>
    <row r="56" spans="2:12">
      <c r="B56" s="117"/>
      <c r="C56" s="47"/>
      <c r="D56" s="367"/>
      <c r="E56" s="367"/>
      <c r="F56" s="367"/>
      <c r="G56" s="367"/>
      <c r="H56" s="367"/>
      <c r="I56" s="138"/>
      <c r="J56" s="359">
        <v>0</v>
      </c>
      <c r="K56" s="359"/>
      <c r="L56" s="359"/>
    </row>
    <row r="57" spans="2:12">
      <c r="B57" s="117"/>
      <c r="C57" s="47"/>
      <c r="D57" s="367"/>
      <c r="E57" s="367"/>
      <c r="F57" s="367"/>
      <c r="G57" s="367"/>
      <c r="H57" s="367"/>
      <c r="I57" s="138"/>
      <c r="J57" s="368">
        <v>0</v>
      </c>
      <c r="K57" s="368"/>
      <c r="L57" s="368"/>
    </row>
    <row r="58" spans="2:12">
      <c r="B58" s="117"/>
      <c r="C58" s="117"/>
      <c r="D58" s="137"/>
      <c r="E58" s="117"/>
      <c r="F58" s="117"/>
      <c r="G58" s="136"/>
      <c r="H58" s="117"/>
      <c r="I58" s="119"/>
      <c r="J58" s="368">
        <v>0</v>
      </c>
      <c r="K58" s="368"/>
      <c r="L58" s="368"/>
    </row>
    <row r="59" spans="2:12">
      <c r="B59" s="117"/>
      <c r="D59" s="29"/>
      <c r="I59" s="119"/>
      <c r="J59" s="368">
        <v>0</v>
      </c>
      <c r="K59" s="368"/>
      <c r="L59" s="368"/>
    </row>
    <row r="60" spans="2:12">
      <c r="I60" s="119" t="s">
        <v>795</v>
      </c>
      <c r="J60" s="369">
        <f>SUBTOTAL(9,J49:L59)</f>
        <v>314324</v>
      </c>
      <c r="K60" s="369"/>
      <c r="L60" s="369"/>
    </row>
    <row r="61" spans="2:12">
      <c r="I61" s="117" t="s">
        <v>803</v>
      </c>
      <c r="J61" s="366">
        <f>+J60*0.16</f>
        <v>50291.840000000004</v>
      </c>
      <c r="K61" s="366"/>
      <c r="L61" s="366"/>
    </row>
    <row r="62" spans="2:12" ht="15.75">
      <c r="B62" s="39"/>
      <c r="C62" s="135"/>
      <c r="D62" s="77"/>
      <c r="E62" s="78"/>
      <c r="I62" s="117" t="s">
        <v>796</v>
      </c>
      <c r="J62" s="133" t="s">
        <v>802</v>
      </c>
      <c r="K62" s="134"/>
      <c r="L62" s="133">
        <f>+J61+J60</f>
        <v>364615.84</v>
      </c>
    </row>
    <row r="67" spans="2:12">
      <c r="B67" s="117"/>
      <c r="C67" s="117"/>
      <c r="D67" s="117"/>
      <c r="E67" s="117"/>
      <c r="F67" s="117"/>
      <c r="G67" s="117"/>
      <c r="H67" s="117"/>
      <c r="I67" s="117"/>
      <c r="J67" s="117"/>
      <c r="K67" s="117"/>
      <c r="L67" s="117"/>
    </row>
    <row r="68" spans="2:12">
      <c r="B68" s="117"/>
      <c r="C68" s="117"/>
      <c r="D68" s="117"/>
      <c r="E68" s="117"/>
      <c r="F68" s="117"/>
      <c r="G68" s="117"/>
      <c r="H68" s="117"/>
      <c r="I68" s="117"/>
      <c r="J68" s="117"/>
      <c r="K68" s="117"/>
      <c r="L68" s="117"/>
    </row>
    <row r="69" spans="2:12" ht="30.75">
      <c r="B69" s="117"/>
      <c r="C69" s="117"/>
      <c r="D69" s="117"/>
      <c r="E69" s="117"/>
      <c r="G69" s="149"/>
      <c r="H69" s="149"/>
      <c r="I69" s="117"/>
      <c r="J69" s="117"/>
      <c r="K69" s="117"/>
      <c r="L69" s="117"/>
    </row>
    <row r="70" spans="2:12" ht="30.75">
      <c r="B70" s="148" t="s">
        <v>978</v>
      </c>
      <c r="C70" s="117"/>
      <c r="D70" s="117"/>
      <c r="E70" s="119"/>
      <c r="F70" s="119"/>
      <c r="G70" s="119"/>
      <c r="H70" s="119"/>
      <c r="I70" s="119"/>
      <c r="J70" s="119"/>
      <c r="K70" s="119"/>
      <c r="L70" s="117"/>
    </row>
    <row r="71" spans="2:12" ht="18.75">
      <c r="B71" s="147" t="s">
        <v>812</v>
      </c>
      <c r="C71" s="147"/>
      <c r="D71" s="147"/>
      <c r="E71" s="147"/>
      <c r="F71" s="106" t="s">
        <v>784</v>
      </c>
      <c r="G71" s="147"/>
      <c r="H71" s="147"/>
      <c r="I71" s="147"/>
      <c r="J71" s="147"/>
      <c r="K71" s="147"/>
      <c r="L71" s="147"/>
    </row>
    <row r="72" spans="2:12" ht="18.75">
      <c r="B72" s="100"/>
      <c r="C72" s="100"/>
      <c r="D72" s="100"/>
      <c r="E72" s="100"/>
      <c r="F72" s="100"/>
      <c r="G72" s="100"/>
      <c r="H72" s="107"/>
      <c r="I72" s="107" t="s">
        <v>785</v>
      </c>
      <c r="J72" s="108">
        <v>10</v>
      </c>
      <c r="K72" s="109" t="s">
        <v>965</v>
      </c>
      <c r="L72" s="243" t="s">
        <v>903</v>
      </c>
    </row>
    <row r="73" spans="2:12" ht="18.75">
      <c r="B73" s="100"/>
      <c r="C73" s="100"/>
      <c r="D73" s="100"/>
      <c r="E73" s="100"/>
      <c r="F73" s="100"/>
      <c r="G73" s="100"/>
      <c r="H73" s="100"/>
      <c r="I73" s="100"/>
      <c r="J73" s="100"/>
      <c r="K73" s="100"/>
      <c r="L73" s="100"/>
    </row>
    <row r="74" spans="2:12" ht="18.75">
      <c r="B74" s="111" t="s">
        <v>90</v>
      </c>
      <c r="C74" s="111"/>
      <c r="D74" s="350" t="s">
        <v>979</v>
      </c>
      <c r="E74" s="350"/>
      <c r="F74" s="350"/>
      <c r="G74" s="350"/>
      <c r="H74" s="350"/>
      <c r="I74" s="107" t="s">
        <v>6</v>
      </c>
      <c r="J74" s="350" t="s">
        <v>334</v>
      </c>
      <c r="K74" s="350"/>
      <c r="L74" s="350"/>
    </row>
    <row r="75" spans="2:12" ht="18.75">
      <c r="B75" s="111" t="s">
        <v>91</v>
      </c>
      <c r="C75" s="354" t="s">
        <v>980</v>
      </c>
      <c r="D75" s="354"/>
      <c r="E75" s="354"/>
      <c r="F75" s="354"/>
      <c r="G75" s="354"/>
      <c r="H75" s="354"/>
      <c r="I75" s="354"/>
      <c r="J75" s="354"/>
      <c r="K75" s="354"/>
      <c r="L75" s="354"/>
    </row>
    <row r="76" spans="2:12" ht="18.75">
      <c r="B76" s="111" t="s">
        <v>92</v>
      </c>
      <c r="C76" s="100" t="s">
        <v>814</v>
      </c>
      <c r="D76" s="111"/>
      <c r="E76" s="111"/>
      <c r="F76" s="111"/>
      <c r="G76" s="111"/>
      <c r="H76" s="111"/>
      <c r="I76" s="111"/>
      <c r="J76" s="350"/>
      <c r="K76" s="350"/>
      <c r="L76" s="350"/>
    </row>
    <row r="77" spans="2:12" ht="18.75">
      <c r="B77" s="151" t="s">
        <v>0</v>
      </c>
      <c r="C77" s="151"/>
      <c r="D77" s="351" t="s">
        <v>88</v>
      </c>
      <c r="E77" s="351"/>
      <c r="F77" s="351"/>
      <c r="G77" s="351"/>
      <c r="H77" s="351"/>
      <c r="I77" s="151" t="s">
        <v>89</v>
      </c>
      <c r="J77" s="351" t="s">
        <v>806</v>
      </c>
      <c r="K77" s="351"/>
      <c r="L77" s="351"/>
    </row>
    <row r="78" spans="2:12" ht="18.75">
      <c r="B78" s="126">
        <v>4</v>
      </c>
      <c r="C78" s="155"/>
      <c r="D78" s="337" t="s">
        <v>968</v>
      </c>
      <c r="E78" s="337"/>
      <c r="F78" s="337"/>
      <c r="G78" s="337"/>
      <c r="H78" s="337"/>
      <c r="I78" s="154">
        <f>3*1900000</f>
        <v>5700000</v>
      </c>
      <c r="J78" s="355">
        <f>+I78*B78</f>
        <v>22800000</v>
      </c>
      <c r="K78" s="355"/>
      <c r="L78" s="355"/>
    </row>
    <row r="79" spans="2:12" ht="18.75">
      <c r="B79" s="156">
        <v>800</v>
      </c>
      <c r="C79" s="157"/>
      <c r="D79" s="337" t="s">
        <v>969</v>
      </c>
      <c r="E79" s="337"/>
      <c r="F79" s="337"/>
      <c r="G79" s="337"/>
      <c r="H79" s="337"/>
      <c r="I79" s="158">
        <v>20000</v>
      </c>
      <c r="J79" s="355">
        <f>+I79*B79</f>
        <v>16000000</v>
      </c>
      <c r="K79" s="355"/>
      <c r="L79" s="355"/>
    </row>
    <row r="80" spans="2:12" ht="18.75">
      <c r="B80" s="126">
        <v>200</v>
      </c>
      <c r="C80" s="126"/>
      <c r="D80" s="337" t="s">
        <v>970</v>
      </c>
      <c r="E80" s="337"/>
      <c r="F80" s="337"/>
      <c r="G80" s="337"/>
      <c r="H80" s="337"/>
      <c r="I80" s="158">
        <v>20000</v>
      </c>
      <c r="J80" s="355">
        <f t="shared" ref="J80:J87" si="2">+I80*B80</f>
        <v>4000000</v>
      </c>
      <c r="K80" s="355"/>
      <c r="L80" s="355"/>
    </row>
    <row r="81" spans="2:12" ht="18.75">
      <c r="B81" s="126">
        <v>200</v>
      </c>
      <c r="C81" s="126"/>
      <c r="D81" s="337" t="s">
        <v>971</v>
      </c>
      <c r="E81" s="337"/>
      <c r="F81" s="337"/>
      <c r="G81" s="337"/>
      <c r="H81" s="337"/>
      <c r="I81" s="158">
        <v>20000</v>
      </c>
      <c r="J81" s="355">
        <f t="shared" si="2"/>
        <v>4000000</v>
      </c>
      <c r="K81" s="355"/>
      <c r="L81" s="355"/>
    </row>
    <row r="82" spans="2:12" ht="18.75">
      <c r="B82" s="156">
        <v>300</v>
      </c>
      <c r="C82" s="156"/>
      <c r="D82" s="337" t="s">
        <v>972</v>
      </c>
      <c r="E82" s="337"/>
      <c r="F82" s="337"/>
      <c r="G82" s="337"/>
      <c r="H82" s="337"/>
      <c r="I82" s="158">
        <v>20000</v>
      </c>
      <c r="J82" s="355">
        <f t="shared" si="2"/>
        <v>6000000</v>
      </c>
      <c r="K82" s="355"/>
      <c r="L82" s="355"/>
    </row>
    <row r="83" spans="2:12" ht="18.75">
      <c r="B83" s="126">
        <v>100</v>
      </c>
      <c r="C83" s="156"/>
      <c r="D83" s="337" t="s">
        <v>973</v>
      </c>
      <c r="E83" s="337"/>
      <c r="F83" s="337"/>
      <c r="G83" s="337"/>
      <c r="H83" s="337"/>
      <c r="I83" s="158">
        <v>20000</v>
      </c>
      <c r="J83" s="355">
        <f t="shared" si="2"/>
        <v>2000000</v>
      </c>
      <c r="K83" s="355"/>
      <c r="L83" s="355"/>
    </row>
    <row r="84" spans="2:12" ht="18.75">
      <c r="B84" s="126">
        <v>50</v>
      </c>
      <c r="C84" s="126"/>
      <c r="D84" s="337" t="s">
        <v>967</v>
      </c>
      <c r="E84" s="337"/>
      <c r="F84" s="337"/>
      <c r="G84" s="337"/>
      <c r="H84" s="337"/>
      <c r="I84" s="240">
        <f>2.5*1900000</f>
        <v>4750000</v>
      </c>
      <c r="J84" s="347">
        <f>+I84*B84</f>
        <v>237500000</v>
      </c>
      <c r="K84" s="347"/>
      <c r="L84" s="347"/>
    </row>
    <row r="85" spans="2:12" ht="18.75">
      <c r="B85" s="126">
        <v>100</v>
      </c>
      <c r="C85" s="156"/>
      <c r="D85" s="337" t="s">
        <v>974</v>
      </c>
      <c r="E85" s="337"/>
      <c r="F85" s="337"/>
      <c r="G85" s="337"/>
      <c r="H85" s="337"/>
      <c r="I85" s="158">
        <v>20000</v>
      </c>
      <c r="J85" s="355">
        <f t="shared" si="2"/>
        <v>2000000</v>
      </c>
      <c r="K85" s="355"/>
      <c r="L85" s="355"/>
    </row>
    <row r="86" spans="2:12" ht="18.75">
      <c r="B86" s="126">
        <v>100</v>
      </c>
      <c r="C86" s="126"/>
      <c r="D86" s="337" t="s">
        <v>975</v>
      </c>
      <c r="E86" s="337"/>
      <c r="F86" s="337"/>
      <c r="G86" s="337"/>
      <c r="H86" s="337"/>
      <c r="I86" s="158">
        <v>20000</v>
      </c>
      <c r="J86" s="355">
        <f t="shared" si="2"/>
        <v>2000000</v>
      </c>
      <c r="K86" s="355"/>
      <c r="L86" s="355"/>
    </row>
    <row r="87" spans="2:12" ht="18.75">
      <c r="B87" s="126">
        <v>100</v>
      </c>
      <c r="C87" s="126"/>
      <c r="D87" s="337" t="s">
        <v>976</v>
      </c>
      <c r="E87" s="337"/>
      <c r="F87" s="337"/>
      <c r="G87" s="337"/>
      <c r="H87" s="337"/>
      <c r="I87" s="158">
        <v>20000</v>
      </c>
      <c r="J87" s="355">
        <f t="shared" si="2"/>
        <v>2000000</v>
      </c>
      <c r="K87" s="355"/>
      <c r="L87" s="355"/>
    </row>
    <row r="88" spans="2:12" ht="18.75">
      <c r="B88" s="125"/>
      <c r="C88" s="126"/>
      <c r="D88" s="337"/>
      <c r="E88" s="337"/>
      <c r="F88" s="337"/>
      <c r="G88" s="337"/>
      <c r="H88" s="337"/>
      <c r="I88" s="240"/>
      <c r="J88" s="347"/>
      <c r="K88" s="347"/>
      <c r="L88" s="347"/>
    </row>
    <row r="89" spans="2:12" ht="18.75">
      <c r="B89" s="126"/>
      <c r="C89" s="126"/>
      <c r="D89" s="239"/>
      <c r="E89" s="239"/>
      <c r="F89" s="239"/>
      <c r="G89" s="239"/>
      <c r="H89" s="239"/>
      <c r="I89" s="240"/>
      <c r="J89" s="356"/>
      <c r="K89" s="356"/>
      <c r="L89" s="356"/>
    </row>
    <row r="90" spans="2:12" ht="18.75">
      <c r="B90" s="126"/>
      <c r="C90" s="126"/>
      <c r="D90" s="126"/>
      <c r="E90" s="126"/>
      <c r="F90" s="126"/>
      <c r="G90" s="126"/>
      <c r="H90" s="126"/>
      <c r="I90" s="156" t="s">
        <v>795</v>
      </c>
      <c r="J90" s="352">
        <f>SUBTOTAL(9,J78:L89)</f>
        <v>298300000</v>
      </c>
      <c r="K90" s="352"/>
      <c r="L90" s="352"/>
    </row>
    <row r="91" spans="2:12" ht="18.75">
      <c r="B91" s="126"/>
      <c r="C91" s="126"/>
      <c r="D91" s="126"/>
      <c r="E91" s="126"/>
      <c r="F91" s="126"/>
      <c r="G91" s="126"/>
      <c r="H91" s="126"/>
      <c r="I91" s="126" t="s">
        <v>803</v>
      </c>
      <c r="J91" s="353">
        <f>+J90*0.16</f>
        <v>47728000</v>
      </c>
      <c r="K91" s="353"/>
      <c r="L91" s="353"/>
    </row>
    <row r="92" spans="2:12" ht="18.75">
      <c r="B92" s="160"/>
      <c r="C92" s="161"/>
      <c r="D92" s="162"/>
      <c r="E92" s="163"/>
      <c r="F92" s="126"/>
      <c r="G92" s="126"/>
      <c r="H92" s="126"/>
      <c r="I92" s="126" t="s">
        <v>796</v>
      </c>
      <c r="J92" s="244"/>
      <c r="K92" s="245"/>
      <c r="L92" s="244">
        <f>+J91+J90</f>
        <v>346028000</v>
      </c>
    </row>
    <row r="95" spans="2:12">
      <c r="B95" s="117"/>
      <c r="C95" s="117"/>
      <c r="D95" s="117"/>
      <c r="E95" s="117"/>
      <c r="F95" s="117"/>
      <c r="G95" s="117"/>
      <c r="H95" s="117"/>
      <c r="I95" s="117"/>
      <c r="J95" s="117"/>
      <c r="K95" s="117"/>
      <c r="L95" s="117"/>
    </row>
    <row r="96" spans="2:12">
      <c r="B96" s="117"/>
      <c r="C96" s="117"/>
      <c r="D96" s="117"/>
      <c r="E96" s="117"/>
      <c r="F96" s="117"/>
      <c r="G96" s="117"/>
      <c r="H96" s="117"/>
      <c r="I96" s="117"/>
      <c r="J96" s="117"/>
      <c r="K96" s="117"/>
      <c r="L96" s="117"/>
    </row>
    <row r="97" spans="2:12" ht="30.75">
      <c r="B97" s="117"/>
      <c r="C97" s="117"/>
      <c r="D97" s="117"/>
      <c r="E97" s="117"/>
      <c r="G97" s="149"/>
      <c r="H97" s="149"/>
      <c r="I97" s="117"/>
      <c r="J97" s="117"/>
      <c r="K97" s="117"/>
      <c r="L97" s="117"/>
    </row>
    <row r="98" spans="2:12" ht="30.75">
      <c r="B98" s="148" t="s">
        <v>977</v>
      </c>
      <c r="C98" s="117"/>
      <c r="D98" s="117"/>
      <c r="E98" s="119"/>
      <c r="F98" s="119"/>
      <c r="G98" s="119"/>
      <c r="H98" s="119"/>
      <c r="I98" s="119"/>
      <c r="J98" s="119"/>
      <c r="K98" s="119"/>
      <c r="L98" s="117"/>
    </row>
    <row r="99" spans="2:12" ht="18.75">
      <c r="B99" s="147" t="s">
        <v>966</v>
      </c>
      <c r="C99" s="147"/>
      <c r="D99" s="147"/>
      <c r="E99" s="147"/>
      <c r="F99" s="106" t="s">
        <v>784</v>
      </c>
      <c r="G99" s="147"/>
      <c r="H99" s="147"/>
      <c r="I99" s="147"/>
      <c r="J99" s="147"/>
      <c r="K99" s="147"/>
      <c r="L99" s="147"/>
    </row>
    <row r="100" spans="2:12" ht="18.75">
      <c r="B100" s="100"/>
      <c r="C100" s="100"/>
      <c r="D100" s="100"/>
      <c r="E100" s="100"/>
      <c r="F100" s="100"/>
      <c r="G100" s="100"/>
      <c r="H100" s="107"/>
      <c r="I100" s="107" t="s">
        <v>785</v>
      </c>
      <c r="J100" s="108">
        <v>10</v>
      </c>
      <c r="K100" s="109" t="s">
        <v>965</v>
      </c>
      <c r="L100" s="109" t="s">
        <v>903</v>
      </c>
    </row>
    <row r="101" spans="2:12" ht="18.75"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</row>
    <row r="102" spans="2:12" ht="18.75">
      <c r="B102" s="111" t="s">
        <v>90</v>
      </c>
      <c r="C102" s="111"/>
      <c r="D102" s="350" t="s">
        <v>816</v>
      </c>
      <c r="E102" s="350"/>
      <c r="F102" s="350"/>
      <c r="G102" s="350"/>
      <c r="H102" s="350"/>
      <c r="I102" s="107" t="s">
        <v>6</v>
      </c>
      <c r="J102" s="350" t="s">
        <v>334</v>
      </c>
      <c r="K102" s="350"/>
      <c r="L102" s="350"/>
    </row>
    <row r="103" spans="2:12" ht="18.75">
      <c r="B103" s="111" t="s">
        <v>91</v>
      </c>
      <c r="C103" s="354" t="s">
        <v>815</v>
      </c>
      <c r="D103" s="354"/>
      <c r="E103" s="354"/>
      <c r="F103" s="354"/>
      <c r="G103" s="354"/>
      <c r="H103" s="354"/>
      <c r="I103" s="354"/>
      <c r="J103" s="354"/>
      <c r="K103" s="354"/>
      <c r="L103" s="354"/>
    </row>
    <row r="104" spans="2:12" ht="18.75">
      <c r="B104" s="111" t="s">
        <v>92</v>
      </c>
      <c r="C104" s="100" t="s">
        <v>814</v>
      </c>
      <c r="D104" s="111"/>
      <c r="E104" s="111"/>
      <c r="F104" s="111"/>
      <c r="G104" s="111"/>
      <c r="H104" s="111"/>
      <c r="I104" s="111"/>
      <c r="J104" s="350"/>
      <c r="K104" s="350"/>
      <c r="L104" s="350"/>
    </row>
    <row r="105" spans="2:12" ht="18.75">
      <c r="B105" s="151" t="s">
        <v>0</v>
      </c>
      <c r="C105" s="151"/>
      <c r="D105" s="351" t="s">
        <v>88</v>
      </c>
      <c r="E105" s="351"/>
      <c r="F105" s="351"/>
      <c r="G105" s="351"/>
      <c r="H105" s="351"/>
      <c r="I105" s="151" t="s">
        <v>89</v>
      </c>
      <c r="J105" s="351" t="s">
        <v>806</v>
      </c>
      <c r="K105" s="351"/>
      <c r="L105" s="351"/>
    </row>
    <row r="106" spans="2:12" ht="18.75">
      <c r="B106" s="126">
        <v>350</v>
      </c>
      <c r="C106" s="126"/>
      <c r="D106" s="337" t="s">
        <v>76</v>
      </c>
      <c r="E106" s="337"/>
      <c r="F106" s="337"/>
      <c r="G106" s="337"/>
      <c r="H106" s="337"/>
      <c r="I106" s="240">
        <v>43680</v>
      </c>
      <c r="J106" s="348">
        <f>+I106*B106</f>
        <v>15288000</v>
      </c>
      <c r="K106" s="348"/>
      <c r="L106" s="348"/>
    </row>
    <row r="107" spans="2:12" ht="18.75">
      <c r="B107" s="126"/>
      <c r="C107" s="155"/>
      <c r="D107" s="337"/>
      <c r="E107" s="337"/>
      <c r="F107" s="337"/>
      <c r="G107" s="337"/>
      <c r="H107" s="337"/>
      <c r="I107" s="154"/>
      <c r="J107" s="349"/>
      <c r="K107" s="349"/>
      <c r="L107" s="349"/>
    </row>
    <row r="108" spans="2:12" ht="18.75">
      <c r="B108" s="156"/>
      <c r="C108" s="157"/>
      <c r="D108" s="150"/>
      <c r="E108" s="239"/>
      <c r="F108" s="239"/>
      <c r="G108" s="239"/>
      <c r="H108" s="239"/>
      <c r="I108" s="158"/>
      <c r="J108" s="349"/>
      <c r="K108" s="349"/>
      <c r="L108" s="349"/>
    </row>
    <row r="109" spans="2:12" ht="18.75">
      <c r="B109" s="126"/>
      <c r="C109" s="126"/>
      <c r="D109" s="150"/>
      <c r="E109" s="239"/>
      <c r="F109" s="239"/>
      <c r="G109" s="239"/>
      <c r="H109" s="239"/>
      <c r="I109" s="240"/>
      <c r="J109" s="349"/>
      <c r="K109" s="349"/>
      <c r="L109" s="349"/>
    </row>
    <row r="110" spans="2:12" ht="18.75">
      <c r="B110" s="156"/>
      <c r="C110" s="157"/>
      <c r="D110" s="337"/>
      <c r="E110" s="337"/>
      <c r="F110" s="337"/>
      <c r="G110" s="337"/>
      <c r="H110" s="337"/>
      <c r="I110" s="154"/>
      <c r="J110" s="349"/>
      <c r="K110" s="349"/>
      <c r="L110" s="349"/>
    </row>
    <row r="111" spans="2:12" ht="18.75">
      <c r="B111" s="156"/>
      <c r="C111" s="156"/>
      <c r="D111" s="337"/>
      <c r="E111" s="337"/>
      <c r="F111" s="337"/>
      <c r="G111" s="337"/>
      <c r="H111" s="337"/>
      <c r="I111" s="154"/>
      <c r="J111" s="349"/>
      <c r="K111" s="349"/>
      <c r="L111" s="349"/>
    </row>
    <row r="112" spans="2:12" ht="18.75">
      <c r="B112" s="126"/>
      <c r="C112" s="156"/>
      <c r="D112" s="337"/>
      <c r="E112" s="337"/>
      <c r="F112" s="337"/>
      <c r="G112" s="337"/>
      <c r="H112" s="337"/>
      <c r="I112" s="154"/>
      <c r="J112" s="349"/>
      <c r="K112" s="349"/>
      <c r="L112" s="349"/>
    </row>
    <row r="113" spans="2:12" ht="18.75">
      <c r="B113" s="126"/>
      <c r="C113" s="156"/>
      <c r="D113" s="337"/>
      <c r="E113" s="337"/>
      <c r="F113" s="337"/>
      <c r="G113" s="337"/>
      <c r="H113" s="337"/>
      <c r="I113" s="154"/>
      <c r="J113" s="348"/>
      <c r="K113" s="348"/>
      <c r="L113" s="348"/>
    </row>
    <row r="114" spans="2:12" ht="18.75">
      <c r="B114" s="126"/>
      <c r="C114" s="126"/>
      <c r="D114" s="337"/>
      <c r="E114" s="337"/>
      <c r="F114" s="337"/>
      <c r="G114" s="337"/>
      <c r="H114" s="337"/>
      <c r="I114" s="158"/>
      <c r="J114" s="348"/>
      <c r="K114" s="348"/>
      <c r="L114" s="348"/>
    </row>
    <row r="115" spans="2:12" ht="18.75">
      <c r="B115" s="126"/>
      <c r="C115" s="126"/>
      <c r="D115" s="337"/>
      <c r="E115" s="337"/>
      <c r="F115" s="337"/>
      <c r="G115" s="337"/>
      <c r="H115" s="337"/>
      <c r="I115" s="240"/>
      <c r="J115" s="348"/>
      <c r="K115" s="348"/>
      <c r="L115" s="348"/>
    </row>
    <row r="116" spans="2:12" ht="18.75">
      <c r="B116" s="125"/>
      <c r="C116" s="126"/>
      <c r="D116" s="337"/>
      <c r="E116" s="337"/>
      <c r="F116" s="337"/>
      <c r="G116" s="337"/>
      <c r="H116" s="337"/>
      <c r="I116" s="240"/>
      <c r="J116" s="348"/>
      <c r="K116" s="348"/>
      <c r="L116" s="348"/>
    </row>
    <row r="117" spans="2:12" ht="18.75">
      <c r="B117" s="126"/>
      <c r="C117" s="126"/>
      <c r="D117" s="239"/>
      <c r="E117" s="239"/>
      <c r="F117" s="239"/>
      <c r="G117" s="239"/>
      <c r="H117" s="239"/>
      <c r="I117" s="240"/>
      <c r="J117" s="344"/>
      <c r="K117" s="344"/>
      <c r="L117" s="344"/>
    </row>
    <row r="118" spans="2:12" ht="18.75">
      <c r="B118" s="126"/>
      <c r="C118" s="126"/>
      <c r="D118" s="126"/>
      <c r="E118" s="126"/>
      <c r="F118" s="126"/>
      <c r="G118" s="126"/>
      <c r="H118" s="126"/>
      <c r="I118" s="156" t="s">
        <v>795</v>
      </c>
      <c r="J118" s="345">
        <f>SUBTOTAL(9,J106:L117)</f>
        <v>15288000</v>
      </c>
      <c r="K118" s="345"/>
      <c r="L118" s="345"/>
    </row>
    <row r="119" spans="2:12" ht="18.75">
      <c r="B119" s="126"/>
      <c r="C119" s="126"/>
      <c r="D119" s="126"/>
      <c r="E119" s="126"/>
      <c r="F119" s="126"/>
      <c r="G119" s="126"/>
      <c r="H119" s="126"/>
      <c r="I119" s="126" t="s">
        <v>803</v>
      </c>
      <c r="J119" s="346">
        <f>+J118*0.16</f>
        <v>2446080</v>
      </c>
      <c r="K119" s="346"/>
      <c r="L119" s="346"/>
    </row>
    <row r="120" spans="2:12" ht="18.75">
      <c r="B120" s="160"/>
      <c r="C120" s="161"/>
      <c r="D120" s="162"/>
      <c r="E120" s="163"/>
      <c r="F120" s="126"/>
      <c r="G120" s="126"/>
      <c r="H120" s="126"/>
      <c r="I120" s="126" t="s">
        <v>796</v>
      </c>
      <c r="J120" s="241"/>
      <c r="K120" s="242"/>
      <c r="L120" s="241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26"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  <mergeCell ref="D16:H16"/>
    <mergeCell ref="J16:L16"/>
    <mergeCell ref="D17:H17"/>
    <mergeCell ref="J17:L17"/>
    <mergeCell ref="D18:H18"/>
    <mergeCell ref="D27:H27"/>
    <mergeCell ref="D19:H19"/>
    <mergeCell ref="J19:L19"/>
    <mergeCell ref="D20:H20"/>
    <mergeCell ref="J20:L20"/>
    <mergeCell ref="J21:L21"/>
    <mergeCell ref="D25:H25"/>
    <mergeCell ref="J25:L25"/>
    <mergeCell ref="J27:L27"/>
    <mergeCell ref="J22:L22"/>
    <mergeCell ref="J23:L23"/>
    <mergeCell ref="J24:L24"/>
    <mergeCell ref="J26:L26"/>
    <mergeCell ref="D26:H26"/>
    <mergeCell ref="D23:H23"/>
    <mergeCell ref="D24:H24"/>
    <mergeCell ref="D21:H21"/>
    <mergeCell ref="D22:H22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D28:H28"/>
    <mergeCell ref="J29:L29"/>
    <mergeCell ref="J30:L30"/>
    <mergeCell ref="D29:H29"/>
    <mergeCell ref="D30:H30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</mergeCells>
  <conditionalFormatting sqref="C33:E33">
    <cfRule type="expression" dxfId="10981" priority="8">
      <formula>IF(ISODD($A33)=TRUE,1,0)</formula>
    </cfRule>
  </conditionalFormatting>
  <conditionalFormatting sqref="C10">
    <cfRule type="expression" dxfId="10980" priority="7">
      <formula>IF(ISODD($A10)=TRUE,1,0)</formula>
    </cfRule>
  </conditionalFormatting>
  <conditionalFormatting sqref="C62:E62">
    <cfRule type="expression" dxfId="10979" priority="5">
      <formula>IF(ISODD($A62)=TRUE,1,0)</formula>
    </cfRule>
  </conditionalFormatting>
  <conditionalFormatting sqref="C46">
    <cfRule type="expression" dxfId="10978" priority="6">
      <formula>IF(ISODD($A46)=TRUE,1,0)</formula>
    </cfRule>
  </conditionalFormatting>
  <conditionalFormatting sqref="C75">
    <cfRule type="expression" dxfId="10977" priority="4">
      <formula>IF(ISODD($A75)=TRUE,1,0)</formula>
    </cfRule>
  </conditionalFormatting>
  <conditionalFormatting sqref="C92:E92">
    <cfRule type="expression" dxfId="10976" priority="3">
      <formula>IF(ISODD($A92)=TRUE,1,0)</formula>
    </cfRule>
  </conditionalFormatting>
  <conditionalFormatting sqref="C103">
    <cfRule type="expression" dxfId="10975" priority="2">
      <formula>IF(ISODD($A103)=TRUE,1,0)</formula>
    </cfRule>
  </conditionalFormatting>
  <conditionalFormatting sqref="C120:E120">
    <cfRule type="expression" dxfId="10974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D21:D22 D108:D109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1" zoomScale="80" zoomScaleNormal="80" zoomScalePageLayoutView="80" workbookViewId="0">
      <selection activeCell="C3" sqref="C3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5.5703125" style="85" bestFit="1" customWidth="1"/>
    <col min="7" max="7" width="6.140625" style="85" customWidth="1"/>
    <col min="8" max="8" width="5" style="85" customWidth="1"/>
    <col min="9" max="9" width="17.28515625" style="85" customWidth="1"/>
    <col min="10" max="10" width="4.5703125" style="85" customWidth="1"/>
    <col min="11" max="11" width="4.28515625" style="85" customWidth="1"/>
    <col min="12" max="12" width="20.42578125" style="85" customWidth="1"/>
    <col min="13" max="16384" width="11.42578125" style="85"/>
  </cols>
  <sheetData>
    <row r="1" spans="1:15" ht="129" customHeight="1">
      <c r="A1" s="8"/>
      <c r="B1" s="100"/>
      <c r="C1" s="126"/>
      <c r="D1" s="126"/>
      <c r="E1" s="126"/>
      <c r="F1" s="166"/>
      <c r="G1" s="166"/>
      <c r="H1" s="167"/>
      <c r="I1" s="167"/>
      <c r="J1" s="155"/>
      <c r="K1" s="168"/>
      <c r="L1" s="168"/>
      <c r="M1" s="165"/>
    </row>
    <row r="2" spans="1:15" ht="18.75" customHeight="1">
      <c r="A2" s="8"/>
      <c r="B2" s="100"/>
      <c r="C2" s="169">
        <v>44909</v>
      </c>
      <c r="D2" s="126"/>
      <c r="E2" s="342" t="str">
        <f>+FACTURAS!D9</f>
        <v>E-CERAMIC, C.A.</v>
      </c>
      <c r="F2" s="342"/>
      <c r="G2" s="342"/>
      <c r="H2" s="342"/>
      <c r="I2" s="342"/>
      <c r="J2" s="166"/>
      <c r="K2" s="166"/>
      <c r="L2" s="166"/>
      <c r="M2" s="170"/>
    </row>
    <row r="3" spans="1:15" ht="24" customHeight="1">
      <c r="A3" s="110" t="s">
        <v>85</v>
      </c>
      <c r="B3" s="111"/>
      <c r="C3" s="166"/>
      <c r="D3" s="340" t="str">
        <f>+FACTURAS!D10</f>
        <v>AV. TUMARUSA ENTRE ZAMORA Y GARCES, EDIF. DON EDUARDO PISO PLANTA BAJA, URBANIZACION SANTA IRENE, PUNTO FIJO, FALCON.</v>
      </c>
      <c r="E3" s="340"/>
      <c r="F3" s="340"/>
      <c r="G3" s="340"/>
      <c r="H3" s="340"/>
      <c r="I3" s="340"/>
      <c r="J3" s="340"/>
      <c r="K3" s="340"/>
      <c r="L3" s="340"/>
      <c r="M3" s="340"/>
    </row>
    <row r="4" spans="1:15" ht="31.5" customHeight="1">
      <c r="A4" s="110" t="s">
        <v>86</v>
      </c>
      <c r="B4" s="111"/>
      <c r="C4" s="171"/>
      <c r="D4" s="171"/>
      <c r="E4" s="171"/>
      <c r="F4" s="172" t="str">
        <f>+FACTURAS!I11</f>
        <v>`0269-2470133</v>
      </c>
      <c r="G4" s="172"/>
      <c r="H4" s="172"/>
      <c r="I4" s="172" t="str">
        <f>+FACTURAS!J9</f>
        <v>J-50204745-0</v>
      </c>
      <c r="J4" s="173"/>
      <c r="K4" s="173"/>
      <c r="L4" s="173"/>
      <c r="M4" s="170"/>
    </row>
    <row r="5" spans="1:15" ht="28.5" customHeight="1">
      <c r="A5" s="112" t="s">
        <v>788</v>
      </c>
      <c r="B5" s="111"/>
      <c r="C5" s="126"/>
      <c r="D5" s="166"/>
      <c r="E5" s="166"/>
      <c r="F5" s="166"/>
      <c r="G5" s="166"/>
      <c r="H5" s="166"/>
      <c r="I5" s="166"/>
      <c r="J5" s="180"/>
      <c r="K5" s="180"/>
      <c r="L5" s="180"/>
      <c r="M5" s="170"/>
      <c r="O5" s="166"/>
    </row>
    <row r="6" spans="1:15" ht="18.75">
      <c r="C6" s="126"/>
      <c r="D6" s="126"/>
      <c r="E6" s="126"/>
      <c r="F6" s="166"/>
      <c r="G6" s="166"/>
      <c r="H6" s="166"/>
      <c r="I6" s="166"/>
      <c r="J6" s="166"/>
      <c r="K6" s="166"/>
      <c r="L6" s="166"/>
      <c r="M6" s="170"/>
    </row>
    <row r="7" spans="1:15" ht="27" customHeight="1">
      <c r="C7" s="126"/>
      <c r="D7" s="126"/>
      <c r="E7" s="126"/>
      <c r="F7" s="166"/>
      <c r="G7" s="166"/>
      <c r="H7" s="166"/>
      <c r="I7" s="166"/>
      <c r="J7" s="166"/>
      <c r="K7" s="166"/>
      <c r="L7" s="166"/>
      <c r="M7" s="170"/>
    </row>
    <row r="8" spans="1:15" ht="75" customHeight="1">
      <c r="C8" s="126"/>
      <c r="D8" s="201"/>
      <c r="E8" s="174"/>
      <c r="F8" s="166"/>
      <c r="G8" s="166"/>
      <c r="H8" s="166"/>
      <c r="I8" s="166"/>
      <c r="J8" s="166"/>
      <c r="K8" s="166"/>
      <c r="L8" s="166"/>
      <c r="M8" s="170"/>
    </row>
    <row r="9" spans="1:15" ht="18.75">
      <c r="C9" s="180">
        <f>+FACTURAS!B15</f>
        <v>50</v>
      </c>
      <c r="D9" s="337" t="str">
        <f>+FACTURAS!D15</f>
        <v>CHS - PINTURA IMPERMEABLE EN POLVO - SACO 10KG</v>
      </c>
      <c r="E9" s="337"/>
      <c r="F9" s="337"/>
      <c r="G9" s="337"/>
      <c r="H9" s="337"/>
      <c r="I9" s="181">
        <f>+FACTURAS!I15</f>
        <v>135.92600000000002</v>
      </c>
      <c r="J9" s="181"/>
      <c r="K9" s="338">
        <f>+FACTURAS!J15</f>
        <v>6796.3000000000011</v>
      </c>
      <c r="L9" s="338"/>
      <c r="M9" s="170"/>
    </row>
    <row r="10" spans="1:15" ht="18.75">
      <c r="C10" s="180" t="str">
        <f>+FACTURAS!B16</f>
        <v/>
      </c>
      <c r="D10" s="337" t="str">
        <f>+FACTURAS!D16</f>
        <v/>
      </c>
      <c r="E10" s="337"/>
      <c r="F10" s="337"/>
      <c r="G10" s="337"/>
      <c r="H10" s="337"/>
      <c r="I10" s="181" t="str">
        <f>+FACTURAS!I16</f>
        <v/>
      </c>
      <c r="J10" s="181"/>
      <c r="K10" s="338" t="str">
        <f>+FACTURAS!J16</f>
        <v/>
      </c>
      <c r="L10" s="338"/>
      <c r="M10" s="170"/>
    </row>
    <row r="11" spans="1:15" ht="18.75">
      <c r="C11" s="180" t="str">
        <f>+FACTURAS!B17</f>
        <v/>
      </c>
      <c r="D11" s="337" t="str">
        <f>+FACTURAS!D17</f>
        <v/>
      </c>
      <c r="E11" s="337"/>
      <c r="F11" s="337"/>
      <c r="G11" s="337"/>
      <c r="H11" s="337"/>
      <c r="I11" s="181" t="str">
        <f>+FACTURAS!I17</f>
        <v/>
      </c>
      <c r="J11" s="181"/>
      <c r="K11" s="338" t="str">
        <f>+FACTURAS!J17</f>
        <v/>
      </c>
      <c r="L11" s="338"/>
      <c r="M11" s="170"/>
    </row>
    <row r="12" spans="1:15" ht="18.75">
      <c r="C12" s="180" t="str">
        <f>+FACTURAS!B18</f>
        <v/>
      </c>
      <c r="D12" s="337" t="str">
        <f>+FACTURAS!D18</f>
        <v/>
      </c>
      <c r="E12" s="337"/>
      <c r="F12" s="337"/>
      <c r="G12" s="337"/>
      <c r="H12" s="337"/>
      <c r="I12" s="181" t="str">
        <f>+FACTURAS!I18</f>
        <v/>
      </c>
      <c r="J12" s="175"/>
      <c r="K12" s="338" t="str">
        <f>+FACTURAS!J18</f>
        <v/>
      </c>
      <c r="L12" s="338"/>
      <c r="M12" s="101"/>
    </row>
    <row r="13" spans="1:15" ht="18.75">
      <c r="C13" s="180" t="str">
        <f>+FACTURAS!B19</f>
        <v/>
      </c>
      <c r="D13" s="337" t="str">
        <f>+FACTURAS!D19</f>
        <v/>
      </c>
      <c r="E13" s="337"/>
      <c r="F13" s="337"/>
      <c r="G13" s="337"/>
      <c r="H13" s="337"/>
      <c r="I13" s="181" t="str">
        <f>+FACTURAS!I19</f>
        <v/>
      </c>
      <c r="J13" s="175"/>
      <c r="K13" s="338" t="str">
        <f>+FACTURAS!J19</f>
        <v/>
      </c>
      <c r="L13" s="338"/>
      <c r="M13" s="101"/>
    </row>
    <row r="14" spans="1:15" ht="18.75">
      <c r="C14" s="180" t="str">
        <f>+FACTURAS!B20</f>
        <v/>
      </c>
      <c r="D14" s="337" t="str">
        <f>+FACTURAS!D20</f>
        <v/>
      </c>
      <c r="E14" s="337"/>
      <c r="F14" s="337"/>
      <c r="G14" s="337"/>
      <c r="H14" s="337"/>
      <c r="I14" s="181" t="str">
        <f>+FACTURAS!I20</f>
        <v/>
      </c>
      <c r="J14" s="175"/>
      <c r="K14" s="338" t="str">
        <f>+FACTURAS!J20</f>
        <v/>
      </c>
      <c r="L14" s="338"/>
      <c r="M14" s="101"/>
    </row>
    <row r="15" spans="1:15" ht="18.75">
      <c r="C15" s="180" t="str">
        <f>+FACTURAS!B21</f>
        <v/>
      </c>
      <c r="D15" s="337" t="str">
        <f>+FACTURAS!D21</f>
        <v/>
      </c>
      <c r="E15" s="337"/>
      <c r="F15" s="337"/>
      <c r="G15" s="337"/>
      <c r="H15" s="337"/>
      <c r="I15" s="181" t="str">
        <f>+FACTURAS!I21</f>
        <v/>
      </c>
      <c r="J15" s="175"/>
      <c r="K15" s="338" t="str">
        <f>+FACTURAS!J21</f>
        <v/>
      </c>
      <c r="L15" s="338"/>
      <c r="M15" s="101"/>
    </row>
    <row r="16" spans="1:15" ht="18.75">
      <c r="C16" s="307" t="str">
        <f>+FACTURAS!B22</f>
        <v/>
      </c>
      <c r="D16" s="337" t="str">
        <f>+FACTURAS!D22</f>
        <v/>
      </c>
      <c r="E16" s="337"/>
      <c r="F16" s="337"/>
      <c r="G16" s="337"/>
      <c r="H16" s="337"/>
      <c r="I16" s="175" t="str">
        <f>+FACTURAS!I22</f>
        <v/>
      </c>
      <c r="J16" s="175"/>
      <c r="K16" s="349" t="str">
        <f>+FACTURAS!J22</f>
        <v/>
      </c>
      <c r="L16" s="349"/>
      <c r="M16" s="101"/>
    </row>
    <row r="17" spans="3:13" ht="18.75">
      <c r="C17" s="307" t="str">
        <f>+FACTURAS!B23</f>
        <v/>
      </c>
      <c r="D17" s="305"/>
      <c r="E17" s="305"/>
      <c r="F17" s="305"/>
      <c r="G17" s="305"/>
      <c r="H17" s="305"/>
      <c r="I17" s="175" t="str">
        <f>+FACTURAS!I23</f>
        <v/>
      </c>
      <c r="J17" s="175"/>
      <c r="K17" s="306" t="str">
        <f>+FACTURAS!J23</f>
        <v/>
      </c>
      <c r="L17" s="306"/>
      <c r="M17" s="101"/>
    </row>
    <row r="18" spans="3:13" ht="18.75">
      <c r="C18" s="307" t="str">
        <f>+FACTURAS!B24</f>
        <v/>
      </c>
      <c r="D18" s="305"/>
      <c r="E18" s="305"/>
      <c r="F18" s="305"/>
      <c r="G18" s="305"/>
      <c r="H18" s="305"/>
      <c r="I18" s="175" t="str">
        <f>+FACTURAS!I24</f>
        <v/>
      </c>
      <c r="J18" s="175"/>
      <c r="K18" s="306" t="str">
        <f>+FACTURAS!J24</f>
        <v/>
      </c>
      <c r="L18" s="306"/>
      <c r="M18" s="101"/>
    </row>
    <row r="19" spans="3:13" ht="18.75">
      <c r="C19" s="307" t="str">
        <f>+FACTURAS!B25</f>
        <v/>
      </c>
      <c r="D19" s="305"/>
      <c r="E19" s="305"/>
      <c r="F19" s="305"/>
      <c r="G19" s="305"/>
      <c r="H19" s="305"/>
      <c r="I19" s="175" t="str">
        <f>+FACTURAS!I25</f>
        <v/>
      </c>
      <c r="J19" s="175"/>
      <c r="K19" s="306" t="str">
        <f>+FACTURAS!J25</f>
        <v/>
      </c>
      <c r="L19" s="306"/>
      <c r="M19" s="101"/>
    </row>
    <row r="20" spans="3:13" ht="18.75">
      <c r="C20" s="307" t="str">
        <f>+FACTURAS!B26</f>
        <v/>
      </c>
      <c r="D20" s="305"/>
      <c r="E20" s="305"/>
      <c r="F20" s="305"/>
      <c r="G20" s="305"/>
      <c r="H20" s="305"/>
      <c r="I20" s="175" t="str">
        <f>+FACTURAS!I26</f>
        <v/>
      </c>
      <c r="J20" s="175"/>
      <c r="K20" s="306" t="str">
        <f>+FACTURAS!J26</f>
        <v/>
      </c>
      <c r="L20" s="306"/>
      <c r="M20" s="101"/>
    </row>
    <row r="21" spans="3:13" ht="18.75">
      <c r="C21" s="180"/>
      <c r="D21" s="126"/>
      <c r="E21" s="84"/>
      <c r="F21" s="84"/>
      <c r="G21" s="84"/>
      <c r="H21" s="84"/>
      <c r="I21" s="175"/>
      <c r="J21" s="83"/>
      <c r="K21" s="338"/>
      <c r="L21" s="338"/>
    </row>
    <row r="22" spans="3:13" ht="15.75">
      <c r="C22" s="84"/>
      <c r="D22" s="84"/>
      <c r="E22" s="84"/>
      <c r="F22" s="84"/>
      <c r="G22" s="84"/>
      <c r="H22" s="84"/>
      <c r="I22" s="200" t="s">
        <v>900</v>
      </c>
      <c r="J22" s="84"/>
      <c r="K22" s="372">
        <f>SUM(K9:K21)</f>
        <v>6796.3000000000011</v>
      </c>
      <c r="L22" s="372"/>
    </row>
    <row r="23" spans="3:13">
      <c r="C23" s="84"/>
      <c r="D23" s="84"/>
      <c r="E23" s="84"/>
      <c r="F23" s="84"/>
      <c r="G23" s="84"/>
      <c r="H23" s="84"/>
      <c r="I23" s="200" t="s">
        <v>899</v>
      </c>
      <c r="J23" s="84"/>
      <c r="K23" s="84"/>
      <c r="L23" s="83">
        <f>+K22*0.16</f>
        <v>1087.4080000000001</v>
      </c>
    </row>
    <row r="24" spans="3:13" ht="21">
      <c r="C24" s="84"/>
      <c r="D24" s="84"/>
      <c r="E24" s="84"/>
      <c r="F24" s="84"/>
      <c r="G24" s="84"/>
      <c r="H24" s="84"/>
      <c r="I24" s="200" t="s">
        <v>733</v>
      </c>
      <c r="J24" s="84"/>
      <c r="K24" s="84"/>
      <c r="L24" s="336">
        <f>+L23+K22</f>
        <v>7883.7080000000014</v>
      </c>
    </row>
    <row r="25" spans="3:13">
      <c r="C25" s="84"/>
      <c r="D25" s="84"/>
      <c r="E25" s="84"/>
      <c r="F25" s="84"/>
      <c r="G25" s="84"/>
      <c r="H25" s="84"/>
      <c r="I25" s="84"/>
      <c r="J25" s="84"/>
      <c r="K25" s="84"/>
      <c r="L25" s="84"/>
    </row>
    <row r="26" spans="3:13">
      <c r="C26" s="84"/>
      <c r="D26" s="84"/>
      <c r="E26" s="84"/>
      <c r="F26" s="84"/>
      <c r="G26" s="84"/>
      <c r="H26" s="84"/>
      <c r="I26" s="84"/>
      <c r="J26" s="84"/>
      <c r="K26" s="84"/>
      <c r="L26" s="84"/>
    </row>
    <row r="27" spans="3:13">
      <c r="C27" s="84"/>
      <c r="D27" s="84"/>
      <c r="E27" s="84"/>
      <c r="F27" s="84"/>
      <c r="G27" s="84"/>
      <c r="H27" s="84"/>
      <c r="I27" s="84"/>
      <c r="J27" s="84"/>
      <c r="K27" s="84"/>
      <c r="L27" s="84"/>
    </row>
    <row r="28" spans="3:13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3" ht="18.75">
      <c r="C29" s="169"/>
      <c r="D29" s="126"/>
      <c r="E29" s="342"/>
      <c r="F29" s="342"/>
      <c r="G29" s="342"/>
      <c r="H29" s="342"/>
      <c r="I29" s="342"/>
      <c r="J29" s="166"/>
      <c r="K29" s="166"/>
      <c r="L29" s="166"/>
      <c r="M29" s="170"/>
    </row>
    <row r="30" spans="3:13" ht="18.75">
      <c r="C30" s="166"/>
      <c r="D30" s="340"/>
      <c r="E30" s="340"/>
      <c r="F30" s="340"/>
      <c r="G30" s="340"/>
      <c r="H30" s="340"/>
      <c r="I30" s="340"/>
      <c r="J30" s="340"/>
      <c r="K30" s="340"/>
      <c r="L30" s="340"/>
      <c r="M30" s="340"/>
    </row>
    <row r="31" spans="3:13" ht="18.75">
      <c r="C31" s="171"/>
      <c r="D31" s="171"/>
      <c r="E31" s="171"/>
      <c r="F31" s="172"/>
      <c r="G31" s="172"/>
      <c r="H31" s="172"/>
      <c r="I31" s="172"/>
      <c r="J31" s="173"/>
      <c r="K31" s="173"/>
      <c r="L31" s="173"/>
      <c r="M31" s="170"/>
    </row>
    <row r="32" spans="3:13" ht="18.75">
      <c r="C32" s="126"/>
      <c r="D32" s="166"/>
      <c r="E32" s="166"/>
      <c r="F32" s="166"/>
      <c r="G32" s="166"/>
      <c r="H32" s="166"/>
      <c r="I32" s="166"/>
      <c r="J32" s="180"/>
      <c r="K32" s="180"/>
      <c r="L32" s="180"/>
      <c r="M32" s="170"/>
    </row>
    <row r="33" spans="3:13" ht="18.75">
      <c r="C33" s="126"/>
      <c r="D33" s="126"/>
      <c r="E33" s="126"/>
      <c r="F33" s="166"/>
      <c r="G33" s="166"/>
      <c r="H33" s="166"/>
      <c r="I33" s="166"/>
      <c r="J33" s="166"/>
      <c r="K33" s="166"/>
      <c r="L33" s="166"/>
      <c r="M33" s="170"/>
    </row>
    <row r="34" spans="3:13" ht="18.75">
      <c r="C34" s="126"/>
      <c r="D34" s="126"/>
      <c r="E34" s="126"/>
      <c r="F34" s="166"/>
      <c r="G34" s="166"/>
      <c r="H34" s="166"/>
      <c r="I34" s="166"/>
      <c r="J34" s="166"/>
      <c r="K34" s="166"/>
      <c r="L34" s="166"/>
      <c r="M34" s="170"/>
    </row>
    <row r="35" spans="3:13" ht="18.75">
      <c r="C35" s="126"/>
      <c r="D35" s="126"/>
      <c r="E35" s="174"/>
      <c r="F35" s="166"/>
      <c r="G35" s="166"/>
      <c r="H35" s="166"/>
      <c r="I35" s="166"/>
      <c r="J35" s="166"/>
      <c r="K35" s="166"/>
      <c r="L35" s="166"/>
      <c r="M35" s="170"/>
    </row>
    <row r="36" spans="3:13" ht="18.75">
      <c r="C36" s="180"/>
      <c r="D36" s="337"/>
      <c r="E36" s="337"/>
      <c r="F36" s="337"/>
      <c r="G36" s="337"/>
      <c r="H36" s="337"/>
      <c r="I36" s="181"/>
      <c r="J36" s="181"/>
      <c r="K36" s="338"/>
      <c r="L36" s="338"/>
      <c r="M36" s="170"/>
    </row>
    <row r="37" spans="3:13" ht="18.75">
      <c r="C37" s="180"/>
      <c r="D37" s="337"/>
      <c r="E37" s="337"/>
      <c r="F37" s="337"/>
      <c r="G37" s="337"/>
      <c r="H37" s="337"/>
      <c r="I37" s="181"/>
      <c r="J37" s="181"/>
      <c r="K37" s="338"/>
      <c r="L37" s="338"/>
      <c r="M37" s="170"/>
    </row>
    <row r="38" spans="3:13" ht="18.75">
      <c r="C38" s="180"/>
      <c r="D38" s="337"/>
      <c r="E38" s="337"/>
      <c r="F38" s="337"/>
      <c r="G38" s="337"/>
      <c r="H38" s="337"/>
      <c r="I38" s="181"/>
      <c r="J38" s="181"/>
      <c r="K38" s="338"/>
      <c r="L38" s="338"/>
      <c r="M38" s="170"/>
    </row>
    <row r="39" spans="3:13" ht="18.75">
      <c r="C39" s="180"/>
      <c r="D39" s="337"/>
      <c r="E39" s="337"/>
      <c r="F39" s="337"/>
      <c r="G39" s="337"/>
      <c r="H39" s="337"/>
      <c r="I39" s="175"/>
      <c r="J39" s="175"/>
      <c r="K39" s="338"/>
      <c r="L39" s="338"/>
      <c r="M39" s="101"/>
    </row>
    <row r="40" spans="3:13" ht="18.75">
      <c r="C40" s="180"/>
      <c r="D40" s="337"/>
      <c r="E40" s="337"/>
      <c r="F40" s="337"/>
      <c r="G40" s="337"/>
      <c r="H40" s="337"/>
      <c r="I40" s="175"/>
      <c r="J40" s="175"/>
      <c r="K40" s="338"/>
      <c r="L40" s="338"/>
      <c r="M40" s="101"/>
    </row>
    <row r="41" spans="3:13" ht="18.75">
      <c r="C41" s="180"/>
      <c r="D41" s="337"/>
      <c r="E41" s="337"/>
      <c r="F41" s="337"/>
      <c r="G41" s="337"/>
      <c r="H41" s="337"/>
      <c r="I41" s="175"/>
      <c r="J41" s="175"/>
      <c r="K41" s="338"/>
      <c r="L41" s="338"/>
      <c r="M41" s="101"/>
    </row>
    <row r="42" spans="3:13" ht="18.75">
      <c r="C42" s="180"/>
      <c r="D42" s="337"/>
      <c r="E42" s="337"/>
      <c r="F42" s="337"/>
      <c r="G42" s="337"/>
      <c r="H42" s="337"/>
      <c r="I42" s="175"/>
      <c r="J42" s="175"/>
      <c r="K42" s="338"/>
      <c r="L42" s="338"/>
      <c r="M42" s="101"/>
    </row>
    <row r="43" spans="3:13" ht="18.75">
      <c r="C43" s="180"/>
      <c r="D43" s="337"/>
      <c r="E43" s="337"/>
      <c r="F43" s="337"/>
      <c r="G43" s="337"/>
      <c r="H43" s="337"/>
      <c r="I43" s="175"/>
      <c r="J43" s="175"/>
      <c r="K43" s="338"/>
      <c r="L43" s="338"/>
      <c r="M43" s="101"/>
    </row>
    <row r="44" spans="3:13" ht="18.75">
      <c r="C44" s="180"/>
      <c r="D44" s="337"/>
      <c r="E44" s="337"/>
      <c r="F44" s="337"/>
      <c r="G44" s="337"/>
      <c r="H44" s="337"/>
      <c r="I44" s="175"/>
      <c r="J44" s="175"/>
      <c r="K44" s="338"/>
      <c r="L44" s="338"/>
      <c r="M44" s="101"/>
    </row>
    <row r="45" spans="3:13" ht="18.75">
      <c r="C45" s="180"/>
      <c r="D45" s="337"/>
      <c r="E45" s="337"/>
      <c r="F45" s="337"/>
      <c r="G45" s="337"/>
      <c r="H45" s="337"/>
      <c r="I45" s="175"/>
      <c r="J45" s="175"/>
      <c r="K45" s="338"/>
      <c r="L45" s="338"/>
      <c r="M45" s="101"/>
    </row>
    <row r="46" spans="3:13" ht="18.75">
      <c r="C46" s="180"/>
      <c r="D46" s="337"/>
      <c r="E46" s="337"/>
      <c r="F46" s="337"/>
      <c r="G46" s="337"/>
      <c r="H46" s="337"/>
      <c r="I46" s="175"/>
      <c r="J46" s="175"/>
      <c r="K46" s="338"/>
      <c r="L46" s="338"/>
      <c r="M46" s="101"/>
    </row>
    <row r="47" spans="3:13" ht="18.75">
      <c r="C47" s="180"/>
      <c r="D47" s="337"/>
      <c r="E47" s="337"/>
      <c r="F47" s="337"/>
      <c r="G47" s="337"/>
      <c r="H47" s="337"/>
      <c r="I47" s="175"/>
      <c r="J47" s="175"/>
      <c r="K47" s="338"/>
      <c r="L47" s="338"/>
      <c r="M47" s="101"/>
    </row>
    <row r="48" spans="3:13" ht="18.75">
      <c r="C48" s="180"/>
      <c r="D48" s="126"/>
      <c r="E48" s="84"/>
      <c r="F48" s="84"/>
      <c r="G48" s="84"/>
      <c r="H48" s="84"/>
      <c r="I48" s="175"/>
      <c r="J48" s="83"/>
      <c r="K48" s="338"/>
      <c r="L48" s="338"/>
    </row>
    <row r="49" spans="3:12" ht="18.75">
      <c r="C49" s="84"/>
      <c r="D49" s="84"/>
      <c r="E49" s="84"/>
      <c r="F49" s="84"/>
      <c r="G49" s="84"/>
      <c r="H49" s="84"/>
      <c r="I49" s="92"/>
      <c r="J49" s="84"/>
      <c r="K49" s="339"/>
      <c r="L49" s="339"/>
    </row>
  </sheetData>
  <mergeCells count="48">
    <mergeCell ref="K48:L48"/>
    <mergeCell ref="K49:L49"/>
    <mergeCell ref="D45:H45"/>
    <mergeCell ref="K45:L45"/>
    <mergeCell ref="D46:H46"/>
    <mergeCell ref="K46:L46"/>
    <mergeCell ref="D47:H47"/>
    <mergeCell ref="K47:L47"/>
    <mergeCell ref="D42:H42"/>
    <mergeCell ref="K42:L42"/>
    <mergeCell ref="D43:H43"/>
    <mergeCell ref="K43:L43"/>
    <mergeCell ref="D44:H44"/>
    <mergeCell ref="K44:L44"/>
    <mergeCell ref="D39:H39"/>
    <mergeCell ref="K39:L39"/>
    <mergeCell ref="D40:H40"/>
    <mergeCell ref="K40:L40"/>
    <mergeCell ref="D41:H41"/>
    <mergeCell ref="K41:L41"/>
    <mergeCell ref="D36:H36"/>
    <mergeCell ref="K36:L36"/>
    <mergeCell ref="D37:H37"/>
    <mergeCell ref="K37:L37"/>
    <mergeCell ref="D38:H38"/>
    <mergeCell ref="K38:L38"/>
    <mergeCell ref="D14:H14"/>
    <mergeCell ref="K14:L14"/>
    <mergeCell ref="D15:H15"/>
    <mergeCell ref="K15:L15"/>
    <mergeCell ref="D30:M30"/>
    <mergeCell ref="K21:L21"/>
    <mergeCell ref="K22:L22"/>
    <mergeCell ref="E29:I29"/>
    <mergeCell ref="D16:H16"/>
    <mergeCell ref="K16:L16"/>
    <mergeCell ref="D11:H11"/>
    <mergeCell ref="K11:L11"/>
    <mergeCell ref="D12:H12"/>
    <mergeCell ref="K12:L12"/>
    <mergeCell ref="D13:H13"/>
    <mergeCell ref="K13:L13"/>
    <mergeCell ref="E2:I2"/>
    <mergeCell ref="D3:M3"/>
    <mergeCell ref="D9:H9"/>
    <mergeCell ref="K9:L9"/>
    <mergeCell ref="D10:H10"/>
    <mergeCell ref="K10:L10"/>
  </mergeCells>
  <conditionalFormatting sqref="C4">
    <cfRule type="expression" dxfId="10973" priority="4">
      <formula>IF(ISODD($A4)=TRUE,1,0)</formula>
    </cfRule>
  </conditionalFormatting>
  <conditionalFormatting sqref="D3">
    <cfRule type="expression" dxfId="10972" priority="3">
      <formula>IF(ISODD($A3)=TRUE,1,0)</formula>
    </cfRule>
  </conditionalFormatting>
  <conditionalFormatting sqref="C31">
    <cfRule type="expression" dxfId="10971" priority="2">
      <formula>IF(ISODD($A31)=TRUE,1,0)</formula>
    </cfRule>
  </conditionalFormatting>
  <conditionalFormatting sqref="D30">
    <cfRule type="expression" dxfId="10970" priority="1">
      <formula>IF(ISODD($A30)=TRUE,1,0)</formula>
    </cfRule>
  </conditionalFormatting>
  <pageMargins left="0" right="0" top="0" bottom="0.74803149606299213" header="0" footer="0.31496062992125984"/>
  <pageSetup scale="61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U42"/>
  <sheetViews>
    <sheetView topLeftCell="B1" zoomScale="80" zoomScaleNormal="80" zoomScalePageLayoutView="80" workbookViewId="0">
      <selection activeCell="H33" sqref="H33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3.85546875" style="85" bestFit="1" customWidth="1"/>
    <col min="4" max="4" width="11.42578125" style="85" customWidth="1"/>
    <col min="5" max="6" width="11.42578125" style="85"/>
    <col min="7" max="7" width="6.140625" style="85" customWidth="1"/>
    <col min="8" max="8" width="11.140625" style="85" customWidth="1"/>
    <col min="9" max="9" width="17.28515625" style="85" customWidth="1"/>
    <col min="10" max="10" width="4.28515625" style="85" bestFit="1" customWidth="1"/>
    <col min="11" max="11" width="5.5703125" style="85" customWidth="1"/>
    <col min="12" max="12" width="11.28515625" style="85" customWidth="1"/>
    <col min="13" max="17" width="11.42578125" style="85"/>
    <col min="18" max="18" width="22.5703125" style="85" customWidth="1"/>
    <col min="19" max="16384" width="11.42578125" style="85"/>
  </cols>
  <sheetData>
    <row r="1" spans="1:12" ht="18.75"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</row>
    <row r="2" spans="1:12" ht="18.75"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</row>
    <row r="3" spans="1:12" ht="18.75">
      <c r="B3" s="100"/>
      <c r="C3" s="100"/>
      <c r="D3" s="100"/>
      <c r="E3" s="100"/>
      <c r="F3" s="101"/>
      <c r="G3" s="102"/>
      <c r="H3" s="102"/>
      <c r="I3" s="100"/>
      <c r="J3" s="100"/>
      <c r="K3" s="100"/>
      <c r="L3" s="100"/>
    </row>
    <row r="4" spans="1:12" ht="4.5" customHeight="1"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</row>
    <row r="5" spans="1:12" ht="18.75">
      <c r="B5" s="103" t="s">
        <v>783</v>
      </c>
      <c r="C5" s="100"/>
      <c r="D5" s="270"/>
      <c r="E5" s="104"/>
      <c r="F5" s="104"/>
      <c r="G5" s="104"/>
      <c r="H5" s="104"/>
      <c r="I5" s="104"/>
      <c r="J5" s="104"/>
      <c r="K5" s="104"/>
      <c r="L5" s="100"/>
    </row>
    <row r="6" spans="1:12" ht="18.75" customHeight="1">
      <c r="B6" s="131" t="s">
        <v>812</v>
      </c>
      <c r="C6" s="178" t="str">
        <f>+[4]FACTURAS!N1</f>
        <v>SFC-0322-044</v>
      </c>
      <c r="D6" s="105"/>
      <c r="E6" s="105"/>
      <c r="F6" s="106" t="s">
        <v>784</v>
      </c>
      <c r="G6" s="105"/>
      <c r="H6" s="105"/>
      <c r="I6" s="105"/>
      <c r="J6" s="105"/>
      <c r="K6" s="105"/>
      <c r="L6" s="105"/>
    </row>
    <row r="7" spans="1:12" ht="18.75">
      <c r="A7" s="8"/>
      <c r="B7" s="100"/>
      <c r="C7" s="100"/>
      <c r="D7" s="100"/>
      <c r="E7" s="100"/>
      <c r="F7" s="100"/>
      <c r="G7" s="100"/>
      <c r="H7" s="107"/>
      <c r="I7" s="107" t="s">
        <v>785</v>
      </c>
      <c r="J7" s="108">
        <f>+FACTURAS!J7</f>
        <v>10</v>
      </c>
      <c r="K7" s="109" t="s">
        <v>1632</v>
      </c>
      <c r="L7" s="109" t="s">
        <v>1126</v>
      </c>
    </row>
    <row r="8" spans="1:12" ht="7.5" customHeight="1">
      <c r="A8" s="8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</row>
    <row r="9" spans="1:12" ht="20.25" customHeight="1">
      <c r="A9" s="110" t="s">
        <v>85</v>
      </c>
      <c r="B9" s="121" t="s">
        <v>90</v>
      </c>
      <c r="C9" s="111"/>
      <c r="D9" s="362" t="str">
        <f>+FACTURAS!D9</f>
        <v>E-CERAMIC, C.A.</v>
      </c>
      <c r="E9" s="362"/>
      <c r="F9" s="362"/>
      <c r="G9" s="362"/>
      <c r="H9" s="362"/>
      <c r="I9" s="107" t="s">
        <v>787</v>
      </c>
      <c r="J9" s="373" t="str">
        <f>+FACTURAS!J9</f>
        <v>J-50204745-0</v>
      </c>
      <c r="K9" s="373"/>
      <c r="L9" s="373"/>
    </row>
    <row r="10" spans="1:12" ht="33.75" customHeight="1">
      <c r="A10" s="110" t="s">
        <v>86</v>
      </c>
      <c r="B10" s="121" t="s">
        <v>91</v>
      </c>
      <c r="C10" s="374" t="str">
        <f>+FACTURAS!D10</f>
        <v>AV. TUMARUSA ENTRE ZAMORA Y GARCES, EDIF. DON EDUARDO PISO PLANTA BAJA, URBANIZACION SANTA IRENE, PUNTO FIJO, FALCON.</v>
      </c>
      <c r="D10" s="374"/>
      <c r="E10" s="374"/>
      <c r="F10" s="374"/>
      <c r="G10" s="374"/>
      <c r="H10" s="374"/>
      <c r="I10" s="374"/>
      <c r="J10" s="374"/>
      <c r="K10" s="374"/>
      <c r="L10" s="374"/>
    </row>
    <row r="11" spans="1:12" ht="20.25" customHeight="1">
      <c r="A11" s="112" t="s">
        <v>788</v>
      </c>
      <c r="B11" s="121" t="s">
        <v>92</v>
      </c>
      <c r="C11" s="113" t="str">
        <f>+FACTURAS!I11</f>
        <v>`0269-2470133</v>
      </c>
      <c r="D11" s="111"/>
      <c r="E11" s="111"/>
      <c r="F11" s="111"/>
      <c r="G11" s="111"/>
      <c r="H11" s="111"/>
      <c r="I11" s="111"/>
      <c r="J11" s="350"/>
      <c r="K11" s="350"/>
      <c r="L11" s="350"/>
    </row>
    <row r="12" spans="1:12" ht="18.75">
      <c r="B12" s="122" t="s">
        <v>0</v>
      </c>
      <c r="C12" s="114"/>
      <c r="D12" s="375" t="s">
        <v>88</v>
      </c>
      <c r="E12" s="375"/>
      <c r="F12" s="375"/>
      <c r="G12" s="375"/>
      <c r="H12" s="375"/>
      <c r="I12" s="122" t="s">
        <v>833</v>
      </c>
      <c r="J12" s="375" t="s">
        <v>832</v>
      </c>
      <c r="K12" s="375"/>
      <c r="L12" s="375"/>
    </row>
    <row r="13" spans="1:12" ht="18" hidden="1" customHeight="1">
      <c r="B13" s="8">
        <v>100</v>
      </c>
      <c r="C13" s="8"/>
      <c r="D13" s="370" t="s">
        <v>789</v>
      </c>
      <c r="E13" s="370"/>
      <c r="F13" s="370"/>
      <c r="G13" s="370"/>
      <c r="H13" s="370"/>
      <c r="I13" s="115">
        <f>32/1.12</f>
        <v>28.571428571428569</v>
      </c>
      <c r="J13" s="371">
        <f>+I13*B13</f>
        <v>2857.1428571428569</v>
      </c>
      <c r="K13" s="371"/>
      <c r="L13" s="371"/>
    </row>
    <row r="14" spans="1:12" ht="18" hidden="1" customHeight="1">
      <c r="B14" s="116">
        <v>100</v>
      </c>
      <c r="C14" s="8"/>
      <c r="D14" s="370" t="s">
        <v>790</v>
      </c>
      <c r="E14" s="370"/>
      <c r="F14" s="370"/>
      <c r="G14" s="370"/>
      <c r="H14" s="370"/>
      <c r="I14" s="81">
        <v>32</v>
      </c>
      <c r="J14" s="371">
        <f t="shared" ref="J14:J19" si="0">+I14*B14</f>
        <v>3200</v>
      </c>
      <c r="K14" s="371"/>
      <c r="L14" s="371"/>
    </row>
    <row r="15" spans="1:12" ht="18" hidden="1" customHeight="1">
      <c r="D15" s="363" t="s">
        <v>791</v>
      </c>
      <c r="E15" s="363"/>
      <c r="F15" s="363"/>
      <c r="G15" s="363"/>
      <c r="H15" s="363"/>
      <c r="I15" s="88">
        <f>27/1.12</f>
        <v>24.107142857142854</v>
      </c>
      <c r="J15" s="364">
        <f t="shared" si="0"/>
        <v>0</v>
      </c>
      <c r="K15" s="364"/>
      <c r="L15" s="364"/>
    </row>
    <row r="16" spans="1:12" ht="18" hidden="1" customHeight="1">
      <c r="D16" s="363" t="s">
        <v>792</v>
      </c>
      <c r="E16" s="363"/>
      <c r="F16" s="363"/>
      <c r="G16" s="363"/>
      <c r="H16" s="363"/>
      <c r="I16" s="88">
        <f>27/1.12</f>
        <v>24.107142857142854</v>
      </c>
      <c r="J16" s="364">
        <f t="shared" si="0"/>
        <v>0</v>
      </c>
      <c r="K16" s="364"/>
      <c r="L16" s="364"/>
    </row>
    <row r="17" spans="2:21" ht="18" hidden="1" customHeight="1">
      <c r="D17" s="363" t="s">
        <v>793</v>
      </c>
      <c r="E17" s="363"/>
      <c r="F17" s="363"/>
      <c r="G17" s="363"/>
      <c r="H17" s="363"/>
      <c r="I17" s="88">
        <f>134/(1.12)</f>
        <v>119.64285714285712</v>
      </c>
      <c r="J17" s="364">
        <f t="shared" si="0"/>
        <v>0</v>
      </c>
      <c r="K17" s="364"/>
      <c r="L17" s="364"/>
    </row>
    <row r="18" spans="2:21" ht="26.25" customHeight="1">
      <c r="B18" s="123">
        <f>+FACTURAS!B15</f>
        <v>50</v>
      </c>
      <c r="C18" s="84"/>
      <c r="D18" s="376" t="str">
        <f>+FACTURAS!D15</f>
        <v>CHS - PINTURA IMPERMEABLE EN POLVO - SACO 10KG</v>
      </c>
      <c r="E18" s="376"/>
      <c r="F18" s="376"/>
      <c r="G18" s="376"/>
      <c r="H18" s="376"/>
      <c r="I18" s="124">
        <f>+FACTURAS!I15</f>
        <v>135.92600000000002</v>
      </c>
      <c r="J18" s="377">
        <f>+FACTURAS!J15</f>
        <v>6796.3000000000011</v>
      </c>
      <c r="K18" s="377"/>
      <c r="L18" s="377"/>
    </row>
    <row r="19" spans="2:21" ht="15.75" hidden="1" customHeight="1">
      <c r="D19" s="363" t="s">
        <v>794</v>
      </c>
      <c r="E19" s="363"/>
      <c r="F19" s="363"/>
      <c r="G19" s="363"/>
      <c r="H19" s="363"/>
      <c r="I19" s="88">
        <f>4400/(1.12)</f>
        <v>3928.571428571428</v>
      </c>
      <c r="J19" s="364">
        <f t="shared" si="0"/>
        <v>0</v>
      </c>
      <c r="K19" s="364"/>
      <c r="L19" s="364"/>
    </row>
    <row r="20" spans="2:21" ht="18" customHeight="1">
      <c r="B20" s="123" t="str">
        <f>+FACTURAS!B16</f>
        <v/>
      </c>
      <c r="C20" s="84"/>
      <c r="D20" s="376" t="str">
        <f>+FACTURAS!D16</f>
        <v/>
      </c>
      <c r="E20" s="376"/>
      <c r="F20" s="376"/>
      <c r="G20" s="376"/>
      <c r="H20" s="376"/>
      <c r="I20" s="124" t="str">
        <f>+FACTURAS!I16</f>
        <v/>
      </c>
      <c r="J20" s="377" t="str">
        <f>+FACTURAS!J16</f>
        <v/>
      </c>
      <c r="K20" s="377"/>
      <c r="L20" s="377"/>
    </row>
    <row r="21" spans="2:21">
      <c r="B21" s="123" t="str">
        <f>+FACTURAS!B17</f>
        <v/>
      </c>
      <c r="C21" s="84"/>
      <c r="D21" s="376" t="str">
        <f>+FACTURAS!D17</f>
        <v/>
      </c>
      <c r="E21" s="376"/>
      <c r="F21" s="376"/>
      <c r="G21" s="376"/>
      <c r="H21" s="376"/>
      <c r="I21" s="124" t="str">
        <f>+FACTURAS!I17</f>
        <v/>
      </c>
      <c r="J21" s="377" t="str">
        <f>+FACTURAS!J17</f>
        <v/>
      </c>
      <c r="K21" s="377"/>
      <c r="L21" s="377"/>
      <c r="N21" s="260"/>
    </row>
    <row r="22" spans="2:21" hidden="1">
      <c r="B22" s="117"/>
      <c r="C22" s="117"/>
      <c r="D22" s="365"/>
      <c r="E22" s="365"/>
      <c r="F22" s="365"/>
      <c r="G22" s="365"/>
      <c r="H22" s="365"/>
      <c r="I22" s="118"/>
      <c r="J22" s="359">
        <f>+I22*B22</f>
        <v>0</v>
      </c>
      <c r="K22" s="359"/>
      <c r="L22" s="359"/>
    </row>
    <row r="23" spans="2:21" hidden="1">
      <c r="B23" s="119"/>
      <c r="C23" s="119"/>
      <c r="D23" s="367"/>
      <c r="E23" s="367"/>
      <c r="F23" s="367"/>
      <c r="G23" s="367"/>
      <c r="H23" s="367"/>
      <c r="I23" s="120"/>
      <c r="J23" s="359">
        <f>+I23*B23</f>
        <v>0</v>
      </c>
      <c r="K23" s="359"/>
      <c r="L23" s="359"/>
    </row>
    <row r="24" spans="2:21">
      <c r="B24" s="123" t="str">
        <f>+FACTURAS!B18</f>
        <v/>
      </c>
      <c r="C24" s="84"/>
      <c r="D24" s="376" t="str">
        <f>+FACTURAS!D18</f>
        <v/>
      </c>
      <c r="E24" s="376"/>
      <c r="F24" s="376"/>
      <c r="G24" s="376"/>
      <c r="H24" s="376"/>
      <c r="I24" s="124" t="str">
        <f>+FACTURAS!I18</f>
        <v/>
      </c>
      <c r="J24" s="377" t="str">
        <f>+FACTURAS!J18</f>
        <v/>
      </c>
      <c r="K24" s="377"/>
      <c r="L24" s="377"/>
      <c r="O24" s="11"/>
    </row>
    <row r="25" spans="2:21" ht="15.75" customHeight="1">
      <c r="B25" s="123" t="str">
        <f>+FACTURAS!B19</f>
        <v/>
      </c>
      <c r="C25" s="84"/>
      <c r="D25" s="376" t="str">
        <f>+FACTURAS!D19</f>
        <v/>
      </c>
      <c r="E25" s="376"/>
      <c r="F25" s="376"/>
      <c r="G25" s="376"/>
      <c r="H25" s="376"/>
      <c r="I25" s="124" t="str">
        <f>+FACTURAS!I19</f>
        <v/>
      </c>
      <c r="J25" s="377" t="str">
        <f>+FACTURAS!J19</f>
        <v/>
      </c>
      <c r="K25" s="377"/>
      <c r="L25" s="377"/>
      <c r="Q25" s="23"/>
      <c r="R25" s="23"/>
      <c r="S25" s="23"/>
      <c r="T25" s="23"/>
      <c r="U25" s="23"/>
    </row>
    <row r="26" spans="2:21" ht="15.75" customHeight="1">
      <c r="B26" s="123" t="str">
        <f>+FACTURAS!B20</f>
        <v/>
      </c>
      <c r="C26" s="84"/>
      <c r="D26" s="376" t="str">
        <f>+FACTURAS!D20</f>
        <v/>
      </c>
      <c r="E26" s="376"/>
      <c r="F26" s="376"/>
      <c r="G26" s="376"/>
      <c r="H26" s="376"/>
      <c r="I26" s="124" t="str">
        <f>+FACTURAS!I20</f>
        <v/>
      </c>
      <c r="J26" s="377" t="str">
        <f>+FACTURAS!J20</f>
        <v/>
      </c>
      <c r="K26" s="377"/>
      <c r="L26" s="377"/>
      <c r="O26" s="261"/>
      <c r="Q26" s="23"/>
      <c r="R26" s="23"/>
      <c r="S26" s="23"/>
      <c r="T26" s="23"/>
      <c r="U26" s="23"/>
    </row>
    <row r="27" spans="2:21">
      <c r="B27" s="123" t="str">
        <f>+FACTURAS!B21</f>
        <v/>
      </c>
      <c r="C27" s="84"/>
      <c r="D27" s="376" t="str">
        <f>+FACTURAS!D21</f>
        <v/>
      </c>
      <c r="E27" s="376"/>
      <c r="F27" s="376"/>
      <c r="G27" s="376"/>
      <c r="H27" s="376"/>
      <c r="I27" s="124" t="str">
        <f>+FACTURAS!I21</f>
        <v/>
      </c>
      <c r="J27" s="377" t="str">
        <f>+FACTURAS!J21</f>
        <v/>
      </c>
      <c r="K27" s="377"/>
      <c r="L27" s="377"/>
      <c r="Q27" s="23"/>
      <c r="R27" s="23"/>
      <c r="S27" s="23"/>
      <c r="T27" s="23"/>
      <c r="U27" s="23"/>
    </row>
    <row r="28" spans="2:21">
      <c r="B28" s="123" t="str">
        <f>+FACTURAS!B22</f>
        <v/>
      </c>
      <c r="C28" s="84"/>
      <c r="D28" s="376" t="str">
        <f>+FACTURAS!D22</f>
        <v/>
      </c>
      <c r="E28" s="376"/>
      <c r="F28" s="376"/>
      <c r="G28" s="376"/>
      <c r="H28" s="376"/>
      <c r="I28" s="124" t="str">
        <f>+FACTURAS!I22</f>
        <v/>
      </c>
      <c r="J28" s="377" t="str">
        <f>+FACTURAS!J22</f>
        <v/>
      </c>
      <c r="K28" s="377"/>
      <c r="L28" s="377"/>
      <c r="N28" s="260"/>
      <c r="Q28" s="23"/>
      <c r="R28" s="23"/>
      <c r="S28" s="23"/>
      <c r="T28" s="23"/>
      <c r="U28" s="23"/>
    </row>
    <row r="29" spans="2:21">
      <c r="B29" s="123" t="str">
        <f>+FACTURAS!B23</f>
        <v/>
      </c>
      <c r="C29" s="84"/>
      <c r="D29" s="376" t="str">
        <f>+FACTURAS!D23</f>
        <v/>
      </c>
      <c r="E29" s="376"/>
      <c r="F29" s="376"/>
      <c r="G29" s="376"/>
      <c r="H29" s="376"/>
      <c r="I29" s="124" t="str">
        <f>+FACTURAS!I23</f>
        <v/>
      </c>
      <c r="J29" s="377" t="str">
        <f>+FACTURAS!J23</f>
        <v/>
      </c>
      <c r="K29" s="377"/>
      <c r="L29" s="377"/>
      <c r="Q29" s="23"/>
      <c r="R29" s="23"/>
      <c r="S29" s="23"/>
      <c r="T29" s="23"/>
      <c r="U29" s="23"/>
    </row>
    <row r="30" spans="2:21">
      <c r="B30" s="123" t="str">
        <f>+FACTURAS!B24</f>
        <v/>
      </c>
      <c r="C30" s="84"/>
      <c r="D30" s="376" t="str">
        <f>+FACTURAS!D24</f>
        <v/>
      </c>
      <c r="E30" s="376"/>
      <c r="F30" s="376"/>
      <c r="G30" s="376"/>
      <c r="H30" s="376"/>
      <c r="I30" s="124" t="str">
        <f>+FACTURAS!I24</f>
        <v/>
      </c>
      <c r="J30" s="377" t="str">
        <f>+FACTURAS!J24</f>
        <v/>
      </c>
      <c r="K30" s="377"/>
      <c r="L30" s="377"/>
      <c r="Q30" s="23"/>
      <c r="R30" s="23"/>
      <c r="S30" s="23"/>
      <c r="T30" s="23"/>
      <c r="U30" s="23"/>
    </row>
    <row r="31" spans="2:21">
      <c r="B31" s="123" t="str">
        <f>+FACTURAS!B25</f>
        <v/>
      </c>
      <c r="C31" s="84"/>
      <c r="D31" s="376" t="str">
        <f>+FACTURAS!D25</f>
        <v/>
      </c>
      <c r="E31" s="376"/>
      <c r="F31" s="376"/>
      <c r="G31" s="376"/>
      <c r="H31" s="376"/>
      <c r="I31" s="124" t="str">
        <f>+FACTURAS!I25</f>
        <v/>
      </c>
      <c r="J31" s="377" t="str">
        <f>+FACTURAS!J25</f>
        <v/>
      </c>
      <c r="K31" s="377"/>
      <c r="L31" s="377"/>
      <c r="Q31" s="23"/>
      <c r="R31" s="23"/>
      <c r="S31" s="23"/>
      <c r="T31" s="23"/>
      <c r="U31" s="23"/>
    </row>
    <row r="32" spans="2:21" ht="18.75">
      <c r="B32" s="274"/>
      <c r="C32" s="275"/>
      <c r="D32" s="275"/>
      <c r="E32" s="275"/>
      <c r="F32" s="275"/>
      <c r="G32" s="275"/>
      <c r="H32" s="275" t="s">
        <v>1032</v>
      </c>
      <c r="I32" s="275" t="s">
        <v>945</v>
      </c>
      <c r="J32" s="378">
        <f>SUBTOTAL(9,J18:L31)</f>
        <v>6796.3000000000011</v>
      </c>
      <c r="K32" s="378"/>
      <c r="L32" s="378"/>
      <c r="O32" s="261"/>
      <c r="Q32" s="23"/>
      <c r="R32" s="23"/>
      <c r="S32" s="23"/>
      <c r="T32" s="23"/>
      <c r="U32" s="23"/>
    </row>
    <row r="33" spans="2:21" ht="18.75">
      <c r="B33" s="126"/>
      <c r="C33" s="126"/>
      <c r="D33" s="126"/>
      <c r="E33" s="126"/>
      <c r="F33" s="271"/>
      <c r="G33" s="126"/>
      <c r="H33" s="276">
        <v>0.05</v>
      </c>
      <c r="I33" s="126" t="s">
        <v>1090</v>
      </c>
      <c r="J33" s="127"/>
      <c r="K33" s="379">
        <f>+J32*0.05</f>
        <v>339.81500000000005</v>
      </c>
      <c r="L33" s="379"/>
      <c r="Q33" s="23"/>
      <c r="R33" s="23"/>
      <c r="S33" s="23"/>
      <c r="T33" s="23"/>
      <c r="U33" s="23"/>
    </row>
    <row r="34" spans="2:21" ht="21">
      <c r="B34" s="84"/>
      <c r="C34" s="128"/>
      <c r="D34" s="63"/>
      <c r="E34" s="129"/>
      <c r="F34" s="84"/>
      <c r="G34" s="84"/>
      <c r="H34" s="84"/>
      <c r="I34" s="84" t="s">
        <v>1091</v>
      </c>
      <c r="J34" s="84"/>
      <c r="K34" s="381">
        <f>+J32-K33</f>
        <v>6456.4850000000006</v>
      </c>
      <c r="L34" s="382"/>
      <c r="Q34" s="23"/>
      <c r="R34" s="303"/>
      <c r="S34" s="303"/>
      <c r="T34" s="23"/>
      <c r="U34" s="23"/>
    </row>
    <row r="35" spans="2:21">
      <c r="B35" s="7" t="s">
        <v>800</v>
      </c>
      <c r="Q35" s="23"/>
      <c r="R35" s="303"/>
      <c r="S35" s="303"/>
      <c r="T35" s="23"/>
      <c r="U35" s="23"/>
    </row>
    <row r="36" spans="2:21">
      <c r="P36" s="11"/>
      <c r="Q36" s="23"/>
      <c r="R36" s="303"/>
      <c r="S36" s="303"/>
      <c r="T36" s="23"/>
      <c r="U36" s="23"/>
    </row>
    <row r="37" spans="2:21">
      <c r="I37" s="117"/>
      <c r="J37" s="380"/>
      <c r="K37" s="380"/>
      <c r="L37" s="380"/>
      <c r="P37" s="11"/>
      <c r="Q37" s="23"/>
      <c r="R37" s="303"/>
      <c r="S37" s="303"/>
      <c r="T37" s="23"/>
      <c r="U37" s="23"/>
    </row>
    <row r="38" spans="2:21" ht="15.75">
      <c r="I38" s="260"/>
      <c r="Q38" s="23"/>
      <c r="R38" s="304"/>
      <c r="S38" s="304"/>
      <c r="T38" s="23"/>
      <c r="U38" s="23"/>
    </row>
    <row r="39" spans="2:21">
      <c r="Q39" s="23"/>
      <c r="R39" s="23"/>
      <c r="S39" s="23"/>
      <c r="T39" s="23"/>
      <c r="U39" s="23"/>
    </row>
    <row r="40" spans="2:21">
      <c r="Q40" s="23"/>
      <c r="R40" s="23"/>
      <c r="S40" s="23"/>
      <c r="T40" s="23"/>
      <c r="U40" s="23"/>
    </row>
    <row r="41" spans="2:21">
      <c r="Q41" s="23"/>
      <c r="R41" s="23"/>
      <c r="S41" s="23"/>
      <c r="T41" s="23"/>
      <c r="U41" s="23"/>
    </row>
    <row r="42" spans="2:21">
      <c r="Q42" s="23"/>
      <c r="R42" s="23"/>
      <c r="S42" s="23"/>
      <c r="T42" s="23"/>
      <c r="U42" s="23"/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48">
    <mergeCell ref="K33:L33"/>
    <mergeCell ref="J37:L37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4:L34"/>
    <mergeCell ref="D23:H23"/>
    <mergeCell ref="J23:L23"/>
    <mergeCell ref="D24:H24"/>
    <mergeCell ref="J24:L24"/>
    <mergeCell ref="J32:L32"/>
    <mergeCell ref="D31:H31"/>
    <mergeCell ref="J31:L31"/>
    <mergeCell ref="D20:H20"/>
    <mergeCell ref="J20:L20"/>
    <mergeCell ref="D21:H21"/>
    <mergeCell ref="J21:L21"/>
    <mergeCell ref="D22:H22"/>
    <mergeCell ref="J22:L22"/>
    <mergeCell ref="D17:H17"/>
    <mergeCell ref="J17:L17"/>
    <mergeCell ref="D18:H18"/>
    <mergeCell ref="J18:L18"/>
    <mergeCell ref="D19:H19"/>
    <mergeCell ref="J19:L19"/>
    <mergeCell ref="D9:H9"/>
    <mergeCell ref="J9:L9"/>
    <mergeCell ref="C10:L10"/>
    <mergeCell ref="J11:L11"/>
    <mergeCell ref="D12:H12"/>
    <mergeCell ref="J12:L12"/>
    <mergeCell ref="D16:H16"/>
    <mergeCell ref="J16:L16"/>
    <mergeCell ref="D13:H13"/>
    <mergeCell ref="J13:L13"/>
    <mergeCell ref="D14:H14"/>
    <mergeCell ref="J14:L14"/>
    <mergeCell ref="D15:H15"/>
    <mergeCell ref="J15:L15"/>
  </mergeCells>
  <conditionalFormatting sqref="C10">
    <cfRule type="expression" dxfId="10969" priority="7">
      <formula>IF(ISODD($A10)=TRUE,1,0)</formula>
    </cfRule>
  </conditionalFormatting>
  <conditionalFormatting sqref="C34:E34">
    <cfRule type="expression" dxfId="10968" priority="6">
      <formula>IF(ISODD($A34)=TRUE,1,0)</formula>
    </cfRule>
  </conditionalFormatting>
  <conditionalFormatting sqref="C11">
    <cfRule type="expression" dxfId="10967" priority="1">
      <formula>IF(ISODD($A11)=TRUE,1,0)</formula>
    </cfRule>
  </conditionalFormatting>
  <pageMargins left="0" right="0" top="0" bottom="0.74803149606299213" header="0" footer="0.31496062992125984"/>
  <pageSetup scale="8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73"/>
  <sheetViews>
    <sheetView topLeftCell="A19" zoomScale="120" zoomScaleNormal="120" workbookViewId="0">
      <selection activeCell="A46" sqref="A46"/>
    </sheetView>
  </sheetViews>
  <sheetFormatPr baseColWidth="10" defaultColWidth="11.42578125" defaultRowHeight="15"/>
  <cols>
    <col min="1" max="1" width="40.7109375" style="85" bestFit="1" customWidth="1"/>
    <col min="2" max="2" width="11.42578125" style="85"/>
    <col min="3" max="3" width="42.7109375" style="85" bestFit="1" customWidth="1"/>
    <col min="4" max="4" width="7.28515625" style="85" bestFit="1" customWidth="1"/>
    <col min="5" max="5" width="16.42578125" style="85" bestFit="1" customWidth="1"/>
    <col min="6" max="6" width="13.42578125" style="85" customWidth="1"/>
    <col min="7" max="7" width="16.42578125" style="85" bestFit="1" customWidth="1"/>
    <col min="8" max="8" width="16.28515625" style="85" customWidth="1"/>
    <col min="9" max="9" width="16.42578125" style="85" bestFit="1" customWidth="1"/>
    <col min="10" max="13" width="11.42578125" style="85"/>
    <col min="14" max="14" width="30.42578125" style="85" bestFit="1" customWidth="1"/>
    <col min="15" max="16" width="30.42578125" style="85" customWidth="1"/>
    <col min="17" max="17" width="20.7109375" style="85" bestFit="1" customWidth="1"/>
    <col min="18" max="18" width="11.42578125" style="85"/>
    <col min="19" max="19" width="16.5703125" style="85" bestFit="1" customWidth="1"/>
    <col min="20" max="20" width="12.7109375" style="85" bestFit="1" customWidth="1"/>
    <col min="21" max="16384" width="11.42578125" style="85"/>
  </cols>
  <sheetData>
    <row r="1" spans="1:52">
      <c r="AZ1" s="85">
        <v>71</v>
      </c>
    </row>
    <row r="2" spans="1:52" ht="15.75">
      <c r="E2" s="62">
        <v>44216</v>
      </c>
      <c r="F2" s="70"/>
      <c r="H2" s="37" t="s">
        <v>836</v>
      </c>
    </row>
    <row r="3" spans="1:52" ht="26.25">
      <c r="C3" s="24" t="s">
        <v>769</v>
      </c>
      <c r="D3" s="383" t="s">
        <v>770</v>
      </c>
      <c r="E3" s="383"/>
      <c r="F3" s="383"/>
      <c r="G3" s="204" t="s">
        <v>865</v>
      </c>
      <c r="H3" s="384">
        <v>5.0999999999999996</v>
      </c>
      <c r="I3" s="384"/>
    </row>
    <row r="4" spans="1:52">
      <c r="D4" s="204" t="s">
        <v>416</v>
      </c>
      <c r="E4" s="204" t="s">
        <v>771</v>
      </c>
      <c r="F4" s="204" t="s">
        <v>870</v>
      </c>
      <c r="G4" s="204" t="s">
        <v>416</v>
      </c>
      <c r="H4" s="204" t="s">
        <v>771</v>
      </c>
      <c r="I4" s="204" t="s">
        <v>772</v>
      </c>
      <c r="N4" s="85" t="s">
        <v>416</v>
      </c>
      <c r="O4" s="85" t="s">
        <v>771</v>
      </c>
      <c r="P4" s="85" t="s">
        <v>870</v>
      </c>
      <c r="R4" s="85" t="s">
        <v>416</v>
      </c>
      <c r="S4" s="85" t="s">
        <v>771</v>
      </c>
      <c r="T4" s="85" t="s">
        <v>870</v>
      </c>
    </row>
    <row r="5" spans="1:52">
      <c r="A5" s="67" t="s">
        <v>76</v>
      </c>
      <c r="C5" s="85" t="s">
        <v>863</v>
      </c>
      <c r="D5" s="202">
        <f>IF(ISERROR(VLOOKUP($K5,$Q:$T,2,FALSE)+1-1)=FALSE,VLOOKUP($K5,$Q:$T,2,FALSE)+1-1,0)</f>
        <v>1.2199999999999998</v>
      </c>
      <c r="E5" s="202">
        <f>IF(ISERROR(VLOOKUP($K5,$Q:$T,2,FALSE)+1-1)=FALSE,VLOOKUP($K5,$Q:$T,3,FALSE)+1-1,0)</f>
        <v>1.2800000000000002</v>
      </c>
      <c r="F5" s="202">
        <f t="shared" ref="F5:F19" si="0">IF(ISERROR(VLOOKUP($K5,$Q:$T,2,FALSE)+1-1)=FALSE,VLOOKUP($K5,$Q:$T,4,FALSE)+1-1,0)</f>
        <v>0</v>
      </c>
      <c r="G5" s="98">
        <f>+D5*$H$3</f>
        <v>6.2219999999999986</v>
      </c>
      <c r="H5" s="98">
        <f>+E5*$H$3</f>
        <v>6.5280000000000005</v>
      </c>
      <c r="I5" s="98">
        <f>+F5*$H$3</f>
        <v>0</v>
      </c>
      <c r="K5" s="67" t="s">
        <v>637</v>
      </c>
      <c r="N5" s="67" t="s">
        <v>1156</v>
      </c>
      <c r="O5" s="67" t="s">
        <v>1174</v>
      </c>
      <c r="P5" s="67"/>
      <c r="Q5" s="67" t="str">
        <f>MID(N5,1,FIND(":",N5,1)-1)</f>
        <v>MACRO 100GR</v>
      </c>
      <c r="R5" s="67">
        <f>IF(N5="",0,ROUND(MID(N5,FIND(":",N5,1)+2,LEN(N5)),2))</f>
        <v>1.22</v>
      </c>
      <c r="S5" s="67">
        <f>IF(O5="",0,ROUND(MID(O5,FIND(":",O5,1)+2,LEN(O5)),2))</f>
        <v>1.28</v>
      </c>
      <c r="T5" s="67">
        <f>IF(P5="",0,MID(P5,FIND(":",P5,1)+2,LEN(P5)))</f>
        <v>0</v>
      </c>
    </row>
    <row r="6" spans="1:52">
      <c r="A6" s="67" t="s">
        <v>75</v>
      </c>
      <c r="C6" s="85" t="s">
        <v>864</v>
      </c>
      <c r="D6" s="202">
        <f t="shared" ref="D6:D56" si="1">IF(ISERROR(VLOOKUP($K6,$Q:$T,2,FALSE)+1-1)=FALSE,VLOOKUP($K6,$Q:$T,2,FALSE)+1-1,0)</f>
        <v>1.81</v>
      </c>
      <c r="E6" s="202">
        <f t="shared" ref="E6:E56" si="2">IF(ISERROR(VLOOKUP($K6,$Q:$T,2,FALSE)+1-1)=FALSE,VLOOKUP($K6,$Q:$T,3,FALSE)+1-1,0)</f>
        <v>1.9</v>
      </c>
      <c r="F6" s="202">
        <f t="shared" si="0"/>
        <v>0</v>
      </c>
      <c r="G6" s="98">
        <f t="shared" ref="G6:G31" si="3">+D6*$H$3</f>
        <v>9.2309999999999999</v>
      </c>
      <c r="H6" s="98">
        <f t="shared" ref="H6:H31" si="4">+E6*$H$3</f>
        <v>9.69</v>
      </c>
      <c r="I6" s="98">
        <f t="shared" ref="I6:I29" si="5">+F6*$H$3</f>
        <v>0</v>
      </c>
      <c r="K6" s="67" t="s">
        <v>913</v>
      </c>
      <c r="N6" s="67" t="s">
        <v>1157</v>
      </c>
      <c r="O6" s="67" t="s">
        <v>1175</v>
      </c>
      <c r="P6" s="67"/>
      <c r="Q6" s="67" t="str">
        <f t="shared" ref="Q6:Q27" si="6">MID(N6,1,FIND(":",N6,1)-1)</f>
        <v>MICRO 100GR</v>
      </c>
      <c r="R6" s="67">
        <f t="shared" ref="R6:R38" si="7">IF(N6="",0,ROUND(MID(N6,FIND(":",N6,1)+2,LEN(N6)),2))</f>
        <v>1.81</v>
      </c>
      <c r="S6" s="67">
        <f t="shared" ref="S6:S38" si="8">IF(O6="",0,ROUND(MID(O6,FIND(":",O6,1)+2,LEN(O6)),2))</f>
        <v>1.9</v>
      </c>
      <c r="T6" s="67">
        <f t="shared" ref="T6:T27" si="9">IF(P6="",0,MID(P6,FIND(":",P6,1)+2,LEN(P6)))</f>
        <v>0</v>
      </c>
    </row>
    <row r="7" spans="1:52">
      <c r="A7" s="67" t="s">
        <v>453</v>
      </c>
      <c r="C7" s="85" t="s">
        <v>638</v>
      </c>
      <c r="D7" s="202">
        <f t="shared" si="1"/>
        <v>1.56</v>
      </c>
      <c r="E7" s="202">
        <f t="shared" si="2"/>
        <v>1.7000000000000002</v>
      </c>
      <c r="F7" s="202">
        <f t="shared" si="0"/>
        <v>0</v>
      </c>
      <c r="G7" s="98">
        <f t="shared" si="3"/>
        <v>7.9559999999999995</v>
      </c>
      <c r="H7" s="98">
        <f>+E7*$H$3</f>
        <v>8.67</v>
      </c>
      <c r="I7" s="98">
        <f t="shared" si="5"/>
        <v>0</v>
      </c>
      <c r="K7" s="67" t="s">
        <v>638</v>
      </c>
      <c r="N7" s="67" t="s">
        <v>1263</v>
      </c>
      <c r="O7" s="67" t="s">
        <v>1276</v>
      </c>
      <c r="P7" s="67"/>
      <c r="Q7" s="67" t="str">
        <f t="shared" si="6"/>
        <v>STYLOSA 85GR</v>
      </c>
      <c r="R7" s="67">
        <f t="shared" si="7"/>
        <v>1.56</v>
      </c>
      <c r="S7" s="67">
        <f t="shared" si="8"/>
        <v>1.7</v>
      </c>
      <c r="T7" s="67">
        <f t="shared" si="9"/>
        <v>0</v>
      </c>
    </row>
    <row r="8" spans="1:52">
      <c r="A8" s="67" t="s">
        <v>515</v>
      </c>
      <c r="C8" s="85" t="s">
        <v>773</v>
      </c>
      <c r="D8" s="202">
        <f t="shared" si="1"/>
        <v>2.1800000000000002</v>
      </c>
      <c r="E8" s="202">
        <f t="shared" si="2"/>
        <v>2.2799999999999998</v>
      </c>
      <c r="F8" s="202">
        <f t="shared" si="0"/>
        <v>0</v>
      </c>
      <c r="G8" s="98">
        <f t="shared" si="3"/>
        <v>11.118</v>
      </c>
      <c r="H8" s="98">
        <f t="shared" si="4"/>
        <v>11.627999999999998</v>
      </c>
      <c r="I8" s="98">
        <f t="shared" si="5"/>
        <v>0</v>
      </c>
      <c r="K8" s="67" t="s">
        <v>636</v>
      </c>
      <c r="N8" s="67" t="s">
        <v>1158</v>
      </c>
      <c r="O8" s="67" t="s">
        <v>1176</v>
      </c>
      <c r="P8" s="67"/>
      <c r="Q8" s="67" t="str">
        <f t="shared" si="6"/>
        <v>PASTA PLUS 3K</v>
      </c>
      <c r="R8" s="67">
        <f t="shared" si="7"/>
        <v>2.1800000000000002</v>
      </c>
      <c r="S8" s="67">
        <f t="shared" si="8"/>
        <v>2.2799999999999998</v>
      </c>
      <c r="T8" s="67">
        <f t="shared" si="9"/>
        <v>0</v>
      </c>
    </row>
    <row r="9" spans="1:52">
      <c r="A9" s="67" t="s">
        <v>480</v>
      </c>
      <c r="C9" s="85" t="s">
        <v>774</v>
      </c>
      <c r="D9" s="202">
        <f t="shared" si="1"/>
        <v>0.55000000000000004</v>
      </c>
      <c r="E9" s="202">
        <f t="shared" si="2"/>
        <v>0.58000000000000007</v>
      </c>
      <c r="F9" s="202">
        <f t="shared" si="0"/>
        <v>0</v>
      </c>
      <c r="G9" s="98">
        <f t="shared" si="3"/>
        <v>2.8050000000000002</v>
      </c>
      <c r="H9" s="98">
        <f t="shared" si="4"/>
        <v>2.9580000000000002</v>
      </c>
      <c r="I9" s="98">
        <f t="shared" si="5"/>
        <v>0</v>
      </c>
      <c r="K9" s="67" t="s">
        <v>635</v>
      </c>
      <c r="N9" s="67" t="s">
        <v>1159</v>
      </c>
      <c r="O9" s="67" t="s">
        <v>1177</v>
      </c>
      <c r="P9" s="67"/>
      <c r="Q9" s="67" t="str">
        <f t="shared" si="6"/>
        <v>PASTA 0,75K</v>
      </c>
      <c r="R9" s="67">
        <f t="shared" si="7"/>
        <v>0.55000000000000004</v>
      </c>
      <c r="S9" s="67">
        <f t="shared" si="8"/>
        <v>0.57999999999999996</v>
      </c>
      <c r="T9" s="67">
        <f t="shared" si="9"/>
        <v>0</v>
      </c>
    </row>
    <row r="10" spans="1:52">
      <c r="A10" s="67" t="s">
        <v>512</v>
      </c>
      <c r="C10" s="85" t="s">
        <v>775</v>
      </c>
      <c r="D10" s="202">
        <f t="shared" si="1"/>
        <v>2.0299999999999998</v>
      </c>
      <c r="E10" s="202">
        <f t="shared" si="2"/>
        <v>2.12</v>
      </c>
      <c r="F10" s="202">
        <f t="shared" si="0"/>
        <v>0</v>
      </c>
      <c r="G10" s="98">
        <f t="shared" si="3"/>
        <v>10.352999999999998</v>
      </c>
      <c r="H10" s="98">
        <f t="shared" si="4"/>
        <v>10.811999999999999</v>
      </c>
      <c r="I10" s="98">
        <f t="shared" si="5"/>
        <v>0</v>
      </c>
      <c r="K10" s="67" t="s">
        <v>634</v>
      </c>
      <c r="N10" s="67" t="s">
        <v>1160</v>
      </c>
      <c r="O10" s="67" t="s">
        <v>1178</v>
      </c>
      <c r="P10" s="67"/>
      <c r="Q10" s="67" t="str">
        <f t="shared" si="6"/>
        <v>GRAFIADO 6K</v>
      </c>
      <c r="R10" s="67">
        <f t="shared" si="7"/>
        <v>2.0299999999999998</v>
      </c>
      <c r="S10" s="67">
        <f t="shared" si="8"/>
        <v>2.12</v>
      </c>
      <c r="T10" s="67">
        <f t="shared" si="9"/>
        <v>0</v>
      </c>
    </row>
    <row r="11" spans="1:52">
      <c r="A11" s="67" t="s">
        <v>534</v>
      </c>
      <c r="C11" s="85" t="s">
        <v>539</v>
      </c>
      <c r="D11" s="202">
        <f t="shared" si="1"/>
        <v>1.9100000000000001</v>
      </c>
      <c r="E11" s="202">
        <f t="shared" si="2"/>
        <v>2</v>
      </c>
      <c r="F11" s="202">
        <f t="shared" si="0"/>
        <v>0</v>
      </c>
      <c r="G11" s="98">
        <f t="shared" si="3"/>
        <v>9.7409999999999997</v>
      </c>
      <c r="H11" s="98">
        <f t="shared" si="4"/>
        <v>10.199999999999999</v>
      </c>
      <c r="I11" s="98">
        <f t="shared" si="5"/>
        <v>0</v>
      </c>
      <c r="K11" s="67" t="s">
        <v>539</v>
      </c>
      <c r="N11" s="67" t="s">
        <v>1007</v>
      </c>
      <c r="O11" s="67" t="s">
        <v>1011</v>
      </c>
      <c r="P11" s="67"/>
      <c r="Q11" s="67" t="str">
        <f t="shared" si="6"/>
        <v>IMPERMEABILIZANTE PLUS</v>
      </c>
      <c r="R11" s="67">
        <f t="shared" si="7"/>
        <v>1.91</v>
      </c>
      <c r="S11" s="67">
        <f t="shared" si="8"/>
        <v>2</v>
      </c>
      <c r="T11" s="67">
        <f t="shared" si="9"/>
        <v>0</v>
      </c>
    </row>
    <row r="12" spans="1:52">
      <c r="A12" s="67" t="s">
        <v>632</v>
      </c>
      <c r="C12" s="85" t="s">
        <v>776</v>
      </c>
      <c r="D12" s="202">
        <f t="shared" si="1"/>
        <v>1.56</v>
      </c>
      <c r="E12" s="202">
        <f t="shared" si="2"/>
        <v>1.69</v>
      </c>
      <c r="F12" s="202">
        <f t="shared" si="0"/>
        <v>0</v>
      </c>
      <c r="G12" s="98">
        <f t="shared" si="3"/>
        <v>7.9559999999999995</v>
      </c>
      <c r="H12" s="98">
        <f t="shared" si="4"/>
        <v>8.6189999999999998</v>
      </c>
      <c r="I12" s="98">
        <f t="shared" si="5"/>
        <v>0</v>
      </c>
      <c r="K12" s="67" t="s">
        <v>642</v>
      </c>
      <c r="N12" s="67" t="s">
        <v>1161</v>
      </c>
      <c r="O12" s="67" t="s">
        <v>1179</v>
      </c>
      <c r="P12" s="67"/>
      <c r="Q12" s="67" t="str">
        <f t="shared" si="6"/>
        <v>BASE REND. 1K</v>
      </c>
      <c r="R12" s="67">
        <f t="shared" si="7"/>
        <v>1.56</v>
      </c>
      <c r="S12" s="67">
        <f t="shared" si="8"/>
        <v>1.69</v>
      </c>
      <c r="T12" s="67">
        <f t="shared" si="9"/>
        <v>0</v>
      </c>
    </row>
    <row r="13" spans="1:52">
      <c r="A13" s="67" t="s">
        <v>524</v>
      </c>
      <c r="C13" s="85" t="s">
        <v>546</v>
      </c>
      <c r="D13" s="202">
        <f t="shared" si="1"/>
        <v>1.1499999999999999</v>
      </c>
      <c r="E13" s="202">
        <f t="shared" si="2"/>
        <v>1.2000000000000002</v>
      </c>
      <c r="F13" s="202">
        <f t="shared" si="0"/>
        <v>0</v>
      </c>
      <c r="G13" s="98">
        <f t="shared" si="3"/>
        <v>5.8649999999999993</v>
      </c>
      <c r="H13" s="98">
        <f t="shared" si="4"/>
        <v>6.12</v>
      </c>
      <c r="I13" s="98">
        <f t="shared" si="5"/>
        <v>0</v>
      </c>
      <c r="K13" s="67" t="s">
        <v>633</v>
      </c>
      <c r="N13" s="67" t="s">
        <v>1008</v>
      </c>
      <c r="O13" s="67" t="s">
        <v>1012</v>
      </c>
      <c r="P13" s="67"/>
      <c r="Q13" s="67" t="str">
        <f t="shared" si="6"/>
        <v>CEMENTO BLCO 1K</v>
      </c>
      <c r="R13" s="67">
        <f t="shared" si="7"/>
        <v>1.1499999999999999</v>
      </c>
      <c r="S13" s="67">
        <f t="shared" si="8"/>
        <v>1.2</v>
      </c>
      <c r="T13" s="67">
        <f t="shared" si="9"/>
        <v>0</v>
      </c>
    </row>
    <row r="14" spans="1:52">
      <c r="A14" s="67" t="s">
        <v>538</v>
      </c>
      <c r="C14" s="85" t="s">
        <v>547</v>
      </c>
      <c r="D14" s="202">
        <f t="shared" si="1"/>
        <v>1.7599999999999998</v>
      </c>
      <c r="E14" s="202">
        <f t="shared" si="2"/>
        <v>1.8399999999999999</v>
      </c>
      <c r="F14" s="202">
        <f t="shared" si="0"/>
        <v>0</v>
      </c>
      <c r="G14" s="98">
        <f t="shared" si="3"/>
        <v>8.9759999999999991</v>
      </c>
      <c r="H14" s="98">
        <f t="shared" si="4"/>
        <v>9.3839999999999986</v>
      </c>
      <c r="I14" s="98">
        <f t="shared" si="5"/>
        <v>0</v>
      </c>
      <c r="K14" s="67" t="s">
        <v>639</v>
      </c>
      <c r="N14" s="67" t="s">
        <v>1162</v>
      </c>
      <c r="O14" s="67" t="s">
        <v>1180</v>
      </c>
      <c r="P14" s="67"/>
      <c r="Q14" s="67" t="str">
        <f t="shared" si="6"/>
        <v>CAL LIQ. 1GAL</v>
      </c>
      <c r="R14" s="67">
        <f t="shared" si="7"/>
        <v>1.76</v>
      </c>
      <c r="S14" s="67">
        <f t="shared" si="8"/>
        <v>1.84</v>
      </c>
      <c r="T14" s="67">
        <f t="shared" si="9"/>
        <v>0</v>
      </c>
    </row>
    <row r="15" spans="1:52">
      <c r="A15" s="67" t="s">
        <v>563</v>
      </c>
      <c r="C15" s="85" t="s">
        <v>777</v>
      </c>
      <c r="D15" s="210">
        <f>D16*3</f>
        <v>2.0999999999999996</v>
      </c>
      <c r="E15" s="210">
        <f>E16*3</f>
        <v>2.16</v>
      </c>
      <c r="F15" s="210">
        <f t="shared" si="0"/>
        <v>0</v>
      </c>
      <c r="G15" s="98">
        <f t="shared" si="3"/>
        <v>10.709999999999997</v>
      </c>
      <c r="H15" s="98">
        <f t="shared" si="4"/>
        <v>11.016</v>
      </c>
      <c r="I15" s="98">
        <f t="shared" si="5"/>
        <v>0</v>
      </c>
      <c r="K15" s="67"/>
      <c r="N15" s="67" t="s">
        <v>1009</v>
      </c>
      <c r="O15" s="67" t="s">
        <v>1013</v>
      </c>
      <c r="P15" s="67"/>
      <c r="Q15" s="67" t="str">
        <f t="shared" si="6"/>
        <v>CAL 1K</v>
      </c>
      <c r="R15" s="67">
        <f t="shared" si="7"/>
        <v>0.7</v>
      </c>
      <c r="S15" s="67">
        <f t="shared" si="8"/>
        <v>0.72</v>
      </c>
      <c r="T15" s="67">
        <f t="shared" si="9"/>
        <v>0</v>
      </c>
    </row>
    <row r="16" spans="1:52">
      <c r="A16" s="67" t="s">
        <v>562</v>
      </c>
      <c r="C16" s="85" t="s">
        <v>778</v>
      </c>
      <c r="D16" s="202">
        <f t="shared" si="1"/>
        <v>0.7</v>
      </c>
      <c r="E16" s="202">
        <f t="shared" si="2"/>
        <v>0.72</v>
      </c>
      <c r="F16" s="202">
        <f t="shared" si="0"/>
        <v>0</v>
      </c>
      <c r="G16" s="98">
        <f t="shared" si="3"/>
        <v>3.5699999999999994</v>
      </c>
      <c r="H16" s="98">
        <f t="shared" si="4"/>
        <v>3.6719999999999997</v>
      </c>
      <c r="I16" s="98">
        <f t="shared" si="5"/>
        <v>0</v>
      </c>
      <c r="K16" s="67" t="s">
        <v>641</v>
      </c>
      <c r="N16" s="67" t="s">
        <v>1010</v>
      </c>
      <c r="O16" s="67" t="s">
        <v>1014</v>
      </c>
      <c r="P16" s="67"/>
      <c r="Q16" s="67" t="str">
        <f t="shared" si="6"/>
        <v>YESO 1K</v>
      </c>
      <c r="R16" s="67">
        <f t="shared" si="7"/>
        <v>1.24</v>
      </c>
      <c r="S16" s="67">
        <f t="shared" si="8"/>
        <v>1.3</v>
      </c>
      <c r="T16" s="67">
        <f t="shared" si="9"/>
        <v>0</v>
      </c>
    </row>
    <row r="17" spans="1:20">
      <c r="A17" s="67" t="s">
        <v>548</v>
      </c>
      <c r="C17" s="85" t="s">
        <v>779</v>
      </c>
      <c r="D17" s="202">
        <f t="shared" si="1"/>
        <v>1.2400000000000002</v>
      </c>
      <c r="E17" s="202">
        <f t="shared" si="2"/>
        <v>1.2999999999999998</v>
      </c>
      <c r="F17" s="202">
        <f t="shared" si="0"/>
        <v>0</v>
      </c>
      <c r="G17" s="98">
        <f t="shared" si="3"/>
        <v>6.3240000000000007</v>
      </c>
      <c r="H17" s="98">
        <f t="shared" si="4"/>
        <v>6.629999999999999</v>
      </c>
      <c r="I17" s="98">
        <f t="shared" si="5"/>
        <v>0</v>
      </c>
      <c r="K17" s="67" t="s">
        <v>640</v>
      </c>
      <c r="N17" s="67" t="s">
        <v>1163</v>
      </c>
      <c r="O17" s="67" t="s">
        <v>1181</v>
      </c>
      <c r="P17" s="67"/>
      <c r="Q17" s="67" t="str">
        <f t="shared" si="6"/>
        <v>PEGO 7KG</v>
      </c>
      <c r="R17" s="67">
        <f t="shared" si="7"/>
        <v>1.54</v>
      </c>
      <c r="S17" s="67">
        <f t="shared" si="8"/>
        <v>1.58</v>
      </c>
      <c r="T17" s="67">
        <f t="shared" si="9"/>
        <v>0</v>
      </c>
    </row>
    <row r="18" spans="1:20">
      <c r="A18" s="67" t="s">
        <v>525</v>
      </c>
      <c r="C18" s="85" t="s">
        <v>643</v>
      </c>
      <c r="D18" s="202">
        <f t="shared" si="1"/>
        <v>1.54</v>
      </c>
      <c r="E18" s="202">
        <f t="shared" si="2"/>
        <v>1.58</v>
      </c>
      <c r="F18" s="202">
        <f t="shared" si="0"/>
        <v>0</v>
      </c>
      <c r="G18" s="98">
        <f t="shared" si="3"/>
        <v>7.8539999999999992</v>
      </c>
      <c r="H18" s="98">
        <f t="shared" si="4"/>
        <v>8.0579999999999998</v>
      </c>
      <c r="I18" s="98">
        <f t="shared" si="5"/>
        <v>0</v>
      </c>
      <c r="K18" s="67" t="s">
        <v>643</v>
      </c>
      <c r="N18" s="67" t="s">
        <v>1164</v>
      </c>
      <c r="O18" s="67" t="s">
        <v>1182</v>
      </c>
      <c r="P18" s="67"/>
      <c r="Q18" s="67" t="str">
        <f t="shared" si="6"/>
        <v>PEGO 10KG</v>
      </c>
      <c r="R18" s="67">
        <f t="shared" si="7"/>
        <v>2.04</v>
      </c>
      <c r="S18" s="67">
        <f t="shared" si="8"/>
        <v>2.09</v>
      </c>
      <c r="T18" s="67">
        <f t="shared" si="9"/>
        <v>0</v>
      </c>
    </row>
    <row r="19" spans="1:20">
      <c r="A19" s="67" t="s">
        <v>681</v>
      </c>
      <c r="C19" s="85" t="s">
        <v>682</v>
      </c>
      <c r="D19" s="202">
        <f t="shared" si="1"/>
        <v>2.04</v>
      </c>
      <c r="E19" s="202">
        <f t="shared" si="2"/>
        <v>2.09</v>
      </c>
      <c r="F19" s="202">
        <f t="shared" si="0"/>
        <v>0</v>
      </c>
      <c r="G19" s="98">
        <f t="shared" si="3"/>
        <v>10.404</v>
      </c>
      <c r="H19" s="98">
        <f t="shared" si="4"/>
        <v>10.658999999999999</v>
      </c>
      <c r="I19" s="98">
        <f t="shared" si="5"/>
        <v>0</v>
      </c>
      <c r="K19" s="67" t="s">
        <v>682</v>
      </c>
      <c r="N19" s="67" t="s">
        <v>1165</v>
      </c>
      <c r="O19" s="67" t="s">
        <v>1183</v>
      </c>
      <c r="P19" s="67"/>
      <c r="Q19" s="67" t="str">
        <f t="shared" si="6"/>
        <v>PEGA PLUS 15KG</v>
      </c>
      <c r="R19" s="67">
        <f t="shared" si="7"/>
        <v>2.0099999999999998</v>
      </c>
      <c r="S19" s="67">
        <f t="shared" si="8"/>
        <v>2.13</v>
      </c>
      <c r="T19" s="67">
        <f t="shared" si="9"/>
        <v>0</v>
      </c>
    </row>
    <row r="20" spans="1:20">
      <c r="A20" s="67" t="s">
        <v>707</v>
      </c>
      <c r="C20" s="85" t="s">
        <v>780</v>
      </c>
      <c r="D20" s="210">
        <v>4.16</v>
      </c>
      <c r="E20" s="210">
        <v>4.3600000000000003</v>
      </c>
      <c r="F20" s="210">
        <f>F13*4.5</f>
        <v>0</v>
      </c>
      <c r="G20" s="98">
        <f t="shared" si="3"/>
        <v>21.215999999999998</v>
      </c>
      <c r="H20" s="98">
        <f t="shared" si="4"/>
        <v>22.236000000000001</v>
      </c>
      <c r="I20" s="98">
        <f t="shared" si="5"/>
        <v>0</v>
      </c>
      <c r="N20" s="67" t="s">
        <v>1166</v>
      </c>
      <c r="O20" s="67" t="s">
        <v>1184</v>
      </c>
      <c r="P20" s="67"/>
      <c r="Q20" s="67" t="str">
        <f t="shared" si="6"/>
        <v>CONCRE PLUS 15KG</v>
      </c>
      <c r="R20" s="67">
        <f t="shared" si="7"/>
        <v>2.19</v>
      </c>
      <c r="S20" s="67">
        <f t="shared" si="8"/>
        <v>2.34</v>
      </c>
      <c r="T20" s="67">
        <f t="shared" si="9"/>
        <v>0</v>
      </c>
    </row>
    <row r="21" spans="1:20">
      <c r="A21" s="67" t="s">
        <v>711</v>
      </c>
      <c r="C21" s="85" t="s">
        <v>781</v>
      </c>
      <c r="D21" s="202">
        <f t="shared" si="1"/>
        <v>0</v>
      </c>
      <c r="E21" s="202">
        <f t="shared" si="2"/>
        <v>0</v>
      </c>
      <c r="F21" s="202">
        <f t="shared" ref="F21:F31" si="10">IF(ISERROR(VLOOKUP($K21,$Q:$T,2,FALSE)+1-1)=FALSE,VLOOKUP($K21,$Q:$T,4,FALSE)+1-1,0)</f>
        <v>0</v>
      </c>
      <c r="G21" s="98">
        <f t="shared" si="3"/>
        <v>0</v>
      </c>
      <c r="H21" s="98">
        <f t="shared" si="4"/>
        <v>0</v>
      </c>
      <c r="I21" s="98">
        <f t="shared" si="5"/>
        <v>0</v>
      </c>
      <c r="N21" s="67" t="s">
        <v>1167</v>
      </c>
      <c r="O21" s="67" t="s">
        <v>1185</v>
      </c>
      <c r="P21" s="67"/>
      <c r="Q21" s="67" t="str">
        <f t="shared" si="6"/>
        <v>PEGO 15KG</v>
      </c>
      <c r="R21" s="67">
        <f t="shared" si="7"/>
        <v>2.91</v>
      </c>
      <c r="S21" s="67">
        <f t="shared" si="8"/>
        <v>2.98</v>
      </c>
      <c r="T21" s="67">
        <f t="shared" si="9"/>
        <v>0</v>
      </c>
    </row>
    <row r="22" spans="1:20">
      <c r="A22" s="67" t="s">
        <v>727</v>
      </c>
      <c r="C22" s="85" t="s">
        <v>728</v>
      </c>
      <c r="D22" s="202">
        <f t="shared" si="1"/>
        <v>2.0099999999999998</v>
      </c>
      <c r="E22" s="202">
        <f t="shared" si="2"/>
        <v>2.13</v>
      </c>
      <c r="F22" s="202">
        <f t="shared" si="10"/>
        <v>0</v>
      </c>
      <c r="G22" s="98">
        <f t="shared" si="3"/>
        <v>10.250999999999998</v>
      </c>
      <c r="H22" s="98">
        <f t="shared" si="4"/>
        <v>10.863</v>
      </c>
      <c r="I22" s="98">
        <f t="shared" si="5"/>
        <v>0</v>
      </c>
      <c r="K22" s="67" t="s">
        <v>728</v>
      </c>
      <c r="N22" s="67" t="s">
        <v>1168</v>
      </c>
      <c r="O22" s="67" t="s">
        <v>1186</v>
      </c>
      <c r="P22" s="67"/>
      <c r="Q22" s="67" t="str">
        <f t="shared" si="6"/>
        <v>STYLOSA "A" 50GR</v>
      </c>
      <c r="R22" s="67">
        <f t="shared" si="7"/>
        <v>2.41</v>
      </c>
      <c r="S22" s="67">
        <f t="shared" si="8"/>
        <v>2.52</v>
      </c>
      <c r="T22" s="67">
        <f t="shared" si="9"/>
        <v>0</v>
      </c>
    </row>
    <row r="23" spans="1:20">
      <c r="A23" s="67" t="s">
        <v>735</v>
      </c>
      <c r="C23" s="85" t="s">
        <v>782</v>
      </c>
      <c r="D23" s="202">
        <f t="shared" si="1"/>
        <v>2.19</v>
      </c>
      <c r="E23" s="202">
        <f t="shared" si="2"/>
        <v>2.34</v>
      </c>
      <c r="F23" s="202">
        <f t="shared" si="10"/>
        <v>0</v>
      </c>
      <c r="G23" s="98">
        <f t="shared" si="3"/>
        <v>11.168999999999999</v>
      </c>
      <c r="H23" s="98">
        <f t="shared" si="4"/>
        <v>11.933999999999999</v>
      </c>
      <c r="I23" s="98">
        <f t="shared" si="5"/>
        <v>0</v>
      </c>
      <c r="K23" s="67" t="s">
        <v>736</v>
      </c>
      <c r="N23" s="67" t="s">
        <v>1169</v>
      </c>
      <c r="O23" s="67" t="s">
        <v>1187</v>
      </c>
      <c r="P23" s="67"/>
      <c r="Q23" s="67" t="str">
        <f t="shared" si="6"/>
        <v>GRAFIADO 15K</v>
      </c>
      <c r="R23" s="67">
        <f t="shared" si="7"/>
        <v>4.32</v>
      </c>
      <c r="S23" s="67">
        <f t="shared" si="8"/>
        <v>4.45</v>
      </c>
      <c r="T23" s="67">
        <f t="shared" si="9"/>
        <v>0</v>
      </c>
    </row>
    <row r="24" spans="1:20">
      <c r="A24" s="67" t="s">
        <v>758</v>
      </c>
      <c r="C24" s="85" t="s">
        <v>866</v>
      </c>
      <c r="D24" s="202">
        <f t="shared" si="1"/>
        <v>2.91</v>
      </c>
      <c r="E24" s="202">
        <f t="shared" si="2"/>
        <v>2.98</v>
      </c>
      <c r="F24" s="202">
        <f t="shared" si="10"/>
        <v>0</v>
      </c>
      <c r="G24" s="98">
        <f t="shared" si="3"/>
        <v>14.840999999999999</v>
      </c>
      <c r="H24" s="98">
        <f t="shared" si="4"/>
        <v>15.197999999999999</v>
      </c>
      <c r="I24" s="98">
        <f t="shared" si="5"/>
        <v>0</v>
      </c>
      <c r="K24" s="67" t="s">
        <v>866</v>
      </c>
      <c r="N24" s="67" t="s">
        <v>1170</v>
      </c>
      <c r="O24" s="67" t="s">
        <v>1188</v>
      </c>
      <c r="P24" s="67"/>
      <c r="Q24" s="67" t="str">
        <f t="shared" si="6"/>
        <v>PASTA PLUS 8K</v>
      </c>
      <c r="R24" s="67">
        <f t="shared" si="7"/>
        <v>5.05</v>
      </c>
      <c r="S24" s="67">
        <f t="shared" si="8"/>
        <v>5.29</v>
      </c>
      <c r="T24" s="67">
        <f t="shared" si="9"/>
        <v>0</v>
      </c>
    </row>
    <row r="25" spans="1:20">
      <c r="A25" s="67" t="s">
        <v>922</v>
      </c>
      <c r="C25" s="23" t="s">
        <v>834</v>
      </c>
      <c r="D25" s="202">
        <f t="shared" si="1"/>
        <v>2.41</v>
      </c>
      <c r="E25" s="202">
        <f t="shared" si="2"/>
        <v>2.52</v>
      </c>
      <c r="F25" s="202">
        <f t="shared" si="10"/>
        <v>0</v>
      </c>
      <c r="G25" s="98">
        <f t="shared" si="3"/>
        <v>12.291</v>
      </c>
      <c r="H25" s="98">
        <f t="shared" si="4"/>
        <v>12.851999999999999</v>
      </c>
      <c r="I25" s="98">
        <f t="shared" si="5"/>
        <v>0</v>
      </c>
      <c r="K25" s="67" t="s">
        <v>914</v>
      </c>
      <c r="N25" s="67" t="s">
        <v>1171</v>
      </c>
      <c r="O25" s="67" t="s">
        <v>1189</v>
      </c>
      <c r="P25" s="67"/>
      <c r="Q25" s="67" t="str">
        <f t="shared" si="6"/>
        <v>PINT IMP 10K</v>
      </c>
      <c r="R25" s="67">
        <f t="shared" si="7"/>
        <v>5.59</v>
      </c>
      <c r="S25" s="67">
        <f t="shared" si="8"/>
        <v>5.85</v>
      </c>
      <c r="T25" s="67">
        <f t="shared" si="9"/>
        <v>0</v>
      </c>
    </row>
    <row r="26" spans="1:20">
      <c r="A26" s="67" t="s">
        <v>838</v>
      </c>
      <c r="C26" s="23" t="s">
        <v>841</v>
      </c>
      <c r="D26" s="202">
        <f t="shared" si="1"/>
        <v>4.32</v>
      </c>
      <c r="E26" s="202">
        <f t="shared" si="2"/>
        <v>4.45</v>
      </c>
      <c r="F26" s="202">
        <f t="shared" si="10"/>
        <v>0</v>
      </c>
      <c r="G26" s="98">
        <f t="shared" si="3"/>
        <v>22.032</v>
      </c>
      <c r="H26" s="98">
        <f t="shared" si="4"/>
        <v>22.695</v>
      </c>
      <c r="I26" s="98">
        <f t="shared" si="5"/>
        <v>0</v>
      </c>
      <c r="K26" s="67" t="s">
        <v>915</v>
      </c>
      <c r="N26" s="67" t="s">
        <v>1172</v>
      </c>
      <c r="O26" s="67" t="s">
        <v>1190</v>
      </c>
      <c r="P26" s="67"/>
      <c r="Q26" s="67" t="str">
        <f t="shared" si="6"/>
        <v>PEGO B 15K</v>
      </c>
      <c r="R26" s="67">
        <f t="shared" si="7"/>
        <v>3.45</v>
      </c>
      <c r="S26" s="67">
        <f t="shared" si="8"/>
        <v>3.5</v>
      </c>
      <c r="T26" s="67">
        <f t="shared" si="9"/>
        <v>0</v>
      </c>
    </row>
    <row r="27" spans="1:20">
      <c r="A27" s="67" t="s">
        <v>847</v>
      </c>
      <c r="C27" s="23" t="s">
        <v>842</v>
      </c>
      <c r="D27" s="202">
        <f t="shared" si="1"/>
        <v>5.05</v>
      </c>
      <c r="E27" s="202">
        <f t="shared" si="2"/>
        <v>5.29</v>
      </c>
      <c r="F27" s="202">
        <f t="shared" si="10"/>
        <v>0</v>
      </c>
      <c r="G27" s="98">
        <f t="shared" si="3"/>
        <v>25.754999999999999</v>
      </c>
      <c r="H27" s="98">
        <f t="shared" si="4"/>
        <v>26.978999999999999</v>
      </c>
      <c r="I27" s="98">
        <f t="shared" si="5"/>
        <v>0</v>
      </c>
      <c r="K27" s="67" t="s">
        <v>916</v>
      </c>
      <c r="N27" s="67" t="s">
        <v>1173</v>
      </c>
      <c r="O27" s="67" t="s">
        <v>1191</v>
      </c>
      <c r="P27" s="67"/>
      <c r="Q27" s="67" t="str">
        <f t="shared" si="6"/>
        <v>EST. GRIS 12K</v>
      </c>
      <c r="R27" s="67">
        <f t="shared" si="7"/>
        <v>5.63</v>
      </c>
      <c r="S27" s="67">
        <f t="shared" si="8"/>
        <v>5.9</v>
      </c>
      <c r="T27" s="67">
        <f t="shared" si="9"/>
        <v>0</v>
      </c>
    </row>
    <row r="28" spans="1:20">
      <c r="A28" s="67" t="s">
        <v>983</v>
      </c>
      <c r="C28" s="23" t="s">
        <v>1289</v>
      </c>
      <c r="D28" s="202">
        <f t="shared" si="1"/>
        <v>5.59</v>
      </c>
      <c r="E28" s="202">
        <f t="shared" si="2"/>
        <v>5.85</v>
      </c>
      <c r="F28" s="202">
        <f t="shared" si="10"/>
        <v>0</v>
      </c>
      <c r="G28" s="98">
        <f t="shared" si="3"/>
        <v>28.508999999999997</v>
      </c>
      <c r="H28" s="98">
        <f t="shared" si="4"/>
        <v>29.834999999999997</v>
      </c>
      <c r="I28" s="98">
        <f t="shared" si="5"/>
        <v>0</v>
      </c>
      <c r="K28" s="67" t="s">
        <v>917</v>
      </c>
      <c r="N28" s="67" t="s">
        <v>1264</v>
      </c>
      <c r="O28" s="67" t="s">
        <v>1277</v>
      </c>
      <c r="Q28" s="67" t="s">
        <v>1262</v>
      </c>
      <c r="R28" s="67">
        <f t="shared" si="7"/>
        <v>2.59</v>
      </c>
      <c r="S28" s="67">
        <f t="shared" si="8"/>
        <v>2.71</v>
      </c>
      <c r="T28" s="67">
        <f t="shared" ref="T28:T38" si="11">IF(P28="",0,MID(P28,FIND(":",P28,1)+2,LEN(P28)))</f>
        <v>0</v>
      </c>
    </row>
    <row r="29" spans="1:20">
      <c r="A29" s="67" t="s">
        <v>861</v>
      </c>
      <c r="C29" s="23" t="s">
        <v>868</v>
      </c>
      <c r="D29" s="210">
        <v>9.9</v>
      </c>
      <c r="E29" s="210">
        <v>10.38</v>
      </c>
      <c r="F29" s="210">
        <f t="shared" si="10"/>
        <v>0</v>
      </c>
      <c r="G29" s="203">
        <f t="shared" si="3"/>
        <v>50.489999999999995</v>
      </c>
      <c r="H29" s="203">
        <f t="shared" si="4"/>
        <v>52.938000000000002</v>
      </c>
      <c r="I29" s="203">
        <f t="shared" si="5"/>
        <v>0</v>
      </c>
      <c r="K29" s="67" t="s">
        <v>868</v>
      </c>
      <c r="N29" s="67" t="s">
        <v>1265</v>
      </c>
      <c r="O29" s="67" t="s">
        <v>1278</v>
      </c>
      <c r="Q29" s="67" t="s">
        <v>1246</v>
      </c>
      <c r="R29" s="67">
        <f t="shared" si="7"/>
        <v>14.8</v>
      </c>
      <c r="S29" s="67">
        <f t="shared" si="8"/>
        <v>15.5</v>
      </c>
      <c r="T29" s="67">
        <f t="shared" si="11"/>
        <v>0</v>
      </c>
    </row>
    <row r="30" spans="1:20">
      <c r="A30" s="67" t="s">
        <v>801</v>
      </c>
      <c r="C30" s="23" t="s">
        <v>884</v>
      </c>
      <c r="D30" s="202">
        <f>0.8*5</f>
        <v>4</v>
      </c>
      <c r="E30" s="202">
        <f t="shared" si="2"/>
        <v>0</v>
      </c>
      <c r="F30" s="202">
        <f t="shared" si="10"/>
        <v>0</v>
      </c>
      <c r="G30" s="98">
        <f t="shared" ref="G30" si="12">+D30*$H$3</f>
        <v>20.399999999999999</v>
      </c>
      <c r="H30" s="98">
        <f t="shared" ref="H30" si="13">+E30*$H$3</f>
        <v>0</v>
      </c>
      <c r="I30" s="164"/>
      <c r="K30" s="67" t="s">
        <v>801</v>
      </c>
      <c r="N30" s="67" t="s">
        <v>1266</v>
      </c>
      <c r="O30" s="67" t="s">
        <v>1279</v>
      </c>
      <c r="Q30" s="67" t="s">
        <v>1251</v>
      </c>
      <c r="R30" s="67">
        <f t="shared" si="7"/>
        <v>9.6999999999999993</v>
      </c>
      <c r="S30" s="67">
        <f t="shared" si="8"/>
        <v>10.17</v>
      </c>
      <c r="T30" s="67">
        <f t="shared" si="11"/>
        <v>0</v>
      </c>
    </row>
    <row r="31" spans="1:20">
      <c r="A31" s="67" t="s">
        <v>923</v>
      </c>
      <c r="C31" s="23" t="s">
        <v>909</v>
      </c>
      <c r="D31" s="202">
        <f t="shared" si="1"/>
        <v>3.45</v>
      </c>
      <c r="E31" s="202">
        <f t="shared" si="2"/>
        <v>3.5</v>
      </c>
      <c r="F31" s="202">
        <f t="shared" si="10"/>
        <v>0</v>
      </c>
      <c r="G31" s="203">
        <f t="shared" si="3"/>
        <v>17.594999999999999</v>
      </c>
      <c r="H31" s="203">
        <f t="shared" si="4"/>
        <v>17.849999999999998</v>
      </c>
      <c r="I31" s="164"/>
      <c r="K31" s="67" t="s">
        <v>918</v>
      </c>
      <c r="N31" s="67" t="s">
        <v>1267</v>
      </c>
      <c r="O31" s="67" t="s">
        <v>1280</v>
      </c>
      <c r="Q31" s="67" t="s">
        <v>1247</v>
      </c>
      <c r="R31" s="67">
        <f t="shared" si="7"/>
        <v>12.41</v>
      </c>
      <c r="S31" s="67">
        <f t="shared" si="8"/>
        <v>13</v>
      </c>
      <c r="T31" s="67">
        <f t="shared" si="11"/>
        <v>0</v>
      </c>
    </row>
    <row r="32" spans="1:20">
      <c r="A32" s="67" t="s">
        <v>710</v>
      </c>
      <c r="D32" s="210">
        <v>1.3</v>
      </c>
      <c r="E32" s="210">
        <f>D32*1.25</f>
        <v>1.625</v>
      </c>
      <c r="F32" s="210">
        <f>E32</f>
        <v>1.625</v>
      </c>
      <c r="G32" s="203">
        <f t="shared" ref="G32:G43" si="14">+D32*$H$3</f>
        <v>6.63</v>
      </c>
      <c r="H32" s="203">
        <f t="shared" ref="H32:H43" si="15">+E32*$H$3</f>
        <v>8.2874999999999996</v>
      </c>
      <c r="I32" s="164"/>
      <c r="N32" s="67" t="s">
        <v>1268</v>
      </c>
      <c r="O32" s="67" t="s">
        <v>1281</v>
      </c>
      <c r="Q32" s="67" t="s">
        <v>1248</v>
      </c>
      <c r="R32" s="67">
        <f t="shared" si="7"/>
        <v>11.94</v>
      </c>
      <c r="S32" s="67">
        <f t="shared" si="8"/>
        <v>12.5</v>
      </c>
      <c r="T32" s="67">
        <f t="shared" si="11"/>
        <v>0</v>
      </c>
    </row>
    <row r="33" spans="1:20">
      <c r="A33" s="67" t="s">
        <v>1001</v>
      </c>
      <c r="C33" s="85" t="s">
        <v>1001</v>
      </c>
      <c r="D33" s="202">
        <f t="shared" si="1"/>
        <v>5.63</v>
      </c>
      <c r="E33" s="202">
        <f t="shared" si="2"/>
        <v>5.9</v>
      </c>
      <c r="F33" s="202">
        <f t="shared" ref="F33:F56" si="16">IF(ISERROR(VLOOKUP($K33,$Q:$T,2,FALSE)+1-1)=FALSE,VLOOKUP($K33,$Q:$T,4,FALSE)+1-1,0)</f>
        <v>0</v>
      </c>
      <c r="G33" s="203">
        <f t="shared" si="14"/>
        <v>28.712999999999997</v>
      </c>
      <c r="H33" s="203">
        <f t="shared" si="15"/>
        <v>30.09</v>
      </c>
      <c r="I33" s="164"/>
      <c r="K33" s="67" t="s">
        <v>1002</v>
      </c>
      <c r="N33" s="67" t="s">
        <v>1269</v>
      </c>
      <c r="O33" s="67" t="s">
        <v>1282</v>
      </c>
      <c r="Q33" s="67" t="s">
        <v>1249</v>
      </c>
      <c r="R33" s="67">
        <f t="shared" si="7"/>
        <v>13.84</v>
      </c>
      <c r="S33" s="67">
        <f t="shared" si="8"/>
        <v>14.5</v>
      </c>
      <c r="T33" s="67">
        <f t="shared" si="11"/>
        <v>0</v>
      </c>
    </row>
    <row r="34" spans="1:20">
      <c r="A34" s="67" t="s">
        <v>1031</v>
      </c>
      <c r="C34" s="85" t="s">
        <v>1030</v>
      </c>
      <c r="D34" s="202">
        <v>6.5</v>
      </c>
      <c r="E34" s="202">
        <v>7.5</v>
      </c>
      <c r="F34" s="202">
        <f t="shared" si="16"/>
        <v>0</v>
      </c>
      <c r="G34" s="203">
        <f t="shared" si="14"/>
        <v>33.15</v>
      </c>
      <c r="H34" s="203">
        <f t="shared" si="15"/>
        <v>38.25</v>
      </c>
      <c r="I34" s="164"/>
      <c r="K34" s="67"/>
      <c r="N34" s="67" t="s">
        <v>1270</v>
      </c>
      <c r="O34" s="67" t="s">
        <v>1283</v>
      </c>
      <c r="Q34" s="67" t="s">
        <v>1250</v>
      </c>
      <c r="R34" s="67">
        <f>IF(N34="",0,ROUND(MID(N34,FIND(":",N34,1)+2,LEN(N34)),2))</f>
        <v>13.36</v>
      </c>
      <c r="S34" s="67">
        <f t="shared" si="8"/>
        <v>14</v>
      </c>
      <c r="T34" s="67">
        <f t="shared" si="11"/>
        <v>0</v>
      </c>
    </row>
    <row r="35" spans="1:20">
      <c r="A35" s="67" t="s">
        <v>1097</v>
      </c>
      <c r="C35" s="85" t="s">
        <v>861</v>
      </c>
      <c r="D35" s="210">
        <f>+D29</f>
        <v>9.9</v>
      </c>
      <c r="E35" s="210">
        <f>+E29</f>
        <v>10.38</v>
      </c>
      <c r="F35" s="210">
        <f t="shared" si="16"/>
        <v>0</v>
      </c>
      <c r="G35" s="203">
        <f t="shared" si="14"/>
        <v>50.489999999999995</v>
      </c>
      <c r="H35" s="203">
        <f t="shared" si="15"/>
        <v>52.938000000000002</v>
      </c>
      <c r="I35" s="164"/>
      <c r="K35" s="67"/>
      <c r="N35" s="67" t="s">
        <v>1271</v>
      </c>
      <c r="O35" s="67" t="s">
        <v>1284</v>
      </c>
      <c r="Q35" s="67" t="s">
        <v>1241</v>
      </c>
      <c r="R35" s="67">
        <f t="shared" si="7"/>
        <v>3.91</v>
      </c>
      <c r="S35" s="67">
        <f t="shared" si="8"/>
        <v>4.0999999999999996</v>
      </c>
      <c r="T35" s="67">
        <f t="shared" si="11"/>
        <v>0</v>
      </c>
    </row>
    <row r="36" spans="1:20">
      <c r="A36" s="67" t="s">
        <v>1229</v>
      </c>
      <c r="C36" s="85" t="s">
        <v>1326</v>
      </c>
      <c r="D36" s="202">
        <f>IF(ISERROR(VLOOKUP($K36,$Q:$T,2,FALSE)+1-1)=FALSE,VLOOKUP($K36,$Q:$T,2,FALSE)+1-1,0)</f>
        <v>3.91</v>
      </c>
      <c r="E36" s="202">
        <f t="shared" si="2"/>
        <v>4.0999999999999996</v>
      </c>
      <c r="F36" s="202">
        <f t="shared" si="16"/>
        <v>0</v>
      </c>
      <c r="G36" s="203">
        <f t="shared" si="14"/>
        <v>19.940999999999999</v>
      </c>
      <c r="H36" s="203">
        <f t="shared" si="15"/>
        <v>20.909999999999997</v>
      </c>
      <c r="I36" s="164"/>
      <c r="K36" s="67" t="s">
        <v>1241</v>
      </c>
      <c r="N36" s="67" t="s">
        <v>1272</v>
      </c>
      <c r="O36" s="67" t="s">
        <v>1285</v>
      </c>
      <c r="Q36" s="67" t="s">
        <v>1242</v>
      </c>
      <c r="R36" s="67">
        <f t="shared" si="7"/>
        <v>1.43</v>
      </c>
      <c r="S36" s="67">
        <f t="shared" si="8"/>
        <v>1.5</v>
      </c>
      <c r="T36" s="67">
        <f t="shared" si="11"/>
        <v>0</v>
      </c>
    </row>
    <row r="37" spans="1:20">
      <c r="A37" s="67" t="s">
        <v>1230</v>
      </c>
      <c r="C37" s="85" t="s">
        <v>1252</v>
      </c>
      <c r="D37" s="202">
        <f t="shared" si="1"/>
        <v>1.4299999999999997</v>
      </c>
      <c r="E37" s="202">
        <f t="shared" si="2"/>
        <v>1.5</v>
      </c>
      <c r="F37" s="202">
        <f t="shared" si="16"/>
        <v>0</v>
      </c>
      <c r="G37" s="203">
        <f t="shared" si="14"/>
        <v>7.2929999999999984</v>
      </c>
      <c r="H37" s="203">
        <f t="shared" si="15"/>
        <v>7.6499999999999995</v>
      </c>
      <c r="I37" s="164"/>
      <c r="K37" s="67" t="s">
        <v>1242</v>
      </c>
      <c r="N37" s="67" t="s">
        <v>1273</v>
      </c>
      <c r="O37" s="67" t="s">
        <v>1286</v>
      </c>
      <c r="Q37" s="67" t="s">
        <v>1243</v>
      </c>
      <c r="R37" s="67">
        <f t="shared" si="7"/>
        <v>1.46</v>
      </c>
      <c r="S37" s="67">
        <f t="shared" si="8"/>
        <v>1.53</v>
      </c>
      <c r="T37" s="67">
        <f t="shared" si="11"/>
        <v>0</v>
      </c>
    </row>
    <row r="38" spans="1:20">
      <c r="A38" s="67" t="s">
        <v>1231</v>
      </c>
      <c r="C38" s="85" t="s">
        <v>1253</v>
      </c>
      <c r="D38" s="202">
        <f t="shared" si="1"/>
        <v>1.46</v>
      </c>
      <c r="E38" s="202">
        <f t="shared" si="2"/>
        <v>1.5300000000000002</v>
      </c>
      <c r="F38" s="202">
        <f t="shared" si="16"/>
        <v>0</v>
      </c>
      <c r="G38" s="203">
        <f t="shared" si="14"/>
        <v>7.4459999999999997</v>
      </c>
      <c r="H38" s="203">
        <f t="shared" si="15"/>
        <v>7.8030000000000008</v>
      </c>
      <c r="I38" s="164"/>
      <c r="K38" s="67" t="s">
        <v>1243</v>
      </c>
      <c r="N38" s="67" t="s">
        <v>1274</v>
      </c>
      <c r="O38" s="67" t="s">
        <v>1287</v>
      </c>
      <c r="Q38" s="67" t="s">
        <v>1244</v>
      </c>
      <c r="R38" s="67">
        <f t="shared" si="7"/>
        <v>1.5</v>
      </c>
      <c r="S38" s="67">
        <f t="shared" si="8"/>
        <v>1.57</v>
      </c>
      <c r="T38" s="67">
        <f t="shared" si="11"/>
        <v>0</v>
      </c>
    </row>
    <row r="39" spans="1:20">
      <c r="A39" s="67" t="s">
        <v>1232</v>
      </c>
      <c r="C39" s="85" t="s">
        <v>1254</v>
      </c>
      <c r="D39" s="202">
        <f t="shared" si="1"/>
        <v>1.5</v>
      </c>
      <c r="E39" s="202">
        <f t="shared" si="2"/>
        <v>1.5700000000000003</v>
      </c>
      <c r="F39" s="202">
        <f t="shared" si="16"/>
        <v>0</v>
      </c>
      <c r="G39" s="203">
        <f t="shared" si="14"/>
        <v>7.6499999999999995</v>
      </c>
      <c r="H39" s="203">
        <f t="shared" si="15"/>
        <v>8.0070000000000014</v>
      </c>
      <c r="I39" s="164"/>
      <c r="K39" s="67" t="s">
        <v>1244</v>
      </c>
      <c r="N39" s="67" t="s">
        <v>1275</v>
      </c>
      <c r="O39" s="67" t="s">
        <v>1288</v>
      </c>
      <c r="Q39" s="67" t="s">
        <v>1245</v>
      </c>
      <c r="R39" s="67">
        <f t="shared" ref="R39" si="17">IF(N39="",0,ROUND(MID(N39,FIND(":",N39,1)+2,LEN(N39)),2))</f>
        <v>1.5</v>
      </c>
      <c r="S39" s="67">
        <f t="shared" ref="S39" si="18">IF(O39="",0,ROUND(MID(O39,FIND(":",O39,1)+2,LEN(O39)),2))</f>
        <v>1.57</v>
      </c>
      <c r="T39" s="67">
        <f t="shared" ref="T39" si="19">IF(P39="",0,MID(P39,FIND(":",P39,1)+2,LEN(P39)))</f>
        <v>0</v>
      </c>
    </row>
    <row r="40" spans="1:20">
      <c r="A40" s="67" t="s">
        <v>1233</v>
      </c>
      <c r="C40" s="85" t="s">
        <v>1218</v>
      </c>
      <c r="D40" s="202">
        <f t="shared" si="1"/>
        <v>1.5</v>
      </c>
      <c r="E40" s="202">
        <f t="shared" si="2"/>
        <v>1.5700000000000003</v>
      </c>
      <c r="F40" s="202">
        <f t="shared" si="16"/>
        <v>0</v>
      </c>
      <c r="G40" s="203">
        <f t="shared" si="14"/>
        <v>7.6499999999999995</v>
      </c>
      <c r="H40" s="203">
        <f t="shared" si="15"/>
        <v>8.0070000000000014</v>
      </c>
      <c r="I40" s="164"/>
      <c r="K40" s="67" t="s">
        <v>1245</v>
      </c>
      <c r="N40" s="67"/>
      <c r="O40" s="67"/>
      <c r="Q40" s="67"/>
    </row>
    <row r="41" spans="1:20">
      <c r="A41" s="67" t="s">
        <v>1234</v>
      </c>
      <c r="C41" s="85" t="s">
        <v>1255</v>
      </c>
      <c r="D41" s="202">
        <f t="shared" si="1"/>
        <v>14.8</v>
      </c>
      <c r="E41" s="202">
        <f t="shared" si="2"/>
        <v>15.5</v>
      </c>
      <c r="F41" s="202">
        <f t="shared" si="16"/>
        <v>0</v>
      </c>
      <c r="G41" s="203">
        <f t="shared" si="14"/>
        <v>75.48</v>
      </c>
      <c r="H41" s="203">
        <f t="shared" si="15"/>
        <v>79.05</v>
      </c>
      <c r="I41" s="164"/>
      <c r="K41" s="67" t="s">
        <v>1246</v>
      </c>
      <c r="N41" s="67"/>
      <c r="O41" s="67"/>
      <c r="Q41" s="67"/>
    </row>
    <row r="42" spans="1:20">
      <c r="A42" s="67" t="s">
        <v>1235</v>
      </c>
      <c r="C42" s="85" t="s">
        <v>1256</v>
      </c>
      <c r="D42" s="202">
        <f t="shared" si="1"/>
        <v>9.6999999999999993</v>
      </c>
      <c r="E42" s="202">
        <f t="shared" si="2"/>
        <v>10.17</v>
      </c>
      <c r="F42" s="202">
        <f t="shared" si="16"/>
        <v>0</v>
      </c>
      <c r="G42" s="203">
        <f t="shared" si="14"/>
        <v>49.469999999999992</v>
      </c>
      <c r="H42" s="203">
        <f t="shared" si="15"/>
        <v>51.866999999999997</v>
      </c>
      <c r="I42" s="164"/>
      <c r="K42" s="67" t="s">
        <v>1251</v>
      </c>
      <c r="N42" s="67"/>
      <c r="O42" s="67"/>
      <c r="Q42" s="67"/>
    </row>
    <row r="43" spans="1:20">
      <c r="A43" s="67" t="s">
        <v>1236</v>
      </c>
      <c r="C43" s="85" t="s">
        <v>1257</v>
      </c>
      <c r="D43" s="202">
        <f t="shared" si="1"/>
        <v>12.41</v>
      </c>
      <c r="E43" s="202">
        <f t="shared" si="2"/>
        <v>13</v>
      </c>
      <c r="F43" s="202">
        <f t="shared" si="16"/>
        <v>0</v>
      </c>
      <c r="G43" s="203">
        <f t="shared" si="14"/>
        <v>63.290999999999997</v>
      </c>
      <c r="H43" s="203">
        <f t="shared" si="15"/>
        <v>66.3</v>
      </c>
      <c r="I43" s="164"/>
      <c r="K43" s="67" t="s">
        <v>1247</v>
      </c>
      <c r="N43" s="67"/>
      <c r="O43" s="67"/>
      <c r="Q43" s="67"/>
    </row>
    <row r="44" spans="1:20">
      <c r="A44" s="67" t="s">
        <v>1237</v>
      </c>
      <c r="C44" s="85" t="s">
        <v>1258</v>
      </c>
      <c r="D44" s="202">
        <f t="shared" si="1"/>
        <v>11.94</v>
      </c>
      <c r="E44" s="202">
        <f t="shared" si="2"/>
        <v>12.5</v>
      </c>
      <c r="F44" s="202">
        <f t="shared" si="16"/>
        <v>0</v>
      </c>
      <c r="G44" s="203">
        <f t="shared" ref="G44:G56" si="20">+D44*$H$3</f>
        <v>60.893999999999991</v>
      </c>
      <c r="H44" s="203">
        <f t="shared" ref="H44:H56" si="21">+E44*$H$3</f>
        <v>63.749999999999993</v>
      </c>
      <c r="I44" s="164"/>
      <c r="K44" s="67" t="s">
        <v>1248</v>
      </c>
      <c r="N44" s="67"/>
      <c r="O44" s="67"/>
      <c r="Q44" s="67"/>
    </row>
    <row r="45" spans="1:20">
      <c r="A45" s="67" t="s">
        <v>1238</v>
      </c>
      <c r="C45" s="85" t="s">
        <v>1259</v>
      </c>
      <c r="D45" s="202">
        <f t="shared" si="1"/>
        <v>13.84</v>
      </c>
      <c r="E45" s="202">
        <f t="shared" si="2"/>
        <v>14.5</v>
      </c>
      <c r="F45" s="202">
        <f t="shared" si="16"/>
        <v>0</v>
      </c>
      <c r="G45" s="203">
        <f t="shared" si="20"/>
        <v>70.583999999999989</v>
      </c>
      <c r="H45" s="203">
        <f t="shared" si="21"/>
        <v>73.949999999999989</v>
      </c>
      <c r="I45" s="164"/>
      <c r="K45" s="67" t="s">
        <v>1249</v>
      </c>
      <c r="N45" s="67"/>
      <c r="O45" s="67"/>
      <c r="Q45" s="67"/>
    </row>
    <row r="46" spans="1:20">
      <c r="A46" s="67" t="s">
        <v>1239</v>
      </c>
      <c r="C46" s="85" t="s">
        <v>1260</v>
      </c>
      <c r="D46" s="202">
        <f t="shared" si="1"/>
        <v>13.36</v>
      </c>
      <c r="E46" s="202">
        <f t="shared" si="2"/>
        <v>14</v>
      </c>
      <c r="F46" s="202">
        <f t="shared" si="16"/>
        <v>0</v>
      </c>
      <c r="G46" s="203">
        <f t="shared" si="20"/>
        <v>68.135999999999996</v>
      </c>
      <c r="H46" s="203">
        <f t="shared" si="21"/>
        <v>71.399999999999991</v>
      </c>
      <c r="I46" s="164"/>
      <c r="K46" s="67" t="s">
        <v>1250</v>
      </c>
      <c r="N46" s="67"/>
      <c r="O46" s="67"/>
      <c r="Q46" s="67"/>
    </row>
    <row r="47" spans="1:20">
      <c r="A47" s="67" t="s">
        <v>1240</v>
      </c>
      <c r="C47" s="85" t="s">
        <v>1261</v>
      </c>
      <c r="D47" s="202">
        <f t="shared" si="1"/>
        <v>0</v>
      </c>
      <c r="E47" s="202">
        <f t="shared" si="2"/>
        <v>0</v>
      </c>
      <c r="F47" s="202">
        <f t="shared" si="16"/>
        <v>0</v>
      </c>
      <c r="G47" s="203">
        <f t="shared" si="20"/>
        <v>0</v>
      </c>
      <c r="H47" s="203">
        <f t="shared" si="21"/>
        <v>0</v>
      </c>
      <c r="I47" s="164"/>
      <c r="K47" s="67"/>
      <c r="N47" s="67"/>
      <c r="O47" s="67"/>
      <c r="Q47" s="67"/>
    </row>
    <row r="48" spans="1:20">
      <c r="A48" s="67"/>
      <c r="D48" s="202">
        <f t="shared" si="1"/>
        <v>0</v>
      </c>
      <c r="E48" s="202">
        <f t="shared" si="2"/>
        <v>0</v>
      </c>
      <c r="F48" s="202">
        <f t="shared" si="16"/>
        <v>0</v>
      </c>
      <c r="G48" s="203">
        <f t="shared" si="20"/>
        <v>0</v>
      </c>
      <c r="H48" s="203">
        <f t="shared" si="21"/>
        <v>0</v>
      </c>
      <c r="I48" s="164"/>
      <c r="K48" s="67"/>
      <c r="N48" s="67"/>
      <c r="O48" s="67"/>
      <c r="Q48" s="67"/>
    </row>
    <row r="49" spans="1:17">
      <c r="A49" s="67"/>
      <c r="D49" s="202">
        <f t="shared" si="1"/>
        <v>0</v>
      </c>
      <c r="E49" s="202">
        <f t="shared" si="2"/>
        <v>0</v>
      </c>
      <c r="F49" s="202">
        <f t="shared" si="16"/>
        <v>0</v>
      </c>
      <c r="G49" s="203">
        <f t="shared" si="20"/>
        <v>0</v>
      </c>
      <c r="H49" s="203">
        <f t="shared" si="21"/>
        <v>0</v>
      </c>
      <c r="I49" s="164"/>
      <c r="K49" s="67"/>
      <c r="N49" s="67"/>
      <c r="O49" s="67"/>
      <c r="Q49" s="67"/>
    </row>
    <row r="50" spans="1:17">
      <c r="A50" s="67"/>
      <c r="D50" s="202">
        <f t="shared" si="1"/>
        <v>0</v>
      </c>
      <c r="E50" s="202">
        <f t="shared" si="2"/>
        <v>0</v>
      </c>
      <c r="F50" s="202">
        <f t="shared" si="16"/>
        <v>0</v>
      </c>
      <c r="G50" s="203">
        <f t="shared" si="20"/>
        <v>0</v>
      </c>
      <c r="H50" s="203">
        <f t="shared" si="21"/>
        <v>0</v>
      </c>
      <c r="I50" s="164"/>
      <c r="K50" s="67"/>
      <c r="N50" s="67"/>
      <c r="O50" s="67"/>
      <c r="Q50" s="67"/>
    </row>
    <row r="51" spans="1:17">
      <c r="A51" s="67"/>
      <c r="D51" s="202">
        <f t="shared" si="1"/>
        <v>0</v>
      </c>
      <c r="E51" s="202">
        <f t="shared" si="2"/>
        <v>0</v>
      </c>
      <c r="F51" s="202">
        <f t="shared" si="16"/>
        <v>0</v>
      </c>
      <c r="G51" s="203">
        <f t="shared" si="20"/>
        <v>0</v>
      </c>
      <c r="H51" s="203">
        <f t="shared" si="21"/>
        <v>0</v>
      </c>
      <c r="I51" s="164"/>
      <c r="K51" s="67"/>
      <c r="N51" s="67"/>
      <c r="O51" s="67"/>
      <c r="Q51" s="67"/>
    </row>
    <row r="52" spans="1:17">
      <c r="A52" s="67"/>
      <c r="D52" s="202">
        <f t="shared" si="1"/>
        <v>0</v>
      </c>
      <c r="E52" s="202">
        <f t="shared" si="2"/>
        <v>0</v>
      </c>
      <c r="F52" s="202">
        <f t="shared" si="16"/>
        <v>0</v>
      </c>
      <c r="G52" s="203">
        <f t="shared" si="20"/>
        <v>0</v>
      </c>
      <c r="H52" s="203">
        <f t="shared" si="21"/>
        <v>0</v>
      </c>
      <c r="I52" s="164"/>
      <c r="K52" s="67"/>
      <c r="N52" s="67"/>
      <c r="O52" s="67"/>
      <c r="Q52" s="67"/>
    </row>
    <row r="53" spans="1:17">
      <c r="A53" s="67"/>
      <c r="D53" s="202">
        <f t="shared" si="1"/>
        <v>0</v>
      </c>
      <c r="E53" s="202">
        <f t="shared" si="2"/>
        <v>0</v>
      </c>
      <c r="F53" s="202">
        <f t="shared" si="16"/>
        <v>0</v>
      </c>
      <c r="G53" s="203">
        <f t="shared" si="20"/>
        <v>0</v>
      </c>
      <c r="H53" s="203">
        <f t="shared" si="21"/>
        <v>0</v>
      </c>
      <c r="I53" s="164"/>
      <c r="K53" s="67"/>
      <c r="N53" s="67"/>
      <c r="O53" s="67"/>
      <c r="Q53" s="67"/>
    </row>
    <row r="54" spans="1:17">
      <c r="A54" s="67"/>
      <c r="D54" s="202">
        <f t="shared" si="1"/>
        <v>0</v>
      </c>
      <c r="E54" s="202">
        <f t="shared" si="2"/>
        <v>0</v>
      </c>
      <c r="F54" s="202">
        <f t="shared" si="16"/>
        <v>0</v>
      </c>
      <c r="G54" s="203">
        <f t="shared" si="20"/>
        <v>0</v>
      </c>
      <c r="H54" s="203">
        <f t="shared" si="21"/>
        <v>0</v>
      </c>
      <c r="I54" s="164"/>
      <c r="K54" s="67"/>
      <c r="N54" s="67"/>
      <c r="O54" s="67"/>
      <c r="Q54" s="67"/>
    </row>
    <row r="55" spans="1:17">
      <c r="A55" s="67"/>
      <c r="D55" s="202">
        <f t="shared" si="1"/>
        <v>0</v>
      </c>
      <c r="E55" s="202">
        <f t="shared" si="2"/>
        <v>0</v>
      </c>
      <c r="F55" s="202">
        <f t="shared" si="16"/>
        <v>0</v>
      </c>
      <c r="G55" s="203">
        <f t="shared" si="20"/>
        <v>0</v>
      </c>
      <c r="H55" s="203">
        <f t="shared" si="21"/>
        <v>0</v>
      </c>
      <c r="I55" s="164"/>
      <c r="K55" s="67"/>
      <c r="N55" s="67"/>
      <c r="O55" s="67"/>
      <c r="Q55" s="67"/>
    </row>
    <row r="56" spans="1:17">
      <c r="A56" s="67"/>
      <c r="D56" s="202">
        <f t="shared" si="1"/>
        <v>0</v>
      </c>
      <c r="E56" s="202">
        <f t="shared" si="2"/>
        <v>0</v>
      </c>
      <c r="F56" s="202">
        <f t="shared" si="16"/>
        <v>0</v>
      </c>
      <c r="G56" s="203">
        <f t="shared" si="20"/>
        <v>0</v>
      </c>
      <c r="H56" s="203">
        <f t="shared" si="21"/>
        <v>0</v>
      </c>
      <c r="I56" s="164"/>
      <c r="K56" s="67"/>
      <c r="N56" s="67"/>
      <c r="O56" s="67"/>
      <c r="Q56" s="67"/>
    </row>
    <row r="57" spans="1:17">
      <c r="A57" s="67"/>
      <c r="D57" s="183"/>
      <c r="K57" s="67"/>
      <c r="Q57" s="67"/>
    </row>
    <row r="58" spans="1:17">
      <c r="A58" s="67"/>
      <c r="D58" s="183"/>
      <c r="K58" s="67"/>
      <c r="Q58" s="67"/>
    </row>
    <row r="59" spans="1:17">
      <c r="A59" s="67"/>
      <c r="C59" s="23"/>
      <c r="D59" s="183"/>
      <c r="K59" s="67"/>
      <c r="Q59" s="67"/>
    </row>
    <row r="60" spans="1:17">
      <c r="A60" s="67"/>
      <c r="C60" s="23"/>
      <c r="D60" s="183"/>
      <c r="K60" s="67"/>
      <c r="Q60" s="67"/>
    </row>
    <row r="61" spans="1:17">
      <c r="A61" s="67"/>
      <c r="C61" s="23"/>
      <c r="D61" s="183"/>
      <c r="K61" s="67"/>
      <c r="Q61" s="67"/>
    </row>
    <row r="62" spans="1:17">
      <c r="C62" s="23"/>
      <c r="D62" s="183"/>
      <c r="K62" s="67"/>
      <c r="Q62" s="67"/>
    </row>
    <row r="63" spans="1:17">
      <c r="C63" s="23"/>
      <c r="D63" s="183"/>
      <c r="K63" s="67"/>
      <c r="Q63" s="67"/>
    </row>
    <row r="64" spans="1:17">
      <c r="D64" s="183">
        <f>+E64*1.1</f>
        <v>0</v>
      </c>
      <c r="K64" s="67"/>
      <c r="Q64" s="67"/>
    </row>
    <row r="65" spans="11:17">
      <c r="K65" s="67"/>
      <c r="Q65" s="67"/>
    </row>
    <row r="66" spans="11:17">
      <c r="K66" s="67"/>
      <c r="Q66" s="67"/>
    </row>
    <row r="67" spans="11:17">
      <c r="K67" s="67"/>
      <c r="Q67" s="67"/>
    </row>
    <row r="68" spans="11:17">
      <c r="K68" s="67"/>
      <c r="Q68" s="67"/>
    </row>
    <row r="69" spans="11:17">
      <c r="K69" s="67"/>
    </row>
    <row r="70" spans="11:17">
      <c r="K70" s="67"/>
    </row>
    <row r="71" spans="11:17">
      <c r="K71" s="67"/>
    </row>
    <row r="72" spans="11:17">
      <c r="K72" s="67"/>
    </row>
    <row r="73" spans="11:17">
      <c r="K73" s="67"/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04"/>
  <sheetViews>
    <sheetView showGridLines="0" zoomScaleNormal="100" workbookViewId="0">
      <pane xSplit="2" ySplit="4" topLeftCell="C287" activePane="bottomRight" state="frozen"/>
      <selection pane="topRight" activeCell="C1" sqref="C1"/>
      <selection pane="bottomLeft" activeCell="A5" sqref="A5"/>
      <selection pane="bottomRight" activeCell="B297" sqref="B297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8" width="21.42578125" customWidth="1"/>
  </cols>
  <sheetData>
    <row r="1" spans="1:52" ht="80.099999999999994" customHeight="1">
      <c r="A1" s="48"/>
      <c r="B1" s="49"/>
      <c r="C1" s="48"/>
      <c r="D1" s="48"/>
      <c r="E1" s="48"/>
      <c r="F1" s="48"/>
      <c r="AZ1">
        <v>69</v>
      </c>
    </row>
    <row r="2" spans="1:52" ht="24.95" customHeight="1">
      <c r="A2" s="385"/>
      <c r="B2" s="385"/>
      <c r="C2" s="385"/>
      <c r="D2" s="385"/>
      <c r="E2" s="385"/>
      <c r="F2" s="385"/>
    </row>
    <row r="3" spans="1:52" ht="24.95" customHeight="1">
      <c r="G3" s="66"/>
    </row>
    <row r="4" spans="1:52">
      <c r="A4" s="25" t="s">
        <v>926</v>
      </c>
      <c r="B4" s="25" t="s">
        <v>5</v>
      </c>
      <c r="C4" s="13" t="s">
        <v>6</v>
      </c>
      <c r="D4" s="13" t="s">
        <v>7</v>
      </c>
      <c r="E4" s="25" t="s">
        <v>8</v>
      </c>
      <c r="F4" s="25" t="s">
        <v>421</v>
      </c>
      <c r="G4" s="25" t="s">
        <v>1672</v>
      </c>
    </row>
    <row r="5" spans="1:52" ht="30">
      <c r="A5" s="44">
        <v>1</v>
      </c>
      <c r="B5" s="45" t="s">
        <v>1</v>
      </c>
      <c r="C5" s="46" t="s">
        <v>11</v>
      </c>
      <c r="D5" s="20" t="s">
        <v>674</v>
      </c>
      <c r="E5" s="20" t="s">
        <v>10</v>
      </c>
      <c r="F5" s="26" t="s">
        <v>416</v>
      </c>
    </row>
    <row r="6" spans="1:52">
      <c r="A6" s="44">
        <v>2</v>
      </c>
      <c r="B6" s="20" t="s">
        <v>2</v>
      </c>
      <c r="C6" s="21" t="s">
        <v>12</v>
      </c>
      <c r="D6" s="21" t="s">
        <v>13</v>
      </c>
      <c r="E6" s="20" t="s">
        <v>14</v>
      </c>
      <c r="F6" s="26" t="s">
        <v>416</v>
      </c>
    </row>
    <row r="7" spans="1:52" ht="30">
      <c r="A7" s="44">
        <v>3</v>
      </c>
      <c r="B7" s="20" t="s">
        <v>4</v>
      </c>
      <c r="C7" s="46" t="s">
        <v>15</v>
      </c>
      <c r="D7" s="21" t="s">
        <v>16</v>
      </c>
      <c r="E7" s="20" t="s">
        <v>17</v>
      </c>
      <c r="F7" s="26" t="s">
        <v>416</v>
      </c>
    </row>
    <row r="8" spans="1:52" ht="30">
      <c r="A8" s="44">
        <v>4</v>
      </c>
      <c r="B8" s="20" t="s">
        <v>18</v>
      </c>
      <c r="C8" s="21" t="s">
        <v>19</v>
      </c>
      <c r="D8" s="21" t="s">
        <v>20</v>
      </c>
      <c r="E8" s="20" t="s">
        <v>21</v>
      </c>
      <c r="F8" s="26" t="s">
        <v>416</v>
      </c>
    </row>
    <row r="9" spans="1:52" ht="30">
      <c r="A9" s="44">
        <v>5</v>
      </c>
      <c r="B9" s="20" t="s">
        <v>22</v>
      </c>
      <c r="C9" s="82" t="s">
        <v>23</v>
      </c>
      <c r="D9" s="21" t="s">
        <v>9</v>
      </c>
      <c r="E9" s="20" t="s">
        <v>24</v>
      </c>
      <c r="F9" s="26" t="s">
        <v>416</v>
      </c>
    </row>
    <row r="10" spans="1:52" ht="30">
      <c r="A10" s="44">
        <v>6</v>
      </c>
      <c r="B10" s="20" t="s">
        <v>25</v>
      </c>
      <c r="C10" s="21" t="s">
        <v>26</v>
      </c>
      <c r="D10" s="20" t="s">
        <v>829</v>
      </c>
      <c r="E10" s="20" t="s">
        <v>27</v>
      </c>
      <c r="F10" s="26" t="s">
        <v>416</v>
      </c>
    </row>
    <row r="11" spans="1:52">
      <c r="A11" s="44">
        <v>7</v>
      </c>
      <c r="B11" s="20" t="s">
        <v>28</v>
      </c>
      <c r="C11" s="46" t="s">
        <v>29</v>
      </c>
      <c r="D11" s="21" t="s">
        <v>30</v>
      </c>
      <c r="E11" s="20" t="s">
        <v>31</v>
      </c>
      <c r="F11" s="26" t="s">
        <v>416</v>
      </c>
      <c r="G11" t="s">
        <v>1673</v>
      </c>
    </row>
    <row r="12" spans="1:52">
      <c r="A12" s="44">
        <v>8</v>
      </c>
      <c r="B12" s="20" t="s">
        <v>464</v>
      </c>
      <c r="C12" s="21" t="s">
        <v>32</v>
      </c>
      <c r="D12" s="21" t="s">
        <v>33</v>
      </c>
      <c r="E12" s="20" t="s">
        <v>34</v>
      </c>
      <c r="F12" s="26" t="s">
        <v>416</v>
      </c>
    </row>
    <row r="13" spans="1:52">
      <c r="A13" s="44">
        <v>9</v>
      </c>
      <c r="B13" s="20" t="s">
        <v>3</v>
      </c>
      <c r="C13" s="46" t="s">
        <v>35</v>
      </c>
      <c r="D13" s="21" t="s">
        <v>36</v>
      </c>
      <c r="E13" s="20" t="s">
        <v>37</v>
      </c>
      <c r="F13" s="26" t="s">
        <v>416</v>
      </c>
    </row>
    <row r="14" spans="1:52">
      <c r="A14" s="44">
        <v>10</v>
      </c>
      <c r="B14" s="20" t="s">
        <v>38</v>
      </c>
      <c r="C14" s="21" t="s">
        <v>43</v>
      </c>
      <c r="D14" s="21" t="s">
        <v>44</v>
      </c>
      <c r="E14" s="20" t="s">
        <v>45</v>
      </c>
      <c r="F14" s="26" t="s">
        <v>416</v>
      </c>
    </row>
    <row r="15" spans="1:52" ht="30">
      <c r="A15" s="44">
        <v>11</v>
      </c>
      <c r="B15" s="20" t="s">
        <v>39</v>
      </c>
      <c r="C15" s="46" t="s">
        <v>46</v>
      </c>
      <c r="D15" s="21" t="s">
        <v>47</v>
      </c>
      <c r="E15" s="20" t="s">
        <v>48</v>
      </c>
      <c r="F15" s="26" t="s">
        <v>422</v>
      </c>
    </row>
    <row r="16" spans="1:52">
      <c r="A16" s="44">
        <v>12</v>
      </c>
      <c r="B16" s="20" t="s">
        <v>40</v>
      </c>
      <c r="C16" s="21" t="s">
        <v>49</v>
      </c>
      <c r="D16" s="21" t="s">
        <v>50</v>
      </c>
      <c r="E16" s="20" t="s">
        <v>51</v>
      </c>
      <c r="F16" s="26" t="s">
        <v>422</v>
      </c>
    </row>
    <row r="17" spans="1:7">
      <c r="A17" s="44">
        <v>13</v>
      </c>
      <c r="B17" s="20" t="s">
        <v>532</v>
      </c>
      <c r="C17" s="46" t="s">
        <v>52</v>
      </c>
      <c r="D17" s="21" t="s">
        <v>98</v>
      </c>
      <c r="E17" s="20" t="s">
        <v>53</v>
      </c>
      <c r="F17" s="26" t="s">
        <v>416</v>
      </c>
      <c r="G17" t="s">
        <v>1674</v>
      </c>
    </row>
    <row r="18" spans="1:7">
      <c r="A18" s="44">
        <v>14</v>
      </c>
      <c r="B18" s="20" t="s">
        <v>54</v>
      </c>
      <c r="C18" s="21" t="s">
        <v>55</v>
      </c>
      <c r="D18" s="21" t="s">
        <v>56</v>
      </c>
      <c r="E18" s="20" t="s">
        <v>57</v>
      </c>
      <c r="F18" s="26" t="s">
        <v>416</v>
      </c>
    </row>
    <row r="19" spans="1:7">
      <c r="A19" s="44">
        <v>15</v>
      </c>
      <c r="B19" s="20" t="s">
        <v>459</v>
      </c>
      <c r="C19" s="46" t="s">
        <v>58</v>
      </c>
      <c r="D19" s="21" t="s">
        <v>59</v>
      </c>
      <c r="E19" s="20" t="s">
        <v>60</v>
      </c>
      <c r="F19" s="26" t="s">
        <v>416</v>
      </c>
    </row>
    <row r="20" spans="1:7" ht="30">
      <c r="A20" s="44">
        <v>16</v>
      </c>
      <c r="B20" s="20" t="s">
        <v>61</v>
      </c>
      <c r="C20" s="21" t="s">
        <v>62</v>
      </c>
      <c r="D20" s="21" t="s">
        <v>63</v>
      </c>
      <c r="E20" s="20" t="s">
        <v>64</v>
      </c>
      <c r="F20" s="26" t="s">
        <v>416</v>
      </c>
    </row>
    <row r="21" spans="1:7" ht="30">
      <c r="A21" s="44">
        <v>17</v>
      </c>
      <c r="B21" s="20" t="s">
        <v>65</v>
      </c>
      <c r="C21" s="46" t="s">
        <v>66</v>
      </c>
      <c r="D21" s="21" t="s">
        <v>67</v>
      </c>
      <c r="E21" s="20" t="s">
        <v>68</v>
      </c>
      <c r="F21" s="26" t="s">
        <v>416</v>
      </c>
    </row>
    <row r="22" spans="1:7">
      <c r="A22" s="44">
        <v>18</v>
      </c>
      <c r="B22" s="20" t="s">
        <v>41</v>
      </c>
      <c r="C22" s="21" t="s">
        <v>69</v>
      </c>
      <c r="D22" s="21" t="s">
        <v>70</v>
      </c>
      <c r="E22" s="20" t="s">
        <v>71</v>
      </c>
      <c r="F22" s="26" t="s">
        <v>416</v>
      </c>
    </row>
    <row r="23" spans="1:7">
      <c r="A23" s="44">
        <v>19</v>
      </c>
      <c r="B23" s="20" t="s">
        <v>42</v>
      </c>
      <c r="C23" s="46" t="s">
        <v>72</v>
      </c>
      <c r="D23" s="21" t="s">
        <v>73</v>
      </c>
      <c r="E23" s="20" t="s">
        <v>74</v>
      </c>
      <c r="F23" s="26" t="s">
        <v>416</v>
      </c>
    </row>
    <row r="24" spans="1:7" ht="30">
      <c r="A24" s="44">
        <v>20</v>
      </c>
      <c r="B24" s="20" t="s">
        <v>99</v>
      </c>
      <c r="C24" s="21" t="s">
        <v>100</v>
      </c>
      <c r="D24" s="21" t="s">
        <v>101</v>
      </c>
      <c r="E24" s="20" t="s">
        <v>102</v>
      </c>
      <c r="F24" s="26" t="s">
        <v>416</v>
      </c>
    </row>
    <row r="25" spans="1:7" ht="30">
      <c r="A25" s="44">
        <v>21</v>
      </c>
      <c r="B25" s="20" t="s">
        <v>103</v>
      </c>
      <c r="C25" s="46" t="s">
        <v>104</v>
      </c>
      <c r="D25" s="20" t="s">
        <v>675</v>
      </c>
      <c r="E25" s="20" t="s">
        <v>105</v>
      </c>
      <c r="F25" s="26" t="s">
        <v>416</v>
      </c>
    </row>
    <row r="26" spans="1:7" ht="30">
      <c r="A26" s="44">
        <v>22</v>
      </c>
      <c r="B26" s="20" t="s">
        <v>106</v>
      </c>
      <c r="C26" s="21" t="s">
        <v>107</v>
      </c>
      <c r="D26" s="21" t="s">
        <v>108</v>
      </c>
      <c r="E26" s="20" t="s">
        <v>109</v>
      </c>
      <c r="F26" s="26" t="s">
        <v>416</v>
      </c>
    </row>
    <row r="27" spans="1:7">
      <c r="A27" s="44">
        <v>23</v>
      </c>
      <c r="B27" s="20" t="s">
        <v>110</v>
      </c>
      <c r="C27" s="46" t="s">
        <v>111</v>
      </c>
      <c r="D27" s="21" t="s">
        <v>112</v>
      </c>
      <c r="E27" s="20" t="s">
        <v>113</v>
      </c>
      <c r="F27" s="26" t="s">
        <v>422</v>
      </c>
    </row>
    <row r="28" spans="1:7">
      <c r="A28" s="44">
        <v>24</v>
      </c>
      <c r="B28" s="20" t="s">
        <v>114</v>
      </c>
      <c r="C28" s="21" t="s">
        <v>115</v>
      </c>
      <c r="D28" s="21" t="s">
        <v>116</v>
      </c>
      <c r="E28" s="20" t="s">
        <v>117</v>
      </c>
      <c r="F28" s="26" t="s">
        <v>416</v>
      </c>
    </row>
    <row r="29" spans="1:7">
      <c r="A29" s="44">
        <v>25</v>
      </c>
      <c r="B29" s="20" t="s">
        <v>118</v>
      </c>
      <c r="C29" s="46" t="s">
        <v>119</v>
      </c>
      <c r="D29" s="21" t="s">
        <v>120</v>
      </c>
      <c r="E29" s="20" t="s">
        <v>121</v>
      </c>
      <c r="F29" s="26" t="s">
        <v>416</v>
      </c>
    </row>
    <row r="30" spans="1:7">
      <c r="A30" s="44">
        <v>26</v>
      </c>
      <c r="B30" s="20" t="s">
        <v>122</v>
      </c>
      <c r="C30" s="21" t="s">
        <v>123</v>
      </c>
      <c r="D30" s="21" t="s">
        <v>124</v>
      </c>
      <c r="E30" s="20" t="s">
        <v>125</v>
      </c>
      <c r="F30" s="26" t="s">
        <v>423</v>
      </c>
      <c r="G30" s="79" t="s">
        <v>591</v>
      </c>
    </row>
    <row r="31" spans="1:7">
      <c r="A31" s="44">
        <v>27</v>
      </c>
      <c r="B31" s="20" t="s">
        <v>126</v>
      </c>
      <c r="C31" s="46" t="s">
        <v>127</v>
      </c>
      <c r="D31" s="21" t="s">
        <v>128</v>
      </c>
      <c r="E31" s="20" t="s">
        <v>129</v>
      </c>
      <c r="F31" s="26" t="s">
        <v>416</v>
      </c>
    </row>
    <row r="32" spans="1:7">
      <c r="A32" s="44">
        <v>28</v>
      </c>
      <c r="B32" s="20" t="s">
        <v>130</v>
      </c>
      <c r="C32" s="21" t="s">
        <v>131</v>
      </c>
      <c r="D32" s="21" t="s">
        <v>132</v>
      </c>
      <c r="E32" s="20" t="s">
        <v>133</v>
      </c>
      <c r="F32" s="26" t="s">
        <v>416</v>
      </c>
    </row>
    <row r="33" spans="1:7" ht="30">
      <c r="A33" s="44">
        <v>29</v>
      </c>
      <c r="B33" s="20" t="s">
        <v>134</v>
      </c>
      <c r="C33" s="46" t="s">
        <v>135</v>
      </c>
      <c r="D33" s="21" t="s">
        <v>136</v>
      </c>
      <c r="E33" s="20" t="s">
        <v>137</v>
      </c>
      <c r="F33" s="26" t="s">
        <v>416</v>
      </c>
    </row>
    <row r="34" spans="1:7">
      <c r="A34" s="44">
        <v>30</v>
      </c>
      <c r="B34" s="20" t="s">
        <v>138</v>
      </c>
      <c r="C34" s="21" t="s">
        <v>139</v>
      </c>
      <c r="D34" s="21" t="s">
        <v>140</v>
      </c>
      <c r="E34" s="20" t="s">
        <v>141</v>
      </c>
      <c r="F34" s="26" t="s">
        <v>424</v>
      </c>
    </row>
    <row r="35" spans="1:7">
      <c r="A35" s="44">
        <v>31</v>
      </c>
      <c r="B35" s="20" t="s">
        <v>533</v>
      </c>
      <c r="C35" s="46" t="s">
        <v>142</v>
      </c>
      <c r="D35" s="21" t="s">
        <v>143</v>
      </c>
      <c r="E35" s="20" t="s">
        <v>144</v>
      </c>
      <c r="F35" s="26" t="s">
        <v>416</v>
      </c>
    </row>
    <row r="36" spans="1:7" ht="30">
      <c r="A36" s="44">
        <v>32</v>
      </c>
      <c r="B36" s="20" t="s">
        <v>145</v>
      </c>
      <c r="C36" s="21" t="s">
        <v>146</v>
      </c>
      <c r="D36" s="21" t="s">
        <v>147</v>
      </c>
      <c r="E36" s="20" t="s">
        <v>148</v>
      </c>
      <c r="F36" s="26" t="s">
        <v>422</v>
      </c>
    </row>
    <row r="37" spans="1:7" ht="30">
      <c r="A37" s="44">
        <v>33</v>
      </c>
      <c r="B37" s="20" t="s">
        <v>149</v>
      </c>
      <c r="C37" s="46" t="s">
        <v>150</v>
      </c>
      <c r="D37" s="21" t="s">
        <v>151</v>
      </c>
      <c r="E37" s="20" t="s">
        <v>152</v>
      </c>
      <c r="F37" s="26" t="s">
        <v>425</v>
      </c>
    </row>
    <row r="38" spans="1:7" ht="30">
      <c r="A38" s="44">
        <v>34</v>
      </c>
      <c r="B38" s="20" t="s">
        <v>153</v>
      </c>
      <c r="C38" s="21" t="s">
        <v>154</v>
      </c>
      <c r="D38" s="21" t="s">
        <v>155</v>
      </c>
      <c r="E38" s="20" t="s">
        <v>156</v>
      </c>
      <c r="F38" s="26" t="s">
        <v>416</v>
      </c>
    </row>
    <row r="39" spans="1:7">
      <c r="A39" s="44">
        <v>35</v>
      </c>
      <c r="B39" s="20" t="s">
        <v>157</v>
      </c>
      <c r="C39" s="46" t="s">
        <v>158</v>
      </c>
      <c r="D39" s="21" t="s">
        <v>159</v>
      </c>
      <c r="E39" s="20" t="s">
        <v>160</v>
      </c>
      <c r="F39" s="26" t="s">
        <v>416</v>
      </c>
    </row>
    <row r="40" spans="1:7">
      <c r="A40" s="44">
        <v>36</v>
      </c>
      <c r="B40" s="20" t="s">
        <v>161</v>
      </c>
      <c r="C40" s="21" t="s">
        <v>162</v>
      </c>
      <c r="D40" s="80" t="s">
        <v>163</v>
      </c>
      <c r="E40" s="20" t="s">
        <v>164</v>
      </c>
      <c r="F40" s="26" t="s">
        <v>423</v>
      </c>
      <c r="G40" s="79" t="s">
        <v>591</v>
      </c>
    </row>
    <row r="41" spans="1:7" ht="30">
      <c r="A41" s="44">
        <v>37</v>
      </c>
      <c r="B41" s="20" t="s">
        <v>165</v>
      </c>
      <c r="C41" s="46" t="s">
        <v>166</v>
      </c>
      <c r="D41" s="21" t="s">
        <v>167</v>
      </c>
      <c r="E41" s="20" t="s">
        <v>428</v>
      </c>
      <c r="F41" s="26" t="s">
        <v>427</v>
      </c>
    </row>
    <row r="42" spans="1:7">
      <c r="A42" s="44">
        <v>38</v>
      </c>
      <c r="B42" s="20" t="s">
        <v>168</v>
      </c>
      <c r="C42" s="21" t="s">
        <v>169</v>
      </c>
      <c r="D42" s="21" t="s">
        <v>170</v>
      </c>
      <c r="E42" s="20" t="s">
        <v>171</v>
      </c>
      <c r="F42" s="26" t="s">
        <v>416</v>
      </c>
    </row>
    <row r="43" spans="1:7">
      <c r="A43" s="44">
        <v>39</v>
      </c>
      <c r="B43" s="20" t="s">
        <v>172</v>
      </c>
      <c r="C43" s="46" t="s">
        <v>173</v>
      </c>
      <c r="D43" s="21" t="s">
        <v>174</v>
      </c>
      <c r="E43" s="20" t="s">
        <v>175</v>
      </c>
      <c r="F43" s="26" t="s">
        <v>426</v>
      </c>
    </row>
    <row r="44" spans="1:7" ht="30">
      <c r="A44" s="44">
        <v>40</v>
      </c>
      <c r="B44" s="20" t="s">
        <v>176</v>
      </c>
      <c r="C44" s="21" t="s">
        <v>177</v>
      </c>
      <c r="D44" s="21" t="s">
        <v>178</v>
      </c>
      <c r="E44" s="20" t="s">
        <v>179</v>
      </c>
      <c r="F44" s="26" t="s">
        <v>435</v>
      </c>
    </row>
    <row r="45" spans="1:7" ht="30">
      <c r="A45" s="44">
        <v>41</v>
      </c>
      <c r="B45" s="20" t="s">
        <v>180</v>
      </c>
      <c r="C45" s="46" t="s">
        <v>181</v>
      </c>
      <c r="D45" s="21" t="s">
        <v>182</v>
      </c>
      <c r="E45" s="20" t="s">
        <v>183</v>
      </c>
      <c r="F45" s="26" t="s">
        <v>423</v>
      </c>
    </row>
    <row r="46" spans="1:7" ht="30">
      <c r="A46" s="44">
        <v>42</v>
      </c>
      <c r="B46" s="20" t="s">
        <v>184</v>
      </c>
      <c r="C46" s="21" t="s">
        <v>185</v>
      </c>
      <c r="D46" s="21" t="s">
        <v>186</v>
      </c>
      <c r="E46" s="20" t="s">
        <v>187</v>
      </c>
      <c r="F46" s="26" t="s">
        <v>423</v>
      </c>
      <c r="G46" s="79" t="s">
        <v>591</v>
      </c>
    </row>
    <row r="47" spans="1:7">
      <c r="A47" s="44">
        <v>43</v>
      </c>
      <c r="B47" s="20" t="s">
        <v>188</v>
      </c>
      <c r="C47" s="46" t="s">
        <v>189</v>
      </c>
      <c r="D47" s="21" t="s">
        <v>190</v>
      </c>
      <c r="E47" s="20" t="s">
        <v>191</v>
      </c>
      <c r="F47" s="26" t="s">
        <v>423</v>
      </c>
    </row>
    <row r="48" spans="1:7" ht="30">
      <c r="A48" s="44">
        <v>44</v>
      </c>
      <c r="B48" s="20" t="s">
        <v>192</v>
      </c>
      <c r="C48" s="21" t="s">
        <v>193</v>
      </c>
      <c r="D48" s="21" t="s">
        <v>194</v>
      </c>
      <c r="E48" s="20" t="s">
        <v>195</v>
      </c>
      <c r="F48" s="26" t="s">
        <v>423</v>
      </c>
    </row>
    <row r="49" spans="1:7" ht="30">
      <c r="A49" s="44">
        <v>45</v>
      </c>
      <c r="B49" s="20" t="s">
        <v>97</v>
      </c>
      <c r="C49" s="46" t="s">
        <v>196</v>
      </c>
      <c r="D49" s="21" t="s">
        <v>197</v>
      </c>
      <c r="E49" s="20" t="s">
        <v>198</v>
      </c>
      <c r="F49" s="26" t="s">
        <v>438</v>
      </c>
    </row>
    <row r="50" spans="1:7">
      <c r="A50" s="44">
        <v>46</v>
      </c>
      <c r="B50" s="20" t="s">
        <v>199</v>
      </c>
      <c r="C50" s="21" t="s">
        <v>200</v>
      </c>
      <c r="D50" s="21" t="s">
        <v>201</v>
      </c>
      <c r="E50" s="20" t="s">
        <v>202</v>
      </c>
      <c r="F50" s="26" t="s">
        <v>423</v>
      </c>
    </row>
    <row r="51" spans="1:7" ht="45">
      <c r="A51" s="44">
        <v>47</v>
      </c>
      <c r="B51" s="20" t="s">
        <v>420</v>
      </c>
      <c r="C51" s="46" t="s">
        <v>203</v>
      </c>
      <c r="D51" s="21" t="s">
        <v>205</v>
      </c>
      <c r="E51" s="20" t="s">
        <v>204</v>
      </c>
      <c r="F51" s="26" t="s">
        <v>204</v>
      </c>
    </row>
    <row r="52" spans="1:7" ht="30">
      <c r="A52" s="44">
        <v>48</v>
      </c>
      <c r="B52" s="20" t="s">
        <v>209</v>
      </c>
      <c r="C52" s="21" t="s">
        <v>206</v>
      </c>
      <c r="D52" s="21" t="s">
        <v>208</v>
      </c>
      <c r="E52" s="20" t="s">
        <v>207</v>
      </c>
      <c r="F52" s="26" t="s">
        <v>434</v>
      </c>
    </row>
    <row r="53" spans="1:7" ht="30">
      <c r="A53" s="44">
        <v>49</v>
      </c>
      <c r="B53" s="20" t="s">
        <v>210</v>
      </c>
      <c r="C53" s="46" t="s">
        <v>211</v>
      </c>
      <c r="D53" s="21" t="s">
        <v>212</v>
      </c>
      <c r="E53" s="20" t="s">
        <v>213</v>
      </c>
      <c r="F53" s="26" t="s">
        <v>439</v>
      </c>
    </row>
    <row r="54" spans="1:7">
      <c r="A54" s="44">
        <v>50</v>
      </c>
      <c r="B54" s="20" t="s">
        <v>214</v>
      </c>
      <c r="C54" s="21" t="s">
        <v>215</v>
      </c>
      <c r="D54" s="21" t="s">
        <v>216</v>
      </c>
      <c r="E54" s="20" t="s">
        <v>217</v>
      </c>
      <c r="F54" s="26" t="s">
        <v>440</v>
      </c>
    </row>
    <row r="55" spans="1:7" ht="30">
      <c r="A55" s="44">
        <v>51</v>
      </c>
      <c r="B55" s="20" t="s">
        <v>218</v>
      </c>
      <c r="C55" s="46" t="s">
        <v>219</v>
      </c>
      <c r="D55" s="21" t="s">
        <v>220</v>
      </c>
      <c r="E55" s="20" t="s">
        <v>221</v>
      </c>
      <c r="F55" s="26" t="s">
        <v>429</v>
      </c>
    </row>
    <row r="56" spans="1:7" ht="30">
      <c r="A56" s="44">
        <v>52</v>
      </c>
      <c r="B56" s="20" t="s">
        <v>222</v>
      </c>
      <c r="C56" s="21" t="s">
        <v>223</v>
      </c>
      <c r="D56" s="21" t="s">
        <v>224</v>
      </c>
      <c r="E56" s="20" t="s">
        <v>225</v>
      </c>
      <c r="F56" s="26" t="s">
        <v>439</v>
      </c>
    </row>
    <row r="57" spans="1:7">
      <c r="A57" s="44">
        <v>53</v>
      </c>
      <c r="B57" s="20" t="s">
        <v>226</v>
      </c>
      <c r="C57" s="46" t="s">
        <v>227</v>
      </c>
      <c r="D57" s="21" t="s">
        <v>228</v>
      </c>
      <c r="E57" s="20" t="s">
        <v>229</v>
      </c>
      <c r="F57" s="26" t="s">
        <v>416</v>
      </c>
    </row>
    <row r="58" spans="1:7" ht="30">
      <c r="A58" s="44">
        <v>54</v>
      </c>
      <c r="B58" s="20" t="s">
        <v>231</v>
      </c>
      <c r="C58" s="21" t="s">
        <v>232</v>
      </c>
      <c r="D58" s="21" t="s">
        <v>233</v>
      </c>
      <c r="E58" s="20" t="s">
        <v>469</v>
      </c>
      <c r="F58" s="26" t="s">
        <v>416</v>
      </c>
    </row>
    <row r="59" spans="1:7" ht="30">
      <c r="A59" s="44">
        <v>55</v>
      </c>
      <c r="B59" s="20" t="s">
        <v>234</v>
      </c>
      <c r="C59" s="46" t="s">
        <v>240</v>
      </c>
      <c r="D59" s="21" t="s">
        <v>235</v>
      </c>
      <c r="E59" s="20" t="s">
        <v>236</v>
      </c>
      <c r="F59" s="26" t="s">
        <v>430</v>
      </c>
    </row>
    <row r="60" spans="1:7" ht="30">
      <c r="A60" s="44">
        <v>56</v>
      </c>
      <c r="B60" s="20" t="s">
        <v>237</v>
      </c>
      <c r="C60" s="21" t="s">
        <v>241</v>
      </c>
      <c r="D60" s="21" t="s">
        <v>238</v>
      </c>
      <c r="E60" s="20" t="s">
        <v>239</v>
      </c>
      <c r="F60" s="26" t="s">
        <v>416</v>
      </c>
      <c r="G60" t="s">
        <v>1674</v>
      </c>
    </row>
    <row r="61" spans="1:7" ht="30">
      <c r="A61" s="44">
        <v>57</v>
      </c>
      <c r="B61" s="20" t="s">
        <v>243</v>
      </c>
      <c r="C61" s="46" t="s">
        <v>244</v>
      </c>
      <c r="D61" s="21" t="s">
        <v>245</v>
      </c>
      <c r="E61" s="20" t="s">
        <v>246</v>
      </c>
      <c r="F61" s="26" t="s">
        <v>416</v>
      </c>
    </row>
    <row r="62" spans="1:7" ht="30">
      <c r="A62" s="44">
        <v>58</v>
      </c>
      <c r="B62" s="20" t="s">
        <v>460</v>
      </c>
      <c r="C62" s="21" t="s">
        <v>247</v>
      </c>
      <c r="D62" s="21" t="s">
        <v>248</v>
      </c>
      <c r="E62" s="20" t="s">
        <v>249</v>
      </c>
      <c r="F62" s="26" t="s">
        <v>423</v>
      </c>
      <c r="G62" s="72" t="s">
        <v>591</v>
      </c>
    </row>
    <row r="63" spans="1:7" ht="30">
      <c r="A63" s="44">
        <v>59</v>
      </c>
      <c r="B63" s="20" t="s">
        <v>250</v>
      </c>
      <c r="C63" s="46" t="s">
        <v>251</v>
      </c>
      <c r="D63" s="21" t="s">
        <v>252</v>
      </c>
      <c r="E63" s="20" t="s">
        <v>253</v>
      </c>
      <c r="F63" s="26" t="s">
        <v>416</v>
      </c>
    </row>
    <row r="64" spans="1:7" ht="30">
      <c r="A64" s="44">
        <v>60</v>
      </c>
      <c r="B64" s="20" t="s">
        <v>254</v>
      </c>
      <c r="C64" s="21" t="s">
        <v>255</v>
      </c>
      <c r="D64" s="21" t="s">
        <v>256</v>
      </c>
      <c r="E64" s="20" t="s">
        <v>257</v>
      </c>
      <c r="F64" s="26" t="s">
        <v>423</v>
      </c>
    </row>
    <row r="65" spans="1:7">
      <c r="A65" s="44">
        <v>61</v>
      </c>
      <c r="B65" s="20" t="s">
        <v>258</v>
      </c>
      <c r="C65" s="46" t="s">
        <v>259</v>
      </c>
      <c r="D65" s="21" t="s">
        <v>260</v>
      </c>
      <c r="E65" s="20" t="s">
        <v>261</v>
      </c>
      <c r="F65" s="26" t="s">
        <v>416</v>
      </c>
    </row>
    <row r="66" spans="1:7" ht="30">
      <c r="A66" s="44">
        <v>62</v>
      </c>
      <c r="B66" s="20" t="s">
        <v>242</v>
      </c>
      <c r="C66" s="21" t="s">
        <v>263</v>
      </c>
      <c r="D66" s="21" t="s">
        <v>264</v>
      </c>
      <c r="E66" s="20" t="s">
        <v>265</v>
      </c>
      <c r="F66" s="26" t="s">
        <v>416</v>
      </c>
    </row>
    <row r="67" spans="1:7" ht="30">
      <c r="A67" s="44">
        <v>63</v>
      </c>
      <c r="B67" s="20" t="s">
        <v>266</v>
      </c>
      <c r="C67" s="46" t="s">
        <v>267</v>
      </c>
      <c r="D67" s="20" t="s">
        <v>677</v>
      </c>
      <c r="E67" s="20" t="s">
        <v>268</v>
      </c>
      <c r="F67" s="26" t="s">
        <v>422</v>
      </c>
    </row>
    <row r="68" spans="1:7">
      <c r="A68" s="44">
        <v>64</v>
      </c>
      <c r="B68" s="20" t="s">
        <v>269</v>
      </c>
      <c r="C68" s="21" t="s">
        <v>270</v>
      </c>
      <c r="D68" s="21" t="s">
        <v>271</v>
      </c>
      <c r="E68" s="20" t="s">
        <v>272</v>
      </c>
      <c r="F68" s="26" t="s">
        <v>441</v>
      </c>
    </row>
    <row r="69" spans="1:7" ht="30">
      <c r="A69" s="44">
        <v>65</v>
      </c>
      <c r="B69" s="20" t="s">
        <v>273</v>
      </c>
      <c r="C69" s="46" t="s">
        <v>274</v>
      </c>
      <c r="D69" s="21" t="s">
        <v>275</v>
      </c>
      <c r="E69" s="20" t="s">
        <v>276</v>
      </c>
      <c r="F69" s="26" t="s">
        <v>422</v>
      </c>
    </row>
    <row r="70" spans="1:7" ht="30">
      <c r="A70" s="44">
        <v>66</v>
      </c>
      <c r="B70" s="20" t="s">
        <v>277</v>
      </c>
      <c r="C70" s="21" t="s">
        <v>278</v>
      </c>
      <c r="D70" s="21" t="s">
        <v>279</v>
      </c>
      <c r="E70" s="20" t="s">
        <v>280</v>
      </c>
      <c r="F70" s="26" t="s">
        <v>416</v>
      </c>
    </row>
    <row r="71" spans="1:7" ht="30">
      <c r="A71" s="44">
        <v>67</v>
      </c>
      <c r="B71" s="20" t="s">
        <v>281</v>
      </c>
      <c r="C71" s="46" t="s">
        <v>282</v>
      </c>
      <c r="D71" s="21" t="s">
        <v>283</v>
      </c>
      <c r="E71" s="20" t="s">
        <v>284</v>
      </c>
      <c r="F71" s="26" t="s">
        <v>423</v>
      </c>
    </row>
    <row r="72" spans="1:7" ht="30">
      <c r="A72" s="44">
        <v>68</v>
      </c>
      <c r="B72" s="20" t="s">
        <v>285</v>
      </c>
      <c r="C72" s="21" t="s">
        <v>286</v>
      </c>
      <c r="D72" s="21" t="s">
        <v>287</v>
      </c>
      <c r="E72" s="20" t="s">
        <v>288</v>
      </c>
      <c r="F72" s="26" t="s">
        <v>422</v>
      </c>
    </row>
    <row r="73" spans="1:7">
      <c r="A73" s="44">
        <v>69</v>
      </c>
      <c r="B73" s="20" t="s">
        <v>289</v>
      </c>
      <c r="C73" s="46" t="s">
        <v>290</v>
      </c>
      <c r="D73" s="21" t="s">
        <v>291</v>
      </c>
      <c r="E73" s="20" t="s">
        <v>292</v>
      </c>
      <c r="F73" s="26" t="s">
        <v>423</v>
      </c>
    </row>
    <row r="74" spans="1:7">
      <c r="A74" s="44">
        <v>70</v>
      </c>
      <c r="B74" s="20" t="s">
        <v>293</v>
      </c>
      <c r="C74" s="21" t="s">
        <v>294</v>
      </c>
      <c r="D74" s="21" t="s">
        <v>295</v>
      </c>
      <c r="E74" s="20" t="s">
        <v>296</v>
      </c>
      <c r="F74" s="26" t="s">
        <v>416</v>
      </c>
    </row>
    <row r="75" spans="1:7" ht="30">
      <c r="A75" s="44">
        <v>71</v>
      </c>
      <c r="B75" s="20" t="s">
        <v>297</v>
      </c>
      <c r="C75" s="46" t="s">
        <v>298</v>
      </c>
      <c r="D75" s="21" t="s">
        <v>299</v>
      </c>
      <c r="E75" s="20" t="s">
        <v>300</v>
      </c>
      <c r="F75" s="26" t="s">
        <v>442</v>
      </c>
    </row>
    <row r="76" spans="1:7">
      <c r="A76" s="44">
        <v>72</v>
      </c>
      <c r="B76" s="20" t="s">
        <v>301</v>
      </c>
      <c r="C76" s="21" t="s">
        <v>302</v>
      </c>
      <c r="D76" s="21" t="s">
        <v>303</v>
      </c>
      <c r="E76" s="20" t="s">
        <v>304</v>
      </c>
      <c r="F76" s="26" t="s">
        <v>416</v>
      </c>
      <c r="G76" t="s">
        <v>1673</v>
      </c>
    </row>
    <row r="77" spans="1:7" ht="30">
      <c r="A77" s="44">
        <v>73</v>
      </c>
      <c r="B77" s="20" t="s">
        <v>305</v>
      </c>
      <c r="C77" s="46" t="s">
        <v>306</v>
      </c>
      <c r="D77" s="21" t="s">
        <v>307</v>
      </c>
      <c r="E77" s="20" t="s">
        <v>308</v>
      </c>
      <c r="F77" s="26" t="s">
        <v>431</v>
      </c>
    </row>
    <row r="78" spans="1:7" ht="30">
      <c r="A78" s="44">
        <v>74</v>
      </c>
      <c r="B78" s="20" t="s">
        <v>309</v>
      </c>
      <c r="C78" s="21" t="s">
        <v>310</v>
      </c>
      <c r="D78" s="21" t="s">
        <v>311</v>
      </c>
      <c r="E78" s="20" t="s">
        <v>312</v>
      </c>
      <c r="F78" s="26" t="s">
        <v>439</v>
      </c>
    </row>
    <row r="79" spans="1:7" ht="30">
      <c r="A79" s="44">
        <v>75</v>
      </c>
      <c r="B79" s="20" t="s">
        <v>313</v>
      </c>
      <c r="C79" s="46" t="s">
        <v>314</v>
      </c>
      <c r="D79" s="21" t="s">
        <v>315</v>
      </c>
      <c r="E79" s="20" t="s">
        <v>316</v>
      </c>
      <c r="F79" s="26" t="s">
        <v>416</v>
      </c>
    </row>
    <row r="80" spans="1:7" ht="30">
      <c r="A80" s="44">
        <v>76</v>
      </c>
      <c r="B80" s="20" t="s">
        <v>317</v>
      </c>
      <c r="C80" s="21" t="s">
        <v>318</v>
      </c>
      <c r="D80" s="21" t="s">
        <v>319</v>
      </c>
      <c r="E80" s="20" t="s">
        <v>320</v>
      </c>
      <c r="F80" s="26" t="s">
        <v>422</v>
      </c>
    </row>
    <row r="81" spans="1:7" ht="30">
      <c r="A81" s="44">
        <v>77</v>
      </c>
      <c r="B81" s="20" t="s">
        <v>321</v>
      </c>
      <c r="C81" s="46" t="s">
        <v>322</v>
      </c>
      <c r="D81" s="21" t="s">
        <v>323</v>
      </c>
      <c r="E81" s="20" t="s">
        <v>324</v>
      </c>
      <c r="F81" s="26" t="s">
        <v>423</v>
      </c>
    </row>
    <row r="82" spans="1:7">
      <c r="A82" s="44">
        <v>78</v>
      </c>
      <c r="B82" s="20" t="s">
        <v>325</v>
      </c>
      <c r="C82" s="21" t="s">
        <v>326</v>
      </c>
      <c r="D82" s="21" t="s">
        <v>327</v>
      </c>
      <c r="E82" s="20" t="s">
        <v>328</v>
      </c>
      <c r="F82" s="26" t="s">
        <v>423</v>
      </c>
    </row>
    <row r="83" spans="1:7" ht="30">
      <c r="A83" s="44">
        <v>79</v>
      </c>
      <c r="B83" s="20" t="s">
        <v>329</v>
      </c>
      <c r="C83" s="46" t="s">
        <v>330</v>
      </c>
      <c r="D83" s="21" t="s">
        <v>331</v>
      </c>
      <c r="E83" s="20" t="s">
        <v>332</v>
      </c>
      <c r="F83" s="26" t="s">
        <v>423</v>
      </c>
    </row>
    <row r="84" spans="1:7" ht="30">
      <c r="A84" s="44">
        <v>80</v>
      </c>
      <c r="B84" s="20" t="s">
        <v>333</v>
      </c>
      <c r="C84" s="21" t="s">
        <v>334</v>
      </c>
      <c r="D84" s="21" t="s">
        <v>335</v>
      </c>
      <c r="E84" s="20" t="s">
        <v>336</v>
      </c>
      <c r="F84" s="26" t="s">
        <v>416</v>
      </c>
    </row>
    <row r="85" spans="1:7">
      <c r="A85" s="44">
        <v>81</v>
      </c>
      <c r="B85" s="20" t="s">
        <v>337</v>
      </c>
      <c r="C85" s="46" t="s">
        <v>338</v>
      </c>
      <c r="D85" s="21" t="s">
        <v>339</v>
      </c>
      <c r="E85" s="20" t="s">
        <v>340</v>
      </c>
      <c r="F85" s="26" t="s">
        <v>422</v>
      </c>
    </row>
    <row r="86" spans="1:7" ht="30">
      <c r="A86" s="44">
        <v>82</v>
      </c>
      <c r="B86" s="20" t="s">
        <v>341</v>
      </c>
      <c r="C86" s="21" t="s">
        <v>342</v>
      </c>
      <c r="D86" s="21" t="s">
        <v>343</v>
      </c>
      <c r="E86" s="20" t="s">
        <v>344</v>
      </c>
      <c r="F86" s="26" t="s">
        <v>424</v>
      </c>
    </row>
    <row r="87" spans="1:7">
      <c r="A87" s="44">
        <v>83</v>
      </c>
      <c r="B87" s="20" t="s">
        <v>345</v>
      </c>
      <c r="C87" s="46" t="s">
        <v>346</v>
      </c>
      <c r="D87" s="21" t="s">
        <v>347</v>
      </c>
      <c r="E87" s="20" t="s">
        <v>348</v>
      </c>
      <c r="F87" s="26" t="s">
        <v>416</v>
      </c>
    </row>
    <row r="88" spans="1:7" ht="30">
      <c r="A88" s="44">
        <v>84</v>
      </c>
      <c r="B88" s="20" t="s">
        <v>349</v>
      </c>
      <c r="C88" s="21" t="s">
        <v>350</v>
      </c>
      <c r="D88" s="21" t="s">
        <v>351</v>
      </c>
      <c r="E88" s="20" t="s">
        <v>352</v>
      </c>
      <c r="F88" s="26" t="s">
        <v>432</v>
      </c>
    </row>
    <row r="89" spans="1:7">
      <c r="A89" s="44">
        <v>85</v>
      </c>
      <c r="B89" s="20" t="s">
        <v>353</v>
      </c>
      <c r="C89" s="46" t="s">
        <v>354</v>
      </c>
      <c r="D89" s="21" t="s">
        <v>355</v>
      </c>
      <c r="E89" s="20" t="s">
        <v>356</v>
      </c>
      <c r="F89" s="26" t="s">
        <v>423</v>
      </c>
    </row>
    <row r="90" spans="1:7">
      <c r="A90" s="44">
        <v>86</v>
      </c>
      <c r="B90" s="20" t="s">
        <v>357</v>
      </c>
      <c r="C90" s="21" t="s">
        <v>358</v>
      </c>
      <c r="D90" s="21" t="s">
        <v>359</v>
      </c>
      <c r="E90" s="20" t="s">
        <v>360</v>
      </c>
      <c r="F90" s="26" t="s">
        <v>424</v>
      </c>
    </row>
    <row r="91" spans="1:7" ht="30">
      <c r="A91" s="44">
        <v>87</v>
      </c>
      <c r="B91" s="20" t="s">
        <v>361</v>
      </c>
      <c r="C91" s="46" t="s">
        <v>362</v>
      </c>
      <c r="D91" s="21" t="s">
        <v>363</v>
      </c>
      <c r="E91" s="20" t="s">
        <v>364</v>
      </c>
      <c r="F91" s="26" t="s">
        <v>434</v>
      </c>
    </row>
    <row r="92" spans="1:7" ht="30">
      <c r="A92" s="44">
        <v>88</v>
      </c>
      <c r="B92" s="20" t="s">
        <v>365</v>
      </c>
      <c r="C92" s="21" t="s">
        <v>366</v>
      </c>
      <c r="D92" s="21" t="s">
        <v>367</v>
      </c>
      <c r="E92" s="20" t="s">
        <v>368</v>
      </c>
      <c r="F92" s="26" t="s">
        <v>436</v>
      </c>
    </row>
    <row r="93" spans="1:7" ht="30">
      <c r="A93" s="44">
        <v>89</v>
      </c>
      <c r="B93" s="20" t="s">
        <v>369</v>
      </c>
      <c r="C93" s="46" t="s">
        <v>370</v>
      </c>
      <c r="D93" s="21" t="s">
        <v>371</v>
      </c>
      <c r="E93" s="20" t="s">
        <v>372</v>
      </c>
      <c r="F93" s="26" t="s">
        <v>416</v>
      </c>
    </row>
    <row r="94" spans="1:7" ht="30">
      <c r="A94" s="44">
        <v>90</v>
      </c>
      <c r="B94" s="20" t="s">
        <v>373</v>
      </c>
      <c r="C94" s="21" t="s">
        <v>374</v>
      </c>
      <c r="D94" s="21" t="s">
        <v>375</v>
      </c>
      <c r="E94" s="20" t="s">
        <v>376</v>
      </c>
      <c r="F94" s="26" t="s">
        <v>416</v>
      </c>
    </row>
    <row r="95" spans="1:7" ht="30">
      <c r="A95" s="44">
        <v>91</v>
      </c>
      <c r="B95" s="20" t="s">
        <v>821</v>
      </c>
      <c r="C95" s="46" t="s">
        <v>738</v>
      </c>
      <c r="D95" s="21" t="s">
        <v>377</v>
      </c>
      <c r="E95" s="20" t="s">
        <v>378</v>
      </c>
      <c r="F95" s="26" t="s">
        <v>416</v>
      </c>
      <c r="G95" t="s">
        <v>1674</v>
      </c>
    </row>
    <row r="96" spans="1:7" ht="30">
      <c r="A96" s="44">
        <v>92</v>
      </c>
      <c r="B96" s="20" t="s">
        <v>379</v>
      </c>
      <c r="C96" s="21" t="s">
        <v>380</v>
      </c>
      <c r="D96" s="21" t="s">
        <v>381</v>
      </c>
      <c r="E96" s="20" t="s">
        <v>382</v>
      </c>
      <c r="F96" s="26" t="s">
        <v>437</v>
      </c>
    </row>
    <row r="97" spans="1:7">
      <c r="A97" s="44">
        <v>93</v>
      </c>
      <c r="B97" s="20" t="s">
        <v>383</v>
      </c>
      <c r="C97" s="46" t="s">
        <v>384</v>
      </c>
      <c r="D97" s="21" t="s">
        <v>385</v>
      </c>
      <c r="E97" s="20" t="s">
        <v>386</v>
      </c>
      <c r="F97" s="26" t="s">
        <v>439</v>
      </c>
    </row>
    <row r="98" spans="1:7" ht="30">
      <c r="A98" s="44">
        <v>94</v>
      </c>
      <c r="B98" s="20" t="s">
        <v>387</v>
      </c>
      <c r="C98" s="21" t="s">
        <v>388</v>
      </c>
      <c r="D98" s="21" t="s">
        <v>389</v>
      </c>
      <c r="E98" s="20" t="s">
        <v>390</v>
      </c>
      <c r="F98" s="26" t="s">
        <v>443</v>
      </c>
    </row>
    <row r="99" spans="1:7">
      <c r="A99" s="44">
        <v>95</v>
      </c>
      <c r="B99" s="20" t="s">
        <v>391</v>
      </c>
      <c r="C99" s="46" t="s">
        <v>392</v>
      </c>
      <c r="D99" s="21" t="s">
        <v>393</v>
      </c>
      <c r="E99" s="20" t="s">
        <v>394</v>
      </c>
      <c r="F99" s="26" t="s">
        <v>433</v>
      </c>
    </row>
    <row r="100" spans="1:7" ht="30">
      <c r="A100" s="44">
        <v>96</v>
      </c>
      <c r="B100" s="20" t="s">
        <v>395</v>
      </c>
      <c r="C100" s="21" t="s">
        <v>396</v>
      </c>
      <c r="D100" s="21" t="s">
        <v>397</v>
      </c>
      <c r="E100" s="20" t="s">
        <v>398</v>
      </c>
      <c r="F100" s="26" t="s">
        <v>444</v>
      </c>
    </row>
    <row r="101" spans="1:7" ht="30">
      <c r="A101" s="44">
        <v>97</v>
      </c>
      <c r="B101" s="20" t="s">
        <v>399</v>
      </c>
      <c r="C101" s="46" t="s">
        <v>400</v>
      </c>
      <c r="D101" s="21" t="s">
        <v>401</v>
      </c>
      <c r="E101" s="20" t="s">
        <v>445</v>
      </c>
      <c r="F101" s="26" t="s">
        <v>443</v>
      </c>
    </row>
    <row r="102" spans="1:7" ht="30">
      <c r="A102" s="44">
        <v>98</v>
      </c>
      <c r="B102" s="20" t="s">
        <v>402</v>
      </c>
      <c r="C102" s="21" t="s">
        <v>404</v>
      </c>
      <c r="D102" s="21" t="s">
        <v>405</v>
      </c>
      <c r="E102" s="20" t="s">
        <v>406</v>
      </c>
      <c r="F102" s="26" t="s">
        <v>443</v>
      </c>
    </row>
    <row r="103" spans="1:7" ht="30">
      <c r="A103" s="44">
        <v>99</v>
      </c>
      <c r="B103" s="20" t="s">
        <v>403</v>
      </c>
      <c r="C103" s="46" t="s">
        <v>407</v>
      </c>
      <c r="D103" s="21" t="s">
        <v>408</v>
      </c>
      <c r="E103" s="20" t="s">
        <v>409</v>
      </c>
      <c r="F103" s="26" t="s">
        <v>422</v>
      </c>
    </row>
    <row r="104" spans="1:7" ht="30">
      <c r="A104" s="44">
        <v>100</v>
      </c>
      <c r="B104" s="20" t="s">
        <v>410</v>
      </c>
      <c r="C104" s="21" t="s">
        <v>411</v>
      </c>
      <c r="D104" s="21" t="s">
        <v>413</v>
      </c>
      <c r="E104" s="20" t="s">
        <v>412</v>
      </c>
      <c r="F104" s="26" t="s">
        <v>434</v>
      </c>
    </row>
    <row r="105" spans="1:7">
      <c r="A105" s="44">
        <v>101</v>
      </c>
      <c r="B105" s="20" t="s">
        <v>447</v>
      </c>
      <c r="C105" s="46" t="s">
        <v>448</v>
      </c>
      <c r="D105" s="21" t="s">
        <v>449</v>
      </c>
      <c r="E105" s="20" t="s">
        <v>450</v>
      </c>
      <c r="F105" s="26" t="s">
        <v>451</v>
      </c>
    </row>
    <row r="106" spans="1:7" ht="30">
      <c r="A106" s="44">
        <v>102</v>
      </c>
      <c r="B106" s="20" t="s">
        <v>79</v>
      </c>
      <c r="C106" s="54" t="s">
        <v>463</v>
      </c>
      <c r="D106" s="21" t="s">
        <v>335</v>
      </c>
      <c r="E106" s="20" t="s">
        <v>336</v>
      </c>
      <c r="F106" s="26" t="s">
        <v>416</v>
      </c>
    </row>
    <row r="107" spans="1:7" ht="30">
      <c r="A107" s="44">
        <v>103</v>
      </c>
      <c r="B107" s="20" t="s">
        <v>465</v>
      </c>
      <c r="C107" s="46" t="s">
        <v>466</v>
      </c>
      <c r="D107" s="21" t="s">
        <v>467</v>
      </c>
      <c r="E107" s="20" t="s">
        <v>468</v>
      </c>
      <c r="F107" s="26" t="s">
        <v>416</v>
      </c>
      <c r="G107" t="s">
        <v>1674</v>
      </c>
    </row>
    <row r="108" spans="1:7" ht="30">
      <c r="A108" s="44">
        <v>104</v>
      </c>
      <c r="B108" s="272" t="s">
        <v>470</v>
      </c>
      <c r="C108" s="21" t="s">
        <v>471</v>
      </c>
      <c r="D108" s="20" t="s">
        <v>688</v>
      </c>
      <c r="E108" s="20" t="s">
        <v>472</v>
      </c>
      <c r="F108" s="26" t="s">
        <v>416</v>
      </c>
      <c r="G108" t="s">
        <v>1674</v>
      </c>
    </row>
    <row r="109" spans="1:7" ht="30">
      <c r="A109" s="44">
        <v>105</v>
      </c>
      <c r="B109" s="20" t="s">
        <v>473</v>
      </c>
      <c r="C109" s="46" t="s">
        <v>474</v>
      </c>
      <c r="D109" s="21"/>
      <c r="E109" s="20" t="s">
        <v>475</v>
      </c>
      <c r="F109" s="26" t="s">
        <v>423</v>
      </c>
      <c r="G109" s="79" t="s">
        <v>591</v>
      </c>
    </row>
    <row r="110" spans="1:7" ht="30">
      <c r="A110" s="44">
        <v>106</v>
      </c>
      <c r="B110" s="20" t="s">
        <v>476</v>
      </c>
      <c r="C110" s="21" t="s">
        <v>477</v>
      </c>
      <c r="D110" s="21" t="s">
        <v>478</v>
      </c>
      <c r="E110" s="20" t="s">
        <v>479</v>
      </c>
      <c r="F110" s="26" t="s">
        <v>416</v>
      </c>
      <c r="G110" t="s">
        <v>1673</v>
      </c>
    </row>
    <row r="111" spans="1:7" ht="30">
      <c r="A111" s="44">
        <v>107</v>
      </c>
      <c r="B111" s="56" t="s">
        <v>481</v>
      </c>
      <c r="C111" s="46" t="s">
        <v>482</v>
      </c>
      <c r="D111" s="21" t="s">
        <v>483</v>
      </c>
      <c r="E111" s="20" t="s">
        <v>484</v>
      </c>
      <c r="F111" s="26" t="s">
        <v>423</v>
      </c>
    </row>
    <row r="112" spans="1:7" ht="30">
      <c r="A112" s="44">
        <v>108</v>
      </c>
      <c r="B112" s="56" t="s">
        <v>486</v>
      </c>
      <c r="C112" s="21" t="s">
        <v>540</v>
      </c>
      <c r="D112" s="21" t="s">
        <v>487</v>
      </c>
      <c r="E112" s="20" t="s">
        <v>488</v>
      </c>
      <c r="F112" s="26" t="s">
        <v>485</v>
      </c>
    </row>
    <row r="113" spans="1:7" ht="30">
      <c r="A113" s="44">
        <v>109</v>
      </c>
      <c r="B113" s="20" t="s">
        <v>490</v>
      </c>
      <c r="C113" s="46" t="s">
        <v>491</v>
      </c>
      <c r="D113" s="21" t="s">
        <v>492</v>
      </c>
      <c r="E113" s="20" t="s">
        <v>493</v>
      </c>
      <c r="F113" s="26" t="s">
        <v>439</v>
      </c>
    </row>
    <row r="114" spans="1:7" ht="30">
      <c r="A114" s="44">
        <v>110</v>
      </c>
      <c r="B114" s="20" t="s">
        <v>494</v>
      </c>
      <c r="C114" s="21" t="s">
        <v>495</v>
      </c>
      <c r="D114" s="21" t="s">
        <v>496</v>
      </c>
      <c r="E114" s="20" t="s">
        <v>497</v>
      </c>
      <c r="F114" s="26" t="s">
        <v>416</v>
      </c>
    </row>
    <row r="115" spans="1:7">
      <c r="A115" s="44">
        <v>111</v>
      </c>
      <c r="B115" s="20" t="s">
        <v>592</v>
      </c>
      <c r="C115" s="46" t="s">
        <v>498</v>
      </c>
      <c r="D115" s="21" t="s">
        <v>499</v>
      </c>
      <c r="E115" s="20" t="s">
        <v>500</v>
      </c>
      <c r="F115" s="26" t="s">
        <v>423</v>
      </c>
      <c r="G115" s="79" t="s">
        <v>591</v>
      </c>
    </row>
    <row r="116" spans="1:7" ht="30">
      <c r="A116" s="44">
        <v>112</v>
      </c>
      <c r="B116" s="20" t="s">
        <v>501</v>
      </c>
      <c r="C116" s="21" t="s">
        <v>502</v>
      </c>
      <c r="D116" s="21" t="s">
        <v>503</v>
      </c>
      <c r="E116" s="20" t="s">
        <v>504</v>
      </c>
      <c r="F116" s="26" t="s">
        <v>441</v>
      </c>
    </row>
    <row r="117" spans="1:7">
      <c r="A117" s="44">
        <v>113</v>
      </c>
      <c r="B117" s="20" t="s">
        <v>505</v>
      </c>
      <c r="C117" s="46" t="s">
        <v>506</v>
      </c>
      <c r="D117" s="21" t="s">
        <v>507</v>
      </c>
      <c r="E117" s="20" t="s">
        <v>508</v>
      </c>
      <c r="F117" s="26" t="s">
        <v>423</v>
      </c>
    </row>
    <row r="118" spans="1:7">
      <c r="A118" s="44">
        <v>114</v>
      </c>
      <c r="B118" s="20" t="s">
        <v>1073</v>
      </c>
      <c r="C118" s="21" t="s">
        <v>1074</v>
      </c>
      <c r="D118" s="21" t="s">
        <v>1075</v>
      </c>
      <c r="E118" s="20" t="s">
        <v>1076</v>
      </c>
      <c r="F118" s="26" t="s">
        <v>416</v>
      </c>
    </row>
    <row r="119" spans="1:7">
      <c r="A119" s="44">
        <v>115</v>
      </c>
      <c r="B119" s="20" t="s">
        <v>511</v>
      </c>
      <c r="C119" s="46"/>
      <c r="D119" s="21"/>
      <c r="E119" s="20"/>
      <c r="F119" s="26" t="s">
        <v>416</v>
      </c>
    </row>
    <row r="120" spans="1:7">
      <c r="A120" s="44">
        <v>116</v>
      </c>
      <c r="B120" s="20" t="s">
        <v>514</v>
      </c>
      <c r="C120" s="21" t="s">
        <v>516</v>
      </c>
      <c r="D120" s="21" t="s">
        <v>517</v>
      </c>
      <c r="E120" s="20" t="s">
        <v>518</v>
      </c>
      <c r="F120" s="26" t="s">
        <v>423</v>
      </c>
    </row>
    <row r="121" spans="1:7">
      <c r="A121" s="44">
        <v>117</v>
      </c>
      <c r="B121" s="20" t="s">
        <v>521</v>
      </c>
      <c r="C121" s="46"/>
      <c r="D121" s="21"/>
      <c r="E121" s="20"/>
      <c r="F121" s="26" t="s">
        <v>416</v>
      </c>
    </row>
    <row r="122" spans="1:7">
      <c r="A122" s="44">
        <v>118</v>
      </c>
      <c r="B122" s="20" t="s">
        <v>522</v>
      </c>
      <c r="C122" s="21"/>
      <c r="D122" s="21">
        <v>412078232</v>
      </c>
      <c r="E122" s="20"/>
      <c r="F122" s="26" t="s">
        <v>416</v>
      </c>
    </row>
    <row r="123" spans="1:7">
      <c r="A123" s="44">
        <v>119</v>
      </c>
      <c r="B123" s="20" t="s">
        <v>523</v>
      </c>
      <c r="C123" s="46"/>
      <c r="D123" s="21"/>
      <c r="E123" s="20"/>
      <c r="F123" s="26" t="s">
        <v>416</v>
      </c>
    </row>
    <row r="124" spans="1:7" ht="30">
      <c r="A124" s="44">
        <v>120</v>
      </c>
      <c r="B124" s="20" t="s">
        <v>526</v>
      </c>
      <c r="C124" s="21" t="s">
        <v>527</v>
      </c>
      <c r="D124" s="21" t="s">
        <v>528</v>
      </c>
      <c r="E124" s="20" t="s">
        <v>529</v>
      </c>
      <c r="F124" s="26" t="s">
        <v>423</v>
      </c>
    </row>
    <row r="125" spans="1:7" ht="30">
      <c r="A125" s="44">
        <v>121</v>
      </c>
      <c r="B125" s="20" t="s">
        <v>530</v>
      </c>
      <c r="C125" s="46" t="s">
        <v>509</v>
      </c>
      <c r="D125" s="21" t="s">
        <v>510</v>
      </c>
      <c r="E125" s="20" t="s">
        <v>531</v>
      </c>
      <c r="F125" s="26" t="s">
        <v>416</v>
      </c>
    </row>
    <row r="126" spans="1:7" ht="30">
      <c r="A126" s="44">
        <v>122</v>
      </c>
      <c r="B126" s="20" t="s">
        <v>513</v>
      </c>
      <c r="C126" s="21" t="s">
        <v>519</v>
      </c>
      <c r="D126" s="21" t="s">
        <v>520</v>
      </c>
      <c r="E126" s="20" t="s">
        <v>704</v>
      </c>
      <c r="F126" s="26" t="s">
        <v>423</v>
      </c>
      <c r="G126" s="79" t="s">
        <v>591</v>
      </c>
    </row>
    <row r="127" spans="1:7">
      <c r="A127" s="44">
        <v>123</v>
      </c>
      <c r="B127" s="20" t="s">
        <v>537</v>
      </c>
      <c r="C127" s="46"/>
      <c r="D127" s="21"/>
      <c r="E127" s="20"/>
      <c r="F127" s="26" t="s">
        <v>416</v>
      </c>
    </row>
    <row r="128" spans="1:7">
      <c r="A128" s="44">
        <v>124</v>
      </c>
      <c r="B128" s="20" t="s">
        <v>535</v>
      </c>
      <c r="C128" s="21"/>
      <c r="D128" s="21"/>
      <c r="E128" s="20"/>
      <c r="F128" s="26" t="s">
        <v>416</v>
      </c>
    </row>
    <row r="129" spans="1:7">
      <c r="A129" s="44">
        <v>125</v>
      </c>
      <c r="B129" s="20" t="s">
        <v>536</v>
      </c>
      <c r="C129" s="46"/>
      <c r="D129" s="21" t="s">
        <v>1063</v>
      </c>
      <c r="E129" s="20" t="s">
        <v>416</v>
      </c>
      <c r="F129" s="26" t="s">
        <v>416</v>
      </c>
    </row>
    <row r="130" spans="1:7">
      <c r="A130" s="44">
        <v>126</v>
      </c>
      <c r="B130" s="20" t="s">
        <v>542</v>
      </c>
      <c r="C130" s="21"/>
      <c r="D130" s="21"/>
      <c r="E130" s="20"/>
      <c r="F130" s="26" t="s">
        <v>423</v>
      </c>
    </row>
    <row r="131" spans="1:7">
      <c r="A131" s="44">
        <v>127</v>
      </c>
      <c r="B131" s="20" t="s">
        <v>544</v>
      </c>
      <c r="C131" s="46"/>
      <c r="D131" s="21"/>
      <c r="E131" s="20"/>
      <c r="F131" s="26" t="s">
        <v>416</v>
      </c>
    </row>
    <row r="132" spans="1:7">
      <c r="A132" s="44">
        <v>128</v>
      </c>
      <c r="B132" s="20" t="s">
        <v>545</v>
      </c>
      <c r="C132" s="21"/>
      <c r="D132" s="21"/>
      <c r="E132" s="20"/>
      <c r="F132" s="26" t="s">
        <v>416</v>
      </c>
    </row>
    <row r="133" spans="1:7" ht="30">
      <c r="A133" s="44">
        <v>129</v>
      </c>
      <c r="B133" s="20" t="s">
        <v>549</v>
      </c>
      <c r="C133" s="46" t="s">
        <v>489</v>
      </c>
      <c r="D133" s="21" t="s">
        <v>551</v>
      </c>
      <c r="E133" s="20" t="s">
        <v>878</v>
      </c>
      <c r="F133" s="26" t="s">
        <v>423</v>
      </c>
    </row>
    <row r="134" spans="1:7">
      <c r="A134" s="44">
        <v>130</v>
      </c>
      <c r="B134" s="20" t="s">
        <v>552</v>
      </c>
      <c r="C134" s="21"/>
      <c r="D134" s="21" t="s">
        <v>553</v>
      </c>
      <c r="E134" s="20"/>
      <c r="F134" s="26" t="s">
        <v>423</v>
      </c>
    </row>
    <row r="135" spans="1:7">
      <c r="A135" s="44">
        <v>131</v>
      </c>
      <c r="B135" s="20" t="s">
        <v>554</v>
      </c>
      <c r="C135" s="46" t="s">
        <v>555</v>
      </c>
      <c r="D135" s="21" t="s">
        <v>556</v>
      </c>
      <c r="E135" s="20" t="s">
        <v>557</v>
      </c>
      <c r="F135" s="26" t="s">
        <v>423</v>
      </c>
    </row>
    <row r="136" spans="1:7" ht="30">
      <c r="A136" s="44">
        <v>132</v>
      </c>
      <c r="B136" s="20" t="s">
        <v>558</v>
      </c>
      <c r="C136" s="21" t="s">
        <v>561</v>
      </c>
      <c r="D136" s="21" t="s">
        <v>560</v>
      </c>
      <c r="E136" s="20" t="s">
        <v>559</v>
      </c>
      <c r="F136" s="26" t="s">
        <v>423</v>
      </c>
      <c r="G136" s="79" t="s">
        <v>591</v>
      </c>
    </row>
    <row r="137" spans="1:7">
      <c r="A137" s="44">
        <v>133</v>
      </c>
      <c r="B137" s="20" t="s">
        <v>564</v>
      </c>
      <c r="C137" s="46"/>
      <c r="D137" s="21" t="s">
        <v>565</v>
      </c>
      <c r="E137" s="20"/>
      <c r="F137" s="26" t="s">
        <v>423</v>
      </c>
    </row>
    <row r="138" spans="1:7" ht="30">
      <c r="A138" s="44">
        <v>134</v>
      </c>
      <c r="B138" s="20" t="s">
        <v>566</v>
      </c>
      <c r="C138" s="21" t="s">
        <v>567</v>
      </c>
      <c r="D138" s="80" t="s">
        <v>568</v>
      </c>
      <c r="E138" s="20" t="s">
        <v>569</v>
      </c>
      <c r="F138" s="26" t="s">
        <v>423</v>
      </c>
    </row>
    <row r="139" spans="1:7">
      <c r="A139" s="44">
        <v>135</v>
      </c>
      <c r="B139" s="20" t="s">
        <v>570</v>
      </c>
      <c r="C139" s="46" t="s">
        <v>571</v>
      </c>
      <c r="D139" s="80" t="s">
        <v>572</v>
      </c>
      <c r="E139" s="20" t="s">
        <v>573</v>
      </c>
      <c r="F139" s="26" t="s">
        <v>423</v>
      </c>
    </row>
    <row r="140" spans="1:7">
      <c r="A140" s="44">
        <v>136</v>
      </c>
      <c r="B140" s="20" t="s">
        <v>574</v>
      </c>
      <c r="C140" s="21"/>
      <c r="D140" s="21"/>
      <c r="E140" s="20"/>
      <c r="F140" s="26" t="s">
        <v>423</v>
      </c>
    </row>
    <row r="141" spans="1:7" ht="30">
      <c r="A141" s="44">
        <v>137</v>
      </c>
      <c r="B141" s="20" t="s">
        <v>575</v>
      </c>
      <c r="C141" s="46" t="s">
        <v>576</v>
      </c>
      <c r="D141" s="21" t="s">
        <v>577</v>
      </c>
      <c r="E141" s="20" t="s">
        <v>578</v>
      </c>
      <c r="F141" s="26" t="s">
        <v>416</v>
      </c>
      <c r="G141" t="s">
        <v>1673</v>
      </c>
    </row>
    <row r="142" spans="1:7" ht="30">
      <c r="A142" s="44">
        <v>138</v>
      </c>
      <c r="B142" s="20" t="s">
        <v>581</v>
      </c>
      <c r="C142" s="21" t="s">
        <v>543</v>
      </c>
      <c r="D142" s="21" t="s">
        <v>579</v>
      </c>
      <c r="E142" s="20" t="s">
        <v>580</v>
      </c>
      <c r="F142" s="26" t="s">
        <v>416</v>
      </c>
    </row>
    <row r="143" spans="1:7">
      <c r="A143" s="44">
        <v>139</v>
      </c>
      <c r="B143" s="20" t="s">
        <v>582</v>
      </c>
      <c r="C143" s="46"/>
      <c r="D143" s="21"/>
      <c r="E143" s="20"/>
      <c r="F143" s="26" t="s">
        <v>416</v>
      </c>
    </row>
    <row r="144" spans="1:7" ht="30">
      <c r="A144" s="44">
        <v>140</v>
      </c>
      <c r="B144" s="20" t="s">
        <v>583</v>
      </c>
      <c r="C144" s="21" t="s">
        <v>584</v>
      </c>
      <c r="D144" s="21" t="s">
        <v>585</v>
      </c>
      <c r="E144" s="20" t="s">
        <v>586</v>
      </c>
      <c r="F144" s="26" t="s">
        <v>416</v>
      </c>
    </row>
    <row r="145" spans="1:7" ht="30">
      <c r="A145" s="44">
        <v>141</v>
      </c>
      <c r="B145" s="20" t="s">
        <v>587</v>
      </c>
      <c r="C145" s="46" t="s">
        <v>588</v>
      </c>
      <c r="D145" s="21" t="s">
        <v>589</v>
      </c>
      <c r="E145" s="20" t="s">
        <v>590</v>
      </c>
      <c r="F145" s="26" t="s">
        <v>461</v>
      </c>
    </row>
    <row r="146" spans="1:7">
      <c r="A146" s="44">
        <v>142</v>
      </c>
      <c r="B146" s="20" t="s">
        <v>593</v>
      </c>
      <c r="C146" s="21" t="s">
        <v>594</v>
      </c>
      <c r="D146" s="21" t="s">
        <v>601</v>
      </c>
      <c r="E146" s="20" t="s">
        <v>595</v>
      </c>
      <c r="F146" s="26" t="s">
        <v>416</v>
      </c>
    </row>
    <row r="147" spans="1:7">
      <c r="A147" s="44">
        <v>143</v>
      </c>
      <c r="B147" s="20" t="s">
        <v>596</v>
      </c>
      <c r="C147" s="46" t="s">
        <v>599</v>
      </c>
      <c r="D147" s="80" t="s">
        <v>600</v>
      </c>
      <c r="E147" s="20" t="s">
        <v>602</v>
      </c>
      <c r="F147" s="26" t="s">
        <v>423</v>
      </c>
    </row>
    <row r="148" spans="1:7" ht="30">
      <c r="A148" s="44">
        <v>144</v>
      </c>
      <c r="B148" s="20" t="s">
        <v>597</v>
      </c>
      <c r="C148" s="21" t="s">
        <v>603</v>
      </c>
      <c r="D148" s="21" t="s">
        <v>604</v>
      </c>
      <c r="E148" s="20" t="s">
        <v>598</v>
      </c>
      <c r="F148" s="26" t="s">
        <v>423</v>
      </c>
    </row>
    <row r="149" spans="1:7" s="66" customFormat="1">
      <c r="A149" s="44">
        <v>145</v>
      </c>
      <c r="B149" s="20" t="s">
        <v>605</v>
      </c>
      <c r="C149" s="21" t="s">
        <v>606</v>
      </c>
      <c r="D149" s="21" t="s">
        <v>607</v>
      </c>
      <c r="E149" s="20" t="s">
        <v>608</v>
      </c>
      <c r="F149" s="26" t="s">
        <v>416</v>
      </c>
    </row>
    <row r="150" spans="1:7" s="66" customFormat="1" ht="30">
      <c r="A150" s="44">
        <v>146</v>
      </c>
      <c r="B150" s="20" t="s">
        <v>609</v>
      </c>
      <c r="C150" s="21" t="s">
        <v>610</v>
      </c>
      <c r="D150" s="21" t="s">
        <v>676</v>
      </c>
      <c r="E150" s="20" t="s">
        <v>611</v>
      </c>
      <c r="F150" s="26" t="s">
        <v>423</v>
      </c>
      <c r="G150" s="79" t="s">
        <v>591</v>
      </c>
    </row>
    <row r="151" spans="1:7" s="66" customFormat="1" ht="30">
      <c r="A151" s="44">
        <v>147</v>
      </c>
      <c r="B151" s="20" t="s">
        <v>612</v>
      </c>
      <c r="C151" s="21" t="s">
        <v>613</v>
      </c>
      <c r="D151" s="21" t="s">
        <v>676</v>
      </c>
      <c r="E151" s="20" t="s">
        <v>614</v>
      </c>
      <c r="F151" s="26" t="s">
        <v>423</v>
      </c>
    </row>
    <row r="152" spans="1:7" s="66" customFormat="1">
      <c r="A152" s="44">
        <v>148</v>
      </c>
      <c r="B152" s="20" t="s">
        <v>615</v>
      </c>
      <c r="C152" s="21"/>
      <c r="D152" s="21"/>
      <c r="E152" s="20"/>
      <c r="F152" s="26" t="s">
        <v>416</v>
      </c>
    </row>
    <row r="153" spans="1:7" s="66" customFormat="1">
      <c r="A153" s="44">
        <v>149</v>
      </c>
      <c r="B153" s="20" t="s">
        <v>616</v>
      </c>
      <c r="C153" s="21"/>
      <c r="D153" s="21"/>
      <c r="E153" s="20"/>
      <c r="F153" s="26" t="s">
        <v>416</v>
      </c>
    </row>
    <row r="154" spans="1:7" s="66" customFormat="1" ht="30">
      <c r="A154" s="44">
        <v>150</v>
      </c>
      <c r="B154" s="20" t="s">
        <v>617</v>
      </c>
      <c r="C154" s="21" t="s">
        <v>618</v>
      </c>
      <c r="D154" s="21" t="s">
        <v>798</v>
      </c>
      <c r="E154" s="20" t="s">
        <v>799</v>
      </c>
      <c r="F154" s="26" t="s">
        <v>416</v>
      </c>
      <c r="G154" s="79" t="s">
        <v>1674</v>
      </c>
    </row>
    <row r="155" spans="1:7" s="66" customFormat="1" ht="30">
      <c r="A155" s="44">
        <v>151</v>
      </c>
      <c r="B155" s="20" t="s">
        <v>619</v>
      </c>
      <c r="C155" s="21" t="s">
        <v>330</v>
      </c>
      <c r="D155" s="21" t="s">
        <v>331</v>
      </c>
      <c r="E155" s="20" t="s">
        <v>332</v>
      </c>
      <c r="F155" s="26" t="s">
        <v>423</v>
      </c>
    </row>
    <row r="156" spans="1:7" s="66" customFormat="1" ht="30">
      <c r="A156" s="44">
        <v>152</v>
      </c>
      <c r="B156" s="20" t="s">
        <v>620</v>
      </c>
      <c r="C156" s="21" t="s">
        <v>621</v>
      </c>
      <c r="D156" s="21" t="s">
        <v>622</v>
      </c>
      <c r="E156" s="20" t="s">
        <v>623</v>
      </c>
      <c r="F156" s="26" t="s">
        <v>423</v>
      </c>
    </row>
    <row r="157" spans="1:7" s="66" customFormat="1" ht="30">
      <c r="A157" s="44">
        <v>153</v>
      </c>
      <c r="B157" s="20" t="s">
        <v>624</v>
      </c>
      <c r="C157" s="21" t="s">
        <v>625</v>
      </c>
      <c r="D157" s="21" t="s">
        <v>626</v>
      </c>
      <c r="E157" s="20" t="s">
        <v>627</v>
      </c>
      <c r="F157" s="26" t="s">
        <v>423</v>
      </c>
    </row>
    <row r="158" spans="1:7" s="66" customFormat="1">
      <c r="A158" s="44">
        <v>154</v>
      </c>
      <c r="B158" s="20" t="s">
        <v>628</v>
      </c>
      <c r="C158" s="21" t="s">
        <v>629</v>
      </c>
      <c r="D158" s="21" t="s">
        <v>248</v>
      </c>
      <c r="E158" s="20" t="s">
        <v>630</v>
      </c>
      <c r="F158" s="26" t="s">
        <v>423</v>
      </c>
      <c r="G158" s="79" t="s">
        <v>591</v>
      </c>
    </row>
    <row r="159" spans="1:7" s="66" customFormat="1">
      <c r="A159" s="44">
        <v>155</v>
      </c>
      <c r="B159" s="20" t="s">
        <v>644</v>
      </c>
      <c r="C159" s="21" t="s">
        <v>645</v>
      </c>
      <c r="D159" s="21" t="s">
        <v>646</v>
      </c>
      <c r="E159" s="20" t="s">
        <v>647</v>
      </c>
      <c r="F159" s="26" t="s">
        <v>416</v>
      </c>
    </row>
    <row r="160" spans="1:7" s="66" customFormat="1">
      <c r="A160" s="44">
        <v>156</v>
      </c>
      <c r="B160" s="20" t="s">
        <v>665</v>
      </c>
      <c r="C160" s="21"/>
      <c r="D160" s="21"/>
      <c r="E160" s="20"/>
      <c r="F160" s="26" t="s">
        <v>416</v>
      </c>
    </row>
    <row r="161" spans="1:7" s="66" customFormat="1" ht="30">
      <c r="A161" s="44">
        <v>157</v>
      </c>
      <c r="B161" s="20" t="s">
        <v>648</v>
      </c>
      <c r="C161" s="21" t="s">
        <v>649</v>
      </c>
      <c r="D161" s="21" t="s">
        <v>650</v>
      </c>
      <c r="E161" s="20" t="s">
        <v>651</v>
      </c>
      <c r="F161" s="26" t="s">
        <v>423</v>
      </c>
      <c r="G161" s="72" t="s">
        <v>591</v>
      </c>
    </row>
    <row r="162" spans="1:7" s="66" customFormat="1" ht="30">
      <c r="A162" s="44">
        <v>158</v>
      </c>
      <c r="B162" s="20" t="s">
        <v>652</v>
      </c>
      <c r="C162" s="21" t="s">
        <v>653</v>
      </c>
      <c r="D162" s="21" t="s">
        <v>654</v>
      </c>
      <c r="E162" s="20" t="s">
        <v>655</v>
      </c>
      <c r="F162" s="26" t="s">
        <v>423</v>
      </c>
      <c r="G162" s="72" t="s">
        <v>591</v>
      </c>
    </row>
    <row r="163" spans="1:7" s="66" customFormat="1">
      <c r="A163" s="44">
        <v>159</v>
      </c>
      <c r="B163" s="20" t="s">
        <v>656</v>
      </c>
      <c r="C163" s="21" t="s">
        <v>657</v>
      </c>
      <c r="D163" s="21" t="s">
        <v>658</v>
      </c>
      <c r="E163" s="20" t="s">
        <v>659</v>
      </c>
      <c r="F163" s="26" t="s">
        <v>631</v>
      </c>
    </row>
    <row r="164" spans="1:7" s="66" customFormat="1">
      <c r="A164" s="44">
        <v>160</v>
      </c>
      <c r="B164" s="20" t="s">
        <v>660</v>
      </c>
      <c r="C164" s="21" t="s">
        <v>661</v>
      </c>
      <c r="D164" s="21" t="s">
        <v>662</v>
      </c>
      <c r="E164" s="20" t="s">
        <v>663</v>
      </c>
      <c r="F164" s="26" t="s">
        <v>416</v>
      </c>
    </row>
    <row r="165" spans="1:7" s="66" customFormat="1">
      <c r="A165" s="44">
        <v>161</v>
      </c>
      <c r="B165" s="20" t="s">
        <v>664</v>
      </c>
      <c r="C165" s="21"/>
      <c r="D165" s="21"/>
      <c r="E165" s="20"/>
      <c r="F165" s="26"/>
    </row>
    <row r="166" spans="1:7" s="66" customFormat="1" ht="30">
      <c r="A166" s="44">
        <v>162</v>
      </c>
      <c r="B166" s="20" t="s">
        <v>668</v>
      </c>
      <c r="C166" s="21" t="s">
        <v>669</v>
      </c>
      <c r="D166" s="21" t="s">
        <v>670</v>
      </c>
      <c r="E166" s="20" t="s">
        <v>671</v>
      </c>
      <c r="F166" s="26" t="s">
        <v>423</v>
      </c>
      <c r="G166" s="79" t="s">
        <v>591</v>
      </c>
    </row>
    <row r="167" spans="1:7" s="66" customFormat="1">
      <c r="A167" s="44">
        <v>163</v>
      </c>
      <c r="B167" s="20" t="s">
        <v>672</v>
      </c>
      <c r="C167" s="21"/>
      <c r="D167" s="21"/>
      <c r="E167" s="20"/>
      <c r="F167" s="26" t="s">
        <v>416</v>
      </c>
    </row>
    <row r="168" spans="1:7" s="66" customFormat="1" ht="30">
      <c r="A168" s="44">
        <v>164</v>
      </c>
      <c r="B168" s="20" t="s">
        <v>678</v>
      </c>
      <c r="C168" s="21" t="s">
        <v>679</v>
      </c>
      <c r="D168" s="20" t="s">
        <v>797</v>
      </c>
      <c r="E168" s="20" t="s">
        <v>680</v>
      </c>
      <c r="F168" s="26" t="s">
        <v>416</v>
      </c>
    </row>
    <row r="169" spans="1:7" s="66" customFormat="1">
      <c r="A169" s="44">
        <v>165</v>
      </c>
      <c r="B169" s="20" t="s">
        <v>683</v>
      </c>
      <c r="C169" s="21"/>
      <c r="D169" s="21"/>
      <c r="E169" s="20"/>
      <c r="F169" s="26" t="s">
        <v>416</v>
      </c>
    </row>
    <row r="170" spans="1:7" s="66" customFormat="1">
      <c r="A170" s="44">
        <v>166</v>
      </c>
      <c r="B170" s="20" t="s">
        <v>726</v>
      </c>
      <c r="C170" s="21" t="s">
        <v>684</v>
      </c>
      <c r="D170" s="21" t="s">
        <v>685</v>
      </c>
      <c r="E170" s="20" t="s">
        <v>686</v>
      </c>
      <c r="F170" s="26" t="s">
        <v>423</v>
      </c>
    </row>
    <row r="171" spans="1:7" s="66" customFormat="1">
      <c r="A171" s="44">
        <v>167</v>
      </c>
      <c r="B171" s="20" t="s">
        <v>689</v>
      </c>
      <c r="C171" s="21" t="s">
        <v>690</v>
      </c>
      <c r="D171" s="21" t="s">
        <v>691</v>
      </c>
      <c r="E171" s="20" t="s">
        <v>692</v>
      </c>
      <c r="F171" s="26" t="s">
        <v>423</v>
      </c>
    </row>
    <row r="172" spans="1:7" s="66" customFormat="1" ht="30">
      <c r="A172" s="44">
        <v>168</v>
      </c>
      <c r="B172" s="20" t="s">
        <v>693</v>
      </c>
      <c r="C172" s="21" t="s">
        <v>694</v>
      </c>
      <c r="D172" s="21" t="s">
        <v>695</v>
      </c>
      <c r="E172" s="20" t="s">
        <v>696</v>
      </c>
      <c r="F172" s="26" t="s">
        <v>416</v>
      </c>
      <c r="G172" s="66" t="s">
        <v>1673</v>
      </c>
    </row>
    <row r="173" spans="1:7" s="66" customFormat="1" ht="30">
      <c r="A173" s="44">
        <v>169</v>
      </c>
      <c r="B173" s="20" t="s">
        <v>700</v>
      </c>
      <c r="C173" s="21" t="s">
        <v>701</v>
      </c>
      <c r="D173" s="21" t="s">
        <v>702</v>
      </c>
      <c r="E173" s="20" t="s">
        <v>703</v>
      </c>
      <c r="F173" s="26" t="s">
        <v>423</v>
      </c>
    </row>
    <row r="174" spans="1:7" s="66" customFormat="1">
      <c r="A174" s="44">
        <v>170</v>
      </c>
      <c r="B174" s="20" t="s">
        <v>697</v>
      </c>
      <c r="C174" s="21"/>
      <c r="D174" s="21"/>
      <c r="E174" s="20"/>
      <c r="F174" s="26" t="s">
        <v>416</v>
      </c>
    </row>
    <row r="175" spans="1:7" s="66" customFormat="1">
      <c r="A175" s="44">
        <v>171</v>
      </c>
      <c r="B175" s="20" t="s">
        <v>698</v>
      </c>
      <c r="C175" s="21"/>
      <c r="D175" s="21"/>
      <c r="E175" s="20"/>
      <c r="F175" s="26" t="s">
        <v>423</v>
      </c>
    </row>
    <row r="176" spans="1:7" s="66" customFormat="1">
      <c r="A176" s="44">
        <v>172</v>
      </c>
      <c r="B176" s="20" t="s">
        <v>699</v>
      </c>
      <c r="C176" s="21"/>
      <c r="D176" s="21"/>
      <c r="E176" s="20"/>
      <c r="F176" s="26" t="s">
        <v>423</v>
      </c>
    </row>
    <row r="177" spans="1:7" s="66" customFormat="1">
      <c r="A177" s="44">
        <v>173</v>
      </c>
      <c r="B177" s="20" t="s">
        <v>708</v>
      </c>
      <c r="C177" s="21"/>
      <c r="D177" s="21"/>
      <c r="E177" s="20"/>
      <c r="F177" s="26"/>
    </row>
    <row r="178" spans="1:7" s="66" customFormat="1">
      <c r="A178" s="44">
        <v>174</v>
      </c>
      <c r="B178" s="20" t="s">
        <v>709</v>
      </c>
      <c r="C178" s="21"/>
      <c r="D178" s="21"/>
      <c r="E178" s="20"/>
      <c r="F178" s="26"/>
    </row>
    <row r="179" spans="1:7" s="66" customFormat="1" ht="30">
      <c r="A179" s="44">
        <v>175</v>
      </c>
      <c r="B179" s="20" t="s">
        <v>712</v>
      </c>
      <c r="C179" s="21" t="s">
        <v>713</v>
      </c>
      <c r="D179" s="21" t="s">
        <v>622</v>
      </c>
      <c r="E179" s="20" t="s">
        <v>714</v>
      </c>
      <c r="F179" s="26" t="s">
        <v>423</v>
      </c>
    </row>
    <row r="180" spans="1:7" s="66" customFormat="1">
      <c r="A180" s="44">
        <v>176</v>
      </c>
      <c r="B180" s="20" t="s">
        <v>715</v>
      </c>
      <c r="C180" s="21" t="s">
        <v>716</v>
      </c>
      <c r="D180" s="21" t="s">
        <v>717</v>
      </c>
      <c r="E180" s="20" t="s">
        <v>718</v>
      </c>
      <c r="F180" s="26" t="s">
        <v>416</v>
      </c>
      <c r="G180" s="66" t="s">
        <v>1674</v>
      </c>
    </row>
    <row r="181" spans="1:7" s="66" customFormat="1">
      <c r="A181" s="44">
        <v>177</v>
      </c>
      <c r="B181" s="20" t="s">
        <v>719</v>
      </c>
      <c r="C181" s="21"/>
      <c r="D181" s="21"/>
      <c r="E181" s="20"/>
      <c r="F181" s="26"/>
    </row>
    <row r="182" spans="1:7" s="66" customFormat="1">
      <c r="A182" s="44">
        <v>178</v>
      </c>
      <c r="B182" s="20" t="s">
        <v>720</v>
      </c>
      <c r="C182" s="21"/>
      <c r="D182" s="21"/>
      <c r="E182" s="20"/>
      <c r="F182" s="26" t="s">
        <v>423</v>
      </c>
    </row>
    <row r="183" spans="1:7" s="66" customFormat="1">
      <c r="A183" s="44">
        <v>179</v>
      </c>
      <c r="B183" s="20" t="s">
        <v>722</v>
      </c>
      <c r="C183" s="21" t="s">
        <v>723</v>
      </c>
      <c r="D183" s="21" t="s">
        <v>724</v>
      </c>
      <c r="E183" s="20" t="s">
        <v>725</v>
      </c>
      <c r="F183" s="26" t="s">
        <v>416</v>
      </c>
    </row>
    <row r="184" spans="1:7" s="66" customFormat="1" ht="30">
      <c r="A184" s="44">
        <v>180</v>
      </c>
      <c r="B184" s="20" t="s">
        <v>730</v>
      </c>
      <c r="C184" s="21" t="s">
        <v>731</v>
      </c>
      <c r="D184" s="21"/>
      <c r="E184" s="20" t="s">
        <v>732</v>
      </c>
      <c r="F184" s="26" t="s">
        <v>423</v>
      </c>
    </row>
    <row r="185" spans="1:7" s="66" customFormat="1">
      <c r="A185" s="44">
        <v>181</v>
      </c>
      <c r="B185" s="20" t="s">
        <v>734</v>
      </c>
      <c r="C185" s="21"/>
      <c r="D185" s="21"/>
      <c r="E185" s="20"/>
      <c r="F185" s="26" t="s">
        <v>423</v>
      </c>
    </row>
    <row r="186" spans="1:7" s="66" customFormat="1">
      <c r="A186" s="44">
        <v>182</v>
      </c>
      <c r="B186" s="20" t="s">
        <v>737</v>
      </c>
      <c r="C186" s="21"/>
      <c r="D186" s="21" t="s">
        <v>739</v>
      </c>
      <c r="E186" s="20" t="s">
        <v>740</v>
      </c>
      <c r="F186" s="26" t="s">
        <v>423</v>
      </c>
    </row>
    <row r="187" spans="1:7" s="66" customFormat="1">
      <c r="A187" s="44">
        <v>183</v>
      </c>
      <c r="B187" s="20" t="s">
        <v>741</v>
      </c>
      <c r="C187" s="21"/>
      <c r="D187" s="21"/>
      <c r="E187" s="20"/>
      <c r="F187" s="26" t="s">
        <v>423</v>
      </c>
    </row>
    <row r="188" spans="1:7" s="66" customFormat="1">
      <c r="A188" s="44">
        <v>184</v>
      </c>
      <c r="B188" s="20" t="s">
        <v>742</v>
      </c>
      <c r="C188" s="21"/>
      <c r="D188" s="21"/>
      <c r="E188" s="20"/>
      <c r="F188" s="26" t="s">
        <v>423</v>
      </c>
    </row>
    <row r="189" spans="1:7" s="66" customFormat="1">
      <c r="A189" s="44">
        <v>185</v>
      </c>
      <c r="B189" s="20" t="s">
        <v>743</v>
      </c>
      <c r="C189" s="21"/>
      <c r="D189" s="21"/>
      <c r="E189" s="20"/>
      <c r="F189" s="26" t="s">
        <v>423</v>
      </c>
    </row>
    <row r="190" spans="1:7" s="66" customFormat="1">
      <c r="A190" s="44">
        <v>186</v>
      </c>
      <c r="B190" s="20" t="s">
        <v>744</v>
      </c>
      <c r="C190" s="21"/>
      <c r="D190" s="87">
        <v>10966948</v>
      </c>
      <c r="E190" s="20"/>
      <c r="F190" s="26" t="s">
        <v>423</v>
      </c>
    </row>
    <row r="191" spans="1:7" s="66" customFormat="1" ht="30">
      <c r="A191" s="44">
        <v>187</v>
      </c>
      <c r="B191" s="20" t="s">
        <v>747</v>
      </c>
      <c r="C191" s="21" t="s">
        <v>745</v>
      </c>
      <c r="D191" s="21" t="s">
        <v>748</v>
      </c>
      <c r="E191" s="20" t="s">
        <v>746</v>
      </c>
      <c r="F191" s="26" t="s">
        <v>423</v>
      </c>
    </row>
    <row r="192" spans="1:7" s="66" customFormat="1">
      <c r="A192" s="44">
        <v>188</v>
      </c>
      <c r="B192" s="20" t="s">
        <v>759</v>
      </c>
      <c r="C192" s="21"/>
      <c r="D192" s="21"/>
      <c r="E192" s="20"/>
      <c r="F192" s="26" t="s">
        <v>423</v>
      </c>
    </row>
    <row r="193" spans="1:7" s="66" customFormat="1">
      <c r="A193" s="44">
        <v>189</v>
      </c>
      <c r="B193" s="20" t="s">
        <v>762</v>
      </c>
      <c r="C193" s="21"/>
      <c r="D193" s="21"/>
      <c r="E193" s="20"/>
      <c r="F193" s="26" t="s">
        <v>416</v>
      </c>
    </row>
    <row r="194" spans="1:7" s="66" customFormat="1">
      <c r="A194" s="44">
        <v>190</v>
      </c>
      <c r="B194" s="20" t="s">
        <v>749</v>
      </c>
      <c r="C194" s="21"/>
      <c r="D194" s="21"/>
      <c r="E194" s="20"/>
      <c r="F194" s="26" t="s">
        <v>423</v>
      </c>
    </row>
    <row r="195" spans="1:7" s="66" customFormat="1" ht="30">
      <c r="A195" s="44">
        <v>191</v>
      </c>
      <c r="B195" s="20" t="s">
        <v>818</v>
      </c>
      <c r="C195" s="21" t="s">
        <v>819</v>
      </c>
      <c r="D195" s="21">
        <v>4146573017</v>
      </c>
      <c r="E195" s="20" t="s">
        <v>820</v>
      </c>
      <c r="F195" s="26" t="s">
        <v>423</v>
      </c>
    </row>
    <row r="196" spans="1:7" s="66" customFormat="1">
      <c r="A196" s="44">
        <v>192</v>
      </c>
      <c r="B196" s="20" t="s">
        <v>959</v>
      </c>
      <c r="C196" s="21"/>
      <c r="D196" s="21">
        <v>4146643590</v>
      </c>
      <c r="E196" s="20" t="s">
        <v>892</v>
      </c>
      <c r="F196" s="26" t="s">
        <v>416</v>
      </c>
    </row>
    <row r="197" spans="1:7" s="66" customFormat="1">
      <c r="A197" s="44">
        <v>193</v>
      </c>
      <c r="B197" s="20" t="s">
        <v>79</v>
      </c>
      <c r="C197" s="21"/>
      <c r="D197" s="21"/>
      <c r="E197" s="20"/>
      <c r="F197" s="26" t="s">
        <v>416</v>
      </c>
    </row>
    <row r="198" spans="1:7" s="66" customFormat="1" ht="30">
      <c r="A198" s="44">
        <v>194</v>
      </c>
      <c r="B198" s="20" t="s">
        <v>822</v>
      </c>
      <c r="C198" s="21" t="s">
        <v>823</v>
      </c>
      <c r="D198" s="21">
        <v>4144756522</v>
      </c>
      <c r="E198" s="20" t="s">
        <v>824</v>
      </c>
      <c r="F198" s="26" t="s">
        <v>423</v>
      </c>
    </row>
    <row r="199" spans="1:7" s="66" customFormat="1">
      <c r="A199" s="44">
        <v>195</v>
      </c>
      <c r="B199" s="20" t="s">
        <v>825</v>
      </c>
      <c r="C199" s="21" t="s">
        <v>826</v>
      </c>
      <c r="D199" s="21">
        <v>4146959670</v>
      </c>
      <c r="E199" s="20" t="s">
        <v>827</v>
      </c>
      <c r="F199" s="26" t="s">
        <v>423</v>
      </c>
    </row>
    <row r="200" spans="1:7" s="66" customFormat="1">
      <c r="A200" s="44">
        <v>196</v>
      </c>
      <c r="B200" s="20" t="s">
        <v>522</v>
      </c>
      <c r="C200" s="21"/>
      <c r="D200" s="21">
        <v>4146831666</v>
      </c>
      <c r="E200" s="20" t="s">
        <v>828</v>
      </c>
      <c r="F200" s="26" t="s">
        <v>416</v>
      </c>
    </row>
    <row r="201" spans="1:7" s="66" customFormat="1">
      <c r="A201" s="44">
        <v>197</v>
      </c>
      <c r="B201" s="20" t="s">
        <v>830</v>
      </c>
      <c r="C201" s="21"/>
      <c r="D201" s="21">
        <v>4244127138</v>
      </c>
      <c r="E201" s="20" t="s">
        <v>831</v>
      </c>
      <c r="F201" s="26" t="s">
        <v>925</v>
      </c>
    </row>
    <row r="202" spans="1:7" s="66" customFormat="1">
      <c r="A202" s="44">
        <v>198</v>
      </c>
      <c r="B202" s="20" t="s">
        <v>843</v>
      </c>
      <c r="C202" s="21"/>
      <c r="D202" s="21">
        <v>4146453319</v>
      </c>
      <c r="E202" s="20" t="s">
        <v>844</v>
      </c>
      <c r="F202" s="26" t="s">
        <v>416</v>
      </c>
    </row>
    <row r="203" spans="1:7" s="66" customFormat="1" ht="30">
      <c r="A203" s="44">
        <v>199</v>
      </c>
      <c r="B203" s="56" t="s">
        <v>839</v>
      </c>
      <c r="C203" s="21" t="s">
        <v>848</v>
      </c>
      <c r="D203" s="20" t="s">
        <v>797</v>
      </c>
      <c r="E203" s="20" t="s">
        <v>849</v>
      </c>
      <c r="F203" s="26" t="s">
        <v>416</v>
      </c>
      <c r="G203" s="20" t="s">
        <v>1674</v>
      </c>
    </row>
    <row r="204" spans="1:7" s="66" customFormat="1">
      <c r="A204" s="44">
        <v>200</v>
      </c>
      <c r="B204" s="20" t="s">
        <v>850</v>
      </c>
      <c r="C204" s="21" t="s">
        <v>851</v>
      </c>
      <c r="D204" s="21">
        <v>4143683163</v>
      </c>
      <c r="E204" s="20" t="s">
        <v>852</v>
      </c>
      <c r="F204" s="26" t="s">
        <v>416</v>
      </c>
      <c r="G204" s="66" t="s">
        <v>1673</v>
      </c>
    </row>
    <row r="205" spans="1:7" s="66" customFormat="1">
      <c r="A205" s="44">
        <v>201</v>
      </c>
      <c r="B205" s="20" t="s">
        <v>853</v>
      </c>
      <c r="C205" s="21" t="s">
        <v>606</v>
      </c>
      <c r="D205" s="21">
        <v>4261635453</v>
      </c>
      <c r="E205" s="20" t="s">
        <v>854</v>
      </c>
      <c r="F205" s="26" t="s">
        <v>416</v>
      </c>
    </row>
    <row r="206" spans="1:7" s="66" customFormat="1">
      <c r="A206" s="44">
        <v>202</v>
      </c>
      <c r="B206" s="20" t="s">
        <v>855</v>
      </c>
      <c r="C206" s="21"/>
      <c r="D206" s="21"/>
      <c r="E206" s="20" t="s">
        <v>856</v>
      </c>
      <c r="F206" s="26" t="s">
        <v>416</v>
      </c>
    </row>
    <row r="207" spans="1:7" s="66" customFormat="1" ht="30">
      <c r="A207" s="44">
        <v>203</v>
      </c>
      <c r="B207" s="20" t="s">
        <v>857</v>
      </c>
      <c r="C207" s="21" t="s">
        <v>858</v>
      </c>
      <c r="D207" s="21" t="s">
        <v>20</v>
      </c>
      <c r="E207" s="20" t="s">
        <v>21</v>
      </c>
      <c r="F207" s="26" t="s">
        <v>416</v>
      </c>
      <c r="G207" s="66" t="s">
        <v>1674</v>
      </c>
    </row>
    <row r="208" spans="1:7" s="66" customFormat="1">
      <c r="A208" s="44">
        <v>204</v>
      </c>
      <c r="B208" s="20" t="s">
        <v>867</v>
      </c>
      <c r="C208" s="21"/>
      <c r="D208" s="21"/>
      <c r="E208" s="20" t="s">
        <v>854</v>
      </c>
      <c r="F208" s="26" t="s">
        <v>416</v>
      </c>
    </row>
    <row r="209" spans="1:7" s="66" customFormat="1">
      <c r="A209" s="44">
        <v>205</v>
      </c>
      <c r="B209" s="20" t="s">
        <v>869</v>
      </c>
      <c r="C209" s="21"/>
      <c r="D209" s="21"/>
      <c r="E209" s="20" t="s">
        <v>416</v>
      </c>
      <c r="F209" s="26" t="s">
        <v>416</v>
      </c>
    </row>
    <row r="210" spans="1:7" s="66" customFormat="1">
      <c r="A210" s="44">
        <v>206</v>
      </c>
      <c r="B210" s="20" t="s">
        <v>871</v>
      </c>
      <c r="C210" s="21"/>
      <c r="D210" s="21"/>
      <c r="E210" s="20" t="s">
        <v>416</v>
      </c>
      <c r="F210" s="26" t="s">
        <v>416</v>
      </c>
    </row>
    <row r="211" spans="1:7" s="66" customFormat="1" ht="30">
      <c r="A211" s="44">
        <v>207</v>
      </c>
      <c r="B211" s="20" t="s">
        <v>872</v>
      </c>
      <c r="C211" s="21" t="s">
        <v>873</v>
      </c>
      <c r="D211" s="21" t="s">
        <v>874</v>
      </c>
      <c r="E211" s="20" t="s">
        <v>875</v>
      </c>
      <c r="F211" s="26" t="s">
        <v>924</v>
      </c>
    </row>
    <row r="212" spans="1:7" s="66" customFormat="1">
      <c r="A212" s="44">
        <v>208</v>
      </c>
      <c r="B212" s="20" t="s">
        <v>960</v>
      </c>
      <c r="C212" s="21" t="s">
        <v>876</v>
      </c>
      <c r="D212" s="21">
        <v>4121707033</v>
      </c>
      <c r="E212" s="20" t="s">
        <v>877</v>
      </c>
      <c r="F212" s="26" t="s">
        <v>416</v>
      </c>
      <c r="G212" s="66" t="s">
        <v>1673</v>
      </c>
    </row>
    <row r="213" spans="1:7" s="66" customFormat="1">
      <c r="A213" s="44">
        <v>209</v>
      </c>
      <c r="B213" s="20" t="s">
        <v>879</v>
      </c>
      <c r="C213" s="21"/>
      <c r="D213" s="21" t="s">
        <v>1000</v>
      </c>
      <c r="E213" s="20" t="s">
        <v>999</v>
      </c>
      <c r="F213" s="26" t="s">
        <v>416</v>
      </c>
    </row>
    <row r="214" spans="1:7" s="66" customFormat="1">
      <c r="A214" s="44">
        <v>210</v>
      </c>
      <c r="B214" s="20" t="s">
        <v>880</v>
      </c>
      <c r="C214" s="21" t="s">
        <v>881</v>
      </c>
      <c r="D214" s="21" t="s">
        <v>882</v>
      </c>
      <c r="E214" s="20" t="s">
        <v>883</v>
      </c>
      <c r="F214" s="26" t="s">
        <v>416</v>
      </c>
    </row>
    <row r="215" spans="1:7" s="66" customFormat="1">
      <c r="A215" s="44">
        <v>211</v>
      </c>
      <c r="B215" s="20" t="s">
        <v>885</v>
      </c>
      <c r="C215" s="21"/>
      <c r="D215" s="21"/>
      <c r="E215" s="20"/>
      <c r="F215" s="26" t="s">
        <v>416</v>
      </c>
    </row>
    <row r="216" spans="1:7" s="66" customFormat="1">
      <c r="A216" s="44">
        <v>212</v>
      </c>
      <c r="B216" s="20" t="s">
        <v>886</v>
      </c>
      <c r="C216" s="21"/>
      <c r="D216" s="21"/>
      <c r="E216" s="20"/>
      <c r="F216" s="26" t="s">
        <v>416</v>
      </c>
    </row>
    <row r="217" spans="1:7" s="66" customFormat="1" ht="30">
      <c r="A217" s="44">
        <v>213</v>
      </c>
      <c r="B217" s="20" t="s">
        <v>889</v>
      </c>
      <c r="C217" s="21">
        <v>9518588</v>
      </c>
      <c r="D217" s="21">
        <v>4124268607</v>
      </c>
      <c r="E217" s="20" t="s">
        <v>890</v>
      </c>
      <c r="F217" s="26" t="s">
        <v>416</v>
      </c>
    </row>
    <row r="218" spans="1:7" s="66" customFormat="1">
      <c r="A218" s="44">
        <v>214</v>
      </c>
      <c r="B218" s="20" t="s">
        <v>891</v>
      </c>
      <c r="C218" s="21"/>
      <c r="D218" s="21"/>
      <c r="E218" s="20"/>
      <c r="F218" s="26" t="s">
        <v>416</v>
      </c>
    </row>
    <row r="219" spans="1:7" s="66" customFormat="1">
      <c r="A219" s="44">
        <v>215</v>
      </c>
      <c r="B219" s="20" t="s">
        <v>893</v>
      </c>
      <c r="C219" s="21"/>
      <c r="D219" s="21"/>
      <c r="E219" s="20"/>
      <c r="F219" s="26" t="s">
        <v>416</v>
      </c>
    </row>
    <row r="220" spans="1:7" s="66" customFormat="1">
      <c r="A220" s="44">
        <v>216</v>
      </c>
      <c r="B220" s="20" t="s">
        <v>894</v>
      </c>
      <c r="C220" s="21"/>
      <c r="D220" s="21" t="s">
        <v>1082</v>
      </c>
      <c r="E220" s="20"/>
      <c r="F220" s="26" t="s">
        <v>416</v>
      </c>
    </row>
    <row r="221" spans="1:7" s="66" customFormat="1">
      <c r="A221" s="44">
        <v>217</v>
      </c>
      <c r="B221" s="20" t="s">
        <v>895</v>
      </c>
      <c r="C221" s="21"/>
      <c r="D221" s="21" t="s">
        <v>993</v>
      </c>
      <c r="E221" s="20" t="s">
        <v>994</v>
      </c>
      <c r="F221" s="26" t="s">
        <v>416</v>
      </c>
    </row>
    <row r="222" spans="1:7" s="66" customFormat="1">
      <c r="A222" s="44">
        <v>218</v>
      </c>
      <c r="B222" s="20" t="s">
        <v>896</v>
      </c>
      <c r="C222" s="21"/>
      <c r="D222" s="21">
        <v>4146848170</v>
      </c>
      <c r="E222" s="20" t="s">
        <v>416</v>
      </c>
      <c r="F222" s="26" t="s">
        <v>416</v>
      </c>
    </row>
    <row r="223" spans="1:7" s="66" customFormat="1" ht="30">
      <c r="A223" s="44">
        <v>219</v>
      </c>
      <c r="B223" s="20" t="s">
        <v>550</v>
      </c>
      <c r="C223" s="21" t="s">
        <v>897</v>
      </c>
      <c r="D223" s="21">
        <v>4129661907</v>
      </c>
      <c r="E223" s="20" t="s">
        <v>898</v>
      </c>
      <c r="F223" s="26" t="s">
        <v>416</v>
      </c>
    </row>
    <row r="224" spans="1:7" s="66" customFormat="1">
      <c r="A224" s="44">
        <v>220</v>
      </c>
      <c r="B224" s="20" t="s">
        <v>901</v>
      </c>
      <c r="C224" s="21"/>
      <c r="D224" s="21"/>
      <c r="E224" s="20"/>
      <c r="F224" s="26" t="s">
        <v>416</v>
      </c>
    </row>
    <row r="225" spans="1:7" s="66" customFormat="1">
      <c r="A225" s="44">
        <v>221</v>
      </c>
      <c r="B225" s="20" t="s">
        <v>902</v>
      </c>
      <c r="C225" s="21"/>
      <c r="D225" s="21"/>
      <c r="E225" s="20"/>
      <c r="F225" s="26" t="s">
        <v>416</v>
      </c>
    </row>
    <row r="226" spans="1:7" s="66" customFormat="1">
      <c r="A226" s="44">
        <v>222</v>
      </c>
      <c r="B226" s="20" t="s">
        <v>904</v>
      </c>
      <c r="C226" s="21"/>
      <c r="D226" s="21"/>
      <c r="E226" s="20" t="s">
        <v>906</v>
      </c>
      <c r="F226" s="26" t="s">
        <v>416</v>
      </c>
    </row>
    <row r="227" spans="1:7" s="66" customFormat="1">
      <c r="A227" s="44">
        <v>223</v>
      </c>
      <c r="B227" s="20" t="s">
        <v>905</v>
      </c>
      <c r="C227" s="21"/>
      <c r="D227" s="21"/>
      <c r="E227" s="20" t="s">
        <v>907</v>
      </c>
      <c r="F227" s="26" t="s">
        <v>416</v>
      </c>
    </row>
    <row r="228" spans="1:7" s="66" customFormat="1">
      <c r="A228" s="44">
        <v>224</v>
      </c>
      <c r="B228" s="20" t="s">
        <v>908</v>
      </c>
      <c r="C228" s="21"/>
      <c r="D228" s="266" t="s">
        <v>1056</v>
      </c>
      <c r="E228" s="26" t="s">
        <v>1057</v>
      </c>
      <c r="F228" s="26" t="s">
        <v>416</v>
      </c>
    </row>
    <row r="229" spans="1:7" s="66" customFormat="1">
      <c r="A229" s="44">
        <v>225</v>
      </c>
      <c r="B229" s="20" t="s">
        <v>910</v>
      </c>
      <c r="C229" s="21"/>
      <c r="D229" s="21"/>
      <c r="E229" s="20"/>
      <c r="F229" s="26" t="s">
        <v>416</v>
      </c>
    </row>
    <row r="230" spans="1:7" s="66" customFormat="1">
      <c r="A230" s="44">
        <v>226</v>
      </c>
      <c r="B230" s="20" t="s">
        <v>911</v>
      </c>
      <c r="C230" s="21"/>
      <c r="D230" s="21">
        <v>4144019981</v>
      </c>
      <c r="E230" s="26" t="s">
        <v>416</v>
      </c>
      <c r="F230" s="26" t="s">
        <v>416</v>
      </c>
    </row>
    <row r="231" spans="1:7" s="66" customFormat="1">
      <c r="A231" s="44">
        <v>227</v>
      </c>
      <c r="B231" s="20" t="s">
        <v>961</v>
      </c>
      <c r="C231" s="21"/>
      <c r="D231" s="21"/>
      <c r="E231" s="20"/>
      <c r="F231" s="26"/>
    </row>
    <row r="232" spans="1:7" s="66" customFormat="1" ht="30">
      <c r="A232" s="44">
        <v>228</v>
      </c>
      <c r="B232" s="20" t="s">
        <v>962</v>
      </c>
      <c r="C232" s="21" t="s">
        <v>963</v>
      </c>
      <c r="D232" s="21" t="s">
        <v>9</v>
      </c>
      <c r="E232" s="20" t="s">
        <v>24</v>
      </c>
      <c r="F232" s="26" t="s">
        <v>416</v>
      </c>
      <c r="G232" s="66" t="s">
        <v>1673</v>
      </c>
    </row>
    <row r="233" spans="1:7" s="66" customFormat="1">
      <c r="A233" s="44">
        <v>229</v>
      </c>
      <c r="B233" s="20" t="s">
        <v>964</v>
      </c>
      <c r="C233" s="21"/>
      <c r="D233" s="21"/>
      <c r="E233" s="20" t="s">
        <v>416</v>
      </c>
      <c r="F233" s="232" t="s">
        <v>416</v>
      </c>
    </row>
    <row r="234" spans="1:7" s="66" customFormat="1">
      <c r="A234" s="44">
        <v>230</v>
      </c>
      <c r="B234" s="20" t="s">
        <v>981</v>
      </c>
      <c r="C234" s="21"/>
      <c r="D234" s="21" t="s">
        <v>982</v>
      </c>
      <c r="E234" s="20" t="s">
        <v>416</v>
      </c>
      <c r="F234" s="232" t="s">
        <v>416</v>
      </c>
    </row>
    <row r="235" spans="1:7" s="66" customFormat="1">
      <c r="A235" s="44">
        <v>231</v>
      </c>
      <c r="B235" s="20" t="s">
        <v>984</v>
      </c>
      <c r="C235" s="21"/>
      <c r="D235" s="21"/>
      <c r="E235" s="20" t="s">
        <v>416</v>
      </c>
      <c r="F235" s="26" t="s">
        <v>416</v>
      </c>
    </row>
    <row r="236" spans="1:7" s="66" customFormat="1">
      <c r="A236" s="44">
        <v>232</v>
      </c>
      <c r="B236" s="20" t="s">
        <v>985</v>
      </c>
      <c r="C236" s="21"/>
      <c r="D236" s="21"/>
      <c r="E236" s="20" t="s">
        <v>416</v>
      </c>
      <c r="F236" s="26" t="s">
        <v>416</v>
      </c>
    </row>
    <row r="237" spans="1:7" s="66" customFormat="1">
      <c r="A237" s="44">
        <v>233</v>
      </c>
      <c r="B237" s="20" t="s">
        <v>986</v>
      </c>
      <c r="C237" s="21"/>
      <c r="D237" s="21" t="s">
        <v>987</v>
      </c>
      <c r="E237" s="20" t="s">
        <v>416</v>
      </c>
      <c r="F237" s="26" t="s">
        <v>416</v>
      </c>
    </row>
    <row r="238" spans="1:7" s="66" customFormat="1">
      <c r="A238" s="44">
        <v>234</v>
      </c>
      <c r="B238" s="20" t="s">
        <v>988</v>
      </c>
      <c r="C238" s="21"/>
      <c r="D238" s="21" t="s">
        <v>989</v>
      </c>
      <c r="E238" s="20" t="s">
        <v>416</v>
      </c>
      <c r="F238" s="26" t="s">
        <v>416</v>
      </c>
    </row>
    <row r="239" spans="1:7" s="66" customFormat="1">
      <c r="A239" s="44">
        <v>235</v>
      </c>
      <c r="B239" s="20" t="s">
        <v>991</v>
      </c>
      <c r="C239" s="21"/>
      <c r="D239" s="21" t="s">
        <v>992</v>
      </c>
      <c r="E239" s="20" t="s">
        <v>416</v>
      </c>
      <c r="F239" s="26" t="s">
        <v>416</v>
      </c>
    </row>
    <row r="240" spans="1:7" s="66" customFormat="1">
      <c r="A240" s="44">
        <v>236</v>
      </c>
      <c r="B240" s="20" t="s">
        <v>995</v>
      </c>
      <c r="C240" s="21"/>
      <c r="D240" s="21" t="s">
        <v>996</v>
      </c>
      <c r="E240" s="20" t="s">
        <v>416</v>
      </c>
      <c r="F240" s="26" t="s">
        <v>416</v>
      </c>
    </row>
    <row r="241" spans="1:7" s="66" customFormat="1">
      <c r="A241" s="44">
        <v>237</v>
      </c>
      <c r="B241" s="20" t="s">
        <v>997</v>
      </c>
      <c r="C241" s="21"/>
      <c r="D241" s="21" t="s">
        <v>998</v>
      </c>
      <c r="E241" s="20" t="s">
        <v>416</v>
      </c>
      <c r="F241" s="26" t="s">
        <v>416</v>
      </c>
    </row>
    <row r="242" spans="1:7" s="66" customFormat="1">
      <c r="A242" s="44">
        <v>238</v>
      </c>
      <c r="B242" s="20" t="s">
        <v>1096</v>
      </c>
      <c r="C242" s="21" t="s">
        <v>1147</v>
      </c>
      <c r="D242" s="21" t="s">
        <v>1148</v>
      </c>
      <c r="E242" s="20" t="s">
        <v>416</v>
      </c>
      <c r="F242" s="26" t="s">
        <v>416</v>
      </c>
    </row>
    <row r="243" spans="1:7" s="66" customFormat="1" ht="30">
      <c r="A243" s="44">
        <v>239</v>
      </c>
      <c r="B243" s="20" t="s">
        <v>1003</v>
      </c>
      <c r="C243" s="21" t="s">
        <v>1005</v>
      </c>
      <c r="D243" s="21" t="s">
        <v>1006</v>
      </c>
      <c r="E243" s="21" t="s">
        <v>1004</v>
      </c>
      <c r="F243" s="26" t="s">
        <v>423</v>
      </c>
    </row>
    <row r="244" spans="1:7" s="66" customFormat="1" ht="30">
      <c r="A244" s="44">
        <v>240</v>
      </c>
      <c r="B244" s="20" t="s">
        <v>1015</v>
      </c>
      <c r="C244" s="21" t="s">
        <v>1016</v>
      </c>
      <c r="D244" s="21" t="s">
        <v>1018</v>
      </c>
      <c r="E244" s="20" t="s">
        <v>1017</v>
      </c>
      <c r="F244" s="26" t="s">
        <v>416</v>
      </c>
      <c r="G244" s="66" t="s">
        <v>1673</v>
      </c>
    </row>
    <row r="245" spans="1:7">
      <c r="A245" s="44">
        <v>241</v>
      </c>
      <c r="B245" s="20" t="s">
        <v>1019</v>
      </c>
      <c r="C245" s="20"/>
      <c r="D245" s="21" t="s">
        <v>1020</v>
      </c>
      <c r="E245" s="20" t="s">
        <v>416</v>
      </c>
      <c r="F245" s="26" t="s">
        <v>416</v>
      </c>
    </row>
    <row r="246" spans="1:7">
      <c r="A246" s="44">
        <v>242</v>
      </c>
      <c r="B246" s="20" t="s">
        <v>1021</v>
      </c>
      <c r="C246" s="20"/>
      <c r="D246" s="21" t="s">
        <v>1022</v>
      </c>
      <c r="E246" s="20" t="s">
        <v>416</v>
      </c>
      <c r="F246" s="26" t="s">
        <v>416</v>
      </c>
    </row>
    <row r="247" spans="1:7" ht="45">
      <c r="A247" s="44">
        <v>243</v>
      </c>
      <c r="B247" s="20" t="s">
        <v>1024</v>
      </c>
      <c r="C247" s="20" t="s">
        <v>1131</v>
      </c>
      <c r="D247" s="21" t="s">
        <v>1025</v>
      </c>
      <c r="E247" s="20" t="s">
        <v>1026</v>
      </c>
      <c r="F247" s="26" t="s">
        <v>416</v>
      </c>
      <c r="G247" t="s">
        <v>1674</v>
      </c>
    </row>
    <row r="248" spans="1:7">
      <c r="A248" s="44">
        <v>244</v>
      </c>
      <c r="B248" s="20" t="s">
        <v>1027</v>
      </c>
      <c r="C248" s="20"/>
      <c r="D248" s="21" t="s">
        <v>1029</v>
      </c>
      <c r="E248" s="20" t="s">
        <v>1028</v>
      </c>
      <c r="F248" s="26" t="s">
        <v>416</v>
      </c>
    </row>
    <row r="249" spans="1:7" ht="30">
      <c r="A249" s="44">
        <v>245</v>
      </c>
      <c r="B249" s="272" t="s">
        <v>1038</v>
      </c>
      <c r="C249" s="20" t="s">
        <v>1035</v>
      </c>
      <c r="D249" s="21" t="s">
        <v>1036</v>
      </c>
      <c r="E249" s="20" t="s">
        <v>1037</v>
      </c>
      <c r="F249" s="26" t="s">
        <v>416</v>
      </c>
      <c r="G249" t="s">
        <v>1673</v>
      </c>
    </row>
    <row r="250" spans="1:7">
      <c r="A250" s="44">
        <v>246</v>
      </c>
      <c r="B250" s="20" t="s">
        <v>1040</v>
      </c>
      <c r="C250" s="20"/>
      <c r="D250" s="21" t="s">
        <v>1041</v>
      </c>
      <c r="E250" s="20" t="s">
        <v>416</v>
      </c>
      <c r="F250" s="26" t="s">
        <v>416</v>
      </c>
    </row>
    <row r="251" spans="1:7">
      <c r="A251" s="44">
        <v>247</v>
      </c>
      <c r="B251" s="20" t="s">
        <v>1042</v>
      </c>
      <c r="C251" s="20"/>
      <c r="D251" s="21" t="s">
        <v>1043</v>
      </c>
      <c r="E251" s="20" t="s">
        <v>416</v>
      </c>
      <c r="F251" s="26" t="s">
        <v>416</v>
      </c>
    </row>
    <row r="252" spans="1:7">
      <c r="A252" s="44">
        <v>248</v>
      </c>
      <c r="B252" s="20" t="s">
        <v>1045</v>
      </c>
      <c r="C252" s="20"/>
      <c r="D252" s="21" t="s">
        <v>1046</v>
      </c>
      <c r="E252" s="20" t="s">
        <v>416</v>
      </c>
      <c r="F252" s="26" t="s">
        <v>416</v>
      </c>
    </row>
    <row r="253" spans="1:7">
      <c r="A253" s="44">
        <v>249</v>
      </c>
      <c r="B253" s="20" t="s">
        <v>1047</v>
      </c>
      <c r="C253" s="20"/>
      <c r="D253" s="21" t="s">
        <v>1048</v>
      </c>
      <c r="E253" s="20" t="s">
        <v>416</v>
      </c>
      <c r="F253" s="26" t="s">
        <v>416</v>
      </c>
    </row>
    <row r="254" spans="1:7">
      <c r="A254" s="44">
        <v>250</v>
      </c>
      <c r="B254" s="20" t="s">
        <v>1049</v>
      </c>
      <c r="C254" s="20" t="s">
        <v>1050</v>
      </c>
      <c r="D254" s="21" t="s">
        <v>1051</v>
      </c>
      <c r="E254" s="20" t="s">
        <v>1052</v>
      </c>
      <c r="F254" s="26" t="s">
        <v>416</v>
      </c>
    </row>
    <row r="255" spans="1:7" s="85" customFormat="1">
      <c r="A255" s="44">
        <v>251</v>
      </c>
      <c r="B255" s="20" t="s">
        <v>1039</v>
      </c>
      <c r="C255" s="20"/>
      <c r="D255" s="21" t="s">
        <v>1064</v>
      </c>
      <c r="E255" s="20" t="s">
        <v>416</v>
      </c>
      <c r="F255" s="26" t="s">
        <v>416</v>
      </c>
    </row>
    <row r="256" spans="1:7" s="85" customFormat="1">
      <c r="A256" s="44">
        <v>252</v>
      </c>
      <c r="B256" s="20" t="s">
        <v>1054</v>
      </c>
      <c r="C256" s="20"/>
      <c r="D256" s="21" t="s">
        <v>1055</v>
      </c>
      <c r="E256" s="20" t="s">
        <v>416</v>
      </c>
      <c r="F256" s="26" t="s">
        <v>416</v>
      </c>
    </row>
    <row r="257" spans="1:7" s="85" customFormat="1">
      <c r="A257" s="44">
        <v>253</v>
      </c>
      <c r="B257" s="20" t="s">
        <v>1058</v>
      </c>
      <c r="C257" s="20"/>
      <c r="D257" s="21" t="s">
        <v>1059</v>
      </c>
      <c r="E257" s="20" t="s">
        <v>416</v>
      </c>
      <c r="F257" s="26" t="s">
        <v>416</v>
      </c>
    </row>
    <row r="258" spans="1:7" s="85" customFormat="1">
      <c r="A258" s="44">
        <v>254</v>
      </c>
      <c r="B258" s="20" t="s">
        <v>1061</v>
      </c>
      <c r="C258" s="20"/>
      <c r="D258" s="21" t="s">
        <v>1062</v>
      </c>
      <c r="E258" s="20" t="s">
        <v>416</v>
      </c>
      <c r="F258" s="26" t="s">
        <v>416</v>
      </c>
    </row>
    <row r="259" spans="1:7" s="85" customFormat="1" ht="30">
      <c r="A259" s="44">
        <v>255</v>
      </c>
      <c r="B259" s="20" t="s">
        <v>1065</v>
      </c>
      <c r="C259" s="20" t="s">
        <v>1066</v>
      </c>
      <c r="D259" s="21" t="s">
        <v>1068</v>
      </c>
      <c r="E259" s="20" t="s">
        <v>1067</v>
      </c>
      <c r="F259" s="26" t="s">
        <v>416</v>
      </c>
      <c r="G259" s="85" t="s">
        <v>1673</v>
      </c>
    </row>
    <row r="260" spans="1:7" s="85" customFormat="1">
      <c r="A260" s="44">
        <v>256</v>
      </c>
      <c r="B260" s="20" t="s">
        <v>1069</v>
      </c>
      <c r="C260" s="20" t="s">
        <v>1070</v>
      </c>
      <c r="D260" s="21" t="s">
        <v>1071</v>
      </c>
      <c r="E260" s="20" t="s">
        <v>416</v>
      </c>
      <c r="F260" s="26" t="s">
        <v>416</v>
      </c>
    </row>
    <row r="261" spans="1:7" s="85" customFormat="1" ht="30">
      <c r="A261" s="44">
        <v>257</v>
      </c>
      <c r="B261" s="20" t="s">
        <v>1077</v>
      </c>
      <c r="C261" s="20" t="s">
        <v>1078</v>
      </c>
      <c r="D261" s="21" t="s">
        <v>1080</v>
      </c>
      <c r="E261" s="20" t="s">
        <v>1079</v>
      </c>
      <c r="F261" s="26" t="s">
        <v>416</v>
      </c>
      <c r="G261" s="85" t="s">
        <v>1674</v>
      </c>
    </row>
    <row r="262" spans="1:7" s="85" customFormat="1">
      <c r="A262" s="44">
        <v>258</v>
      </c>
      <c r="B262" s="20" t="s">
        <v>1049</v>
      </c>
      <c r="C262" s="20" t="s">
        <v>1050</v>
      </c>
      <c r="D262" s="21" t="s">
        <v>1043</v>
      </c>
      <c r="E262" s="20" t="s">
        <v>1081</v>
      </c>
      <c r="F262" s="26" t="s">
        <v>416</v>
      </c>
    </row>
    <row r="263" spans="1:7" s="85" customFormat="1">
      <c r="A263" s="44">
        <v>259</v>
      </c>
      <c r="B263" s="20" t="s">
        <v>1083</v>
      </c>
      <c r="C263" s="20"/>
      <c r="D263" s="21"/>
      <c r="E263" s="26" t="s">
        <v>416</v>
      </c>
      <c r="F263" s="26" t="s">
        <v>416</v>
      </c>
    </row>
    <row r="264" spans="1:7" s="85" customFormat="1">
      <c r="A264" s="44">
        <v>260</v>
      </c>
      <c r="B264" s="20" t="s">
        <v>1084</v>
      </c>
      <c r="C264" s="20"/>
      <c r="D264" s="21" t="s">
        <v>1085</v>
      </c>
      <c r="E264" s="26" t="s">
        <v>416</v>
      </c>
      <c r="F264" s="26" t="s">
        <v>416</v>
      </c>
    </row>
    <row r="265" spans="1:7" s="85" customFormat="1">
      <c r="A265" s="44">
        <v>261</v>
      </c>
      <c r="B265" s="20" t="s">
        <v>1088</v>
      </c>
      <c r="C265" s="20" t="s">
        <v>1089</v>
      </c>
      <c r="D265" s="21" t="s">
        <v>1086</v>
      </c>
      <c r="E265" s="20" t="s">
        <v>1087</v>
      </c>
      <c r="F265" s="26" t="s">
        <v>416</v>
      </c>
    </row>
    <row r="266" spans="1:7" s="85" customFormat="1" ht="30">
      <c r="A266" s="44">
        <v>262</v>
      </c>
      <c r="B266" s="20" t="s">
        <v>1093</v>
      </c>
      <c r="C266" s="20" t="s">
        <v>1094</v>
      </c>
      <c r="D266" s="21" t="s">
        <v>1092</v>
      </c>
      <c r="E266" s="20" t="s">
        <v>1095</v>
      </c>
      <c r="F266" s="26" t="s">
        <v>416</v>
      </c>
    </row>
    <row r="267" spans="1:7" s="85" customFormat="1">
      <c r="A267" s="44">
        <v>263</v>
      </c>
      <c r="B267" s="20" t="s">
        <v>1098</v>
      </c>
      <c r="C267" s="20"/>
      <c r="D267" s="21" t="s">
        <v>1100</v>
      </c>
      <c r="E267" s="20" t="s">
        <v>1101</v>
      </c>
      <c r="F267" s="26" t="s">
        <v>416</v>
      </c>
    </row>
    <row r="268" spans="1:7" s="85" customFormat="1">
      <c r="A268" s="44">
        <v>264</v>
      </c>
      <c r="B268" s="20" t="s">
        <v>1099</v>
      </c>
      <c r="C268" s="20"/>
      <c r="D268" s="21" t="s">
        <v>1102</v>
      </c>
      <c r="E268" s="20" t="s">
        <v>1103</v>
      </c>
      <c r="F268" s="26" t="s">
        <v>416</v>
      </c>
    </row>
    <row r="269" spans="1:7" s="85" customFormat="1">
      <c r="A269" s="44">
        <v>265</v>
      </c>
      <c r="B269" s="20" t="s">
        <v>1104</v>
      </c>
      <c r="C269" s="20"/>
      <c r="D269" s="21" t="s">
        <v>1105</v>
      </c>
      <c r="E269" s="20" t="s">
        <v>416</v>
      </c>
      <c r="F269" s="26" t="s">
        <v>416</v>
      </c>
    </row>
    <row r="270" spans="1:7" s="85" customFormat="1">
      <c r="A270" s="44">
        <v>266</v>
      </c>
      <c r="B270" s="20" t="s">
        <v>1106</v>
      </c>
      <c r="C270" s="20"/>
      <c r="D270" s="21" t="s">
        <v>1107</v>
      </c>
      <c r="E270" s="20" t="s">
        <v>416</v>
      </c>
      <c r="F270" s="26" t="s">
        <v>416</v>
      </c>
    </row>
    <row r="271" spans="1:7" s="85" customFormat="1">
      <c r="A271" s="44">
        <v>267</v>
      </c>
      <c r="B271" s="20" t="s">
        <v>1109</v>
      </c>
      <c r="C271" s="20" t="s">
        <v>1111</v>
      </c>
      <c r="D271" s="21" t="s">
        <v>1112</v>
      </c>
      <c r="E271" s="20" t="s">
        <v>1113</v>
      </c>
      <c r="F271" s="26" t="s">
        <v>416</v>
      </c>
      <c r="G271" s="85" t="s">
        <v>1673</v>
      </c>
    </row>
    <row r="272" spans="1:7" s="85" customFormat="1" ht="30">
      <c r="A272" s="44">
        <v>268</v>
      </c>
      <c r="B272" s="20" t="s">
        <v>1110</v>
      </c>
      <c r="C272" s="20" t="s">
        <v>1114</v>
      </c>
      <c r="D272" s="21" t="s">
        <v>1115</v>
      </c>
      <c r="E272" s="20" t="s">
        <v>1116</v>
      </c>
      <c r="F272" s="26" t="s">
        <v>416</v>
      </c>
      <c r="G272" s="85" t="s">
        <v>1673</v>
      </c>
    </row>
    <row r="273" spans="1:7" s="85" customFormat="1">
      <c r="A273" s="44">
        <v>269</v>
      </c>
      <c r="B273" s="20" t="s">
        <v>1108</v>
      </c>
      <c r="C273" s="20"/>
      <c r="D273" s="21"/>
      <c r="E273" s="20"/>
      <c r="F273" s="26" t="s">
        <v>416</v>
      </c>
    </row>
    <row r="274" spans="1:7" s="85" customFormat="1">
      <c r="A274" s="44">
        <v>270</v>
      </c>
      <c r="B274" s="20" t="s">
        <v>1117</v>
      </c>
      <c r="C274" s="20"/>
      <c r="D274" s="21" t="s">
        <v>1119</v>
      </c>
      <c r="E274" s="20" t="s">
        <v>1120</v>
      </c>
      <c r="F274" s="26" t="s">
        <v>416</v>
      </c>
    </row>
    <row r="275" spans="1:7" s="85" customFormat="1" ht="30">
      <c r="A275" s="44">
        <v>271</v>
      </c>
      <c r="B275" s="20" t="s">
        <v>1118</v>
      </c>
      <c r="C275" s="20" t="s">
        <v>1121</v>
      </c>
      <c r="D275" s="21" t="s">
        <v>1122</v>
      </c>
      <c r="E275" s="20" t="s">
        <v>1123</v>
      </c>
      <c r="F275" s="26" t="s">
        <v>416</v>
      </c>
      <c r="G275" s="85" t="s">
        <v>1673</v>
      </c>
    </row>
    <row r="276" spans="1:7" s="85" customFormat="1">
      <c r="A276" s="44">
        <v>272</v>
      </c>
      <c r="B276" s="20" t="s">
        <v>1127</v>
      </c>
      <c r="C276" s="20" t="s">
        <v>1128</v>
      </c>
      <c r="D276" s="21" t="s">
        <v>1129</v>
      </c>
      <c r="E276" s="20" t="s">
        <v>1130</v>
      </c>
      <c r="F276" s="26" t="s">
        <v>416</v>
      </c>
    </row>
    <row r="277" spans="1:7" s="85" customFormat="1">
      <c r="A277" s="44">
        <v>273</v>
      </c>
      <c r="B277" s="20" t="s">
        <v>1132</v>
      </c>
      <c r="C277" s="20" t="s">
        <v>1133</v>
      </c>
      <c r="D277" s="21" t="s">
        <v>1134</v>
      </c>
      <c r="E277" s="20" t="s">
        <v>416</v>
      </c>
      <c r="F277" s="26" t="s">
        <v>416</v>
      </c>
      <c r="G277" s="85" t="s">
        <v>1673</v>
      </c>
    </row>
    <row r="278" spans="1:7" s="85" customFormat="1">
      <c r="A278" s="44">
        <v>274</v>
      </c>
      <c r="B278" s="20" t="s">
        <v>1140</v>
      </c>
      <c r="C278" s="20" t="s">
        <v>1141</v>
      </c>
      <c r="D278" s="21" t="s">
        <v>1142</v>
      </c>
      <c r="E278" s="20" t="s">
        <v>1143</v>
      </c>
      <c r="F278" s="26" t="s">
        <v>416</v>
      </c>
      <c r="G278" s="85" t="s">
        <v>1673</v>
      </c>
    </row>
    <row r="279" spans="1:7" s="85" customFormat="1">
      <c r="A279" s="44">
        <v>275</v>
      </c>
      <c r="B279" s="20" t="s">
        <v>1144</v>
      </c>
      <c r="C279" s="20" t="s">
        <v>1145</v>
      </c>
      <c r="D279" s="21" t="s">
        <v>1146</v>
      </c>
      <c r="E279" s="20" t="s">
        <v>1152</v>
      </c>
      <c r="F279" s="26" t="s">
        <v>416</v>
      </c>
      <c r="G279" s="85" t="s">
        <v>1673</v>
      </c>
    </row>
    <row r="280" spans="1:7" s="85" customFormat="1" ht="30">
      <c r="A280" s="44">
        <v>276</v>
      </c>
      <c r="B280" s="20" t="s">
        <v>1150</v>
      </c>
      <c r="C280" s="20" t="s">
        <v>1151</v>
      </c>
      <c r="D280" s="21" t="s">
        <v>1154</v>
      </c>
      <c r="E280" s="20" t="s">
        <v>1153</v>
      </c>
      <c r="F280" s="26" t="s">
        <v>416</v>
      </c>
      <c r="G280" s="85" t="s">
        <v>1673</v>
      </c>
    </row>
    <row r="281" spans="1:7" s="85" customFormat="1" ht="30">
      <c r="A281" s="44">
        <v>277</v>
      </c>
      <c r="B281" s="20" t="s">
        <v>1193</v>
      </c>
      <c r="C281" s="20" t="s">
        <v>1194</v>
      </c>
      <c r="D281" s="21" t="s">
        <v>1195</v>
      </c>
      <c r="E281" s="20" t="s">
        <v>1196</v>
      </c>
      <c r="F281" s="26" t="s">
        <v>416</v>
      </c>
      <c r="G281" s="85" t="s">
        <v>1673</v>
      </c>
    </row>
    <row r="282" spans="1:7" s="85" customFormat="1" ht="30">
      <c r="A282" s="44">
        <v>278</v>
      </c>
      <c r="B282" s="20" t="s">
        <v>1201</v>
      </c>
      <c r="C282" s="20" t="s">
        <v>1202</v>
      </c>
      <c r="D282" s="21" t="s">
        <v>1200</v>
      </c>
      <c r="E282" s="20" t="s">
        <v>1203</v>
      </c>
      <c r="F282" s="26" t="s">
        <v>416</v>
      </c>
    </row>
    <row r="283" spans="1:7" s="85" customFormat="1">
      <c r="A283" s="44">
        <v>279</v>
      </c>
      <c r="B283" s="20" t="s">
        <v>1211</v>
      </c>
      <c r="C283" s="20" t="s">
        <v>1212</v>
      </c>
      <c r="D283" s="21" t="s">
        <v>1216</v>
      </c>
      <c r="E283" s="20" t="s">
        <v>1213</v>
      </c>
      <c r="F283" s="26" t="s">
        <v>416</v>
      </c>
    </row>
    <row r="284" spans="1:7" s="85" customFormat="1" ht="45">
      <c r="A284" s="44">
        <v>280</v>
      </c>
      <c r="B284" s="20" t="s">
        <v>1217</v>
      </c>
      <c r="C284" s="20" t="s">
        <v>1219</v>
      </c>
      <c r="D284" s="21" t="s">
        <v>1220</v>
      </c>
      <c r="E284" s="20" t="s">
        <v>1221</v>
      </c>
      <c r="F284" s="26" t="s">
        <v>416</v>
      </c>
      <c r="G284" s="85" t="s">
        <v>1673</v>
      </c>
    </row>
    <row r="285" spans="1:7" s="85" customFormat="1" ht="30">
      <c r="A285" s="44">
        <v>281</v>
      </c>
      <c r="B285" s="20" t="s">
        <v>1290</v>
      </c>
      <c r="C285" s="20" t="s">
        <v>1291</v>
      </c>
      <c r="D285" s="21" t="s">
        <v>1293</v>
      </c>
      <c r="E285" s="20" t="s">
        <v>1292</v>
      </c>
      <c r="F285" s="26" t="s">
        <v>416</v>
      </c>
      <c r="G285" s="85" t="s">
        <v>1674</v>
      </c>
    </row>
    <row r="286" spans="1:7" s="85" customFormat="1" ht="30">
      <c r="A286" s="44">
        <v>282</v>
      </c>
      <c r="B286" s="20" t="s">
        <v>1294</v>
      </c>
      <c r="C286" s="20" t="s">
        <v>1295</v>
      </c>
      <c r="D286" s="21" t="s">
        <v>1297</v>
      </c>
      <c r="E286" s="20" t="s">
        <v>1296</v>
      </c>
      <c r="F286" s="26" t="s">
        <v>416</v>
      </c>
      <c r="G286" s="85" t="s">
        <v>1674</v>
      </c>
    </row>
    <row r="287" spans="1:7" s="85" customFormat="1" ht="30">
      <c r="A287" s="44">
        <v>283</v>
      </c>
      <c r="B287" s="20" t="s">
        <v>1327</v>
      </c>
      <c r="C287" s="20" t="s">
        <v>1328</v>
      </c>
      <c r="D287" s="21" t="s">
        <v>1329</v>
      </c>
      <c r="E287" s="20" t="s">
        <v>1330</v>
      </c>
      <c r="F287" s="26" t="s">
        <v>416</v>
      </c>
    </row>
    <row r="288" spans="1:7" s="85" customFormat="1">
      <c r="A288" s="44">
        <v>284</v>
      </c>
      <c r="B288" s="20" t="s">
        <v>1332</v>
      </c>
      <c r="C288" s="20"/>
      <c r="D288" s="21" t="s">
        <v>1333</v>
      </c>
      <c r="E288" s="20" t="s">
        <v>1334</v>
      </c>
      <c r="F288" s="26" t="s">
        <v>416</v>
      </c>
      <c r="G288" s="85" t="s">
        <v>1673</v>
      </c>
    </row>
    <row r="289" spans="1:7" s="85" customFormat="1">
      <c r="A289" s="44">
        <v>285</v>
      </c>
      <c r="B289" s="20" t="s">
        <v>1370</v>
      </c>
      <c r="C289" s="20"/>
      <c r="D289" s="21" t="s">
        <v>1371</v>
      </c>
      <c r="E289" s="20" t="s">
        <v>1372</v>
      </c>
      <c r="F289" s="26" t="s">
        <v>416</v>
      </c>
      <c r="G289" s="85" t="s">
        <v>1673</v>
      </c>
    </row>
    <row r="290" spans="1:7" s="85" customFormat="1">
      <c r="A290" s="44">
        <v>286</v>
      </c>
      <c r="B290" s="20" t="s">
        <v>1751</v>
      </c>
      <c r="C290" s="20" t="s">
        <v>1752</v>
      </c>
      <c r="D290" s="21" t="s">
        <v>1400</v>
      </c>
      <c r="E290" s="20" t="s">
        <v>1399</v>
      </c>
      <c r="F290" s="26" t="s">
        <v>416</v>
      </c>
      <c r="G290" s="85" t="s">
        <v>1673</v>
      </c>
    </row>
    <row r="291" spans="1:7" s="85" customFormat="1" ht="30">
      <c r="A291" s="44">
        <v>287</v>
      </c>
      <c r="B291" s="20" t="s">
        <v>1626</v>
      </c>
      <c r="C291" s="20" t="s">
        <v>1627</v>
      </c>
      <c r="D291" s="21" t="s">
        <v>1629</v>
      </c>
      <c r="E291" s="20" t="s">
        <v>1628</v>
      </c>
      <c r="F291" s="26" t="s">
        <v>416</v>
      </c>
      <c r="G291" s="85" t="s">
        <v>1673</v>
      </c>
    </row>
    <row r="292" spans="1:7" s="85" customFormat="1">
      <c r="A292" s="44">
        <v>288</v>
      </c>
      <c r="B292" s="20" t="s">
        <v>1661</v>
      </c>
      <c r="C292" s="20" t="s">
        <v>1662</v>
      </c>
      <c r="D292" s="21" t="s">
        <v>1663</v>
      </c>
      <c r="E292" s="20" t="s">
        <v>1664</v>
      </c>
      <c r="F292" s="26" t="s">
        <v>416</v>
      </c>
    </row>
    <row r="293" spans="1:7" s="85" customFormat="1">
      <c r="A293" s="44">
        <v>289</v>
      </c>
      <c r="B293" s="20" t="s">
        <v>1667</v>
      </c>
      <c r="C293" s="20" t="s">
        <v>1668</v>
      </c>
      <c r="D293" s="21" t="s">
        <v>1669</v>
      </c>
      <c r="E293" s="20" t="s">
        <v>1671</v>
      </c>
      <c r="F293" s="26" t="s">
        <v>1670</v>
      </c>
    </row>
    <row r="294" spans="1:7" s="85" customFormat="1">
      <c r="A294" s="44">
        <v>290</v>
      </c>
      <c r="B294" s="20" t="s">
        <v>1689</v>
      </c>
      <c r="C294" s="20"/>
      <c r="D294" s="21"/>
      <c r="E294" s="20" t="s">
        <v>416</v>
      </c>
      <c r="F294" s="26" t="s">
        <v>416</v>
      </c>
    </row>
    <row r="295" spans="1:7" s="85" customFormat="1">
      <c r="A295" s="44">
        <v>291</v>
      </c>
      <c r="B295" s="20" t="s">
        <v>1696</v>
      </c>
      <c r="C295" s="20" t="s">
        <v>1697</v>
      </c>
      <c r="D295" s="21" t="s">
        <v>1698</v>
      </c>
      <c r="E295" s="20" t="s">
        <v>1699</v>
      </c>
      <c r="F295" s="26" t="s">
        <v>416</v>
      </c>
    </row>
    <row r="296" spans="1:7" s="85" customFormat="1" ht="30">
      <c r="A296" s="44">
        <v>292</v>
      </c>
      <c r="B296" s="20" t="s">
        <v>1706</v>
      </c>
      <c r="C296" s="20" t="s">
        <v>1707</v>
      </c>
      <c r="D296" s="21" t="s">
        <v>1709</v>
      </c>
      <c r="E296" s="20" t="s">
        <v>1708</v>
      </c>
      <c r="F296" s="26" t="s">
        <v>416</v>
      </c>
    </row>
    <row r="297" spans="1:7" s="85" customFormat="1" ht="30">
      <c r="A297" s="44">
        <v>293</v>
      </c>
      <c r="B297" s="20" t="s">
        <v>1746</v>
      </c>
      <c r="C297" s="20" t="s">
        <v>1747</v>
      </c>
      <c r="D297" s="21" t="s">
        <v>1748</v>
      </c>
      <c r="E297" s="20" t="s">
        <v>1765</v>
      </c>
      <c r="F297" s="26" t="s">
        <v>423</v>
      </c>
    </row>
    <row r="298" spans="1:7" s="85" customFormat="1" ht="30">
      <c r="A298" s="44">
        <v>294</v>
      </c>
      <c r="B298" s="20" t="s">
        <v>1762</v>
      </c>
      <c r="C298" s="20" t="s">
        <v>1763</v>
      </c>
      <c r="D298" s="21" t="s">
        <v>1764</v>
      </c>
      <c r="E298" s="20" t="s">
        <v>1766</v>
      </c>
      <c r="F298" s="26" t="s">
        <v>437</v>
      </c>
    </row>
    <row r="299" spans="1:7" s="85" customFormat="1">
      <c r="A299" s="44">
        <v>295</v>
      </c>
      <c r="B299" s="20"/>
      <c r="C299" s="20"/>
      <c r="D299" s="21"/>
      <c r="E299" s="20"/>
      <c r="F299" s="26"/>
    </row>
    <row r="300" spans="1:7" s="85" customFormat="1">
      <c r="A300" s="44">
        <v>296</v>
      </c>
      <c r="B300" s="20"/>
      <c r="C300" s="20"/>
      <c r="D300" s="21"/>
      <c r="E300" s="20"/>
      <c r="F300" s="26"/>
    </row>
    <row r="301" spans="1:7" s="85" customFormat="1">
      <c r="A301" s="44">
        <v>297</v>
      </c>
      <c r="B301" s="20"/>
      <c r="C301" s="20"/>
      <c r="D301" s="21"/>
      <c r="E301" s="20"/>
      <c r="F301" s="26"/>
    </row>
    <row r="302" spans="1:7" s="85" customFormat="1">
      <c r="A302" s="44">
        <v>298</v>
      </c>
      <c r="B302" s="20"/>
      <c r="C302" s="20"/>
      <c r="D302" s="21"/>
      <c r="E302" s="20"/>
      <c r="F302" s="26"/>
    </row>
    <row r="303" spans="1:7" s="85" customFormat="1">
      <c r="A303" s="44">
        <v>299</v>
      </c>
      <c r="B303" s="20"/>
      <c r="C303" s="20"/>
      <c r="D303" s="21"/>
      <c r="E303" s="20"/>
      <c r="F303" s="26"/>
    </row>
    <row r="304" spans="1:7" s="85" customFormat="1">
      <c r="A304" s="44">
        <v>300</v>
      </c>
      <c r="B304" s="20"/>
      <c r="C304" s="20"/>
      <c r="D304" s="21"/>
      <c r="E304" s="20"/>
      <c r="F304" s="26"/>
    </row>
  </sheetData>
  <autoFilter ref="A4:G304"/>
  <customSheetViews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1"/>
      <autoFilter ref="A4:K148"/>
    </customSheetView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10966" priority="71">
      <formula>IF(ISODD($A5)=TRUE,1,0)</formula>
    </cfRule>
  </conditionalFormatting>
  <conditionalFormatting sqref="A5:A304">
    <cfRule type="expression" dxfId="10965" priority="70">
      <formula>IF(ISODD($A5)=TRUE,1,0)</formula>
    </cfRule>
  </conditionalFormatting>
  <conditionalFormatting sqref="B149:F149">
    <cfRule type="expression" dxfId="10964" priority="69">
      <formula>IF(ISODD($A149)=TRUE,1,0)</formula>
    </cfRule>
  </conditionalFormatting>
  <conditionalFormatting sqref="B150:F202 B204:F206 B232:C232 B233:E234 B235:F244 F246:F248 D245:E249 B245:B249 B208:F231">
    <cfRule type="expression" dxfId="10963" priority="66">
      <formula>IF(ISODD($A150)=TRUE,1,0)</formula>
    </cfRule>
  </conditionalFormatting>
  <conditionalFormatting sqref="B95">
    <cfRule type="expression" dxfId="10962" priority="49">
      <formula>IF(ISODD($A95)=TRUE,1,0)</formula>
    </cfRule>
  </conditionalFormatting>
  <conditionalFormatting sqref="B203:G203">
    <cfRule type="expression" dxfId="10961" priority="48">
      <formula>IF(ISODD($A203)=TRUE,1,0)</formula>
    </cfRule>
  </conditionalFormatting>
  <conditionalFormatting sqref="B207:F207">
    <cfRule type="expression" dxfId="10960" priority="46">
      <formula>IF(ISODD($A207)=TRUE,1,0)</formula>
    </cfRule>
  </conditionalFormatting>
  <conditionalFormatting sqref="D232:F232">
    <cfRule type="expression" dxfId="10959" priority="43">
      <formula>IF(ISODD($A232)=TRUE,1,0)</formula>
    </cfRule>
  </conditionalFormatting>
  <conditionalFormatting sqref="F233">
    <cfRule type="expression" dxfId="10958" priority="42">
      <formula>IF(ISODD($A233)=TRUE,1,0)</formula>
    </cfRule>
  </conditionalFormatting>
  <conditionalFormatting sqref="F234">
    <cfRule type="expression" dxfId="10957" priority="41">
      <formula>IF(ISODD($A234)=TRUE,1,0)</formula>
    </cfRule>
  </conditionalFormatting>
  <conditionalFormatting sqref="F245">
    <cfRule type="expression" dxfId="10956" priority="40">
      <formula>IF(ISODD($A245)=TRUE,1,0)</formula>
    </cfRule>
  </conditionalFormatting>
  <conditionalFormatting sqref="C245:C248">
    <cfRule type="expression" dxfId="10955" priority="39">
      <formula>IF(ISODD($A245)=TRUE,1,0)</formula>
    </cfRule>
  </conditionalFormatting>
  <conditionalFormatting sqref="F249">
    <cfRule type="expression" dxfId="10954" priority="38">
      <formula>IF(ISODD($A249)=TRUE,1,0)</formula>
    </cfRule>
  </conditionalFormatting>
  <conditionalFormatting sqref="C249">
    <cfRule type="expression" dxfId="10953" priority="37">
      <formula>IF(ISODD($A249)=TRUE,1,0)</formula>
    </cfRule>
  </conditionalFormatting>
  <conditionalFormatting sqref="C253">
    <cfRule type="expression" dxfId="10952" priority="23">
      <formula>IF(ISODD($A253)=TRUE,1,0)</formula>
    </cfRule>
  </conditionalFormatting>
  <conditionalFormatting sqref="D250:F250 B250">
    <cfRule type="expression" dxfId="10951" priority="22">
      <formula>IF(ISODD($A250)=TRUE,1,0)</formula>
    </cfRule>
  </conditionalFormatting>
  <conditionalFormatting sqref="D251:E251 B251">
    <cfRule type="expression" dxfId="10950" priority="28">
      <formula>IF(ISODD($A251)=TRUE,1,0)</formula>
    </cfRule>
  </conditionalFormatting>
  <conditionalFormatting sqref="C250">
    <cfRule type="expression" dxfId="10949" priority="21">
      <formula>IF(ISODD($A250)=TRUE,1,0)</formula>
    </cfRule>
  </conditionalFormatting>
  <conditionalFormatting sqref="F251">
    <cfRule type="expression" dxfId="10948" priority="27">
      <formula>IF(ISODD($A251)=TRUE,1,0)</formula>
    </cfRule>
  </conditionalFormatting>
  <conditionalFormatting sqref="C251">
    <cfRule type="expression" dxfId="10947" priority="26">
      <formula>IF(ISODD($A251)=TRUE,1,0)</formula>
    </cfRule>
  </conditionalFormatting>
  <conditionalFormatting sqref="D253:E253 B253">
    <cfRule type="expression" dxfId="10946" priority="25">
      <formula>IF(ISODD($A253)=TRUE,1,0)</formula>
    </cfRule>
  </conditionalFormatting>
  <conditionalFormatting sqref="F253">
    <cfRule type="expression" dxfId="10945" priority="24">
      <formula>IF(ISODD($A253)=TRUE,1,0)</formula>
    </cfRule>
  </conditionalFormatting>
  <conditionalFormatting sqref="D252:F252 B252">
    <cfRule type="expression" dxfId="10944" priority="20">
      <formula>IF(ISODD($A252)=TRUE,1,0)</formula>
    </cfRule>
  </conditionalFormatting>
  <conditionalFormatting sqref="C252">
    <cfRule type="expression" dxfId="10943" priority="19">
      <formula>IF(ISODD($A252)=TRUE,1,0)</formula>
    </cfRule>
  </conditionalFormatting>
  <conditionalFormatting sqref="D254:F254 B254">
    <cfRule type="expression" dxfId="10942" priority="18">
      <formula>IF(ISODD($A254)=TRUE,1,0)</formula>
    </cfRule>
  </conditionalFormatting>
  <conditionalFormatting sqref="C254">
    <cfRule type="expression" dxfId="10941" priority="17">
      <formula>IF(ISODD($A254)=TRUE,1,0)</formula>
    </cfRule>
  </conditionalFormatting>
  <conditionalFormatting sqref="D255:F255 B255:B280 D256:D258 D259:E259 D260:F261 E262:F262 D263:F280 B282:B289 D282:E282 D283:F289 B292:B304 D292:E292 D293:F304">
    <cfRule type="expression" dxfId="10940" priority="15">
      <formula>IF(ISODD($A255)=TRUE,1,0)</formula>
    </cfRule>
  </conditionalFormatting>
  <conditionalFormatting sqref="C255:C280 C282:C289 C292:C304">
    <cfRule type="expression" dxfId="10939" priority="14">
      <formula>IF(ISODD($A255)=TRUE,1,0)</formula>
    </cfRule>
  </conditionalFormatting>
  <conditionalFormatting sqref="E256:F256">
    <cfRule type="expression" dxfId="10938" priority="13">
      <formula>IF(ISODD($A256)=TRUE,1,0)</formula>
    </cfRule>
  </conditionalFormatting>
  <conditionalFormatting sqref="E257:F257">
    <cfRule type="expression" dxfId="10937" priority="12">
      <formula>IF(ISODD($A257)=TRUE,1,0)</formula>
    </cfRule>
  </conditionalFormatting>
  <conditionalFormatting sqref="E258:F258">
    <cfRule type="expression" dxfId="10936" priority="11">
      <formula>IF(ISODD($A258)=TRUE,1,0)</formula>
    </cfRule>
  </conditionalFormatting>
  <conditionalFormatting sqref="F259">
    <cfRule type="expression" dxfId="10935" priority="10">
      <formula>IF(ISODD($A259)=TRUE,1,0)</formula>
    </cfRule>
  </conditionalFormatting>
  <conditionalFormatting sqref="D262">
    <cfRule type="expression" dxfId="10934" priority="9">
      <formula>IF(ISODD($A262)=TRUE,1,0)</formula>
    </cfRule>
  </conditionalFormatting>
  <conditionalFormatting sqref="B281 D281:F281">
    <cfRule type="expression" dxfId="10933" priority="8">
      <formula>IF(ISODD($A281)=TRUE,1,0)</formula>
    </cfRule>
  </conditionalFormatting>
  <conditionalFormatting sqref="C281">
    <cfRule type="expression" dxfId="10932" priority="7">
      <formula>IF(ISODD($A281)=TRUE,1,0)</formula>
    </cfRule>
  </conditionalFormatting>
  <conditionalFormatting sqref="F282">
    <cfRule type="expression" dxfId="10931" priority="6">
      <formula>IF(ISODD($A282)=TRUE,1,0)</formula>
    </cfRule>
  </conditionalFormatting>
  <conditionalFormatting sqref="B291 D291:F291">
    <cfRule type="expression" dxfId="10930" priority="5">
      <formula>IF(ISODD($A291)=TRUE,1,0)</formula>
    </cfRule>
  </conditionalFormatting>
  <conditionalFormatting sqref="C291">
    <cfRule type="expression" dxfId="10929" priority="4">
      <formula>IF(ISODD($A291)=TRUE,1,0)</formula>
    </cfRule>
  </conditionalFormatting>
  <conditionalFormatting sqref="F292">
    <cfRule type="expression" dxfId="10928" priority="3">
      <formula>IF(ISODD($A292)=TRUE,1,0)</formula>
    </cfRule>
  </conditionalFormatting>
  <conditionalFormatting sqref="D290:F290 B290">
    <cfRule type="expression" dxfId="10927" priority="2">
      <formula>IF(ISODD($A290)=TRUE,1,0)</formula>
    </cfRule>
  </conditionalFormatting>
  <conditionalFormatting sqref="C290">
    <cfRule type="expression" dxfId="10926" priority="1">
      <formula>IF(ISODD($A290)=TRUE,1,0)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tabSelected="1" zoomScale="90" zoomScaleNormal="90" workbookViewId="0">
      <pane ySplit="11" topLeftCell="A15" activePane="bottomLeft" state="frozen"/>
      <selection pane="bottomLeft" activeCell="M4" sqref="M4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57031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87"/>
      <c r="M1" s="10" t="s">
        <v>93</v>
      </c>
      <c r="N1" s="89" t="s">
        <v>1771</v>
      </c>
    </row>
    <row r="2" spans="1:23" ht="11.25" customHeight="1">
      <c r="A2" s="9"/>
      <c r="M2" s="10" t="s">
        <v>667</v>
      </c>
      <c r="N2" s="15" t="s">
        <v>673</v>
      </c>
    </row>
    <row r="3" spans="1:23" ht="3.75" customHeight="1">
      <c r="A3" s="9"/>
      <c r="M3" s="36" t="s">
        <v>928</v>
      </c>
      <c r="N3" s="14" t="s">
        <v>94</v>
      </c>
      <c r="O3" s="14" t="s">
        <v>95</v>
      </c>
    </row>
    <row r="4" spans="1:23" ht="14.25" customHeight="1">
      <c r="A4" s="9"/>
      <c r="M4" s="15" t="s">
        <v>1032</v>
      </c>
      <c r="N4" s="16" t="s">
        <v>76</v>
      </c>
      <c r="O4" s="16" t="s">
        <v>767</v>
      </c>
    </row>
    <row r="5" spans="1:23" ht="8.25" customHeight="1">
      <c r="A5" s="9"/>
      <c r="N5" s="16" t="s">
        <v>453</v>
      </c>
      <c r="O5" s="16" t="s">
        <v>666</v>
      </c>
    </row>
    <row r="6" spans="1:23" ht="11.25" customHeight="1">
      <c r="A6" s="9"/>
      <c r="I6" s="7" t="s">
        <v>80</v>
      </c>
      <c r="J6" s="7" t="s">
        <v>81</v>
      </c>
      <c r="K6" s="7" t="s">
        <v>82</v>
      </c>
      <c r="L6" s="7" t="s">
        <v>83</v>
      </c>
      <c r="N6" s="16" t="s">
        <v>480</v>
      </c>
      <c r="O6" s="16" t="s">
        <v>480</v>
      </c>
      <c r="P6" t="s">
        <v>563</v>
      </c>
    </row>
    <row r="7" spans="1:23" ht="15.75" customHeight="1">
      <c r="A7" s="188"/>
      <c r="B7" s="90"/>
      <c r="C7" s="90"/>
      <c r="D7" s="90"/>
      <c r="E7" s="90"/>
      <c r="F7" s="90"/>
      <c r="G7" s="90"/>
      <c r="H7" s="91"/>
      <c r="I7" s="92" t="s">
        <v>84</v>
      </c>
      <c r="J7" s="93">
        <f>DAY(VLOOKUP(N1,'RELACION VTAS - CHS'!F:H,2,FALSE))</f>
        <v>10</v>
      </c>
      <c r="K7" s="93" t="str">
        <f>IF(LEN(MONTH(VLOOKUP(N1,'RELACION VTAS - CHS'!F:H,2,FALSE)))=1,CONCATENATE("0",MONTH(VLOOKUP(N1,'RELACION VTAS - CHS'!F:H,2,FALSE))),MONTH(VLOOKUP(N1,'RELACION VTAS - CHS'!F:H,2,FALSE)))</f>
        <v>01</v>
      </c>
      <c r="L7" s="93">
        <f>YEAR(VLOOKUP(N1,'RELACION VTAS - CHS'!F:H,2,FALSE))</f>
        <v>2023</v>
      </c>
      <c r="N7" s="16" t="s">
        <v>524</v>
      </c>
      <c r="O7" s="16" t="s">
        <v>524</v>
      </c>
    </row>
    <row r="8" spans="1:23" ht="18.75" customHeight="1">
      <c r="A8" s="188"/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N8" s="16" t="s">
        <v>534</v>
      </c>
      <c r="O8" s="16" t="s">
        <v>1137</v>
      </c>
      <c r="V8" t="s">
        <v>632</v>
      </c>
      <c r="W8">
        <v>0</v>
      </c>
    </row>
    <row r="9" spans="1:23" ht="16.5" customHeight="1">
      <c r="A9" s="189" t="s">
        <v>85</v>
      </c>
      <c r="B9" s="93"/>
      <c r="C9" s="93"/>
      <c r="D9" s="84" t="str">
        <f>VLOOKUP(N1,'RELACION VTAS - CHS'!F:H,3,FALSE)</f>
        <v>E-CERAMIC, C.A.</v>
      </c>
      <c r="E9" s="84"/>
      <c r="F9" s="94"/>
      <c r="G9" s="94"/>
      <c r="H9" s="94"/>
      <c r="I9" s="90"/>
      <c r="J9" s="95" t="str">
        <f>IF(ISERROR(VLOOKUP(D9,'DATOS CLIENTES'!$B:$E,2,FALSE))=FALSE,VLOOKUP(D9,'DATOS CLIENTES'!$B:$E,2,FALSE),"")</f>
        <v>J-50204745-0</v>
      </c>
      <c r="K9" s="95"/>
      <c r="L9" s="95"/>
      <c r="N9" s="17" t="s">
        <v>525</v>
      </c>
      <c r="O9" s="16" t="s">
        <v>525</v>
      </c>
      <c r="V9" t="s">
        <v>562</v>
      </c>
      <c r="W9" s="66">
        <v>0</v>
      </c>
    </row>
    <row r="10" spans="1:23" ht="18" customHeight="1">
      <c r="A10" s="189" t="s">
        <v>86</v>
      </c>
      <c r="B10" s="93"/>
      <c r="C10" s="93"/>
      <c r="D10" s="386" t="str">
        <f>IF(ISERROR(VLOOKUP(D9,'DATOS CLIENTES'!$B:$E,2,FALSE))=FALSE,VLOOKUP(D9,'DATOS CLIENTES'!$B:$E,4,FALSE),"")</f>
        <v>AV. TUMARUSA ENTRE ZAMORA Y GARCES, EDIF. DON EDUARDO PISO PLANTA BAJA, URBANIZACION SANTA IRENE, PUNTO FIJO, FALCON.</v>
      </c>
      <c r="E10" s="386"/>
      <c r="F10" s="386"/>
      <c r="G10" s="386"/>
      <c r="H10" s="386"/>
      <c r="I10" s="386"/>
      <c r="J10" s="386"/>
      <c r="K10" s="386"/>
      <c r="L10" s="386"/>
      <c r="N10" s="17" t="s">
        <v>538</v>
      </c>
      <c r="O10" s="16" t="s">
        <v>538</v>
      </c>
      <c r="V10" t="s">
        <v>563</v>
      </c>
      <c r="W10" s="66">
        <v>0</v>
      </c>
    </row>
    <row r="11" spans="1:23" ht="20.25" customHeight="1">
      <c r="A11" s="190" t="s">
        <v>87</v>
      </c>
      <c r="B11" s="95"/>
      <c r="C11" s="95"/>
      <c r="D11" s="95"/>
      <c r="E11" s="95"/>
      <c r="F11" s="95"/>
      <c r="G11" s="95"/>
      <c r="H11" s="95"/>
      <c r="I11" s="388" t="str">
        <f>IF(ISERROR(VLOOKUP(D9,'DATOS CLIENTES'!$B:$E,2,FALSE))=FALSE,VLOOKUP(D9,'DATOS CLIENTES'!$B:$E,3,FALSE),"")</f>
        <v>`0269-2470133</v>
      </c>
      <c r="J11" s="388"/>
      <c r="K11" s="388"/>
      <c r="L11" s="388"/>
      <c r="N11" s="17" t="s">
        <v>548</v>
      </c>
      <c r="O11" s="16" t="s">
        <v>548</v>
      </c>
      <c r="V11" t="s">
        <v>538</v>
      </c>
      <c r="W11" s="66">
        <v>0</v>
      </c>
    </row>
    <row r="12" spans="1:23">
      <c r="A12" s="9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N12" s="17" t="s">
        <v>563</v>
      </c>
      <c r="O12" s="16" t="s">
        <v>563</v>
      </c>
      <c r="V12" t="s">
        <v>524</v>
      </c>
      <c r="W12" s="66">
        <v>0</v>
      </c>
    </row>
    <row r="13" spans="1:23">
      <c r="A13" s="191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N13" s="16" t="s">
        <v>562</v>
      </c>
      <c r="O13" s="16" t="s">
        <v>562</v>
      </c>
      <c r="V13" t="s">
        <v>512</v>
      </c>
      <c r="W13" s="66">
        <v>0</v>
      </c>
    </row>
    <row r="14" spans="1:23" ht="26.25" customHeight="1">
      <c r="A14" s="9"/>
      <c r="B14" s="84"/>
      <c r="C14" s="84"/>
      <c r="D14" s="96"/>
      <c r="E14" s="96"/>
      <c r="F14" s="96"/>
      <c r="G14" s="96"/>
      <c r="H14" s="96"/>
      <c r="I14" s="84"/>
      <c r="J14" s="96"/>
      <c r="K14" s="96"/>
      <c r="L14" s="96"/>
      <c r="N14" s="16" t="s">
        <v>512</v>
      </c>
      <c r="O14" s="16" t="s">
        <v>512</v>
      </c>
      <c r="V14" t="s">
        <v>480</v>
      </c>
      <c r="W14" s="66">
        <v>0</v>
      </c>
    </row>
    <row r="15" spans="1:23" ht="18" customHeight="1">
      <c r="B15" s="90">
        <f>IF(ISERROR(VLOOKUP(CONCATENATE($M15,$N$1),'RELACION VTAS - CHS'!$A:$O,10,FALSE))=FALSE,VLOOKUP(CONCATENATE($M15,$N$1),'RELACION VTAS - CHS'!$A:$L,10,FALSE),"")</f>
        <v>50</v>
      </c>
      <c r="C15" s="90"/>
      <c r="D15" s="130" t="str">
        <f>IF(B15="","",VLOOKUP(IF(ISERROR(VLOOKUP(CONCATENATE($M15,$N$1),'RELACION VTAS - CHS'!$A:$L,9,FALSE))=FALSE,VLOOKUP(CONCATENATE($M15,$N$1),'RELACION VTAS - CHS'!$A:$L,9,FALSE),""),$N$4:$O$74,2,FALSE))</f>
        <v>CHS - PINTURA IMPERMEABLE EN POLVO - SACO 10KG</v>
      </c>
      <c r="E15" s="90"/>
      <c r="F15" s="90"/>
      <c r="G15" s="90"/>
      <c r="H15" s="90"/>
      <c r="I15" s="287">
        <f>IF(ISERROR(VLOOKUP(CONCATENATE($M15,$N$1),'RELACION VTAS - CHS'!$A:$O,11,FALSE))=FALSE,VLOOKUP(CONCATENATE($M15,$N$1),'RELACION VTAS - CHS'!$A:$O,IF($M$4="BS",14,11),FALSE),"")</f>
        <v>135.92600000000002</v>
      </c>
      <c r="J15" s="387">
        <f>IF(B15="","",I15*B15)</f>
        <v>6796.3000000000011</v>
      </c>
      <c r="K15" s="387"/>
      <c r="L15" s="387"/>
      <c r="M15" s="19">
        <v>1</v>
      </c>
      <c r="N15" s="16" t="s">
        <v>515</v>
      </c>
      <c r="O15" s="16" t="s">
        <v>515</v>
      </c>
      <c r="V15" t="s">
        <v>515</v>
      </c>
      <c r="W15" s="66">
        <v>0</v>
      </c>
    </row>
    <row r="16" spans="1:23" ht="18" customHeight="1">
      <c r="B16" s="90" t="str">
        <f>IF(ISERROR(VLOOKUP(CONCATENATE($M16,$N$1),'RELACION VTAS - CHS'!$A:$L,10,FALSE))=FALSE,VLOOKUP(CONCATENATE($M16,$N$1),'RELACION VTAS - CHS'!$A:$L,10,FALSE),"")</f>
        <v/>
      </c>
      <c r="C16" s="90"/>
      <c r="D16" s="130" t="str">
        <f>IF(B16="","",VLOOKUP(IF(ISERROR(VLOOKUP(CONCATENATE($M16,$N$1),'RELACION VTAS - CHS'!$A:$L,9,FALSE))=FALSE,VLOOKUP(CONCATENATE($M16,$N$1),'RELACION VTAS - CHS'!$A:$L,9,FALSE),""),$N$4:$O$68,2,FALSE))</f>
        <v/>
      </c>
      <c r="E16" s="90"/>
      <c r="F16" s="90"/>
      <c r="G16" s="90"/>
      <c r="H16" s="90"/>
      <c r="I16" s="287" t="str">
        <f>IF(ISERROR(VLOOKUP(CONCATENATE($M16,$N$1),'RELACION VTAS - CHS'!$A:$O,11,FALSE))=FALSE,VLOOKUP(CONCATENATE($M16,$N$1),'RELACION VTAS - CHS'!$A:$O,IF($M$4="BS",14,11),FALSE),"")</f>
        <v/>
      </c>
      <c r="J16" s="387" t="str">
        <f t="shared" ref="J16:J30" si="0">IF(B16="","",I16*B16)</f>
        <v/>
      </c>
      <c r="K16" s="387"/>
      <c r="L16" s="387"/>
      <c r="M16" s="19">
        <v>2</v>
      </c>
      <c r="N16" s="16" t="s">
        <v>632</v>
      </c>
      <c r="O16" s="16" t="s">
        <v>632</v>
      </c>
      <c r="V16" t="s">
        <v>525</v>
      </c>
      <c r="W16" s="66">
        <v>0</v>
      </c>
    </row>
    <row r="17" spans="2:23" ht="18" customHeight="1">
      <c r="B17" s="90" t="str">
        <f>IF(ISERROR(VLOOKUP(CONCATENATE($M17,$N$1),'RELACION VTAS - CHS'!$A:$L,10,FALSE))=FALSE,VLOOKUP(CONCATENATE($M17,$N$1),'RELACION VTAS - CHS'!$A:$L,10,FALSE),"")</f>
        <v/>
      </c>
      <c r="C17" s="90"/>
      <c r="D17" s="130" t="str">
        <f>IF(B17="","",VLOOKUP(IF(ISERROR(VLOOKUP(CONCATENATE($M17,$N$1),'RELACION VTAS - CHS'!$A:$L,9,FALSE))=FALSE,VLOOKUP(CONCATENATE($M17,$N$1),'RELACION VTAS - CHS'!$A:$L,9,FALSE),""),$N$4:$O$72,2,FALSE))</f>
        <v/>
      </c>
      <c r="E17" s="90"/>
      <c r="F17" s="90"/>
      <c r="G17" s="90"/>
      <c r="H17" s="90"/>
      <c r="I17" s="287" t="str">
        <f>IF(ISERROR(VLOOKUP(CONCATENATE($M17,$N$1),'RELACION VTAS - CHS'!$A:$O,11,FALSE))=FALSE,VLOOKUP(CONCATENATE($M17,$N$1),'RELACION VTAS - CHS'!$A:$O,IF($M$4="BS",14,11),FALSE),"")</f>
        <v/>
      </c>
      <c r="J17" s="387" t="str">
        <f t="shared" si="0"/>
        <v/>
      </c>
      <c r="K17" s="387"/>
      <c r="L17" s="387"/>
      <c r="M17" s="19">
        <v>3</v>
      </c>
      <c r="N17" s="16" t="s">
        <v>681</v>
      </c>
      <c r="O17" s="16" t="s">
        <v>681</v>
      </c>
      <c r="V17" t="s">
        <v>548</v>
      </c>
      <c r="W17" s="66">
        <v>0</v>
      </c>
    </row>
    <row r="18" spans="2:23" ht="18" customHeight="1">
      <c r="B18" s="90" t="str">
        <f>IF(ISERROR(VLOOKUP(CONCATENATE($M18,$N$1),'RELACION VTAS - CHS'!$A:$L,10,FALSE))=FALSE,VLOOKUP(CONCATENATE($M18,$N$1),'RELACION VTAS - CHS'!$A:$L,10,FALSE),"")</f>
        <v/>
      </c>
      <c r="C18" s="90"/>
      <c r="D18" s="193" t="str">
        <f>IF(B18="","",VLOOKUP(IF(ISERROR(VLOOKUP(CONCATENATE($M18,$N$1),'RELACION VTAS - CHS'!$A:$L,9,FALSE))=FALSE,VLOOKUP(CONCATENATE($M18,$N$1),'RELACION VTAS - CHS'!$A:$L,9,FALSE),""),$N$4:$O$69,2,FALSE))</f>
        <v/>
      </c>
      <c r="E18" s="194"/>
      <c r="F18" s="194"/>
      <c r="G18" s="90"/>
      <c r="H18" s="90"/>
      <c r="I18" s="287" t="str">
        <f>IF(ISERROR(VLOOKUP(CONCATENATE($M18,$N$1),'RELACION VTAS - CHS'!$A:$O,11,FALSE))=FALSE,VLOOKUP(CONCATENATE($M18,$N$1),'RELACION VTAS - CHS'!$A:$O,IF($M$4="BS",14,11),FALSE),"")</f>
        <v/>
      </c>
      <c r="J18" s="387" t="str">
        <f t="shared" si="0"/>
        <v/>
      </c>
      <c r="K18" s="387"/>
      <c r="L18" s="387"/>
      <c r="M18" s="19">
        <v>4</v>
      </c>
      <c r="N18" s="16" t="s">
        <v>687</v>
      </c>
      <c r="O18" s="16" t="s">
        <v>687</v>
      </c>
      <c r="V18" t="s">
        <v>534</v>
      </c>
      <c r="W18" s="66">
        <v>0</v>
      </c>
    </row>
    <row r="19" spans="2:23" ht="18" customHeight="1">
      <c r="B19" s="90" t="str">
        <f>IF(ISERROR(VLOOKUP(CONCATENATE($M19,$N$1),'RELACION VTAS - CHS'!$A:$L,10,FALSE))=FALSE,VLOOKUP(CONCATENATE($M19,$N$1),'RELACION VTAS - CHS'!$A:$L,10,FALSE),"")</f>
        <v/>
      </c>
      <c r="C19" s="90"/>
      <c r="D19" s="193" t="str">
        <f>IF(B19="","",VLOOKUP(IF(ISERROR(VLOOKUP(CONCATENATE($M19,$N$1),'RELACION VTAS - CHS'!$A:$L,9,FALSE))=FALSE,VLOOKUP(CONCATENATE($M19,$N$1),'RELACION VTAS - CHS'!$A:$L,9,FALSE),""),$N$4:$O$68,2,FALSE))</f>
        <v/>
      </c>
      <c r="E19" s="195"/>
      <c r="F19" s="194"/>
      <c r="G19" s="90"/>
      <c r="H19" s="90"/>
      <c r="I19" s="287" t="str">
        <f>IF(ISERROR(VLOOKUP(CONCATENATE($M19,$N$1),'RELACION VTAS - CHS'!$A:$O,11,FALSE))=FALSE,VLOOKUP(CONCATENATE($M19,$N$1),'RELACION VTAS - CHS'!$A:$O,IF($M$4="BS",14,11),FALSE),"")</f>
        <v/>
      </c>
      <c r="J19" s="387" t="str">
        <f t="shared" si="0"/>
        <v/>
      </c>
      <c r="K19" s="387"/>
      <c r="L19" s="387"/>
      <c r="M19" s="19">
        <v>5</v>
      </c>
      <c r="N19" s="16" t="s">
        <v>705</v>
      </c>
      <c r="O19" s="16" t="s">
        <v>705</v>
      </c>
      <c r="V19" t="s">
        <v>76</v>
      </c>
      <c r="W19" s="66">
        <v>0</v>
      </c>
    </row>
    <row r="20" spans="2:23" ht="18" customHeight="1">
      <c r="B20" s="90" t="str">
        <f>IF(ISERROR(VLOOKUP(CONCATENATE($M20,$N$1),'RELACION VTAS - CHS'!$A:$L,10,FALSE))=FALSE,VLOOKUP(CONCATENATE($M20,$N$1),'RELACION VTAS - CHS'!$A:$L,10,FALSE),"")</f>
        <v/>
      </c>
      <c r="C20" s="90"/>
      <c r="D20" s="130" t="str">
        <f>IF(B20="","",VLOOKUP(IF(ISERROR(VLOOKUP(CONCATENATE($M20,$N$1),'RELACION VTAS - CHS'!$A:$L,9,FALSE))=FALSE,VLOOKUP(CONCATENATE($M20,$N$1),'RELACION VTAS - CHS'!$A:$L,9,FALSE),""),$N$4:$O$76,2,FALSE))</f>
        <v/>
      </c>
      <c r="E20" s="90"/>
      <c r="F20" s="90"/>
      <c r="G20" s="90"/>
      <c r="H20" s="90"/>
      <c r="I20" s="287" t="str">
        <f>IF(ISERROR(VLOOKUP(CONCATENATE($M20,$N$1),'RELACION VTAS - CHS'!$A:$O,11,FALSE))=FALSE,VLOOKUP(CONCATENATE($M20,$N$1),'RELACION VTAS - CHS'!$A:$O,IF($M$4="BS",14,11),FALSE),"")</f>
        <v/>
      </c>
      <c r="J20" s="387" t="str">
        <f t="shared" si="0"/>
        <v/>
      </c>
      <c r="K20" s="387"/>
      <c r="L20" s="387"/>
      <c r="M20" s="19">
        <v>6</v>
      </c>
      <c r="N20" s="16" t="s">
        <v>706</v>
      </c>
      <c r="O20" s="16" t="s">
        <v>706</v>
      </c>
      <c r="V20" t="s">
        <v>262</v>
      </c>
      <c r="W20" s="66">
        <v>0</v>
      </c>
    </row>
    <row r="21" spans="2:23" ht="18" customHeight="1">
      <c r="B21" s="90" t="str">
        <f>IF(ISERROR(VLOOKUP(CONCATENATE($M21,$N$1),'RELACION VTAS - CHS'!$A:$L,10,FALSE))=FALSE,VLOOKUP(CONCATENATE($M21,$N$1),'RELACION VTAS - CHS'!$A:$L,10,FALSE),"")</f>
        <v/>
      </c>
      <c r="C21" s="90"/>
      <c r="D21" s="130" t="str">
        <f>IF(B21="","",VLOOKUP(IF(ISERROR(VLOOKUP(CONCATENATE($M21,$N$1),'RELACION VTAS - CHS'!$A:$L,9,FALSE))=FALSE,VLOOKUP(CONCATENATE($M21,$N$1),'RELACION VTAS - CHS'!$A:$L,9,FALSE),""),$N$4:$O$71,2,FALSE))</f>
        <v/>
      </c>
      <c r="E21" s="90"/>
      <c r="F21" s="90"/>
      <c r="G21" s="90"/>
      <c r="H21" s="90"/>
      <c r="I21" s="287" t="str">
        <f>IF(ISERROR(VLOOKUP(CONCATENATE($M21,$N$1),'RELACION VTAS - CHS'!$A:$O,11,FALSE))=FALSE,VLOOKUP(CONCATENATE($M21,$N$1),'RELACION VTAS - CHS'!$A:$O,IF($M$4="BS",14,11),FALSE),"")</f>
        <v/>
      </c>
      <c r="J21" s="387" t="str">
        <f t="shared" si="0"/>
        <v/>
      </c>
      <c r="K21" s="387"/>
      <c r="L21" s="387"/>
      <c r="M21" s="19">
        <v>7</v>
      </c>
      <c r="N21" s="16" t="s">
        <v>707</v>
      </c>
      <c r="O21" s="16" t="s">
        <v>707</v>
      </c>
      <c r="V21" t="s">
        <v>75</v>
      </c>
      <c r="W21" s="66">
        <v>0</v>
      </c>
    </row>
    <row r="22" spans="2:23" ht="18" customHeight="1">
      <c r="B22" s="90" t="str">
        <f>IF(ISERROR(VLOOKUP(CONCATENATE($M22,$N$1),'RELACION VTAS - CHS'!$A:$L,10,FALSE))=FALSE,VLOOKUP(CONCATENATE($M22,$N$1),'RELACION VTAS - CHS'!$A:$L,10,FALSE),"")</f>
        <v/>
      </c>
      <c r="C22" s="90"/>
      <c r="D22" s="130" t="str">
        <f>IF(B22="","",VLOOKUP(IF(ISERROR(VLOOKUP(CONCATENATE($M22,$N$1),'RELACION VTAS - CHS'!$A:$L,9,FALSE))=FALSE,VLOOKUP(CONCATENATE($M22,$N$1),'RELACION VTAS - CHS'!$A:$L,9,FALSE),""),$N$4:$O$72,2,FALSE))</f>
        <v/>
      </c>
      <c r="E22" s="90"/>
      <c r="F22" s="90"/>
      <c r="G22" s="90"/>
      <c r="H22" s="90"/>
      <c r="I22" s="287" t="str">
        <f>IF(ISERROR(VLOOKUP(CONCATENATE($M22,$N$1),'RELACION VTAS - CHS'!$A:$O,11,FALSE))=FALSE,VLOOKUP(CONCATENATE($M22,$N$1),'RELACION VTAS - CHS'!$A:$O,IF($M$4="BS",14,11),FALSE),"")</f>
        <v/>
      </c>
      <c r="J22" s="387" t="str">
        <f t="shared" si="0"/>
        <v/>
      </c>
      <c r="K22" s="387"/>
      <c r="L22" s="387"/>
      <c r="M22" s="19">
        <v>8</v>
      </c>
      <c r="N22" s="16" t="s">
        <v>710</v>
      </c>
      <c r="O22" s="16" t="s">
        <v>710</v>
      </c>
      <c r="V22" t="s">
        <v>453</v>
      </c>
      <c r="W22" s="66">
        <v>0</v>
      </c>
    </row>
    <row r="23" spans="2:23" ht="18" customHeight="1">
      <c r="B23" s="90" t="str">
        <f>IF(ISERROR(VLOOKUP(CONCATENATE($M23,$N$1),'RELACION VTAS - CHS'!$A:$L,10,FALSE))=FALSE,VLOOKUP(CONCATENATE($M23,$N$1),'RELACION VTAS - CHS'!$A:$L,10,FALSE),"")</f>
        <v/>
      </c>
      <c r="C23" s="90"/>
      <c r="D23" s="130" t="str">
        <f>IF(B23="","",VLOOKUP(IF(ISERROR(VLOOKUP(CONCATENATE($M23,$N$1),'RELACION VTAS - CHS'!$A:$L,9,FALSE))=FALSE,VLOOKUP(CONCATENATE($M23,$N$1),'RELACION VTAS - CHS'!$A:$L,9,FALSE),""),$N$4:$O$73,2,FALSE))</f>
        <v/>
      </c>
      <c r="E23" s="90"/>
      <c r="F23" s="90"/>
      <c r="G23" s="90"/>
      <c r="H23" s="90"/>
      <c r="I23" s="287" t="str">
        <f>IF(ISERROR(VLOOKUP(CONCATENATE($M23,$N$1),'RELACION VTAS - CHS'!$A:$O,11,FALSE))=FALSE,VLOOKUP(CONCATENATE($M23,$N$1),'RELACION VTAS - CHS'!$A:$O,IF($M$4="BS",14,11),FALSE),"")</f>
        <v/>
      </c>
      <c r="J23" s="387" t="str">
        <f t="shared" si="0"/>
        <v/>
      </c>
      <c r="K23" s="387"/>
      <c r="L23" s="387"/>
      <c r="M23" s="19">
        <v>9</v>
      </c>
      <c r="N23" s="16" t="s">
        <v>711</v>
      </c>
      <c r="O23" s="16" t="s">
        <v>711</v>
      </c>
      <c r="V23" t="s">
        <v>96</v>
      </c>
      <c r="W23" s="66">
        <v>0</v>
      </c>
    </row>
    <row r="24" spans="2:23" ht="18" customHeight="1">
      <c r="B24" s="90" t="str">
        <f>IF(ISERROR(VLOOKUP(CONCATENATE($M24,$N$1),'RELACION VTAS - CHS'!$A:$L,10,FALSE))=FALSE,VLOOKUP(CONCATENATE($M24,$N$1),'RELACION VTAS - CHS'!$A:$L,10,FALSE),"")</f>
        <v/>
      </c>
      <c r="C24" s="90"/>
      <c r="D24" s="130" t="str">
        <f>IF(B24="","",VLOOKUP(IF(ISERROR(VLOOKUP(CONCATENATE($M24,$N$1),'RELACION VTAS - CHS'!$A:$L,9,FALSE))=FALSE,VLOOKUP(CONCATENATE($M24,$N$1),'RELACION VTAS - CHS'!$A:$L,9,FALSE),""),$N$4:$O$74,2,FALSE))</f>
        <v/>
      </c>
      <c r="E24" s="90"/>
      <c r="F24" s="90"/>
      <c r="G24" s="90"/>
      <c r="H24" s="90"/>
      <c r="I24" s="287" t="str">
        <f>IF(ISERROR(VLOOKUP(CONCATENATE($M24,$N$1),'RELACION VTAS - CHS'!$A:$O,11,FALSE))=FALSE,VLOOKUP(CONCATENATE($M24,$N$1),'RELACION VTAS - CHS'!$A:$O,IF($M$4="BS",14,11),FALSE),"")</f>
        <v/>
      </c>
      <c r="J24" s="387" t="str">
        <f t="shared" si="0"/>
        <v/>
      </c>
      <c r="K24" s="387"/>
      <c r="L24" s="387"/>
      <c r="M24" s="19">
        <v>10</v>
      </c>
      <c r="N24" s="16" t="s">
        <v>727</v>
      </c>
      <c r="O24" s="16" t="s">
        <v>727</v>
      </c>
      <c r="V24" t="s">
        <v>632</v>
      </c>
      <c r="W24" s="66">
        <v>1</v>
      </c>
    </row>
    <row r="25" spans="2:23" ht="15.75">
      <c r="B25" s="90" t="str">
        <f>IF(ISERROR(VLOOKUP(CONCATENATE($M25,$N$1),'RELACION VTAS - CHS'!$A:$L,10,FALSE))=FALSE,VLOOKUP(CONCATENATE($M25,$N$1),'RELACION VTAS - CHS'!$A:$L,10,FALSE),"")</f>
        <v/>
      </c>
      <c r="C25" s="90"/>
      <c r="D25" s="130" t="str">
        <f>IF(B25="","",VLOOKUP(IF(ISERROR(VLOOKUP(CONCATENATE($M25,$N$1),'RELACION VTAS - CHS'!$A:$L,9,FALSE))=FALSE,VLOOKUP(CONCATENATE($M25,$N$1),'RELACION VTAS - CHS'!$A:$L,9,FALSE),""),$N$4:$O$54,2,FALSE))</f>
        <v/>
      </c>
      <c r="E25" s="90"/>
      <c r="F25" s="90"/>
      <c r="G25" s="90"/>
      <c r="H25" s="90"/>
      <c r="I25" s="287" t="str">
        <f>IF(ISERROR(VLOOKUP(CONCATENATE($M25,$N$1),'RELACION VTAS - CHS'!$A:$O,11,FALSE))=FALSE,VLOOKUP(CONCATENATE($M25,$N$1),'RELACION VTAS - CHS'!$A:$O,IF($M$4="BS",14,11),FALSE),"")</f>
        <v/>
      </c>
      <c r="J25" s="387" t="str">
        <f t="shared" si="0"/>
        <v/>
      </c>
      <c r="K25" s="387"/>
      <c r="L25" s="387"/>
      <c r="M25" s="19">
        <v>11</v>
      </c>
      <c r="N25" s="16" t="s">
        <v>729</v>
      </c>
      <c r="O25" s="16" t="s">
        <v>729</v>
      </c>
      <c r="V25" t="s">
        <v>632</v>
      </c>
      <c r="W25" s="66">
        <v>1</v>
      </c>
    </row>
    <row r="26" spans="2:23" ht="15.75">
      <c r="B26" s="90" t="str">
        <f>IF(ISERROR(VLOOKUP(CONCATENATE($M26,$N$1),'RELACION VTAS - CHS'!$A:$L,10,FALSE))=FALSE,VLOOKUP(CONCATENATE($M26,$N$1),'RELACION VTAS - CHS'!$A:$L,10,FALSE),"")</f>
        <v/>
      </c>
      <c r="C26" s="90"/>
      <c r="D26" s="130" t="str">
        <f>IF(B26="","",VLOOKUP(IF(ISERROR(VLOOKUP(CONCATENATE($M26,$N$1),'RELACION VTAS - CHS'!$A:$L,9,FALSE))=FALSE,VLOOKUP(CONCATENATE($M26,$N$1),'RELACION VTAS - CHS'!$A:$L,9,FALSE),""),$N$4:$O$54,2,FALSE))</f>
        <v/>
      </c>
      <c r="E26" s="90"/>
      <c r="F26" s="90"/>
      <c r="G26" s="90"/>
      <c r="H26" s="90"/>
      <c r="I26" s="287" t="str">
        <f>IF(ISERROR(VLOOKUP(CONCATENATE($M26,$N$1),'RELACION VTAS - CHS'!$A:$O,11,FALSE))=FALSE,VLOOKUP(CONCATENATE($M26,$N$1),'RELACION VTAS - CHS'!$A:$O,IF($M$4="BS",14,11),FALSE),"")</f>
        <v/>
      </c>
      <c r="J26" s="387" t="str">
        <f t="shared" si="0"/>
        <v/>
      </c>
      <c r="K26" s="387"/>
      <c r="L26" s="387"/>
      <c r="M26" s="19">
        <v>12</v>
      </c>
      <c r="N26" s="16" t="s">
        <v>735</v>
      </c>
      <c r="O26" s="16" t="s">
        <v>735</v>
      </c>
      <c r="V26" t="s">
        <v>632</v>
      </c>
      <c r="W26" s="66">
        <v>1</v>
      </c>
    </row>
    <row r="27" spans="2:23" ht="15.75">
      <c r="B27" s="90" t="str">
        <f>IF(ISERROR(VLOOKUP(CONCATENATE($M27,$N$1),'RELACION VTAS - CHS'!$A:$L,10,FALSE))=FALSE,VLOOKUP(CONCATENATE($M27,$N$1),'RELACION VTAS - CHS'!$A:$L,10,FALSE),"")</f>
        <v/>
      </c>
      <c r="C27" s="90"/>
      <c r="D27" s="130" t="str">
        <f>IF(B27="","",VLOOKUP(IF(ISERROR(VLOOKUP(CONCATENATE($M27,$N$1),'RELACION VTAS - CHS'!$A:$L,9,FALSE))=FALSE,VLOOKUP(CONCATENATE($M27,$N$1),'RELACION VTAS - CHS'!$A:$L,9,FALSE),""),$N$4:$O$55,2,FALSE))</f>
        <v/>
      </c>
      <c r="E27" s="90"/>
      <c r="F27" s="90"/>
      <c r="G27" s="90"/>
      <c r="H27" s="90"/>
      <c r="I27" s="287" t="str">
        <f>IF(ISERROR(VLOOKUP(CONCATENATE($M27,$N$1),'RELACION VTAS - CHS'!$A:$O,11,FALSE))=FALSE,VLOOKUP(CONCATENATE($M27,$N$1),'RELACION VTAS - CHS'!$A:$O,IF($M$4="BS",14,11),FALSE),"")</f>
        <v/>
      </c>
      <c r="J27" s="387" t="str">
        <f t="shared" si="0"/>
        <v/>
      </c>
      <c r="K27" s="387"/>
      <c r="L27" s="387"/>
      <c r="M27" s="19">
        <v>13</v>
      </c>
      <c r="N27" s="16" t="s">
        <v>750</v>
      </c>
      <c r="O27" s="16" t="s">
        <v>750</v>
      </c>
      <c r="V27" t="s">
        <v>632</v>
      </c>
      <c r="W27" s="66">
        <v>1</v>
      </c>
    </row>
    <row r="28" spans="2:23" ht="15.75">
      <c r="B28" s="90" t="str">
        <f>IF(ISERROR(VLOOKUP(CONCATENATE($M28,$N$1),'RELACION VTAS - CHS'!$A:$L,10,FALSE))=FALSE,VLOOKUP(CONCATENATE($M28,$N$1),'RELACION VTAS - CHS'!$A:$L,10,FALSE),"")</f>
        <v/>
      </c>
      <c r="C28" s="90"/>
      <c r="D28" s="130" t="str">
        <f>IF(B28="","",VLOOKUP(IF(ISERROR(VLOOKUP(CONCATENATE($M28,$N$1),'RELACION VTAS - CHS'!$A:$L,9,FALSE))=FALSE,VLOOKUP(CONCATENATE($M28,$N$1),'RELACION VTAS - CHS'!$A:$L,9,FALSE),""),$N$4:$O$36,2,FALSE))</f>
        <v/>
      </c>
      <c r="E28" s="90"/>
      <c r="F28" s="90"/>
      <c r="G28" s="90"/>
      <c r="H28" s="90"/>
      <c r="I28" s="287" t="str">
        <f>IF(ISERROR(VLOOKUP(CONCATENATE($M28,$N$1),'RELACION VTAS - CHS'!$A:$O,11,FALSE))=FALSE,VLOOKUP(CONCATENATE($M28,$N$1),'RELACION VTAS - CHS'!$A:$O,IF($M$4="BS",14,11),FALSE),"")</f>
        <v/>
      </c>
      <c r="J28" s="387" t="str">
        <f t="shared" si="0"/>
        <v/>
      </c>
      <c r="K28" s="387"/>
      <c r="L28" s="387"/>
      <c r="M28" s="19">
        <v>14</v>
      </c>
      <c r="N28" s="16" t="s">
        <v>751</v>
      </c>
      <c r="O28" s="16" t="s">
        <v>751</v>
      </c>
      <c r="V28" t="s">
        <v>632</v>
      </c>
      <c r="W28" s="66">
        <v>1</v>
      </c>
    </row>
    <row r="29" spans="2:23" ht="15.75">
      <c r="B29" s="90" t="str">
        <f>IF(ISERROR(VLOOKUP(CONCATENATE($M29,$N$1),'RELACION VTAS - CHS'!$A:$L,10,FALSE))=FALSE,VLOOKUP(CONCATENATE($M29,$N$1),'RELACION VTAS - CHS'!$A:$L,10,FALSE),"")</f>
        <v/>
      </c>
      <c r="C29" s="90"/>
      <c r="D29" s="130" t="str">
        <f>IF(B29="","",VLOOKUP(IF(ISERROR(VLOOKUP(CONCATENATE($M29,$N$1),'RELACION VTAS - CHS'!$A:$L,9,FALSE))=FALSE,VLOOKUP(CONCATENATE($M29,$N$1),'RELACION VTAS - CHS'!$A:$L,9,FALSE),""),$N$4:$O$36,2,FALSE))</f>
        <v/>
      </c>
      <c r="E29" s="90"/>
      <c r="F29" s="90"/>
      <c r="G29" s="90"/>
      <c r="H29" s="90"/>
      <c r="I29" s="287" t="str">
        <f>IF(ISERROR(VLOOKUP(CONCATENATE($M29,$N$1),'RELACION VTAS - CHS'!$A:$O,11,FALSE))=FALSE,VLOOKUP(CONCATENATE($M29,$N$1),'RELACION VTAS - CHS'!$A:$O,IF($M$4="BS",14,11),FALSE),"")</f>
        <v/>
      </c>
      <c r="J29" s="387" t="str">
        <f t="shared" si="0"/>
        <v/>
      </c>
      <c r="K29" s="387"/>
      <c r="L29" s="387"/>
      <c r="M29" s="19">
        <v>15</v>
      </c>
      <c r="N29" s="16" t="s">
        <v>752</v>
      </c>
      <c r="O29" s="16" t="s">
        <v>752</v>
      </c>
      <c r="V29" t="s">
        <v>632</v>
      </c>
      <c r="W29" s="66">
        <v>1</v>
      </c>
    </row>
    <row r="30" spans="2:23" ht="15.75">
      <c r="B30" s="90" t="str">
        <f>IF(ISERROR(VLOOKUP(CONCATENATE($M30,$N$1),'RELACION VTAS - CHS'!$A:$L,10,FALSE))=FALSE,VLOOKUP(CONCATENATE($M30,$N$1),'RELACION VTAS - CHS'!$A:$L,10,FALSE),"")</f>
        <v/>
      </c>
      <c r="C30" s="90"/>
      <c r="D30" s="90" t="str">
        <f>IF(B30="","",VLOOKUP(IF(ISERROR(VLOOKUP(CONCATENATE($M30,$N$1),'RELACION VTAS - CHS'!$A:$L,9,FALSE))=FALSE,VLOOKUP(CONCATENATE($M30,$N$1),'RELACION VTAS - CHS'!$A:$L,9,FALSE),""),$N$4:$O$36,2,FALSE))</f>
        <v/>
      </c>
      <c r="E30" s="90"/>
      <c r="F30" s="90"/>
      <c r="G30" s="90"/>
      <c r="H30" s="90"/>
      <c r="I30" s="287" t="str">
        <f>IF(ISERROR(VLOOKUP(CONCATENATE($M30,$N$1),'RELACION VTAS - CHS'!$A:$O,11,FALSE))=FALSE,VLOOKUP(CONCATENATE($M30,$N$1),'RELACION VTAS - CHS'!$A:$O,IF($M$4="BS",14,11),FALSE),"")</f>
        <v/>
      </c>
      <c r="J30" s="387" t="str">
        <f t="shared" si="0"/>
        <v/>
      </c>
      <c r="K30" s="387"/>
      <c r="L30" s="387"/>
      <c r="M30" s="19">
        <v>16</v>
      </c>
      <c r="N30" s="16" t="s">
        <v>753</v>
      </c>
      <c r="O30" s="16" t="s">
        <v>753</v>
      </c>
      <c r="V30" t="s">
        <v>632</v>
      </c>
      <c r="W30" s="66">
        <v>1</v>
      </c>
    </row>
    <row r="31" spans="2:23" ht="15.75">
      <c r="B31" s="90"/>
      <c r="C31" s="84"/>
      <c r="D31" s="90"/>
      <c r="E31" s="90"/>
      <c r="F31" s="90"/>
      <c r="G31" s="90"/>
      <c r="H31" s="90"/>
      <c r="I31" s="273"/>
      <c r="J31" s="84"/>
      <c r="K31" s="84"/>
      <c r="L31" s="84"/>
      <c r="M31" s="19"/>
      <c r="N31" s="16" t="s">
        <v>754</v>
      </c>
      <c r="O31" s="16" t="s">
        <v>754</v>
      </c>
      <c r="V31" t="s">
        <v>632</v>
      </c>
      <c r="W31" s="66">
        <v>1</v>
      </c>
    </row>
    <row r="32" spans="2:23" ht="15.75">
      <c r="B32" s="90"/>
      <c r="C32" s="84"/>
      <c r="D32" s="90"/>
      <c r="E32" s="90"/>
      <c r="F32" s="90"/>
      <c r="G32" s="90"/>
      <c r="H32" s="90"/>
      <c r="I32" s="273"/>
      <c r="J32" s="84"/>
      <c r="K32" s="84"/>
      <c r="L32" s="84"/>
      <c r="M32" s="19"/>
      <c r="N32" s="16" t="s">
        <v>755</v>
      </c>
      <c r="O32" s="16" t="s">
        <v>755</v>
      </c>
      <c r="Q32" s="260"/>
      <c r="V32" t="s">
        <v>632</v>
      </c>
      <c r="W32" s="66">
        <v>1</v>
      </c>
    </row>
    <row r="33" spans="2:23"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N33" s="16" t="s">
        <v>756</v>
      </c>
      <c r="O33" s="16" t="s">
        <v>756</v>
      </c>
      <c r="V33" t="s">
        <v>632</v>
      </c>
      <c r="W33" s="66">
        <v>1</v>
      </c>
    </row>
    <row r="34" spans="2:23"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N34" s="16" t="s">
        <v>757</v>
      </c>
      <c r="O34" s="16" t="s">
        <v>757</v>
      </c>
      <c r="V34" t="s">
        <v>632</v>
      </c>
      <c r="W34" s="66">
        <v>1</v>
      </c>
    </row>
    <row r="35" spans="2:23"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N35" s="16" t="s">
        <v>760</v>
      </c>
      <c r="O35" s="16" t="s">
        <v>760</v>
      </c>
      <c r="V35" t="s">
        <v>632</v>
      </c>
      <c r="W35" s="66">
        <v>1</v>
      </c>
    </row>
    <row r="36" spans="2:23"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N36" s="16" t="s">
        <v>761</v>
      </c>
      <c r="O36" s="16" t="s">
        <v>761</v>
      </c>
      <c r="V36" t="s">
        <v>632</v>
      </c>
      <c r="W36" s="66">
        <v>1</v>
      </c>
    </row>
    <row r="37" spans="2:23" ht="28.5" customHeight="1"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N37" s="16" t="s">
        <v>758</v>
      </c>
      <c r="O37" s="16" t="s">
        <v>758</v>
      </c>
      <c r="V37" t="s">
        <v>632</v>
      </c>
      <c r="W37" s="66">
        <v>1</v>
      </c>
    </row>
    <row r="38" spans="2:23" ht="15" customHeight="1">
      <c r="B38" s="84"/>
      <c r="C38" s="84"/>
      <c r="D38" s="84"/>
      <c r="E38" s="84"/>
      <c r="F38" s="84"/>
      <c r="G38" s="84"/>
      <c r="H38" s="84"/>
      <c r="I38" s="84"/>
      <c r="J38" s="389">
        <f>SUM(J15:L31)</f>
        <v>6796.3000000000011</v>
      </c>
      <c r="K38" s="389"/>
      <c r="L38" s="389"/>
      <c r="N38" s="16" t="s">
        <v>764</v>
      </c>
      <c r="O38" s="16" t="s">
        <v>764</v>
      </c>
      <c r="V38" t="s">
        <v>632</v>
      </c>
      <c r="W38" s="66">
        <v>1</v>
      </c>
    </row>
    <row r="39" spans="2:23" ht="20.25" customHeight="1">
      <c r="B39" s="84"/>
      <c r="C39" s="84"/>
      <c r="D39" s="84"/>
      <c r="E39" s="84"/>
      <c r="F39" s="84"/>
      <c r="G39" s="324">
        <f>IF(N2="EFECTIVO",16%,IF(AND(N2="ELECTRONICO",J38&gt;2000000),7%,9%))</f>
        <v>0.16</v>
      </c>
      <c r="H39" s="84"/>
      <c r="I39" s="97">
        <f>+J38</f>
        <v>6796.3000000000011</v>
      </c>
      <c r="J39" s="389">
        <f>+J38*G39</f>
        <v>1087.4080000000001</v>
      </c>
      <c r="K39" s="389"/>
      <c r="L39" s="389"/>
      <c r="N39" s="16" t="s">
        <v>763</v>
      </c>
      <c r="O39" s="16" t="s">
        <v>763</v>
      </c>
      <c r="V39" t="s">
        <v>632</v>
      </c>
      <c r="W39" s="66">
        <v>1</v>
      </c>
    </row>
    <row r="40" spans="2:23" ht="15.75">
      <c r="B40" s="84"/>
      <c r="C40" s="84"/>
      <c r="D40" s="84"/>
      <c r="E40" s="84"/>
      <c r="F40" s="84"/>
      <c r="G40" s="84"/>
      <c r="H40" s="84"/>
      <c r="I40" s="84"/>
      <c r="J40" s="390">
        <f>+J39+J38</f>
        <v>7883.7080000000014</v>
      </c>
      <c r="K40" s="390"/>
      <c r="L40" s="390"/>
      <c r="N40" s="16" t="s">
        <v>766</v>
      </c>
      <c r="O40" s="16" t="s">
        <v>766</v>
      </c>
      <c r="V40" t="s">
        <v>632</v>
      </c>
      <c r="W40" s="66">
        <v>1</v>
      </c>
    </row>
    <row r="41" spans="2:23">
      <c r="B41" s="84"/>
      <c r="C41" s="84"/>
      <c r="D41" s="84"/>
      <c r="E41" s="84"/>
      <c r="F41" s="84"/>
      <c r="N41" s="16" t="s">
        <v>765</v>
      </c>
      <c r="O41" s="16" t="s">
        <v>765</v>
      </c>
      <c r="V41" t="s">
        <v>632</v>
      </c>
      <c r="W41" s="66">
        <v>1</v>
      </c>
    </row>
    <row r="42" spans="2:23">
      <c r="B42" s="84"/>
      <c r="C42" s="84"/>
      <c r="D42" s="84"/>
      <c r="E42" s="84"/>
      <c r="F42" s="84"/>
      <c r="N42" s="16" t="s">
        <v>768</v>
      </c>
      <c r="O42" s="16" t="s">
        <v>768</v>
      </c>
      <c r="V42" t="s">
        <v>632</v>
      </c>
      <c r="W42" s="66">
        <v>1</v>
      </c>
    </row>
    <row r="43" spans="2:23"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273"/>
      <c r="M43" s="261"/>
      <c r="N43" s="16" t="s">
        <v>922</v>
      </c>
      <c r="O43" s="16" t="s">
        <v>922</v>
      </c>
      <c r="V43" t="s">
        <v>632</v>
      </c>
      <c r="W43" s="66">
        <v>1</v>
      </c>
    </row>
    <row r="44" spans="2:23">
      <c r="I44" s="11"/>
      <c r="M44">
        <f>72.1*9.01</f>
        <v>649.62099999999998</v>
      </c>
      <c r="N44" s="16" t="s">
        <v>801</v>
      </c>
      <c r="O44" s="16" t="s">
        <v>801</v>
      </c>
      <c r="V44" t="s">
        <v>632</v>
      </c>
      <c r="W44" s="66">
        <v>1</v>
      </c>
    </row>
    <row r="45" spans="2:23">
      <c r="M45" s="260">
        <f>+M44-J38</f>
        <v>-6146.679000000001</v>
      </c>
      <c r="N45" s="16" t="s">
        <v>838</v>
      </c>
      <c r="O45" s="16" t="s">
        <v>838</v>
      </c>
      <c r="V45" t="s">
        <v>632</v>
      </c>
      <c r="W45" s="66">
        <v>1</v>
      </c>
    </row>
    <row r="46" spans="2:23">
      <c r="N46" s="16" t="s">
        <v>845</v>
      </c>
      <c r="O46" s="16" t="s">
        <v>845</v>
      </c>
      <c r="V46" t="s">
        <v>632</v>
      </c>
      <c r="W46" s="66">
        <v>1</v>
      </c>
    </row>
    <row r="47" spans="2:23">
      <c r="N47" s="16" t="s">
        <v>846</v>
      </c>
      <c r="O47" s="16" t="s">
        <v>846</v>
      </c>
      <c r="V47" t="s">
        <v>632</v>
      </c>
      <c r="W47" s="66">
        <v>1</v>
      </c>
    </row>
    <row r="48" spans="2:23">
      <c r="N48" s="16" t="s">
        <v>847</v>
      </c>
      <c r="O48" s="16" t="s">
        <v>847</v>
      </c>
      <c r="V48" t="s">
        <v>632</v>
      </c>
      <c r="W48" s="66">
        <v>1</v>
      </c>
    </row>
    <row r="49" spans="14:23">
      <c r="N49" s="16" t="s">
        <v>861</v>
      </c>
      <c r="O49" s="16" t="s">
        <v>861</v>
      </c>
      <c r="V49" s="99" t="s">
        <v>859</v>
      </c>
      <c r="W49" s="66">
        <v>1</v>
      </c>
    </row>
    <row r="50" spans="14:23">
      <c r="N50" s="16" t="s">
        <v>983</v>
      </c>
      <c r="O50" s="16" t="s">
        <v>862</v>
      </c>
      <c r="V50" s="99" t="s">
        <v>860</v>
      </c>
      <c r="W50" s="66">
        <v>1</v>
      </c>
    </row>
    <row r="51" spans="14:23">
      <c r="N51" s="16" t="s">
        <v>75</v>
      </c>
      <c r="O51" s="16" t="s">
        <v>75</v>
      </c>
      <c r="V51" t="s">
        <v>562</v>
      </c>
      <c r="W51" s="66">
        <v>1</v>
      </c>
    </row>
    <row r="52" spans="14:23">
      <c r="N52" s="16" t="s">
        <v>923</v>
      </c>
      <c r="O52" s="16" t="s">
        <v>923</v>
      </c>
      <c r="V52" t="s">
        <v>562</v>
      </c>
      <c r="W52" s="66">
        <v>1</v>
      </c>
    </row>
    <row r="53" spans="14:23">
      <c r="N53" s="16" t="s">
        <v>1001</v>
      </c>
      <c r="O53" s="16" t="s">
        <v>1001</v>
      </c>
      <c r="V53" t="s">
        <v>538</v>
      </c>
      <c r="W53" s="66">
        <v>1</v>
      </c>
    </row>
    <row r="54" spans="14:23">
      <c r="N54" s="16" t="s">
        <v>1097</v>
      </c>
      <c r="O54" s="16" t="s">
        <v>1097</v>
      </c>
      <c r="V54" t="s">
        <v>538</v>
      </c>
      <c r="W54" s="66">
        <v>1</v>
      </c>
    </row>
    <row r="55" spans="14:23">
      <c r="N55" s="16" t="s">
        <v>1229</v>
      </c>
      <c r="O55" s="16" t="s">
        <v>1326</v>
      </c>
      <c r="V55" t="s">
        <v>538</v>
      </c>
      <c r="W55" s="66">
        <v>1</v>
      </c>
    </row>
    <row r="56" spans="14:23">
      <c r="N56" s="16" t="s">
        <v>1230</v>
      </c>
      <c r="O56" s="16" t="s">
        <v>1230</v>
      </c>
      <c r="V56" t="s">
        <v>524</v>
      </c>
      <c r="W56" s="66">
        <v>1</v>
      </c>
    </row>
    <row r="57" spans="14:23">
      <c r="N57" s="16" t="s">
        <v>1231</v>
      </c>
      <c r="O57" s="16" t="s">
        <v>1231</v>
      </c>
      <c r="V57" t="s">
        <v>524</v>
      </c>
      <c r="W57" s="66">
        <v>1</v>
      </c>
    </row>
    <row r="58" spans="14:23">
      <c r="N58" s="16" t="s">
        <v>1232</v>
      </c>
      <c r="O58" s="16" t="s">
        <v>1232</v>
      </c>
      <c r="V58" t="s">
        <v>524</v>
      </c>
      <c r="W58" s="66">
        <v>1</v>
      </c>
    </row>
    <row r="59" spans="14:23">
      <c r="N59" s="16" t="s">
        <v>1233</v>
      </c>
      <c r="O59" s="16" t="s">
        <v>1233</v>
      </c>
      <c r="V59" t="s">
        <v>524</v>
      </c>
      <c r="W59" s="66">
        <v>1</v>
      </c>
    </row>
    <row r="60" spans="14:23">
      <c r="N60" s="16" t="s">
        <v>1234</v>
      </c>
      <c r="O60" s="16" t="s">
        <v>1234</v>
      </c>
      <c r="V60" t="s">
        <v>524</v>
      </c>
      <c r="W60" s="66">
        <v>1</v>
      </c>
    </row>
    <row r="61" spans="14:23">
      <c r="N61" s="16" t="s">
        <v>1235</v>
      </c>
      <c r="O61" s="16" t="s">
        <v>1235</v>
      </c>
      <c r="V61" t="s">
        <v>524</v>
      </c>
      <c r="W61" s="66">
        <v>1</v>
      </c>
    </row>
    <row r="62" spans="14:23">
      <c r="N62" s="16" t="s">
        <v>1236</v>
      </c>
      <c r="O62" s="16" t="s">
        <v>1236</v>
      </c>
      <c r="V62" t="s">
        <v>524</v>
      </c>
      <c r="W62" s="66">
        <v>1</v>
      </c>
    </row>
    <row r="63" spans="14:23">
      <c r="N63" s="16" t="s">
        <v>1237</v>
      </c>
      <c r="O63" s="16" t="s">
        <v>1237</v>
      </c>
      <c r="V63" t="s">
        <v>524</v>
      </c>
      <c r="W63" s="66">
        <v>1</v>
      </c>
    </row>
    <row r="64" spans="14:23">
      <c r="N64" s="16" t="s">
        <v>1238</v>
      </c>
      <c r="O64" s="16" t="s">
        <v>1238</v>
      </c>
      <c r="V64" t="s">
        <v>524</v>
      </c>
      <c r="W64" s="66">
        <v>1</v>
      </c>
    </row>
    <row r="65" spans="14:23">
      <c r="N65" s="16" t="s">
        <v>1239</v>
      </c>
      <c r="O65" s="16" t="s">
        <v>1239</v>
      </c>
      <c r="V65" t="s">
        <v>524</v>
      </c>
      <c r="W65" s="66">
        <v>1</v>
      </c>
    </row>
    <row r="66" spans="14:23">
      <c r="N66" s="16" t="s">
        <v>1240</v>
      </c>
      <c r="O66" s="16" t="s">
        <v>1240</v>
      </c>
      <c r="V66" t="s">
        <v>524</v>
      </c>
      <c r="W66" s="66">
        <v>1</v>
      </c>
    </row>
    <row r="67" spans="14:23">
      <c r="N67" s="16" t="s">
        <v>1289</v>
      </c>
      <c r="O67" s="16" t="s">
        <v>1289</v>
      </c>
      <c r="V67" t="s">
        <v>524</v>
      </c>
      <c r="W67" s="66">
        <v>1</v>
      </c>
    </row>
    <row r="68" spans="14:23">
      <c r="N68" s="16"/>
      <c r="O68" s="16"/>
      <c r="V68" t="s">
        <v>512</v>
      </c>
      <c r="W68" s="66">
        <v>1</v>
      </c>
    </row>
    <row r="69" spans="14:23">
      <c r="N69" s="16"/>
      <c r="O69" s="16"/>
      <c r="V69" t="s">
        <v>512</v>
      </c>
      <c r="W69" s="66">
        <v>1</v>
      </c>
    </row>
    <row r="70" spans="14:23">
      <c r="N70" s="16"/>
      <c r="O70" s="16"/>
      <c r="V70" t="s">
        <v>512</v>
      </c>
      <c r="W70" s="66">
        <v>1</v>
      </c>
    </row>
    <row r="71" spans="14:23">
      <c r="N71" s="16"/>
      <c r="O71" s="16"/>
      <c r="V71" t="s">
        <v>512</v>
      </c>
      <c r="W71" s="66">
        <v>1</v>
      </c>
    </row>
    <row r="72" spans="14:23">
      <c r="N72" s="16"/>
      <c r="O72" s="16"/>
      <c r="V72" t="s">
        <v>512</v>
      </c>
      <c r="W72" s="66">
        <v>1</v>
      </c>
    </row>
    <row r="73" spans="14:23">
      <c r="N73" s="16"/>
      <c r="O73" s="16"/>
      <c r="V73" t="s">
        <v>512</v>
      </c>
      <c r="W73" s="66">
        <v>1</v>
      </c>
    </row>
    <row r="74" spans="14:23">
      <c r="N74" s="16"/>
      <c r="O74" s="16"/>
      <c r="V74" t="s">
        <v>512</v>
      </c>
      <c r="W74" s="66">
        <v>1</v>
      </c>
    </row>
    <row r="75" spans="14:23">
      <c r="N75" s="16"/>
      <c r="O75" s="16"/>
      <c r="V75" t="s">
        <v>512</v>
      </c>
      <c r="W75" s="66">
        <v>1</v>
      </c>
    </row>
    <row r="76" spans="14:23">
      <c r="N76" s="16"/>
      <c r="O76" s="16"/>
      <c r="V76" t="s">
        <v>512</v>
      </c>
      <c r="W76" s="66">
        <v>1</v>
      </c>
    </row>
    <row r="77" spans="14:23">
      <c r="N77" s="16"/>
      <c r="O77" s="16"/>
      <c r="V77" t="s">
        <v>512</v>
      </c>
      <c r="W77" s="66">
        <v>1</v>
      </c>
    </row>
    <row r="78" spans="14:23">
      <c r="N78" s="16"/>
      <c r="O78" s="16"/>
      <c r="V78" t="s">
        <v>512</v>
      </c>
      <c r="W78" s="66">
        <v>1</v>
      </c>
    </row>
    <row r="79" spans="14:23">
      <c r="N79" s="16"/>
      <c r="O79" s="16"/>
      <c r="V79" t="s">
        <v>512</v>
      </c>
      <c r="W79" s="66">
        <v>1</v>
      </c>
    </row>
    <row r="80" spans="14:23">
      <c r="N80" s="16"/>
      <c r="O80" s="16"/>
      <c r="V80" t="s">
        <v>512</v>
      </c>
      <c r="W80" s="66">
        <v>1</v>
      </c>
    </row>
    <row r="81" spans="14:23">
      <c r="N81" s="16"/>
      <c r="O81" s="16"/>
      <c r="V81" t="s">
        <v>512</v>
      </c>
      <c r="W81" s="66">
        <v>1</v>
      </c>
    </row>
    <row r="82" spans="14:23">
      <c r="N82" s="16"/>
      <c r="O82" s="16"/>
      <c r="V82" t="s">
        <v>512</v>
      </c>
      <c r="W82" s="66">
        <v>1</v>
      </c>
    </row>
    <row r="83" spans="14:23">
      <c r="N83" s="16"/>
      <c r="O83" s="16"/>
      <c r="V83" t="s">
        <v>512</v>
      </c>
      <c r="W83" s="66">
        <v>1</v>
      </c>
    </row>
    <row r="84" spans="14:23">
      <c r="N84" s="16"/>
      <c r="O84" s="16"/>
      <c r="V84" t="s">
        <v>512</v>
      </c>
      <c r="W84" s="66">
        <v>1</v>
      </c>
    </row>
    <row r="85" spans="14:23">
      <c r="N85" s="16"/>
      <c r="O85" s="16"/>
      <c r="V85" t="s">
        <v>512</v>
      </c>
      <c r="W85" s="66">
        <v>1</v>
      </c>
    </row>
    <row r="86" spans="14:23">
      <c r="N86" s="16"/>
      <c r="O86" s="16"/>
      <c r="V86" t="s">
        <v>512</v>
      </c>
      <c r="W86" s="66">
        <v>1</v>
      </c>
    </row>
    <row r="87" spans="14:23">
      <c r="N87" s="16"/>
      <c r="O87" s="16"/>
      <c r="V87" t="s">
        <v>512</v>
      </c>
      <c r="W87" s="66">
        <v>1</v>
      </c>
    </row>
    <row r="88" spans="14:23">
      <c r="N88" s="16"/>
      <c r="O88" s="16"/>
      <c r="V88" t="s">
        <v>512</v>
      </c>
      <c r="W88" s="66">
        <v>1</v>
      </c>
    </row>
    <row r="89" spans="14:23">
      <c r="N89" s="16"/>
      <c r="O89" s="16"/>
      <c r="V89" t="s">
        <v>512</v>
      </c>
      <c r="W89" s="66">
        <v>1</v>
      </c>
    </row>
    <row r="90" spans="14:23">
      <c r="N90" s="16"/>
      <c r="O90" s="16"/>
      <c r="V90" t="s">
        <v>512</v>
      </c>
      <c r="W90" s="66">
        <v>1</v>
      </c>
    </row>
    <row r="91" spans="14:23">
      <c r="N91" s="16"/>
      <c r="O91" s="16"/>
      <c r="V91" t="s">
        <v>512</v>
      </c>
      <c r="W91" s="66">
        <v>1</v>
      </c>
    </row>
    <row r="92" spans="14:23">
      <c r="N92" s="16"/>
      <c r="O92" s="16"/>
      <c r="V92" t="s">
        <v>512</v>
      </c>
      <c r="W92" s="66">
        <v>1</v>
      </c>
    </row>
    <row r="93" spans="14:23">
      <c r="N93" s="16"/>
      <c r="O93" s="16"/>
      <c r="V93" t="s">
        <v>512</v>
      </c>
      <c r="W93" s="66">
        <v>1</v>
      </c>
    </row>
    <row r="94" spans="14:23">
      <c r="N94" s="16"/>
      <c r="O94" s="16"/>
      <c r="V94" t="s">
        <v>512</v>
      </c>
      <c r="W94" s="66">
        <v>1</v>
      </c>
    </row>
    <row r="95" spans="14:23">
      <c r="N95" s="16"/>
      <c r="O95" s="16"/>
      <c r="V95" t="s">
        <v>512</v>
      </c>
      <c r="W95" s="66">
        <v>1</v>
      </c>
    </row>
    <row r="96" spans="14:23">
      <c r="N96" s="16"/>
      <c r="O96" s="16"/>
      <c r="V96" t="s">
        <v>512</v>
      </c>
      <c r="W96" s="66">
        <v>1</v>
      </c>
    </row>
    <row r="97" spans="14:23">
      <c r="N97" s="16"/>
      <c r="O97" s="16"/>
      <c r="V97" t="s">
        <v>512</v>
      </c>
      <c r="W97" s="66">
        <v>1</v>
      </c>
    </row>
    <row r="98" spans="14:23">
      <c r="N98" s="16"/>
      <c r="O98" s="16"/>
      <c r="V98" t="s">
        <v>512</v>
      </c>
      <c r="W98" s="66">
        <v>1</v>
      </c>
    </row>
    <row r="99" spans="14:23">
      <c r="N99" s="16"/>
      <c r="O99" s="16"/>
      <c r="V99" t="s">
        <v>480</v>
      </c>
      <c r="W99" s="66">
        <v>1</v>
      </c>
    </row>
    <row r="100" spans="14:23">
      <c r="V100" t="s">
        <v>480</v>
      </c>
      <c r="W100" s="66">
        <v>1</v>
      </c>
    </row>
    <row r="101" spans="14:23">
      <c r="V101" t="s">
        <v>480</v>
      </c>
      <c r="W101" s="66">
        <v>1</v>
      </c>
    </row>
    <row r="102" spans="14:23">
      <c r="V102" t="s">
        <v>480</v>
      </c>
      <c r="W102" s="66">
        <v>1</v>
      </c>
    </row>
    <row r="103" spans="14:23">
      <c r="V103" t="s">
        <v>480</v>
      </c>
      <c r="W103" s="66">
        <v>1</v>
      </c>
    </row>
    <row r="104" spans="14:23">
      <c r="V104" t="s">
        <v>480</v>
      </c>
      <c r="W104" s="66">
        <v>1</v>
      </c>
    </row>
    <row r="105" spans="14:23">
      <c r="V105" t="s">
        <v>515</v>
      </c>
      <c r="W105" s="66">
        <v>1</v>
      </c>
    </row>
    <row r="106" spans="14:23">
      <c r="V106" t="s">
        <v>515</v>
      </c>
      <c r="W106" s="66">
        <v>1</v>
      </c>
    </row>
    <row r="107" spans="14:23">
      <c r="V107" t="s">
        <v>515</v>
      </c>
      <c r="W107" s="66">
        <v>1</v>
      </c>
    </row>
    <row r="108" spans="14:23">
      <c r="V108" t="s">
        <v>515</v>
      </c>
      <c r="W108" s="66">
        <v>1</v>
      </c>
    </row>
    <row r="109" spans="14:23">
      <c r="V109" t="s">
        <v>515</v>
      </c>
      <c r="W109" s="66">
        <v>1</v>
      </c>
    </row>
    <row r="110" spans="14:23">
      <c r="V110" t="s">
        <v>515</v>
      </c>
      <c r="W110" s="66">
        <v>1</v>
      </c>
    </row>
    <row r="111" spans="14:23">
      <c r="V111" t="s">
        <v>515</v>
      </c>
      <c r="W111" s="66">
        <v>1</v>
      </c>
    </row>
    <row r="112" spans="14:23">
      <c r="V112" t="s">
        <v>515</v>
      </c>
      <c r="W112" s="66">
        <v>1</v>
      </c>
    </row>
    <row r="113" spans="22:23">
      <c r="V113" t="s">
        <v>515</v>
      </c>
      <c r="W113" s="66">
        <v>1</v>
      </c>
    </row>
    <row r="114" spans="22:23">
      <c r="V114" t="s">
        <v>515</v>
      </c>
      <c r="W114" s="66">
        <v>1</v>
      </c>
    </row>
    <row r="115" spans="22:23">
      <c r="V115" t="s">
        <v>515</v>
      </c>
      <c r="W115" s="66">
        <v>1</v>
      </c>
    </row>
    <row r="116" spans="22:23">
      <c r="V116" t="s">
        <v>515</v>
      </c>
      <c r="W116" s="66">
        <v>1</v>
      </c>
    </row>
    <row r="117" spans="22:23">
      <c r="V117" t="s">
        <v>515</v>
      </c>
      <c r="W117" s="66">
        <v>1</v>
      </c>
    </row>
    <row r="118" spans="22:23">
      <c r="V118" t="s">
        <v>515</v>
      </c>
      <c r="W118" s="66">
        <v>1</v>
      </c>
    </row>
    <row r="119" spans="22:23">
      <c r="V119" t="s">
        <v>515</v>
      </c>
      <c r="W119" s="66">
        <v>1</v>
      </c>
    </row>
    <row r="120" spans="22:23">
      <c r="V120" t="s">
        <v>515</v>
      </c>
      <c r="W120" s="66">
        <v>1</v>
      </c>
    </row>
    <row r="121" spans="22:23">
      <c r="V121" t="s">
        <v>515</v>
      </c>
      <c r="W121" s="66">
        <v>1</v>
      </c>
    </row>
    <row r="122" spans="22:23">
      <c r="V122" t="s">
        <v>515</v>
      </c>
      <c r="W122" s="66">
        <v>1</v>
      </c>
    </row>
    <row r="123" spans="22:23">
      <c r="V123" t="s">
        <v>515</v>
      </c>
      <c r="W123" s="66">
        <v>1</v>
      </c>
    </row>
    <row r="124" spans="22:23">
      <c r="V124" t="s">
        <v>515</v>
      </c>
      <c r="W124" s="66">
        <v>1</v>
      </c>
    </row>
    <row r="125" spans="22:23">
      <c r="V125" t="s">
        <v>515</v>
      </c>
      <c r="W125" s="66">
        <v>1</v>
      </c>
    </row>
    <row r="126" spans="22:23">
      <c r="V126" t="s">
        <v>515</v>
      </c>
      <c r="W126" s="66">
        <v>1</v>
      </c>
    </row>
    <row r="127" spans="22:23">
      <c r="V127" t="s">
        <v>515</v>
      </c>
      <c r="W127" s="66">
        <v>1</v>
      </c>
    </row>
    <row r="128" spans="22:23">
      <c r="V128" t="s">
        <v>515</v>
      </c>
      <c r="W128" s="66">
        <v>1</v>
      </c>
    </row>
    <row r="129" spans="22:23">
      <c r="V129" t="s">
        <v>525</v>
      </c>
      <c r="W129" s="66">
        <v>1</v>
      </c>
    </row>
    <row r="130" spans="22:23">
      <c r="V130" t="s">
        <v>525</v>
      </c>
      <c r="W130" s="66">
        <v>1</v>
      </c>
    </row>
    <row r="131" spans="22:23">
      <c r="V131" t="s">
        <v>525</v>
      </c>
      <c r="W131" s="66">
        <v>1</v>
      </c>
    </row>
    <row r="132" spans="22:23">
      <c r="V132" t="s">
        <v>525</v>
      </c>
      <c r="W132" s="66">
        <v>1</v>
      </c>
    </row>
    <row r="133" spans="22:23">
      <c r="V133" t="s">
        <v>548</v>
      </c>
      <c r="W133" s="66">
        <v>1</v>
      </c>
    </row>
    <row r="134" spans="22:23">
      <c r="V134" t="s">
        <v>548</v>
      </c>
      <c r="W134" s="66">
        <v>1</v>
      </c>
    </row>
    <row r="135" spans="22:23">
      <c r="V135" t="s">
        <v>548</v>
      </c>
      <c r="W135" s="66">
        <v>1</v>
      </c>
    </row>
    <row r="136" spans="22:23">
      <c r="V136" t="s">
        <v>534</v>
      </c>
      <c r="W136" s="66">
        <v>1</v>
      </c>
    </row>
    <row r="137" spans="22:23">
      <c r="V137" t="s">
        <v>534</v>
      </c>
      <c r="W137" s="66">
        <v>1</v>
      </c>
    </row>
    <row r="138" spans="22:23">
      <c r="V138" t="s">
        <v>534</v>
      </c>
      <c r="W138" s="66">
        <v>1</v>
      </c>
    </row>
    <row r="139" spans="22:23">
      <c r="V139" t="s">
        <v>534</v>
      </c>
      <c r="W139" s="66">
        <v>1</v>
      </c>
    </row>
    <row r="140" spans="22:23">
      <c r="V140" t="s">
        <v>534</v>
      </c>
      <c r="W140" s="66">
        <v>1</v>
      </c>
    </row>
    <row r="141" spans="22:23">
      <c r="V141" t="s">
        <v>534</v>
      </c>
      <c r="W141" s="66">
        <v>1</v>
      </c>
    </row>
    <row r="142" spans="22:23">
      <c r="V142" t="s">
        <v>534</v>
      </c>
      <c r="W142" s="66">
        <v>1</v>
      </c>
    </row>
    <row r="143" spans="22:23">
      <c r="V143" t="s">
        <v>534</v>
      </c>
      <c r="W143" s="66">
        <v>1</v>
      </c>
    </row>
    <row r="144" spans="22:23">
      <c r="V144" t="s">
        <v>534</v>
      </c>
      <c r="W144" s="66">
        <v>1</v>
      </c>
    </row>
    <row r="145" spans="22:23">
      <c r="V145" t="s">
        <v>76</v>
      </c>
      <c r="W145" s="66">
        <v>1</v>
      </c>
    </row>
    <row r="146" spans="22:23">
      <c r="V146" t="s">
        <v>76</v>
      </c>
      <c r="W146" s="66">
        <v>1</v>
      </c>
    </row>
    <row r="147" spans="22:23">
      <c r="V147" t="s">
        <v>76</v>
      </c>
      <c r="W147" s="66">
        <v>1</v>
      </c>
    </row>
    <row r="148" spans="22:23">
      <c r="V148" t="s">
        <v>76</v>
      </c>
      <c r="W148" s="66">
        <v>1</v>
      </c>
    </row>
    <row r="149" spans="22:23">
      <c r="V149" t="s">
        <v>76</v>
      </c>
      <c r="W149" s="66">
        <v>1</v>
      </c>
    </row>
    <row r="150" spans="22:23">
      <c r="V150" t="s">
        <v>76</v>
      </c>
      <c r="W150" s="66">
        <v>1</v>
      </c>
    </row>
    <row r="151" spans="22:23">
      <c r="V151" t="s">
        <v>76</v>
      </c>
      <c r="W151" s="66">
        <v>1</v>
      </c>
    </row>
    <row r="152" spans="22:23">
      <c r="V152" t="s">
        <v>76</v>
      </c>
      <c r="W152" s="66">
        <v>1</v>
      </c>
    </row>
    <row r="153" spans="22:23">
      <c r="V153" t="s">
        <v>76</v>
      </c>
      <c r="W153" s="66">
        <v>1</v>
      </c>
    </row>
    <row r="154" spans="22:23">
      <c r="V154" t="s">
        <v>76</v>
      </c>
      <c r="W154" s="66">
        <v>1</v>
      </c>
    </row>
    <row r="155" spans="22:23">
      <c r="V155" t="s">
        <v>76</v>
      </c>
      <c r="W155" s="66">
        <v>1</v>
      </c>
    </row>
    <row r="156" spans="22:23">
      <c r="V156" t="s">
        <v>76</v>
      </c>
      <c r="W156" s="66">
        <v>1</v>
      </c>
    </row>
    <row r="157" spans="22:23">
      <c r="V157" t="s">
        <v>76</v>
      </c>
      <c r="W157" s="66">
        <v>1</v>
      </c>
    </row>
    <row r="158" spans="22:23">
      <c r="V158" t="s">
        <v>76</v>
      </c>
      <c r="W158" s="66">
        <v>1</v>
      </c>
    </row>
    <row r="159" spans="22:23">
      <c r="V159" t="s">
        <v>76</v>
      </c>
      <c r="W159" s="66">
        <v>1</v>
      </c>
    </row>
    <row r="160" spans="22:23">
      <c r="V160" t="s">
        <v>76</v>
      </c>
      <c r="W160" s="66">
        <v>1</v>
      </c>
    </row>
    <row r="161" spans="22:23">
      <c r="V161" t="s">
        <v>76</v>
      </c>
      <c r="W161" s="66">
        <v>1</v>
      </c>
    </row>
    <row r="162" spans="22:23">
      <c r="V162" t="s">
        <v>76</v>
      </c>
      <c r="W162" s="66">
        <v>1</v>
      </c>
    </row>
    <row r="163" spans="22:23">
      <c r="V163" t="s">
        <v>453</v>
      </c>
      <c r="W163" s="66">
        <v>1</v>
      </c>
    </row>
    <row r="164" spans="22:23">
      <c r="V164" t="s">
        <v>453</v>
      </c>
      <c r="W164" s="66">
        <v>1</v>
      </c>
    </row>
    <row r="165" spans="22:23">
      <c r="V165" t="s">
        <v>453</v>
      </c>
      <c r="W165" s="66">
        <v>1</v>
      </c>
    </row>
    <row r="166" spans="22:23">
      <c r="V166" t="s">
        <v>453</v>
      </c>
      <c r="W166" s="66">
        <v>1</v>
      </c>
    </row>
    <row r="167" spans="22:23">
      <c r="V167" t="s">
        <v>453</v>
      </c>
      <c r="W167" s="66">
        <v>1</v>
      </c>
    </row>
    <row r="168" spans="22:23">
      <c r="V168" t="s">
        <v>453</v>
      </c>
      <c r="W168" s="66">
        <v>1</v>
      </c>
    </row>
    <row r="169" spans="22:23">
      <c r="V169" t="s">
        <v>453</v>
      </c>
      <c r="W169" s="66">
        <v>1</v>
      </c>
    </row>
    <row r="170" spans="22:23">
      <c r="V170" t="s">
        <v>453</v>
      </c>
      <c r="W170" s="66">
        <v>1</v>
      </c>
    </row>
    <row r="171" spans="22:23">
      <c r="V171" t="s">
        <v>453</v>
      </c>
      <c r="W171" s="66">
        <v>1</v>
      </c>
    </row>
    <row r="172" spans="22:23">
      <c r="V172" t="s">
        <v>453</v>
      </c>
      <c r="W172" s="66">
        <v>1</v>
      </c>
    </row>
    <row r="173" spans="22:23">
      <c r="V173" t="s">
        <v>453</v>
      </c>
      <c r="W173" s="66">
        <v>1</v>
      </c>
    </row>
    <row r="174" spans="22:23">
      <c r="V174" t="s">
        <v>453</v>
      </c>
      <c r="W174" s="66">
        <v>1</v>
      </c>
    </row>
    <row r="175" spans="22:23">
      <c r="V175" t="s">
        <v>453</v>
      </c>
      <c r="W175" s="66">
        <v>1</v>
      </c>
    </row>
    <row r="176" spans="22:23">
      <c r="V176" t="s">
        <v>453</v>
      </c>
      <c r="W176" s="66">
        <v>1</v>
      </c>
    </row>
    <row r="177" spans="22:23">
      <c r="V177" t="s">
        <v>453</v>
      </c>
      <c r="W177" s="66">
        <v>1</v>
      </c>
    </row>
    <row r="178" spans="22:23">
      <c r="V178" t="s">
        <v>453</v>
      </c>
      <c r="W178" s="66">
        <v>1</v>
      </c>
    </row>
    <row r="179" spans="22:23">
      <c r="V179" t="s">
        <v>453</v>
      </c>
      <c r="W179" s="66">
        <v>1</v>
      </c>
    </row>
    <row r="180" spans="22:23">
      <c r="V180" t="s">
        <v>453</v>
      </c>
      <c r="W180" s="66">
        <v>1</v>
      </c>
    </row>
    <row r="181" spans="22:23">
      <c r="V181" t="s">
        <v>453</v>
      </c>
      <c r="W181" s="66">
        <v>1</v>
      </c>
    </row>
    <row r="182" spans="22:23">
      <c r="V182" t="s">
        <v>453</v>
      </c>
      <c r="W182" s="66">
        <v>1</v>
      </c>
    </row>
    <row r="183" spans="22:23">
      <c r="V183" t="s">
        <v>453</v>
      </c>
      <c r="W183" s="66">
        <v>1</v>
      </c>
    </row>
    <row r="184" spans="22:23">
      <c r="V184" t="s">
        <v>453</v>
      </c>
      <c r="W184" s="66">
        <v>1</v>
      </c>
    </row>
    <row r="185" spans="22:23">
      <c r="V185" t="s">
        <v>453</v>
      </c>
      <c r="W185" s="66">
        <v>1</v>
      </c>
    </row>
    <row r="186" spans="22:23">
      <c r="V186" t="s">
        <v>453</v>
      </c>
      <c r="W186" s="66">
        <v>1</v>
      </c>
    </row>
    <row r="187" spans="22:23">
      <c r="V187" t="s">
        <v>453</v>
      </c>
      <c r="W187" s="66">
        <v>1</v>
      </c>
    </row>
    <row r="188" spans="22:23">
      <c r="V188" t="s">
        <v>453</v>
      </c>
      <c r="W188" s="66">
        <v>1</v>
      </c>
    </row>
    <row r="189" spans="22:23">
      <c r="V189" t="s">
        <v>453</v>
      </c>
      <c r="W189" s="66">
        <v>1</v>
      </c>
    </row>
    <row r="190" spans="22:23">
      <c r="V190" t="s">
        <v>453</v>
      </c>
      <c r="W190" s="66">
        <v>1</v>
      </c>
    </row>
    <row r="191" spans="22:23">
      <c r="V191" t="s">
        <v>453</v>
      </c>
      <c r="W191" s="66">
        <v>1</v>
      </c>
    </row>
    <row r="192" spans="22:23">
      <c r="V192" t="s">
        <v>453</v>
      </c>
      <c r="W192" s="66">
        <v>1</v>
      </c>
    </row>
    <row r="193" spans="22:23">
      <c r="V193" t="s">
        <v>453</v>
      </c>
      <c r="W193" s="66">
        <v>1</v>
      </c>
    </row>
    <row r="194" spans="22:23">
      <c r="V194" t="s">
        <v>453</v>
      </c>
      <c r="W194" s="66">
        <v>1</v>
      </c>
    </row>
    <row r="195" spans="22:23">
      <c r="V195" t="s">
        <v>453</v>
      </c>
      <c r="W195" s="66">
        <v>1</v>
      </c>
    </row>
    <row r="196" spans="22:23">
      <c r="V196" t="s">
        <v>453</v>
      </c>
      <c r="W196" s="66">
        <v>1</v>
      </c>
    </row>
    <row r="197" spans="22:23">
      <c r="V197" t="s">
        <v>453</v>
      </c>
      <c r="W197" s="66">
        <v>1</v>
      </c>
    </row>
    <row r="198" spans="22:23">
      <c r="V198" t="s">
        <v>453</v>
      </c>
      <c r="W198" s="66">
        <v>1</v>
      </c>
    </row>
    <row r="199" spans="22:23">
      <c r="V199" t="s">
        <v>453</v>
      </c>
      <c r="W199" s="66">
        <v>1</v>
      </c>
    </row>
    <row r="200" spans="22:23">
      <c r="V200" t="s">
        <v>453</v>
      </c>
      <c r="W200" s="66">
        <v>1</v>
      </c>
    </row>
    <row r="201" spans="22:23">
      <c r="V201" t="s">
        <v>453</v>
      </c>
      <c r="W201" s="66">
        <v>1</v>
      </c>
    </row>
    <row r="202" spans="22:23">
      <c r="V202" t="s">
        <v>453</v>
      </c>
      <c r="W202" s="66">
        <v>1</v>
      </c>
    </row>
    <row r="203" spans="22:23">
      <c r="V203" t="s">
        <v>453</v>
      </c>
      <c r="W203" s="66">
        <v>1</v>
      </c>
    </row>
    <row r="204" spans="22:23">
      <c r="V204" t="s">
        <v>96</v>
      </c>
      <c r="W204" s="66">
        <v>1</v>
      </c>
    </row>
  </sheetData>
  <sortState ref="V9:W205">
    <sortCondition ref="W9:W205"/>
  </sortState>
  <dataConsolidate/>
  <customSheetViews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  <mergeCell ref="D10:L10"/>
    <mergeCell ref="J20:L20"/>
    <mergeCell ref="J15:L15"/>
    <mergeCell ref="J16:L16"/>
    <mergeCell ref="J17:L17"/>
    <mergeCell ref="J18:L18"/>
    <mergeCell ref="J19:L19"/>
    <mergeCell ref="I11:L11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BA1048576"/>
  <sheetViews>
    <sheetView showGridLines="0" topLeftCell="B1" zoomScale="80" zoomScaleNormal="80" zoomScaleSheetLayoutView="100" workbookViewId="0">
      <pane xSplit="7" ySplit="6" topLeftCell="I49" activePane="bottomRight" state="frozen"/>
      <selection activeCell="B1" sqref="B1"/>
      <selection pane="topRight" activeCell="I1" sqref="I1"/>
      <selection pane="bottomLeft" activeCell="B7" sqref="B7"/>
      <selection pane="bottomRight" activeCell="F73" sqref="F73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6.85546875" bestFit="1" customWidth="1"/>
    <col min="17" max="17" width="12.7109375" bestFit="1" customWidth="1"/>
    <col min="19" max="19" width="4" bestFit="1" customWidth="1"/>
    <col min="22" max="22" width="16" bestFit="1" customWidth="1"/>
    <col min="25" max="26" width="11.42578125" style="85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8"/>
      <c r="G1" s="48"/>
      <c r="H1" s="48"/>
      <c r="I1" s="48"/>
      <c r="J1" s="48"/>
      <c r="K1" s="48"/>
      <c r="L1" s="53"/>
      <c r="M1" s="50"/>
      <c r="N1" s="51"/>
      <c r="O1" s="52"/>
      <c r="AZ1">
        <v>6</v>
      </c>
      <c r="BA1">
        <v>59</v>
      </c>
    </row>
    <row r="2" spans="1:53" ht="24.95" customHeight="1">
      <c r="F2" s="64" t="s">
        <v>415</v>
      </c>
      <c r="G2" s="64"/>
      <c r="H2" s="64"/>
      <c r="I2" s="323"/>
      <c r="J2" s="64"/>
      <c r="K2" s="64"/>
      <c r="L2" s="64"/>
      <c r="M2" s="64"/>
      <c r="N2" s="64"/>
      <c r="O2" s="64"/>
    </row>
    <row r="3" spans="1:53" ht="25.15" customHeight="1">
      <c r="F3" s="6"/>
      <c r="G3" s="6"/>
      <c r="H3" s="32"/>
      <c r="I3" s="32"/>
      <c r="K3" s="1"/>
      <c r="L3" s="2"/>
      <c r="M3" s="5"/>
      <c r="N3" s="5"/>
      <c r="O3" s="5"/>
      <c r="T3">
        <v>181.25</v>
      </c>
    </row>
    <row r="4" spans="1:53" ht="21.75" customHeight="1">
      <c r="F4" s="27" t="s">
        <v>457</v>
      </c>
      <c r="G4" s="205">
        <v>44774</v>
      </c>
      <c r="I4" s="269"/>
      <c r="K4" s="259" t="s">
        <v>1023</v>
      </c>
      <c r="L4" s="258">
        <f>L251</f>
        <v>5243.6200000000008</v>
      </c>
      <c r="M4" s="264"/>
      <c r="N4" s="4"/>
      <c r="O4" s="4"/>
      <c r="Q4" s="219"/>
      <c r="R4" s="67"/>
      <c r="T4" s="67"/>
    </row>
    <row r="5" spans="1:53">
      <c r="B5" s="86"/>
      <c r="F5" s="85"/>
      <c r="G5" s="85"/>
      <c r="H5" s="327"/>
      <c r="I5" t="s">
        <v>1760</v>
      </c>
      <c r="L5" s="88"/>
      <c r="P5" s="68">
        <f>250-COUNTBLANK(F7:F250)</f>
        <v>73</v>
      </c>
    </row>
    <row r="6" spans="1:53" s="30" customFormat="1" ht="30">
      <c r="B6" s="31" t="s">
        <v>414</v>
      </c>
      <c r="C6" s="31" t="s">
        <v>419</v>
      </c>
      <c r="F6" s="31" t="s">
        <v>454</v>
      </c>
      <c r="G6" s="31" t="s">
        <v>455</v>
      </c>
      <c r="H6" s="31" t="s">
        <v>452</v>
      </c>
      <c r="I6" s="31" t="s">
        <v>456</v>
      </c>
      <c r="J6" s="31" t="s">
        <v>446</v>
      </c>
      <c r="K6" s="31" t="s">
        <v>912</v>
      </c>
      <c r="L6" s="31" t="s">
        <v>919</v>
      </c>
      <c r="M6" s="31" t="s">
        <v>721</v>
      </c>
      <c r="N6" s="31" t="s">
        <v>920</v>
      </c>
      <c r="O6" s="31" t="s">
        <v>921</v>
      </c>
      <c r="P6" s="71"/>
      <c r="R6" s="206" t="s">
        <v>421</v>
      </c>
      <c r="U6" s="206" t="s">
        <v>936</v>
      </c>
      <c r="V6" s="206" t="s">
        <v>937</v>
      </c>
      <c r="Y6" s="218" t="s">
        <v>414</v>
      </c>
      <c r="Z6" s="218" t="s">
        <v>419</v>
      </c>
      <c r="AA6" s="218" t="s">
        <v>454</v>
      </c>
      <c r="AB6" s="218" t="s">
        <v>455</v>
      </c>
      <c r="AC6" s="218" t="s">
        <v>452</v>
      </c>
      <c r="AD6" s="218" t="s">
        <v>456</v>
      </c>
      <c r="AE6" s="218" t="s">
        <v>446</v>
      </c>
      <c r="AF6" s="218" t="s">
        <v>912</v>
      </c>
      <c r="AG6" s="218" t="s">
        <v>721</v>
      </c>
    </row>
    <row r="7" spans="1:53">
      <c r="A7" s="18" t="str">
        <f t="shared" ref="A7:A73" si="0">CONCATENATE(E7,F7)</f>
        <v>1`00001877</v>
      </c>
      <c r="B7" s="211" t="s">
        <v>1412</v>
      </c>
      <c r="C7" s="57" t="s">
        <v>946</v>
      </c>
      <c r="D7" s="43">
        <f t="shared" ref="D7:D65" si="1">IF(OR(H7="",AND(H7=H6,G7=G6)),D6,D6+1)</f>
        <v>1</v>
      </c>
      <c r="E7" s="58">
        <f t="shared" ref="E7:E65" si="2">IF(F7="","",IF(OR(F7=0,F7=F6),E6+1,1))</f>
        <v>1</v>
      </c>
      <c r="F7" s="89" t="s">
        <v>1739</v>
      </c>
      <c r="G7" s="184">
        <v>44803</v>
      </c>
      <c r="H7" s="185" t="s">
        <v>1024</v>
      </c>
      <c r="I7" s="185" t="s">
        <v>524</v>
      </c>
      <c r="J7" s="41">
        <v>20</v>
      </c>
      <c r="K7" s="38">
        <v>1.25</v>
      </c>
      <c r="L7" s="199">
        <f t="shared" ref="L7:L53" si="3">ROUND(K7*J7,2)</f>
        <v>25</v>
      </c>
      <c r="M7" s="209">
        <v>7.82</v>
      </c>
      <c r="N7" s="12">
        <f t="shared" ref="N7:N53" si="4">M7*K7</f>
        <v>9.7750000000000004</v>
      </c>
      <c r="O7" s="42">
        <f t="shared" ref="O7:O53" si="5">N7*J7</f>
        <v>195.5</v>
      </c>
      <c r="P7" s="69"/>
      <c r="R7" s="67" t="str">
        <f>IF(H7="","",VLOOKUP(H7,'DATOS CLIENTES'!B:F,5,FALSE))</f>
        <v>CORO</v>
      </c>
      <c r="S7" s="67">
        <f>IF(B7="CHS",S6,IF(D7=D6,S6,IF(S6+1-1&lt;9,CONCATENATE("00",S6+1),IF(S6+1-1&lt;99,CONCATENATE("0",S6+1),S6+1))))</f>
        <v>0</v>
      </c>
      <c r="U7" s="68">
        <f t="shared" ref="U7:U70" si="6">IF(R7="PUNTO FIJO",0,SUMIF($F$7:$F$250,F7,$L$7:$L$250))</f>
        <v>64.400000000000006</v>
      </c>
      <c r="V7" s="68">
        <f t="shared" ref="V7:V70" si="7">IF(R7="PUNTO FIJO",0,SUMIF($F$7:$F$250,F7,$O$7:$O$250))</f>
        <v>503.60800000000006</v>
      </c>
      <c r="X7" s="67">
        <f>IF(Y7="",X6,X6+1)</f>
        <v>1</v>
      </c>
      <c r="Y7" s="67" t="str">
        <f>IF(AND($R7&lt;&gt;"PUNTO FIJO",$R7&lt;&gt;""),B7,"")</f>
        <v>CHS</v>
      </c>
      <c r="Z7" s="67" t="str">
        <f>IF(AND($R7&lt;&gt;"PUNTO FIJO",$R7&lt;&gt;""),C7,"")</f>
        <v>FREDDY R. CH</v>
      </c>
      <c r="AA7" s="67" t="str">
        <f t="shared" ref="AA7:AF7" si="8">IF(AND($R7&lt;&gt;"PUNTO FIJO",$R7&lt;&gt;""),F7,"")</f>
        <v>`00001877</v>
      </c>
      <c r="AB7" s="219">
        <f t="shared" si="8"/>
        <v>44803</v>
      </c>
      <c r="AC7" s="67" t="str">
        <f t="shared" si="8"/>
        <v>FERRETERIA MONTE ALTO F.E., C.A.</v>
      </c>
      <c r="AD7" s="67" t="str">
        <f t="shared" si="8"/>
        <v>CHS - CEMENTO BLANCO - SACO 1 KG</v>
      </c>
      <c r="AE7" s="67">
        <f t="shared" si="8"/>
        <v>20</v>
      </c>
      <c r="AF7" s="67">
        <f t="shared" si="8"/>
        <v>1.25</v>
      </c>
      <c r="AG7" s="67">
        <f>IF(AND($R7&lt;&gt;"PUNTO FIJO",$R7&lt;&gt;""),M7,"")</f>
        <v>7.82</v>
      </c>
      <c r="AK7" s="67">
        <v>1</v>
      </c>
      <c r="AL7" s="67" t="s">
        <v>947</v>
      </c>
    </row>
    <row r="8" spans="1:53">
      <c r="A8" s="18" t="str">
        <f t="shared" si="0"/>
        <v>2`00001877</v>
      </c>
      <c r="B8" s="211" t="s">
        <v>1412</v>
      </c>
      <c r="C8" s="57" t="s">
        <v>946</v>
      </c>
      <c r="D8" s="43">
        <f t="shared" ref="D8" si="9">IF(OR(H8="",AND(H8=H7,G8=G7)),D7,D7+1)</f>
        <v>1</v>
      </c>
      <c r="E8" s="58">
        <f t="shared" ref="E8" si="10">IF(F8="","",IF(OR(F8=0,F8=F7),E7+1,1))</f>
        <v>2</v>
      </c>
      <c r="F8" s="89" t="s">
        <v>1739</v>
      </c>
      <c r="G8" s="184">
        <v>44803</v>
      </c>
      <c r="H8" s="185" t="s">
        <v>1024</v>
      </c>
      <c r="I8" s="185" t="s">
        <v>515</v>
      </c>
      <c r="J8" s="197">
        <v>8</v>
      </c>
      <c r="K8" s="38">
        <v>2.4500000000000002</v>
      </c>
      <c r="L8" s="199">
        <f t="shared" ref="L8" si="11">ROUND(K8*J8,2)</f>
        <v>19.600000000000001</v>
      </c>
      <c r="M8" s="209">
        <v>7.82</v>
      </c>
      <c r="N8" s="12">
        <f t="shared" ref="N8" si="12">M8*K8</f>
        <v>19.159000000000002</v>
      </c>
      <c r="O8" s="42">
        <f t="shared" ref="O8" si="13">N8*J8</f>
        <v>153.27200000000002</v>
      </c>
      <c r="P8" s="69"/>
      <c r="R8" s="67" t="str">
        <f>IF(H8="","",VLOOKUP(H8,'DATOS CLIENTES'!B:F,5,FALSE))</f>
        <v>CORO</v>
      </c>
      <c r="S8" s="67">
        <f t="shared" ref="S8:S72" si="14">IF(B8="CHS",S7,IF(D8=D7,S7,IF(S7+1-1&lt;9,CONCATENATE("00",S7+1),IF(S7+1-1&lt;99,CONCATENATE("0",S7+1),S7+1))))</f>
        <v>0</v>
      </c>
      <c r="U8" s="68">
        <f t="shared" si="6"/>
        <v>64.400000000000006</v>
      </c>
      <c r="V8" s="68">
        <f t="shared" si="7"/>
        <v>503.60800000000006</v>
      </c>
      <c r="X8" s="67">
        <f t="shared" ref="X8:X71" si="15">IF(Y8="",X7,X7+1)</f>
        <v>2</v>
      </c>
      <c r="Y8" s="67" t="str">
        <f t="shared" ref="Y8:Y72" si="16">IF(AND($R8&lt;&gt;"PUNTO FIJO",$R8&lt;&gt;""),B8,"")</f>
        <v>CHS</v>
      </c>
      <c r="Z8" s="67" t="str">
        <f t="shared" ref="Z8:Z72" si="17">IF(AND($R8&lt;&gt;"PUNTO FIJO",$R8&lt;&gt;""),C8,"")</f>
        <v>FREDDY R. CH</v>
      </c>
      <c r="AA8" s="67" t="str">
        <f t="shared" ref="AA8:AA72" si="18">IF(AND($R8&lt;&gt;"PUNTO FIJO",$R8&lt;&gt;""),F8,"")</f>
        <v>`00001877</v>
      </c>
      <c r="AB8" s="219">
        <f t="shared" ref="AB8:AB72" si="19">IF(AND($R8&lt;&gt;"PUNTO FIJO",$R8&lt;&gt;""),G8,"")</f>
        <v>44803</v>
      </c>
      <c r="AC8" s="67" t="str">
        <f t="shared" ref="AC8:AC72" si="20">IF(AND($R8&lt;&gt;"PUNTO FIJO",$R8&lt;&gt;""),H8,"")</f>
        <v>FERRETERIA MONTE ALTO F.E., C.A.</v>
      </c>
      <c r="AD8" s="67" t="str">
        <f t="shared" ref="AD8:AD72" si="21">IF(AND($R8&lt;&gt;"PUNTO FIJO",$R8&lt;&gt;""),I8,"")</f>
        <v>CHS - PASTA EN POLVO PLUS - SACO 3KG</v>
      </c>
      <c r="AE8" s="67">
        <f t="shared" ref="AE8:AE72" si="22">IF(AND($R8&lt;&gt;"PUNTO FIJO",$R8&lt;&gt;""),J8,"")</f>
        <v>8</v>
      </c>
      <c r="AF8" s="67">
        <f t="shared" ref="AF8:AF72" si="23">IF(AND($R8&lt;&gt;"PUNTO FIJO",$R8&lt;&gt;""),K8,"")</f>
        <v>2.4500000000000002</v>
      </c>
      <c r="AG8" s="67">
        <f t="shared" ref="AG8:AG72" si="24">IF(AND($R8&lt;&gt;"PUNTO FIJO",$R8&lt;&gt;""),M8,"")</f>
        <v>7.82</v>
      </c>
      <c r="AK8" s="67">
        <v>2</v>
      </c>
      <c r="AL8" s="67" t="s">
        <v>948</v>
      </c>
    </row>
    <row r="9" spans="1:53">
      <c r="A9" s="18" t="str">
        <f t="shared" si="0"/>
        <v>3`00001877</v>
      </c>
      <c r="B9" s="211" t="s">
        <v>1412</v>
      </c>
      <c r="C9" s="57" t="s">
        <v>946</v>
      </c>
      <c r="D9" s="43">
        <f t="shared" si="1"/>
        <v>1</v>
      </c>
      <c r="E9" s="58">
        <f t="shared" si="2"/>
        <v>3</v>
      </c>
      <c r="F9" s="89" t="s">
        <v>1739</v>
      </c>
      <c r="G9" s="184">
        <v>44803</v>
      </c>
      <c r="H9" s="185" t="s">
        <v>1024</v>
      </c>
      <c r="I9" s="196" t="s">
        <v>75</v>
      </c>
      <c r="J9" s="41">
        <v>10</v>
      </c>
      <c r="K9" s="38">
        <v>1.98</v>
      </c>
      <c r="L9" s="199">
        <f t="shared" si="3"/>
        <v>19.8</v>
      </c>
      <c r="M9" s="209">
        <v>7.82</v>
      </c>
      <c r="N9" s="12">
        <f t="shared" si="4"/>
        <v>15.483600000000001</v>
      </c>
      <c r="O9" s="42">
        <f t="shared" si="5"/>
        <v>154.83600000000001</v>
      </c>
      <c r="P9" s="69"/>
      <c r="R9" s="67" t="str">
        <f>IF(H9="","",VLOOKUP(H9,'DATOS CLIENTES'!B:F,5,FALSE))</f>
        <v>CORO</v>
      </c>
      <c r="S9" s="67">
        <f t="shared" si="14"/>
        <v>0</v>
      </c>
      <c r="U9" s="68">
        <f t="shared" si="6"/>
        <v>64.400000000000006</v>
      </c>
      <c r="V9" s="68">
        <f t="shared" si="7"/>
        <v>503.60800000000006</v>
      </c>
      <c r="X9" s="67">
        <f t="shared" si="15"/>
        <v>3</v>
      </c>
      <c r="Y9" s="67" t="str">
        <f t="shared" si="16"/>
        <v>CHS</v>
      </c>
      <c r="Z9" s="67" t="str">
        <f t="shared" si="17"/>
        <v>FREDDY R. CH</v>
      </c>
      <c r="AA9" s="67" t="str">
        <f t="shared" si="18"/>
        <v>`00001877</v>
      </c>
      <c r="AB9" s="219">
        <f t="shared" si="19"/>
        <v>44803</v>
      </c>
      <c r="AC9" s="67" t="str">
        <f t="shared" si="20"/>
        <v>FERRETERIA MONTE ALTO F.E., C.A.</v>
      </c>
      <c r="AD9" s="67" t="str">
        <f t="shared" si="21"/>
        <v>MICROFIBRA POLIPROPILENO (100 GR)</v>
      </c>
      <c r="AE9" s="67">
        <f t="shared" si="22"/>
        <v>10</v>
      </c>
      <c r="AF9" s="67">
        <f t="shared" si="23"/>
        <v>1.98</v>
      </c>
      <c r="AG9" s="67">
        <f t="shared" si="24"/>
        <v>7.82</v>
      </c>
      <c r="AK9" s="67">
        <v>3</v>
      </c>
      <c r="AL9" s="67" t="s">
        <v>949</v>
      </c>
    </row>
    <row r="10" spans="1:53" s="85" customFormat="1">
      <c r="A10" s="18" t="str">
        <f t="shared" si="0"/>
        <v>1`00001880</v>
      </c>
      <c r="B10" s="211" t="s">
        <v>1412</v>
      </c>
      <c r="C10" s="57" t="s">
        <v>946</v>
      </c>
      <c r="D10" s="43">
        <f t="shared" ref="D10" si="25">IF(OR(H10="",AND(H10=H9,G10=G9)),D9,D9+1)</f>
        <v>2</v>
      </c>
      <c r="E10" s="58">
        <f t="shared" ref="E10" si="26">IF(F10="","",IF(OR(F10=0,F10=F9),E9+1,1))</f>
        <v>1</v>
      </c>
      <c r="F10" s="89" t="s">
        <v>1740</v>
      </c>
      <c r="G10" s="184">
        <v>44813</v>
      </c>
      <c r="H10" s="185" t="s">
        <v>1024</v>
      </c>
      <c r="I10" s="196" t="s">
        <v>76</v>
      </c>
      <c r="J10" s="41">
        <v>10</v>
      </c>
      <c r="K10" s="38">
        <v>1.38</v>
      </c>
      <c r="L10" s="199">
        <f t="shared" ref="L10:L11" si="27">ROUND(K10*J10,2)</f>
        <v>13.8</v>
      </c>
      <c r="M10" s="209">
        <v>8</v>
      </c>
      <c r="N10" s="12">
        <f t="shared" ref="N10:N11" si="28">M10*K10</f>
        <v>11.04</v>
      </c>
      <c r="O10" s="42">
        <f t="shared" ref="O10:O11" si="29">N10*J10</f>
        <v>110.39999999999999</v>
      </c>
      <c r="P10" s="69"/>
      <c r="R10" s="67" t="str">
        <f>IF(H10="","",VLOOKUP(H10,'DATOS CLIENTES'!B:F,5,FALSE))</f>
        <v>CORO</v>
      </c>
      <c r="S10" s="67">
        <f t="shared" si="14"/>
        <v>0</v>
      </c>
      <c r="U10" s="68">
        <f t="shared" si="6"/>
        <v>58.24</v>
      </c>
      <c r="V10" s="68">
        <f t="shared" si="7"/>
        <v>465.92</v>
      </c>
      <c r="X10" s="67">
        <f t="shared" si="15"/>
        <v>4</v>
      </c>
      <c r="Y10" s="67" t="str">
        <f t="shared" si="16"/>
        <v>CHS</v>
      </c>
      <c r="Z10" s="67" t="str">
        <f t="shared" si="17"/>
        <v>FREDDY R. CH</v>
      </c>
      <c r="AA10" s="67" t="str">
        <f t="shared" si="18"/>
        <v>`00001880</v>
      </c>
      <c r="AB10" s="219">
        <f t="shared" si="19"/>
        <v>44813</v>
      </c>
      <c r="AC10" s="67" t="str">
        <f t="shared" si="20"/>
        <v>FERRETERIA MONTE ALTO F.E., C.A.</v>
      </c>
      <c r="AD10" s="67" t="str">
        <f t="shared" si="21"/>
        <v>MACROFIBRA TEREFTALATO DE DIMETILO (100 GR)</v>
      </c>
      <c r="AE10" s="67">
        <f t="shared" si="22"/>
        <v>10</v>
      </c>
      <c r="AF10" s="67">
        <f t="shared" si="23"/>
        <v>1.38</v>
      </c>
      <c r="AG10" s="67">
        <f t="shared" si="24"/>
        <v>8</v>
      </c>
      <c r="AK10" s="67">
        <v>4</v>
      </c>
      <c r="AL10" s="67" t="s">
        <v>950</v>
      </c>
    </row>
    <row r="11" spans="1:53">
      <c r="A11" s="18" t="str">
        <f t="shared" si="0"/>
        <v>2`00001880</v>
      </c>
      <c r="B11" s="211" t="s">
        <v>1412</v>
      </c>
      <c r="C11" s="57" t="s">
        <v>946</v>
      </c>
      <c r="D11" s="43">
        <f t="shared" ref="D11" si="30">IF(OR(H11="",AND(H11=H10,G11=G10)),D10,D10+1)</f>
        <v>2</v>
      </c>
      <c r="E11" s="58">
        <f t="shared" ref="E11" si="31">IF(F11="","",IF(OR(F11=0,F11=F10),E10+1,1))</f>
        <v>2</v>
      </c>
      <c r="F11" s="89" t="s">
        <v>1740</v>
      </c>
      <c r="G11" s="184">
        <v>44813</v>
      </c>
      <c r="H11" s="185" t="s">
        <v>1024</v>
      </c>
      <c r="I11" s="196" t="s">
        <v>681</v>
      </c>
      <c r="J11" s="41">
        <v>10</v>
      </c>
      <c r="K11" s="38">
        <v>2.2999999999999998</v>
      </c>
      <c r="L11" s="199">
        <f t="shared" si="27"/>
        <v>23</v>
      </c>
      <c r="M11" s="209">
        <v>8</v>
      </c>
      <c r="N11" s="12">
        <f t="shared" si="28"/>
        <v>18.399999999999999</v>
      </c>
      <c r="O11" s="42">
        <f t="shared" si="29"/>
        <v>184</v>
      </c>
      <c r="P11" s="69"/>
      <c r="R11" s="67" t="str">
        <f>IF(H11="","",VLOOKUP(H11,'DATOS CLIENTES'!B:F,5,FALSE))</f>
        <v>CORO</v>
      </c>
      <c r="S11" s="67">
        <f t="shared" si="14"/>
        <v>0</v>
      </c>
      <c r="U11" s="68">
        <f t="shared" si="6"/>
        <v>58.24</v>
      </c>
      <c r="V11" s="68">
        <f t="shared" si="7"/>
        <v>465.92</v>
      </c>
      <c r="X11" s="67">
        <f t="shared" si="15"/>
        <v>5</v>
      </c>
      <c r="Y11" s="67" t="str">
        <f t="shared" si="16"/>
        <v>CHS</v>
      </c>
      <c r="Z11" s="67" t="str">
        <f t="shared" si="17"/>
        <v>FREDDY R. CH</v>
      </c>
      <c r="AA11" s="67" t="str">
        <f t="shared" si="18"/>
        <v>`00001880</v>
      </c>
      <c r="AB11" s="219">
        <f t="shared" si="19"/>
        <v>44813</v>
      </c>
      <c r="AC11" s="67" t="str">
        <f t="shared" si="20"/>
        <v>FERRETERIA MONTE ALTO F.E., C.A.</v>
      </c>
      <c r="AD11" s="67" t="str">
        <f t="shared" si="21"/>
        <v>CHS - PEGO GRIS - SACO 10KG</v>
      </c>
      <c r="AE11" s="67">
        <f t="shared" si="22"/>
        <v>10</v>
      </c>
      <c r="AF11" s="67">
        <f t="shared" si="23"/>
        <v>2.2999999999999998</v>
      </c>
      <c r="AG11" s="67">
        <f t="shared" si="24"/>
        <v>8</v>
      </c>
      <c r="AK11" s="67">
        <v>5</v>
      </c>
      <c r="AL11" s="67" t="s">
        <v>951</v>
      </c>
    </row>
    <row r="12" spans="1:53" s="85" customFormat="1">
      <c r="A12" s="18" t="str">
        <f>CONCATENATE(E12,F12)</f>
        <v>3`00001880</v>
      </c>
      <c r="B12" s="211" t="s">
        <v>1412</v>
      </c>
      <c r="C12" s="57" t="s">
        <v>946</v>
      </c>
      <c r="D12" s="43">
        <f t="shared" ref="D12:D13" si="32">IF(OR(H12="",AND(H12=H11,G12=G11)),D11,D11+1)</f>
        <v>2</v>
      </c>
      <c r="E12" s="58">
        <f t="shared" ref="E12:E13" si="33">IF(F12="","",IF(OR(F12=0,F12=F11),E11+1,1))</f>
        <v>3</v>
      </c>
      <c r="F12" s="89" t="s">
        <v>1740</v>
      </c>
      <c r="G12" s="184">
        <v>44813</v>
      </c>
      <c r="H12" s="185" t="s">
        <v>1024</v>
      </c>
      <c r="I12" s="196" t="s">
        <v>727</v>
      </c>
      <c r="J12" s="41">
        <v>4</v>
      </c>
      <c r="K12" s="38">
        <v>2.2999999999999998</v>
      </c>
      <c r="L12" s="199">
        <f t="shared" ref="L12:L13" si="34">ROUND(K12*J12,2)</f>
        <v>9.1999999999999993</v>
      </c>
      <c r="M12" s="209">
        <v>8</v>
      </c>
      <c r="N12" s="12">
        <f t="shared" ref="N12:N13" si="35">M12*K12</f>
        <v>18.399999999999999</v>
      </c>
      <c r="O12" s="42">
        <f t="shared" ref="O12:O13" si="36">N12*J12</f>
        <v>73.599999999999994</v>
      </c>
      <c r="P12" s="69"/>
      <c r="R12" s="67" t="str">
        <f>IF(H12="","",VLOOKUP(H12,'DATOS CLIENTES'!B:F,5,FALSE))</f>
        <v>CORO</v>
      </c>
      <c r="S12" s="67">
        <f t="shared" si="14"/>
        <v>0</v>
      </c>
      <c r="U12" s="68">
        <f t="shared" si="6"/>
        <v>58.24</v>
      </c>
      <c r="V12" s="68">
        <f t="shared" si="7"/>
        <v>465.92</v>
      </c>
      <c r="X12" s="67">
        <f t="shared" si="15"/>
        <v>6</v>
      </c>
      <c r="Y12" s="67" t="str">
        <f>IF(AND($R12&lt;&gt;"PUNTO FIJO",$R12&lt;&gt;""),B12,"")</f>
        <v>CHS</v>
      </c>
      <c r="Z12" s="67" t="str">
        <f>IF(AND($R12&lt;&gt;"PUNTO FIJO",$R12&lt;&gt;""),C12,"")</f>
        <v>FREDDY R. CH</v>
      </c>
      <c r="AA12" s="67" t="str">
        <f t="shared" ref="AA12:AF12" si="37">IF(AND($R12&lt;&gt;"PUNTO FIJO",$R12&lt;&gt;""),F12,"")</f>
        <v>`00001880</v>
      </c>
      <c r="AB12" s="219">
        <f t="shared" si="37"/>
        <v>44813</v>
      </c>
      <c r="AC12" s="67" t="str">
        <f t="shared" si="37"/>
        <v>FERRETERIA MONTE ALTO F.E., C.A.</v>
      </c>
      <c r="AD12" s="67" t="str">
        <f t="shared" si="37"/>
        <v>CHS - PEGA PLUS - SACO 15KG</v>
      </c>
      <c r="AE12" s="67">
        <f t="shared" si="37"/>
        <v>4</v>
      </c>
      <c r="AF12" s="67">
        <f t="shared" si="37"/>
        <v>2.2999999999999998</v>
      </c>
      <c r="AG12" s="67">
        <f>IF(AND($R12&lt;&gt;"PUNTO FIJO",$R12&lt;&gt;""),M12,"")</f>
        <v>8</v>
      </c>
      <c r="AK12" s="67">
        <v>5</v>
      </c>
      <c r="AL12" s="67" t="s">
        <v>951</v>
      </c>
    </row>
    <row r="13" spans="1:53">
      <c r="A13" s="18" t="str">
        <f t="shared" si="0"/>
        <v>4`00001880</v>
      </c>
      <c r="B13" s="211" t="s">
        <v>1412</v>
      </c>
      <c r="C13" s="57" t="s">
        <v>946</v>
      </c>
      <c r="D13" s="43">
        <f t="shared" si="32"/>
        <v>2</v>
      </c>
      <c r="E13" s="58">
        <f t="shared" si="33"/>
        <v>4</v>
      </c>
      <c r="F13" s="89" t="s">
        <v>1740</v>
      </c>
      <c r="G13" s="184">
        <v>44813</v>
      </c>
      <c r="H13" s="185" t="s">
        <v>1024</v>
      </c>
      <c r="I13" s="196" t="s">
        <v>922</v>
      </c>
      <c r="J13" s="41">
        <v>4</v>
      </c>
      <c r="K13" s="38">
        <v>3.06</v>
      </c>
      <c r="L13" s="199">
        <f t="shared" si="34"/>
        <v>12.24</v>
      </c>
      <c r="M13" s="209">
        <v>8</v>
      </c>
      <c r="N13" s="12">
        <f t="shared" si="35"/>
        <v>24.48</v>
      </c>
      <c r="O13" s="42">
        <f t="shared" si="36"/>
        <v>97.92</v>
      </c>
      <c r="P13" s="69"/>
      <c r="R13" s="67" t="str">
        <f>IF(H13="","",VLOOKUP(H13,'DATOS CLIENTES'!B:F,5,FALSE))</f>
        <v>CORO</v>
      </c>
      <c r="S13" s="67">
        <f t="shared" si="14"/>
        <v>0</v>
      </c>
      <c r="U13" s="68">
        <f t="shared" si="6"/>
        <v>58.24</v>
      </c>
      <c r="V13" s="68">
        <f t="shared" si="7"/>
        <v>465.92</v>
      </c>
      <c r="X13" s="67">
        <f t="shared" si="15"/>
        <v>7</v>
      </c>
      <c r="Y13" s="67" t="str">
        <f t="shared" si="16"/>
        <v>CHS</v>
      </c>
      <c r="Z13" s="67" t="str">
        <f t="shared" si="17"/>
        <v>FREDDY R. CH</v>
      </c>
      <c r="AA13" s="67" t="str">
        <f t="shared" si="18"/>
        <v>`00001880</v>
      </c>
      <c r="AB13" s="219">
        <f t="shared" si="19"/>
        <v>44813</v>
      </c>
      <c r="AC13" s="67" t="str">
        <f t="shared" si="20"/>
        <v>FERRETERIA MONTE ALTO F.E., C.A.</v>
      </c>
      <c r="AD13" s="67" t="str">
        <f t="shared" si="21"/>
        <v>STYLOSA TIPO A (50GR.)</v>
      </c>
      <c r="AE13" s="67">
        <f t="shared" si="22"/>
        <v>4</v>
      </c>
      <c r="AF13" s="67">
        <f t="shared" si="23"/>
        <v>3.06</v>
      </c>
      <c r="AG13" s="67">
        <f t="shared" si="24"/>
        <v>8</v>
      </c>
      <c r="AK13" s="67">
        <v>6</v>
      </c>
      <c r="AL13" s="67" t="s">
        <v>952</v>
      </c>
    </row>
    <row r="14" spans="1:53">
      <c r="A14" s="18" t="str">
        <f t="shared" si="0"/>
        <v>1`00001881</v>
      </c>
      <c r="B14" s="211" t="s">
        <v>1412</v>
      </c>
      <c r="C14" s="57" t="s">
        <v>946</v>
      </c>
      <c r="D14" s="43">
        <f t="shared" si="1"/>
        <v>3</v>
      </c>
      <c r="E14" s="58">
        <f t="shared" si="2"/>
        <v>1</v>
      </c>
      <c r="F14" s="89" t="s">
        <v>1741</v>
      </c>
      <c r="G14" s="184">
        <v>44818</v>
      </c>
      <c r="H14" s="185" t="s">
        <v>549</v>
      </c>
      <c r="I14" s="196" t="s">
        <v>76</v>
      </c>
      <c r="J14" s="41">
        <v>20</v>
      </c>
      <c r="K14" s="38">
        <v>1.32</v>
      </c>
      <c r="L14" s="199">
        <f t="shared" si="3"/>
        <v>26.4</v>
      </c>
      <c r="M14" s="209">
        <v>8</v>
      </c>
      <c r="N14" s="12">
        <f t="shared" si="4"/>
        <v>10.56</v>
      </c>
      <c r="O14" s="42">
        <f t="shared" si="5"/>
        <v>211.20000000000002</v>
      </c>
      <c r="P14" s="69"/>
      <c r="R14" s="67" t="str">
        <f>IF(H14="","",VLOOKUP(H14,'DATOS CLIENTES'!B:F,5,FALSE))</f>
        <v>PUNTO FIJO</v>
      </c>
      <c r="S14" s="67">
        <f t="shared" si="14"/>
        <v>0</v>
      </c>
      <c r="U14" s="68">
        <f t="shared" si="6"/>
        <v>0</v>
      </c>
      <c r="V14" s="68">
        <f t="shared" si="7"/>
        <v>0</v>
      </c>
      <c r="X14" s="67">
        <f t="shared" si="15"/>
        <v>7</v>
      </c>
      <c r="Y14" s="67" t="str">
        <f t="shared" si="16"/>
        <v/>
      </c>
      <c r="Z14" s="67" t="str">
        <f t="shared" si="17"/>
        <v/>
      </c>
      <c r="AA14" s="67" t="str">
        <f t="shared" si="18"/>
        <v/>
      </c>
      <c r="AB14" s="219" t="str">
        <f t="shared" si="19"/>
        <v/>
      </c>
      <c r="AC14" s="67" t="str">
        <f t="shared" si="20"/>
        <v/>
      </c>
      <c r="AD14" s="67" t="str">
        <f t="shared" si="21"/>
        <v/>
      </c>
      <c r="AE14" s="67" t="str">
        <f t="shared" si="22"/>
        <v/>
      </c>
      <c r="AF14" s="67" t="str">
        <f t="shared" si="23"/>
        <v/>
      </c>
      <c r="AG14" s="67" t="str">
        <f t="shared" si="24"/>
        <v/>
      </c>
      <c r="AK14" s="67">
        <v>7</v>
      </c>
      <c r="AL14" s="67" t="s">
        <v>953</v>
      </c>
    </row>
    <row r="15" spans="1:53" s="85" customFormat="1">
      <c r="A15" s="18" t="str">
        <f>CONCATENATE(E15,F15)</f>
        <v>2`00001881</v>
      </c>
      <c r="B15" s="211" t="s">
        <v>1412</v>
      </c>
      <c r="C15" s="57" t="s">
        <v>946</v>
      </c>
      <c r="D15" s="43">
        <f t="shared" ref="D15:D17" si="38">IF(OR(H15="",AND(H15=H14,G15=G14)),D14,D14+1)</f>
        <v>3</v>
      </c>
      <c r="E15" s="58">
        <f t="shared" ref="E15:E17" si="39">IF(F15="","",IF(OR(F15=0,F15=F14),E14+1,1))</f>
        <v>2</v>
      </c>
      <c r="F15" s="89" t="s">
        <v>1741</v>
      </c>
      <c r="G15" s="184">
        <v>44818</v>
      </c>
      <c r="H15" s="185" t="s">
        <v>549</v>
      </c>
      <c r="I15" s="196" t="s">
        <v>922</v>
      </c>
      <c r="J15" s="41">
        <v>20</v>
      </c>
      <c r="K15" s="38">
        <v>2.63</v>
      </c>
      <c r="L15" s="199">
        <f t="shared" si="3"/>
        <v>52.6</v>
      </c>
      <c r="M15" s="209">
        <v>8</v>
      </c>
      <c r="N15" s="12">
        <f t="shared" si="4"/>
        <v>21.04</v>
      </c>
      <c r="O15" s="42">
        <f t="shared" si="5"/>
        <v>420.79999999999995</v>
      </c>
      <c r="P15" s="69"/>
      <c r="R15" s="67" t="str">
        <f>IF(H15="","",VLOOKUP(H15,'DATOS CLIENTES'!B:F,5,FALSE))</f>
        <v>PUNTO FIJO</v>
      </c>
      <c r="S15" s="67">
        <f t="shared" si="14"/>
        <v>0</v>
      </c>
      <c r="U15" s="68">
        <f t="shared" si="6"/>
        <v>0</v>
      </c>
      <c r="V15" s="68">
        <f t="shared" si="7"/>
        <v>0</v>
      </c>
      <c r="X15" s="67">
        <f t="shared" si="15"/>
        <v>7</v>
      </c>
      <c r="Y15" s="67" t="str">
        <f t="shared" si="16"/>
        <v/>
      </c>
      <c r="Z15" s="67" t="str">
        <f t="shared" si="17"/>
        <v/>
      </c>
      <c r="AA15" s="67" t="str">
        <f t="shared" si="18"/>
        <v/>
      </c>
      <c r="AB15" s="219" t="str">
        <f t="shared" si="19"/>
        <v/>
      </c>
      <c r="AC15" s="67" t="str">
        <f t="shared" si="20"/>
        <v/>
      </c>
      <c r="AD15" s="67" t="str">
        <f t="shared" si="21"/>
        <v/>
      </c>
      <c r="AE15" s="67" t="str">
        <f t="shared" si="22"/>
        <v/>
      </c>
      <c r="AF15" s="67" t="str">
        <f t="shared" si="23"/>
        <v/>
      </c>
      <c r="AG15" s="67" t="str">
        <f t="shared" si="24"/>
        <v/>
      </c>
      <c r="AK15" s="67">
        <v>8</v>
      </c>
      <c r="AL15" s="67" t="s">
        <v>954</v>
      </c>
    </row>
    <row r="16" spans="1:53">
      <c r="A16" s="18" t="str">
        <f t="shared" si="0"/>
        <v>3`00001881</v>
      </c>
      <c r="B16" s="211" t="s">
        <v>1412</v>
      </c>
      <c r="C16" s="57" t="s">
        <v>946</v>
      </c>
      <c r="D16" s="43">
        <f t="shared" si="38"/>
        <v>3</v>
      </c>
      <c r="E16" s="58">
        <f t="shared" si="39"/>
        <v>3</v>
      </c>
      <c r="F16" s="89" t="s">
        <v>1741</v>
      </c>
      <c r="G16" s="184">
        <v>44818</v>
      </c>
      <c r="H16" s="185" t="s">
        <v>549</v>
      </c>
      <c r="I16" s="196" t="s">
        <v>983</v>
      </c>
      <c r="J16" s="41">
        <v>10</v>
      </c>
      <c r="K16" s="38">
        <v>7</v>
      </c>
      <c r="L16" s="199">
        <f t="shared" si="3"/>
        <v>70</v>
      </c>
      <c r="M16" s="209">
        <v>8</v>
      </c>
      <c r="N16" s="12">
        <f t="shared" si="4"/>
        <v>56</v>
      </c>
      <c r="O16" s="42">
        <f t="shared" si="5"/>
        <v>560</v>
      </c>
      <c r="P16" s="69"/>
      <c r="R16" s="67" t="str">
        <f>IF(H16="","",VLOOKUP(H16,'DATOS CLIENTES'!B:F,5,FALSE))</f>
        <v>PUNTO FIJO</v>
      </c>
      <c r="S16" s="67">
        <f t="shared" si="14"/>
        <v>0</v>
      </c>
      <c r="U16" s="68">
        <f t="shared" si="6"/>
        <v>0</v>
      </c>
      <c r="V16" s="68">
        <f t="shared" si="7"/>
        <v>0</v>
      </c>
      <c r="X16" s="67">
        <f t="shared" si="15"/>
        <v>7</v>
      </c>
      <c r="Y16" s="67" t="str">
        <f t="shared" si="16"/>
        <v/>
      </c>
      <c r="Z16" s="67" t="str">
        <f t="shared" si="17"/>
        <v/>
      </c>
      <c r="AA16" s="67" t="str">
        <f t="shared" si="18"/>
        <v/>
      </c>
      <c r="AB16" s="219" t="str">
        <f t="shared" si="19"/>
        <v/>
      </c>
      <c r="AC16" s="67" t="str">
        <f t="shared" si="20"/>
        <v/>
      </c>
      <c r="AD16" s="67" t="str">
        <f t="shared" si="21"/>
        <v/>
      </c>
      <c r="AE16" s="67" t="str">
        <f t="shared" si="22"/>
        <v/>
      </c>
      <c r="AF16" s="67" t="str">
        <f t="shared" si="23"/>
        <v/>
      </c>
      <c r="AG16" s="67" t="str">
        <f t="shared" si="24"/>
        <v/>
      </c>
      <c r="AK16" s="67">
        <v>9</v>
      </c>
      <c r="AL16" s="67" t="s">
        <v>955</v>
      </c>
    </row>
    <row r="17" spans="1:38">
      <c r="A17" s="18" t="str">
        <f t="shared" si="0"/>
        <v>4`00001881</v>
      </c>
      <c r="B17" s="211" t="s">
        <v>1412</v>
      </c>
      <c r="C17" s="57" t="s">
        <v>946</v>
      </c>
      <c r="D17" s="43">
        <f t="shared" si="38"/>
        <v>3</v>
      </c>
      <c r="E17" s="58">
        <f t="shared" si="39"/>
        <v>4</v>
      </c>
      <c r="F17" s="89" t="s">
        <v>1741</v>
      </c>
      <c r="G17" s="184">
        <v>44818</v>
      </c>
      <c r="H17" s="185" t="s">
        <v>549</v>
      </c>
      <c r="I17" s="196" t="s">
        <v>538</v>
      </c>
      <c r="J17" s="41">
        <v>5</v>
      </c>
      <c r="K17" s="38">
        <v>1.96</v>
      </c>
      <c r="L17" s="199">
        <f t="shared" si="3"/>
        <v>9.8000000000000007</v>
      </c>
      <c r="M17" s="209">
        <v>8</v>
      </c>
      <c r="N17" s="12">
        <f t="shared" si="4"/>
        <v>15.68</v>
      </c>
      <c r="O17" s="42">
        <f t="shared" si="5"/>
        <v>78.400000000000006</v>
      </c>
      <c r="P17" s="69"/>
      <c r="R17" s="67" t="str">
        <f>IF(H17="","",VLOOKUP(H17,'DATOS CLIENTES'!B:F,5,FALSE))</f>
        <v>PUNTO FIJO</v>
      </c>
      <c r="S17" s="67">
        <f t="shared" si="14"/>
        <v>0</v>
      </c>
      <c r="U17" s="68">
        <f t="shared" si="6"/>
        <v>0</v>
      </c>
      <c r="V17" s="68">
        <f t="shared" si="7"/>
        <v>0</v>
      </c>
      <c r="X17" s="67">
        <f t="shared" si="15"/>
        <v>7</v>
      </c>
      <c r="Y17" s="67" t="str">
        <f t="shared" si="16"/>
        <v/>
      </c>
      <c r="Z17" s="67" t="str">
        <f t="shared" si="17"/>
        <v/>
      </c>
      <c r="AA17" s="67" t="str">
        <f t="shared" si="18"/>
        <v/>
      </c>
      <c r="AB17" s="219" t="str">
        <f t="shared" si="19"/>
        <v/>
      </c>
      <c r="AC17" s="67" t="str">
        <f t="shared" si="20"/>
        <v/>
      </c>
      <c r="AD17" s="67" t="str">
        <f t="shared" si="21"/>
        <v/>
      </c>
      <c r="AE17" s="67" t="str">
        <f t="shared" si="22"/>
        <v/>
      </c>
      <c r="AF17" s="67" t="str">
        <f t="shared" si="23"/>
        <v/>
      </c>
      <c r="AG17" s="67" t="str">
        <f t="shared" si="24"/>
        <v/>
      </c>
      <c r="AK17" s="67">
        <v>10</v>
      </c>
      <c r="AL17" s="67" t="s">
        <v>956</v>
      </c>
    </row>
    <row r="18" spans="1:38">
      <c r="A18" s="18" t="str">
        <f t="shared" si="0"/>
        <v>1`00001882</v>
      </c>
      <c r="B18" s="211" t="s">
        <v>1412</v>
      </c>
      <c r="C18" s="57" t="s">
        <v>946</v>
      </c>
      <c r="D18" s="43">
        <f t="shared" ref="D18" si="40">IF(OR(H18="",AND(H18=H17,G18=G17)),D17,D17+1)</f>
        <v>4</v>
      </c>
      <c r="E18" s="58">
        <f t="shared" ref="E18" si="41">IF(F18="","",IF(OR(F18=0,F18=F17),E17+1,1))</f>
        <v>1</v>
      </c>
      <c r="F18" s="89" t="s">
        <v>1742</v>
      </c>
      <c r="G18" s="184">
        <v>44818</v>
      </c>
      <c r="H18" s="185" t="s">
        <v>161</v>
      </c>
      <c r="I18" s="196" t="s">
        <v>76</v>
      </c>
      <c r="J18" s="41">
        <v>50</v>
      </c>
      <c r="K18" s="38">
        <v>1.4</v>
      </c>
      <c r="L18" s="199">
        <f t="shared" ref="L18:L20" si="42">ROUND(K18*J18,2)</f>
        <v>70</v>
      </c>
      <c r="M18" s="209">
        <v>8.1</v>
      </c>
      <c r="N18" s="12">
        <f t="shared" ref="N18:N20" si="43">M18*K18</f>
        <v>11.339999999999998</v>
      </c>
      <c r="O18" s="42">
        <f t="shared" ref="O18:O20" si="44">N18*J18</f>
        <v>566.99999999999989</v>
      </c>
      <c r="P18" s="69"/>
      <c r="R18" s="67" t="str">
        <f>IF(H18="","",VLOOKUP(H18,'DATOS CLIENTES'!B:F,5,FALSE))</f>
        <v>PUNTO FIJO</v>
      </c>
      <c r="S18" s="67">
        <f t="shared" si="14"/>
        <v>0</v>
      </c>
      <c r="U18" s="68">
        <f t="shared" si="6"/>
        <v>0</v>
      </c>
      <c r="V18" s="68">
        <f t="shared" si="7"/>
        <v>0</v>
      </c>
      <c r="X18" s="67">
        <f t="shared" si="15"/>
        <v>7</v>
      </c>
      <c r="Y18" s="67" t="str">
        <f t="shared" si="16"/>
        <v/>
      </c>
      <c r="Z18" s="67" t="str">
        <f t="shared" si="17"/>
        <v/>
      </c>
      <c r="AA18" s="67" t="str">
        <f t="shared" si="18"/>
        <v/>
      </c>
      <c r="AB18" s="219" t="str">
        <f t="shared" si="19"/>
        <v/>
      </c>
      <c r="AC18" s="67" t="str">
        <f t="shared" si="20"/>
        <v/>
      </c>
      <c r="AD18" s="67" t="str">
        <f t="shared" si="21"/>
        <v/>
      </c>
      <c r="AE18" s="67" t="str">
        <f t="shared" si="22"/>
        <v/>
      </c>
      <c r="AF18" s="67" t="str">
        <f t="shared" si="23"/>
        <v/>
      </c>
      <c r="AG18" s="67" t="str">
        <f t="shared" si="24"/>
        <v/>
      </c>
      <c r="AK18" s="67">
        <v>11</v>
      </c>
      <c r="AL18" s="67" t="s">
        <v>957</v>
      </c>
    </row>
    <row r="19" spans="1:38">
      <c r="A19" s="18" t="str">
        <f t="shared" si="0"/>
        <v>2`00001882</v>
      </c>
      <c r="B19" s="211" t="s">
        <v>1412</v>
      </c>
      <c r="C19" s="57" t="s">
        <v>946</v>
      </c>
      <c r="D19" s="43">
        <f t="shared" ref="D19:D20" si="45">IF(OR(H19="",AND(H19=H18,G19=G18)),D18,D18+1)</f>
        <v>4</v>
      </c>
      <c r="E19" s="58">
        <f t="shared" ref="E19:E20" si="46">IF(F19="","",IF(OR(F19=0,F19=F18),E18+1,1))</f>
        <v>2</v>
      </c>
      <c r="F19" s="89" t="s">
        <v>1742</v>
      </c>
      <c r="G19" s="184">
        <v>44818</v>
      </c>
      <c r="H19" s="185" t="s">
        <v>161</v>
      </c>
      <c r="I19" s="196" t="s">
        <v>75</v>
      </c>
      <c r="J19" s="41">
        <v>50</v>
      </c>
      <c r="K19" s="38">
        <v>2</v>
      </c>
      <c r="L19" s="199">
        <f t="shared" si="42"/>
        <v>100</v>
      </c>
      <c r="M19" s="209">
        <v>8.1</v>
      </c>
      <c r="N19" s="12">
        <f t="shared" si="43"/>
        <v>16.2</v>
      </c>
      <c r="O19" s="42">
        <f t="shared" si="44"/>
        <v>810</v>
      </c>
      <c r="P19" s="69"/>
      <c r="R19" s="67" t="str">
        <f>IF(H19="","",VLOOKUP(H19,'DATOS CLIENTES'!B:F,5,FALSE))</f>
        <v>PUNTO FIJO</v>
      </c>
      <c r="S19" s="67">
        <f t="shared" si="14"/>
        <v>0</v>
      </c>
      <c r="U19" s="68">
        <f t="shared" si="6"/>
        <v>0</v>
      </c>
      <c r="V19" s="68">
        <f t="shared" si="7"/>
        <v>0</v>
      </c>
      <c r="X19" s="67">
        <f t="shared" si="15"/>
        <v>7</v>
      </c>
      <c r="Y19" s="67" t="str">
        <f t="shared" si="16"/>
        <v/>
      </c>
      <c r="Z19" s="67" t="str">
        <f t="shared" si="17"/>
        <v/>
      </c>
      <c r="AA19" s="67" t="str">
        <f t="shared" si="18"/>
        <v/>
      </c>
      <c r="AB19" s="219" t="str">
        <f t="shared" si="19"/>
        <v/>
      </c>
      <c r="AC19" s="67" t="str">
        <f t="shared" si="20"/>
        <v/>
      </c>
      <c r="AD19" s="67" t="str">
        <f t="shared" si="21"/>
        <v/>
      </c>
      <c r="AE19" s="67" t="str">
        <f t="shared" si="22"/>
        <v/>
      </c>
      <c r="AF19" s="67" t="str">
        <f t="shared" si="23"/>
        <v/>
      </c>
      <c r="AG19" s="67" t="str">
        <f t="shared" si="24"/>
        <v/>
      </c>
      <c r="AK19" s="67">
        <v>12</v>
      </c>
      <c r="AL19" s="67" t="s">
        <v>958</v>
      </c>
    </row>
    <row r="20" spans="1:38">
      <c r="A20" s="18" t="str">
        <f t="shared" si="0"/>
        <v>3`00001882</v>
      </c>
      <c r="B20" s="211" t="s">
        <v>1412</v>
      </c>
      <c r="C20" s="57" t="s">
        <v>946</v>
      </c>
      <c r="D20" s="43">
        <f t="shared" si="45"/>
        <v>4</v>
      </c>
      <c r="E20" s="58">
        <f t="shared" si="46"/>
        <v>3</v>
      </c>
      <c r="F20" s="89" t="s">
        <v>1742</v>
      </c>
      <c r="G20" s="184">
        <v>44818</v>
      </c>
      <c r="H20" s="185" t="s">
        <v>161</v>
      </c>
      <c r="I20" s="185" t="s">
        <v>453</v>
      </c>
      <c r="J20" s="41">
        <v>40</v>
      </c>
      <c r="K20" s="38">
        <v>2.1</v>
      </c>
      <c r="L20" s="199">
        <f t="shared" si="42"/>
        <v>84</v>
      </c>
      <c r="M20" s="209">
        <v>8.1</v>
      </c>
      <c r="N20" s="12">
        <f t="shared" si="43"/>
        <v>17.010000000000002</v>
      </c>
      <c r="O20" s="42">
        <f t="shared" si="44"/>
        <v>680.40000000000009</v>
      </c>
      <c r="P20" s="69"/>
      <c r="R20" s="67" t="str">
        <f>IF(H20="","",VLOOKUP(H20,'DATOS CLIENTES'!B:F,5,FALSE))</f>
        <v>PUNTO FIJO</v>
      </c>
      <c r="S20" s="67">
        <f t="shared" si="14"/>
        <v>0</v>
      </c>
      <c r="U20" s="68">
        <f t="shared" si="6"/>
        <v>0</v>
      </c>
      <c r="V20" s="68">
        <f t="shared" si="7"/>
        <v>0</v>
      </c>
      <c r="X20" s="67">
        <f t="shared" si="15"/>
        <v>7</v>
      </c>
      <c r="Y20" s="67" t="str">
        <f t="shared" si="16"/>
        <v/>
      </c>
      <c r="Z20" s="67" t="str">
        <f t="shared" si="17"/>
        <v/>
      </c>
      <c r="AA20" s="67" t="str">
        <f t="shared" si="18"/>
        <v/>
      </c>
      <c r="AB20" s="219" t="str">
        <f t="shared" si="19"/>
        <v/>
      </c>
      <c r="AC20" s="67" t="str">
        <f t="shared" si="20"/>
        <v/>
      </c>
      <c r="AD20" s="67" t="str">
        <f t="shared" si="21"/>
        <v/>
      </c>
      <c r="AE20" s="67" t="str">
        <f t="shared" si="22"/>
        <v/>
      </c>
      <c r="AF20" s="67" t="str">
        <f t="shared" si="23"/>
        <v/>
      </c>
      <c r="AG20" s="67" t="str">
        <f t="shared" si="24"/>
        <v/>
      </c>
    </row>
    <row r="21" spans="1:38">
      <c r="A21" s="18" t="str">
        <f t="shared" si="0"/>
        <v>1`00001886</v>
      </c>
      <c r="B21" s="211" t="s">
        <v>1412</v>
      </c>
      <c r="C21" s="57" t="s">
        <v>946</v>
      </c>
      <c r="D21" s="43">
        <f t="shared" ref="D21" si="47">IF(OR(H21="",AND(H21=H20,G21=G20)),D20,D20+1)</f>
        <v>5</v>
      </c>
      <c r="E21" s="58">
        <f t="shared" ref="E21" si="48">IF(F21="","",IF(OR(F21=0,F21=F20),E20+1,1))</f>
        <v>1</v>
      </c>
      <c r="F21" s="89" t="s">
        <v>1744</v>
      </c>
      <c r="G21" s="198">
        <v>44845</v>
      </c>
      <c r="H21" s="185" t="s">
        <v>161</v>
      </c>
      <c r="I21" s="196" t="s">
        <v>453</v>
      </c>
      <c r="J21" s="197">
        <v>4</v>
      </c>
      <c r="K21" s="38">
        <v>2.1</v>
      </c>
      <c r="L21" s="199">
        <f t="shared" ref="L21:L22" si="49">ROUND(K21*J21,2)</f>
        <v>8.4</v>
      </c>
      <c r="M21" s="209">
        <v>8.25</v>
      </c>
      <c r="N21" s="12">
        <f t="shared" ref="N21:N22" si="50">M21*K21</f>
        <v>17.324999999999999</v>
      </c>
      <c r="O21" s="42">
        <f t="shared" ref="O21:O22" si="51">N21*J21</f>
        <v>69.3</v>
      </c>
      <c r="P21" s="69"/>
      <c r="R21" s="67" t="str">
        <f>IF(H21="","",VLOOKUP(H21,'DATOS CLIENTES'!B:F,5,FALSE))</f>
        <v>PUNTO FIJO</v>
      </c>
      <c r="S21" s="67">
        <f t="shared" si="14"/>
        <v>0</v>
      </c>
      <c r="U21" s="68">
        <f t="shared" si="6"/>
        <v>0</v>
      </c>
      <c r="V21" s="68">
        <f t="shared" si="7"/>
        <v>0</v>
      </c>
      <c r="X21" s="67">
        <f t="shared" si="15"/>
        <v>7</v>
      </c>
      <c r="Y21" s="67" t="str">
        <f t="shared" si="16"/>
        <v/>
      </c>
      <c r="Z21" s="67" t="str">
        <f t="shared" si="17"/>
        <v/>
      </c>
      <c r="AA21" s="67" t="str">
        <f t="shared" si="18"/>
        <v/>
      </c>
      <c r="AB21" s="219" t="str">
        <f t="shared" si="19"/>
        <v/>
      </c>
      <c r="AC21" s="67" t="str">
        <f t="shared" si="20"/>
        <v/>
      </c>
      <c r="AD21" s="67" t="str">
        <f t="shared" si="21"/>
        <v/>
      </c>
      <c r="AE21" s="67" t="str">
        <f t="shared" si="22"/>
        <v/>
      </c>
      <c r="AF21" s="67" t="str">
        <f t="shared" si="23"/>
        <v/>
      </c>
      <c r="AG21" s="67" t="str">
        <f t="shared" si="24"/>
        <v/>
      </c>
    </row>
    <row r="22" spans="1:38">
      <c r="A22" s="18" t="str">
        <f t="shared" si="0"/>
        <v>2`00001886</v>
      </c>
      <c r="B22" s="211" t="s">
        <v>1412</v>
      </c>
      <c r="C22" s="57" t="s">
        <v>946</v>
      </c>
      <c r="D22" s="43">
        <f t="shared" ref="D22" si="52">IF(OR(H22="",AND(H22=H21,G22=G21)),D21,D21+1)</f>
        <v>5</v>
      </c>
      <c r="E22" s="58">
        <f t="shared" ref="E22" si="53">IF(F22="","",IF(OR(F22=0,F22=F21),E21+1,1))</f>
        <v>2</v>
      </c>
      <c r="F22" s="89" t="s">
        <v>1744</v>
      </c>
      <c r="G22" s="198">
        <v>44845</v>
      </c>
      <c r="H22" s="185" t="s">
        <v>161</v>
      </c>
      <c r="I22" s="196" t="s">
        <v>922</v>
      </c>
      <c r="J22" s="197">
        <v>40</v>
      </c>
      <c r="K22" s="38">
        <v>3.1</v>
      </c>
      <c r="L22" s="199">
        <f t="shared" si="49"/>
        <v>124</v>
      </c>
      <c r="M22" s="209">
        <v>8.25</v>
      </c>
      <c r="N22" s="12">
        <f t="shared" si="50"/>
        <v>25.574999999999999</v>
      </c>
      <c r="O22" s="42">
        <f t="shared" si="51"/>
        <v>1023</v>
      </c>
      <c r="P22" s="69"/>
      <c r="R22" s="67" t="str">
        <f>IF(H22="","",VLOOKUP(H22,'DATOS CLIENTES'!B:F,5,FALSE))</f>
        <v>PUNTO FIJO</v>
      </c>
      <c r="S22" s="67">
        <f t="shared" si="14"/>
        <v>0</v>
      </c>
      <c r="U22" s="68">
        <f t="shared" si="6"/>
        <v>0</v>
      </c>
      <c r="V22" s="68">
        <f t="shared" si="7"/>
        <v>0</v>
      </c>
      <c r="X22" s="67">
        <f t="shared" si="15"/>
        <v>7</v>
      </c>
      <c r="Y22" s="67" t="str">
        <f t="shared" si="16"/>
        <v/>
      </c>
      <c r="Z22" s="67" t="str">
        <f t="shared" si="17"/>
        <v/>
      </c>
      <c r="AA22" s="67" t="str">
        <f t="shared" si="18"/>
        <v/>
      </c>
      <c r="AB22" s="219" t="str">
        <f t="shared" si="19"/>
        <v/>
      </c>
      <c r="AC22" s="67" t="str">
        <f t="shared" si="20"/>
        <v/>
      </c>
      <c r="AD22" s="67" t="str">
        <f t="shared" si="21"/>
        <v/>
      </c>
      <c r="AE22" s="67" t="str">
        <f t="shared" si="22"/>
        <v/>
      </c>
      <c r="AF22" s="67" t="str">
        <f t="shared" si="23"/>
        <v/>
      </c>
      <c r="AG22" s="67" t="str">
        <f t="shared" si="24"/>
        <v/>
      </c>
    </row>
    <row r="23" spans="1:38">
      <c r="A23" s="18" t="str">
        <f t="shared" si="0"/>
        <v>1`00001887</v>
      </c>
      <c r="B23" s="211" t="s">
        <v>1412</v>
      </c>
      <c r="C23" s="57" t="s">
        <v>946</v>
      </c>
      <c r="D23" s="43">
        <f t="shared" ref="D23" si="54">IF(OR(H23="",AND(H23=H22,G23=G22)),D22,D22+1)</f>
        <v>6</v>
      </c>
      <c r="E23" s="58">
        <f t="shared" ref="E23" si="55">IF(F23="","",IF(OR(F23=0,F23=F22),E22+1,1))</f>
        <v>1</v>
      </c>
      <c r="F23" s="89" t="s">
        <v>1743</v>
      </c>
      <c r="G23" s="198">
        <v>44846</v>
      </c>
      <c r="H23" s="185" t="s">
        <v>549</v>
      </c>
      <c r="I23" s="196" t="s">
        <v>75</v>
      </c>
      <c r="J23" s="197">
        <v>15</v>
      </c>
      <c r="K23" s="38">
        <v>1.95</v>
      </c>
      <c r="L23" s="199">
        <f t="shared" ref="L23:L27" si="56">ROUND(K23*J23,2)</f>
        <v>29.25</v>
      </c>
      <c r="M23" s="209">
        <v>8.2200000000000006</v>
      </c>
      <c r="N23" s="12">
        <f t="shared" ref="N23:N27" si="57">M23*K23</f>
        <v>16.029</v>
      </c>
      <c r="O23" s="42">
        <f t="shared" ref="O23:O27" si="58">N23*J23</f>
        <v>240.435</v>
      </c>
      <c r="P23" s="69"/>
      <c r="R23" s="67" t="str">
        <f>IF(H23="","",VLOOKUP(H23,'DATOS CLIENTES'!B:F,5,FALSE))</f>
        <v>PUNTO FIJO</v>
      </c>
      <c r="S23" s="67">
        <f t="shared" si="14"/>
        <v>0</v>
      </c>
      <c r="U23" s="68">
        <f t="shared" si="6"/>
        <v>0</v>
      </c>
      <c r="V23" s="68">
        <f t="shared" si="7"/>
        <v>0</v>
      </c>
      <c r="X23" s="67">
        <f t="shared" si="15"/>
        <v>7</v>
      </c>
      <c r="Y23" s="67" t="str">
        <f t="shared" si="16"/>
        <v/>
      </c>
      <c r="Z23" s="67" t="str">
        <f t="shared" si="17"/>
        <v/>
      </c>
      <c r="AA23" s="67" t="str">
        <f t="shared" si="18"/>
        <v/>
      </c>
      <c r="AB23" s="219" t="str">
        <f t="shared" si="19"/>
        <v/>
      </c>
      <c r="AC23" s="67" t="str">
        <f t="shared" si="20"/>
        <v/>
      </c>
      <c r="AD23" s="67" t="str">
        <f t="shared" si="21"/>
        <v/>
      </c>
      <c r="AE23" s="67" t="str">
        <f t="shared" si="22"/>
        <v/>
      </c>
      <c r="AF23" s="67" t="str">
        <f t="shared" si="23"/>
        <v/>
      </c>
      <c r="AG23" s="67" t="str">
        <f t="shared" si="24"/>
        <v/>
      </c>
    </row>
    <row r="24" spans="1:38">
      <c r="A24" s="18" t="str">
        <f t="shared" si="0"/>
        <v>2`00001887</v>
      </c>
      <c r="B24" s="211" t="s">
        <v>1412</v>
      </c>
      <c r="C24" s="57" t="s">
        <v>946</v>
      </c>
      <c r="D24" s="43">
        <f t="shared" ref="D24:D27" si="59">IF(OR(H24="",AND(H24=H23,G24=G23)),D23,D23+1)</f>
        <v>6</v>
      </c>
      <c r="E24" s="58">
        <f t="shared" ref="E24:E27" si="60">IF(F24="","",IF(OR(F24=0,F24=F23),E23+1,1))</f>
        <v>2</v>
      </c>
      <c r="F24" s="89" t="s">
        <v>1743</v>
      </c>
      <c r="G24" s="198">
        <v>44846</v>
      </c>
      <c r="H24" s="185" t="s">
        <v>549</v>
      </c>
      <c r="I24" s="196" t="s">
        <v>922</v>
      </c>
      <c r="J24" s="41">
        <v>20</v>
      </c>
      <c r="K24" s="38">
        <v>2.63</v>
      </c>
      <c r="L24" s="199">
        <f t="shared" si="56"/>
        <v>52.6</v>
      </c>
      <c r="M24" s="209">
        <v>8.2200000000000006</v>
      </c>
      <c r="N24" s="12">
        <f t="shared" si="57"/>
        <v>21.618600000000001</v>
      </c>
      <c r="O24" s="42">
        <f t="shared" si="58"/>
        <v>432.37200000000001</v>
      </c>
      <c r="P24" s="69"/>
      <c r="R24" s="67" t="str">
        <f>IF(H24="","",VLOOKUP(H24,'DATOS CLIENTES'!B:F,5,FALSE))</f>
        <v>PUNTO FIJO</v>
      </c>
      <c r="S24" s="67">
        <f t="shared" si="14"/>
        <v>0</v>
      </c>
      <c r="U24" s="68">
        <f t="shared" si="6"/>
        <v>0</v>
      </c>
      <c r="V24" s="68">
        <f t="shared" si="7"/>
        <v>0</v>
      </c>
      <c r="X24" s="67">
        <f t="shared" si="15"/>
        <v>7</v>
      </c>
      <c r="Y24" s="67" t="str">
        <f t="shared" si="16"/>
        <v/>
      </c>
      <c r="Z24" s="67" t="str">
        <f t="shared" si="17"/>
        <v/>
      </c>
      <c r="AA24" s="67" t="str">
        <f t="shared" si="18"/>
        <v/>
      </c>
      <c r="AB24" s="219" t="str">
        <f t="shared" si="19"/>
        <v/>
      </c>
      <c r="AC24" s="67" t="str">
        <f t="shared" si="20"/>
        <v/>
      </c>
      <c r="AD24" s="67" t="str">
        <f t="shared" si="21"/>
        <v/>
      </c>
      <c r="AE24" s="67" t="str">
        <f t="shared" si="22"/>
        <v/>
      </c>
      <c r="AF24" s="67" t="str">
        <f t="shared" si="23"/>
        <v/>
      </c>
      <c r="AG24" s="67" t="str">
        <f t="shared" si="24"/>
        <v/>
      </c>
    </row>
    <row r="25" spans="1:38">
      <c r="A25" s="18" t="str">
        <f t="shared" si="0"/>
        <v>3`00001887</v>
      </c>
      <c r="B25" s="211" t="s">
        <v>1412</v>
      </c>
      <c r="C25" s="57" t="s">
        <v>946</v>
      </c>
      <c r="D25" s="43">
        <f t="shared" si="59"/>
        <v>6</v>
      </c>
      <c r="E25" s="58">
        <f t="shared" si="60"/>
        <v>3</v>
      </c>
      <c r="F25" s="89" t="s">
        <v>1743</v>
      </c>
      <c r="G25" s="198">
        <v>44846</v>
      </c>
      <c r="H25" s="185" t="s">
        <v>549</v>
      </c>
      <c r="I25" s="196" t="s">
        <v>838</v>
      </c>
      <c r="J25" s="197">
        <v>10</v>
      </c>
      <c r="K25" s="38">
        <v>4.55</v>
      </c>
      <c r="L25" s="199">
        <f t="shared" si="56"/>
        <v>45.5</v>
      </c>
      <c r="M25" s="209">
        <v>8.2200000000000006</v>
      </c>
      <c r="N25" s="12">
        <f t="shared" si="57"/>
        <v>37.401000000000003</v>
      </c>
      <c r="O25" s="42">
        <f t="shared" si="58"/>
        <v>374.01000000000005</v>
      </c>
      <c r="P25" s="69"/>
      <c r="R25" s="67" t="str">
        <f>IF(H25="","",VLOOKUP(H25,'DATOS CLIENTES'!B:F,5,FALSE))</f>
        <v>PUNTO FIJO</v>
      </c>
      <c r="S25" s="67">
        <f t="shared" si="14"/>
        <v>0</v>
      </c>
      <c r="U25" s="68">
        <f t="shared" si="6"/>
        <v>0</v>
      </c>
      <c r="V25" s="68">
        <f t="shared" si="7"/>
        <v>0</v>
      </c>
      <c r="X25" s="67">
        <f t="shared" si="15"/>
        <v>7</v>
      </c>
      <c r="Y25" s="67" t="str">
        <f t="shared" si="16"/>
        <v/>
      </c>
      <c r="Z25" s="67" t="str">
        <f t="shared" si="17"/>
        <v/>
      </c>
      <c r="AA25" s="67" t="str">
        <f t="shared" si="18"/>
        <v/>
      </c>
      <c r="AB25" s="219" t="str">
        <f t="shared" si="19"/>
        <v/>
      </c>
      <c r="AC25" s="67" t="str">
        <f t="shared" si="20"/>
        <v/>
      </c>
      <c r="AD25" s="67" t="str">
        <f t="shared" si="21"/>
        <v/>
      </c>
      <c r="AE25" s="67" t="str">
        <f t="shared" si="22"/>
        <v/>
      </c>
      <c r="AF25" s="67" t="str">
        <f t="shared" si="23"/>
        <v/>
      </c>
      <c r="AG25" s="67" t="str">
        <f t="shared" si="24"/>
        <v/>
      </c>
    </row>
    <row r="26" spans="1:38">
      <c r="A26" s="18" t="str">
        <f t="shared" si="0"/>
        <v>4`00001887</v>
      </c>
      <c r="B26" s="211" t="s">
        <v>1412</v>
      </c>
      <c r="C26" s="57" t="s">
        <v>946</v>
      </c>
      <c r="D26" s="43">
        <f t="shared" si="59"/>
        <v>6</v>
      </c>
      <c r="E26" s="58">
        <f t="shared" si="60"/>
        <v>4</v>
      </c>
      <c r="F26" s="89" t="s">
        <v>1743</v>
      </c>
      <c r="G26" s="198">
        <v>44846</v>
      </c>
      <c r="H26" s="185" t="s">
        <v>549</v>
      </c>
      <c r="I26" s="196" t="s">
        <v>983</v>
      </c>
      <c r="J26" s="197">
        <v>10</v>
      </c>
      <c r="K26" s="38">
        <v>7</v>
      </c>
      <c r="L26" s="199">
        <f t="shared" si="56"/>
        <v>70</v>
      </c>
      <c r="M26" s="209">
        <v>8.2200000000000006</v>
      </c>
      <c r="N26" s="12">
        <f t="shared" si="57"/>
        <v>57.540000000000006</v>
      </c>
      <c r="O26" s="42">
        <f t="shared" si="58"/>
        <v>575.40000000000009</v>
      </c>
      <c r="P26" s="69"/>
      <c r="R26" s="67" t="str">
        <f>IF(H26="","",VLOOKUP(H26,'DATOS CLIENTES'!B:F,5,FALSE))</f>
        <v>PUNTO FIJO</v>
      </c>
      <c r="S26" s="67">
        <f t="shared" si="14"/>
        <v>0</v>
      </c>
      <c r="U26" s="68">
        <f t="shared" si="6"/>
        <v>0</v>
      </c>
      <c r="V26" s="68">
        <f t="shared" si="7"/>
        <v>0</v>
      </c>
      <c r="X26" s="67">
        <f t="shared" si="15"/>
        <v>7</v>
      </c>
      <c r="Y26" s="67" t="str">
        <f t="shared" si="16"/>
        <v/>
      </c>
      <c r="Z26" s="67" t="str">
        <f t="shared" si="17"/>
        <v/>
      </c>
      <c r="AA26" s="67" t="str">
        <f t="shared" si="18"/>
        <v/>
      </c>
      <c r="AB26" s="219" t="str">
        <f t="shared" si="19"/>
        <v/>
      </c>
      <c r="AC26" s="67" t="str">
        <f t="shared" si="20"/>
        <v/>
      </c>
      <c r="AD26" s="67" t="str">
        <f t="shared" si="21"/>
        <v/>
      </c>
      <c r="AE26" s="67" t="str">
        <f t="shared" si="22"/>
        <v/>
      </c>
      <c r="AF26" s="67" t="str">
        <f t="shared" si="23"/>
        <v/>
      </c>
      <c r="AG26" s="67" t="str">
        <f t="shared" si="24"/>
        <v/>
      </c>
    </row>
    <row r="27" spans="1:38">
      <c r="A27" s="18" t="str">
        <f t="shared" si="0"/>
        <v>5`00001887</v>
      </c>
      <c r="B27" s="211" t="s">
        <v>1412</v>
      </c>
      <c r="C27" s="57" t="s">
        <v>946</v>
      </c>
      <c r="D27" s="43">
        <f t="shared" si="59"/>
        <v>6</v>
      </c>
      <c r="E27" s="58">
        <f t="shared" si="60"/>
        <v>5</v>
      </c>
      <c r="F27" s="89" t="s">
        <v>1743</v>
      </c>
      <c r="G27" s="198">
        <v>44846</v>
      </c>
      <c r="H27" s="185" t="s">
        <v>549</v>
      </c>
      <c r="I27" s="196" t="s">
        <v>538</v>
      </c>
      <c r="J27" s="197">
        <v>10</v>
      </c>
      <c r="K27" s="38">
        <v>1.96</v>
      </c>
      <c r="L27" s="199">
        <f t="shared" si="56"/>
        <v>19.600000000000001</v>
      </c>
      <c r="M27" s="209">
        <v>9.1</v>
      </c>
      <c r="N27" s="12">
        <f t="shared" si="57"/>
        <v>17.835999999999999</v>
      </c>
      <c r="O27" s="42">
        <f t="shared" si="58"/>
        <v>178.35999999999999</v>
      </c>
      <c r="P27" s="69"/>
      <c r="R27" s="67" t="str">
        <f>IF(H27="","",VLOOKUP(H27,'DATOS CLIENTES'!B:F,5,FALSE))</f>
        <v>PUNTO FIJO</v>
      </c>
      <c r="S27" s="67">
        <f t="shared" si="14"/>
        <v>0</v>
      </c>
      <c r="U27" s="68">
        <f t="shared" si="6"/>
        <v>0</v>
      </c>
      <c r="V27" s="68">
        <f t="shared" si="7"/>
        <v>0</v>
      </c>
      <c r="X27" s="67">
        <f t="shared" si="15"/>
        <v>7</v>
      </c>
      <c r="Y27" s="67" t="str">
        <f t="shared" si="16"/>
        <v/>
      </c>
      <c r="Z27" s="67" t="str">
        <f t="shared" si="17"/>
        <v/>
      </c>
      <c r="AA27" s="67" t="str">
        <f t="shared" si="18"/>
        <v/>
      </c>
      <c r="AB27" s="219" t="str">
        <f t="shared" si="19"/>
        <v/>
      </c>
      <c r="AC27" s="67" t="str">
        <f t="shared" si="20"/>
        <v/>
      </c>
      <c r="AD27" s="67" t="str">
        <f t="shared" si="21"/>
        <v/>
      </c>
      <c r="AE27" s="67" t="str">
        <f t="shared" si="22"/>
        <v/>
      </c>
      <c r="AF27" s="67" t="str">
        <f t="shared" si="23"/>
        <v/>
      </c>
      <c r="AG27" s="67" t="str">
        <f t="shared" si="24"/>
        <v/>
      </c>
    </row>
    <row r="28" spans="1:38">
      <c r="A28" s="18" t="str">
        <f t="shared" si="0"/>
        <v>1`00001891</v>
      </c>
      <c r="B28" s="211" t="s">
        <v>1412</v>
      </c>
      <c r="C28" s="57" t="s">
        <v>946</v>
      </c>
      <c r="D28" s="43">
        <f t="shared" ref="D28" si="61">IF(OR(H28="",AND(H28=H27,G28=G27)),D27,D27+1)</f>
        <v>7</v>
      </c>
      <c r="E28" s="58">
        <f t="shared" ref="E28" si="62">IF(F28="","",IF(OR(F28=0,F28=F27),E27+1,1))</f>
        <v>1</v>
      </c>
      <c r="F28" s="89" t="s">
        <v>1745</v>
      </c>
      <c r="G28" s="198">
        <v>44876</v>
      </c>
      <c r="H28" s="185" t="s">
        <v>549</v>
      </c>
      <c r="I28" s="196" t="s">
        <v>75</v>
      </c>
      <c r="J28" s="197">
        <v>50</v>
      </c>
      <c r="K28" s="38">
        <v>1.95</v>
      </c>
      <c r="L28" s="199">
        <f t="shared" ref="L28:L31" si="63">ROUND(K28*J28,2)</f>
        <v>97.5</v>
      </c>
      <c r="M28" s="209">
        <v>9.1</v>
      </c>
      <c r="N28" s="12">
        <f t="shared" ref="N28:N31" si="64">M28*K28</f>
        <v>17.744999999999997</v>
      </c>
      <c r="O28" s="42">
        <f t="shared" ref="O28:O31" si="65">N28*J28</f>
        <v>887.24999999999989</v>
      </c>
      <c r="P28" s="69"/>
      <c r="R28" s="67" t="str">
        <f>IF(H28="","",VLOOKUP(H28,'DATOS CLIENTES'!B:F,5,FALSE))</f>
        <v>PUNTO FIJO</v>
      </c>
      <c r="S28" s="67">
        <f t="shared" si="14"/>
        <v>0</v>
      </c>
      <c r="U28" s="68">
        <f t="shared" si="6"/>
        <v>0</v>
      </c>
      <c r="V28" s="68">
        <f t="shared" si="7"/>
        <v>0</v>
      </c>
      <c r="X28" s="67">
        <f t="shared" si="15"/>
        <v>7</v>
      </c>
      <c r="Y28" s="67" t="str">
        <f t="shared" si="16"/>
        <v/>
      </c>
      <c r="Z28" s="67" t="str">
        <f t="shared" si="17"/>
        <v/>
      </c>
      <c r="AA28" s="67" t="str">
        <f t="shared" si="18"/>
        <v/>
      </c>
      <c r="AB28" s="219" t="str">
        <f t="shared" si="19"/>
        <v/>
      </c>
      <c r="AC28" s="67" t="str">
        <f t="shared" si="20"/>
        <v/>
      </c>
      <c r="AD28" s="67" t="str">
        <f t="shared" si="21"/>
        <v/>
      </c>
      <c r="AE28" s="67" t="str">
        <f t="shared" si="22"/>
        <v/>
      </c>
      <c r="AF28" s="67" t="str">
        <f t="shared" si="23"/>
        <v/>
      </c>
      <c r="AG28" s="67" t="str">
        <f t="shared" si="24"/>
        <v/>
      </c>
    </row>
    <row r="29" spans="1:38">
      <c r="A29" s="18" t="str">
        <f t="shared" si="0"/>
        <v>2`00001891</v>
      </c>
      <c r="B29" s="211" t="s">
        <v>1412</v>
      </c>
      <c r="C29" s="57" t="s">
        <v>946</v>
      </c>
      <c r="D29" s="43">
        <f t="shared" ref="D29:D31" si="66">IF(OR(H29="",AND(H29=H28,G29=G28)),D28,D28+1)</f>
        <v>7</v>
      </c>
      <c r="E29" s="58">
        <f t="shared" ref="E29:E31" si="67">IF(F29="","",IF(OR(F29=0,F29=F28),E28+1,1))</f>
        <v>2</v>
      </c>
      <c r="F29" s="89" t="s">
        <v>1745</v>
      </c>
      <c r="G29" s="198">
        <v>44876</v>
      </c>
      <c r="H29" s="185" t="s">
        <v>549</v>
      </c>
      <c r="I29" s="185" t="s">
        <v>838</v>
      </c>
      <c r="J29" s="197">
        <v>10</v>
      </c>
      <c r="K29" s="38">
        <v>4.55</v>
      </c>
      <c r="L29" s="199">
        <f t="shared" si="63"/>
        <v>45.5</v>
      </c>
      <c r="M29" s="209">
        <v>9.1</v>
      </c>
      <c r="N29" s="12">
        <f t="shared" si="64"/>
        <v>41.404999999999994</v>
      </c>
      <c r="O29" s="42">
        <f t="shared" si="65"/>
        <v>414.04999999999995</v>
      </c>
      <c r="P29" s="69"/>
      <c r="Q29">
        <v>2157155.4700000002</v>
      </c>
      <c r="R29" s="67" t="str">
        <f>IF(H29="","",VLOOKUP(H29,'DATOS CLIENTES'!B:F,5,FALSE))</f>
        <v>PUNTO FIJO</v>
      </c>
      <c r="S29" s="67">
        <f t="shared" si="14"/>
        <v>0</v>
      </c>
      <c r="U29" s="68">
        <f t="shared" si="6"/>
        <v>0</v>
      </c>
      <c r="V29" s="68">
        <f t="shared" si="7"/>
        <v>0</v>
      </c>
      <c r="X29" s="67">
        <f t="shared" si="15"/>
        <v>7</v>
      </c>
      <c r="Y29" s="67" t="str">
        <f t="shared" si="16"/>
        <v/>
      </c>
      <c r="Z29" s="67" t="str">
        <f t="shared" si="17"/>
        <v/>
      </c>
      <c r="AA29" s="67" t="str">
        <f t="shared" si="18"/>
        <v/>
      </c>
      <c r="AB29" s="219" t="str">
        <f t="shared" si="19"/>
        <v/>
      </c>
      <c r="AC29" s="67" t="str">
        <f t="shared" si="20"/>
        <v/>
      </c>
      <c r="AD29" s="67" t="str">
        <f t="shared" si="21"/>
        <v/>
      </c>
      <c r="AE29" s="67" t="str">
        <f t="shared" si="22"/>
        <v/>
      </c>
      <c r="AF29" s="67" t="str">
        <f t="shared" si="23"/>
        <v/>
      </c>
      <c r="AG29" s="67" t="str">
        <f t="shared" si="24"/>
        <v/>
      </c>
    </row>
    <row r="30" spans="1:38">
      <c r="A30" s="18" t="str">
        <f t="shared" si="0"/>
        <v>3`00001891</v>
      </c>
      <c r="B30" s="211" t="s">
        <v>1412</v>
      </c>
      <c r="C30" s="57" t="s">
        <v>946</v>
      </c>
      <c r="D30" s="43">
        <f t="shared" si="66"/>
        <v>7</v>
      </c>
      <c r="E30" s="58">
        <f t="shared" si="67"/>
        <v>3</v>
      </c>
      <c r="F30" s="89" t="s">
        <v>1745</v>
      </c>
      <c r="G30" s="198">
        <v>44876</v>
      </c>
      <c r="H30" s="185" t="s">
        <v>549</v>
      </c>
      <c r="I30" s="196" t="s">
        <v>983</v>
      </c>
      <c r="J30" s="197">
        <v>20</v>
      </c>
      <c r="K30" s="38">
        <v>7</v>
      </c>
      <c r="L30" s="199">
        <f t="shared" si="63"/>
        <v>140</v>
      </c>
      <c r="M30" s="209">
        <v>9.1</v>
      </c>
      <c r="N30" s="12">
        <f t="shared" si="64"/>
        <v>63.699999999999996</v>
      </c>
      <c r="O30" s="42">
        <f t="shared" si="65"/>
        <v>1274</v>
      </c>
      <c r="P30" s="69"/>
      <c r="Q30">
        <v>3751574.73</v>
      </c>
      <c r="R30" s="67" t="str">
        <f>IF(H30="","",VLOOKUP(H30,'DATOS CLIENTES'!B:F,5,FALSE))</f>
        <v>PUNTO FIJO</v>
      </c>
      <c r="S30" s="67">
        <f t="shared" si="14"/>
        <v>0</v>
      </c>
      <c r="U30" s="68">
        <f t="shared" si="6"/>
        <v>0</v>
      </c>
      <c r="V30" s="68">
        <f t="shared" si="7"/>
        <v>0</v>
      </c>
      <c r="X30" s="67">
        <f t="shared" si="15"/>
        <v>7</v>
      </c>
      <c r="Y30" s="67" t="str">
        <f t="shared" si="16"/>
        <v/>
      </c>
      <c r="Z30" s="67" t="str">
        <f t="shared" si="17"/>
        <v/>
      </c>
      <c r="AA30" s="67" t="str">
        <f t="shared" si="18"/>
        <v/>
      </c>
      <c r="AB30" s="219" t="str">
        <f t="shared" si="19"/>
        <v/>
      </c>
      <c r="AC30" s="67" t="str">
        <f t="shared" si="20"/>
        <v/>
      </c>
      <c r="AD30" s="67" t="str">
        <f t="shared" si="21"/>
        <v/>
      </c>
      <c r="AE30" s="67" t="str">
        <f t="shared" si="22"/>
        <v/>
      </c>
      <c r="AF30" s="67" t="str">
        <f t="shared" si="23"/>
        <v/>
      </c>
      <c r="AG30" s="67" t="str">
        <f t="shared" si="24"/>
        <v/>
      </c>
    </row>
    <row r="31" spans="1:38">
      <c r="A31" s="18" t="str">
        <f t="shared" si="0"/>
        <v>4`00001891</v>
      </c>
      <c r="B31" s="211" t="s">
        <v>1412</v>
      </c>
      <c r="C31" s="57" t="s">
        <v>946</v>
      </c>
      <c r="D31" s="43">
        <f t="shared" si="66"/>
        <v>7</v>
      </c>
      <c r="E31" s="58">
        <f t="shared" si="67"/>
        <v>4</v>
      </c>
      <c r="F31" s="89" t="s">
        <v>1745</v>
      </c>
      <c r="G31" s="198">
        <v>44876</v>
      </c>
      <c r="H31" s="185" t="s">
        <v>549</v>
      </c>
      <c r="I31" s="185" t="s">
        <v>632</v>
      </c>
      <c r="J31" s="197">
        <v>5</v>
      </c>
      <c r="K31" s="38">
        <v>2</v>
      </c>
      <c r="L31" s="199">
        <f t="shared" si="63"/>
        <v>10</v>
      </c>
      <c r="M31" s="209">
        <v>9.1</v>
      </c>
      <c r="N31" s="12">
        <f t="shared" si="64"/>
        <v>18.2</v>
      </c>
      <c r="O31" s="42">
        <f t="shared" si="65"/>
        <v>91</v>
      </c>
      <c r="P31" s="69"/>
      <c r="Q31">
        <v>5752500</v>
      </c>
      <c r="R31" s="67" t="str">
        <f>IF(H31="","",VLOOKUP(H31,'DATOS CLIENTES'!B:F,5,FALSE))</f>
        <v>PUNTO FIJO</v>
      </c>
      <c r="S31" s="67">
        <f t="shared" si="14"/>
        <v>0</v>
      </c>
      <c r="U31" s="68">
        <f t="shared" si="6"/>
        <v>0</v>
      </c>
      <c r="V31" s="68">
        <f t="shared" si="7"/>
        <v>0</v>
      </c>
      <c r="X31" s="67">
        <f t="shared" si="15"/>
        <v>7</v>
      </c>
      <c r="Y31" s="67" t="str">
        <f t="shared" si="16"/>
        <v/>
      </c>
      <c r="Z31" s="67" t="str">
        <f t="shared" si="17"/>
        <v/>
      </c>
      <c r="AA31" s="67" t="str">
        <f t="shared" si="18"/>
        <v/>
      </c>
      <c r="AB31" s="219" t="str">
        <f t="shared" si="19"/>
        <v/>
      </c>
      <c r="AC31" s="67" t="str">
        <f t="shared" si="20"/>
        <v/>
      </c>
      <c r="AD31" s="67" t="str">
        <f t="shared" si="21"/>
        <v/>
      </c>
      <c r="AE31" s="67" t="str">
        <f t="shared" si="22"/>
        <v/>
      </c>
      <c r="AF31" s="67" t="str">
        <f t="shared" si="23"/>
        <v/>
      </c>
      <c r="AG31" s="67" t="str">
        <f t="shared" si="24"/>
        <v/>
      </c>
    </row>
    <row r="32" spans="1:38">
      <c r="A32" s="18" t="str">
        <f t="shared" si="0"/>
        <v>1`00001892</v>
      </c>
      <c r="B32" s="211" t="s">
        <v>1412</v>
      </c>
      <c r="C32" s="57" t="s">
        <v>946</v>
      </c>
      <c r="D32" s="43">
        <f t="shared" ref="D32" si="68">IF(OR(H32="",AND(H32=H31,G32=G31)),D31,D31+1)</f>
        <v>8</v>
      </c>
      <c r="E32" s="58">
        <f t="shared" ref="E32" si="69">IF(F32="","",IF(OR(F32=0,F32=F31),E31+1,1))</f>
        <v>1</v>
      </c>
      <c r="F32" s="89" t="s">
        <v>1749</v>
      </c>
      <c r="G32" s="198">
        <v>44876</v>
      </c>
      <c r="H32" s="185" t="s">
        <v>1746</v>
      </c>
      <c r="I32" s="196" t="s">
        <v>983</v>
      </c>
      <c r="J32" s="197">
        <v>15</v>
      </c>
      <c r="K32" s="38">
        <v>7</v>
      </c>
      <c r="L32" s="199">
        <f t="shared" ref="L32" si="70">ROUND(K32*J32,2)</f>
        <v>105</v>
      </c>
      <c r="M32" s="209">
        <v>9.1</v>
      </c>
      <c r="N32" s="12">
        <f t="shared" ref="N32" si="71">M32*K32</f>
        <v>63.699999999999996</v>
      </c>
      <c r="O32" s="42">
        <f t="shared" ref="O32" si="72">N32*J32</f>
        <v>955.49999999999989</v>
      </c>
      <c r="P32" s="69"/>
      <c r="Q32">
        <v>2944500</v>
      </c>
      <c r="R32" s="67" t="str">
        <f>IF(H32="","",VLOOKUP(H32,'DATOS CLIENTES'!B:F,5,FALSE))</f>
        <v>PUNTO FIJO</v>
      </c>
      <c r="S32" s="67">
        <f t="shared" si="14"/>
        <v>0</v>
      </c>
      <c r="U32" s="68">
        <f t="shared" si="6"/>
        <v>0</v>
      </c>
      <c r="V32" s="68">
        <f t="shared" si="7"/>
        <v>0</v>
      </c>
      <c r="X32" s="67">
        <f t="shared" si="15"/>
        <v>7</v>
      </c>
      <c r="Y32" s="67" t="str">
        <f t="shared" si="16"/>
        <v/>
      </c>
      <c r="Z32" s="67" t="str">
        <f t="shared" si="17"/>
        <v/>
      </c>
      <c r="AA32" s="67" t="str">
        <f t="shared" si="18"/>
        <v/>
      </c>
      <c r="AB32" s="219" t="str">
        <f t="shared" si="19"/>
        <v/>
      </c>
      <c r="AC32" s="67" t="str">
        <f t="shared" si="20"/>
        <v/>
      </c>
      <c r="AD32" s="67" t="str">
        <f t="shared" si="21"/>
        <v/>
      </c>
      <c r="AE32" s="67" t="str">
        <f t="shared" si="22"/>
        <v/>
      </c>
      <c r="AF32" s="67" t="str">
        <f t="shared" si="23"/>
        <v/>
      </c>
      <c r="AG32" s="67" t="str">
        <f t="shared" si="24"/>
        <v/>
      </c>
    </row>
    <row r="33" spans="1:33">
      <c r="A33" s="18" t="str">
        <f t="shared" si="0"/>
        <v>1`00001893</v>
      </c>
      <c r="B33" s="211" t="s">
        <v>1412</v>
      </c>
      <c r="C33" s="57" t="s">
        <v>946</v>
      </c>
      <c r="D33" s="43">
        <f t="shared" si="1"/>
        <v>9</v>
      </c>
      <c r="E33" s="58">
        <f t="shared" si="2"/>
        <v>1</v>
      </c>
      <c r="F33" s="89" t="s">
        <v>1750</v>
      </c>
      <c r="G33" s="198">
        <v>44876</v>
      </c>
      <c r="H33" s="185" t="s">
        <v>1751</v>
      </c>
      <c r="I33" s="196" t="s">
        <v>76</v>
      </c>
      <c r="J33" s="41">
        <v>8</v>
      </c>
      <c r="K33" s="38">
        <v>1.4</v>
      </c>
      <c r="L33" s="199">
        <f t="shared" si="3"/>
        <v>11.2</v>
      </c>
      <c r="M33" s="209">
        <v>9.01</v>
      </c>
      <c r="N33" s="12">
        <f t="shared" si="4"/>
        <v>12.613999999999999</v>
      </c>
      <c r="O33" s="42">
        <f t="shared" si="5"/>
        <v>100.91199999999999</v>
      </c>
      <c r="P33" s="69"/>
      <c r="Q33">
        <v>2944500</v>
      </c>
      <c r="R33" s="67" t="str">
        <f>IF(H33="","",VLOOKUP(H33,'DATOS CLIENTES'!B:F,5,FALSE))</f>
        <v>CORO</v>
      </c>
      <c r="S33" s="67">
        <f t="shared" si="14"/>
        <v>0</v>
      </c>
      <c r="U33" s="68">
        <f t="shared" si="6"/>
        <v>72.179999999999993</v>
      </c>
      <c r="V33" s="68">
        <f t="shared" si="7"/>
        <v>650.34180000000003</v>
      </c>
      <c r="X33" s="67">
        <f t="shared" si="15"/>
        <v>8</v>
      </c>
      <c r="Y33" s="67" t="str">
        <f t="shared" si="16"/>
        <v>CHS</v>
      </c>
      <c r="Z33" s="67" t="str">
        <f t="shared" si="17"/>
        <v>FREDDY R. CH</v>
      </c>
      <c r="AA33" s="67" t="str">
        <f t="shared" si="18"/>
        <v>`00001893</v>
      </c>
      <c r="AB33" s="219">
        <f t="shared" si="19"/>
        <v>44876</v>
      </c>
      <c r="AC33" s="67" t="str">
        <f t="shared" si="20"/>
        <v>INVERSIONES FERREMADEIRA JE, C.A.</v>
      </c>
      <c r="AD33" s="67" t="str">
        <f t="shared" si="21"/>
        <v>MACROFIBRA TEREFTALATO DE DIMETILO (100 GR)</v>
      </c>
      <c r="AE33" s="67">
        <f t="shared" si="22"/>
        <v>8</v>
      </c>
      <c r="AF33" s="67">
        <f t="shared" si="23"/>
        <v>1.4</v>
      </c>
      <c r="AG33" s="67">
        <f t="shared" si="24"/>
        <v>9.01</v>
      </c>
    </row>
    <row r="34" spans="1:33">
      <c r="A34" s="18" t="str">
        <f t="shared" si="0"/>
        <v>2`00001893</v>
      </c>
      <c r="B34" s="211" t="s">
        <v>1412</v>
      </c>
      <c r="C34" s="57" t="s">
        <v>946</v>
      </c>
      <c r="D34" s="43">
        <f t="shared" ref="D34:D35" si="73">IF(OR(H34="",AND(H34=H33,G34=G33)),D33,D33+1)</f>
        <v>9</v>
      </c>
      <c r="E34" s="58">
        <f t="shared" ref="E34:E35" si="74">IF(F34="","",IF(OR(F34=0,F34=F33),E33+1,1))</f>
        <v>2</v>
      </c>
      <c r="F34" s="89" t="s">
        <v>1750</v>
      </c>
      <c r="G34" s="198">
        <v>44876</v>
      </c>
      <c r="H34" s="185" t="s">
        <v>1751</v>
      </c>
      <c r="I34" s="185" t="s">
        <v>983</v>
      </c>
      <c r="J34" s="197">
        <v>4</v>
      </c>
      <c r="K34" s="38">
        <v>7.6</v>
      </c>
      <c r="L34" s="199">
        <f t="shared" si="3"/>
        <v>30.4</v>
      </c>
      <c r="M34" s="209">
        <v>9.01</v>
      </c>
      <c r="N34" s="12">
        <f t="shared" si="4"/>
        <v>68.475999999999999</v>
      </c>
      <c r="O34" s="42">
        <f t="shared" si="5"/>
        <v>273.904</v>
      </c>
      <c r="P34" s="69"/>
      <c r="Q34">
        <v>4485000</v>
      </c>
      <c r="R34" s="67" t="str">
        <f>IF(H34="","",VLOOKUP(H34,'DATOS CLIENTES'!B:F,5,FALSE))</f>
        <v>CORO</v>
      </c>
      <c r="S34" s="67">
        <f t="shared" si="14"/>
        <v>0</v>
      </c>
      <c r="U34" s="68">
        <f t="shared" si="6"/>
        <v>72.179999999999993</v>
      </c>
      <c r="V34" s="68">
        <f t="shared" si="7"/>
        <v>650.34180000000003</v>
      </c>
      <c r="X34" s="67">
        <f t="shared" si="15"/>
        <v>9</v>
      </c>
      <c r="Y34" s="67" t="str">
        <f t="shared" si="16"/>
        <v>CHS</v>
      </c>
      <c r="Z34" s="67" t="str">
        <f t="shared" si="17"/>
        <v>FREDDY R. CH</v>
      </c>
      <c r="AA34" s="67" t="str">
        <f t="shared" si="18"/>
        <v>`00001893</v>
      </c>
      <c r="AB34" s="219">
        <f t="shared" si="19"/>
        <v>44876</v>
      </c>
      <c r="AC34" s="67" t="str">
        <f t="shared" si="20"/>
        <v>INVERSIONES FERREMADEIRA JE, C.A.</v>
      </c>
      <c r="AD34" s="67" t="str">
        <f t="shared" si="21"/>
        <v>CHS - PINTURA IMPERMEABLE - SACO 10KG</v>
      </c>
      <c r="AE34" s="67">
        <f t="shared" si="22"/>
        <v>4</v>
      </c>
      <c r="AF34" s="67">
        <f t="shared" si="23"/>
        <v>7.6</v>
      </c>
      <c r="AG34" s="67">
        <f t="shared" si="24"/>
        <v>9.01</v>
      </c>
    </row>
    <row r="35" spans="1:33">
      <c r="A35" s="18" t="str">
        <f t="shared" si="0"/>
        <v>3`00001893</v>
      </c>
      <c r="B35" s="211" t="s">
        <v>1412</v>
      </c>
      <c r="C35" s="57" t="s">
        <v>946</v>
      </c>
      <c r="D35" s="43">
        <f t="shared" si="73"/>
        <v>9</v>
      </c>
      <c r="E35" s="58">
        <f t="shared" si="74"/>
        <v>3</v>
      </c>
      <c r="F35" s="89" t="s">
        <v>1750</v>
      </c>
      <c r="G35" s="198">
        <v>44876</v>
      </c>
      <c r="H35" s="185" t="s">
        <v>1751</v>
      </c>
      <c r="I35" s="196" t="s">
        <v>515</v>
      </c>
      <c r="J35" s="197">
        <v>5</v>
      </c>
      <c r="K35" s="38">
        <v>2.5</v>
      </c>
      <c r="L35" s="199">
        <f t="shared" si="3"/>
        <v>12.5</v>
      </c>
      <c r="M35" s="209">
        <v>9.01</v>
      </c>
      <c r="N35" s="12">
        <f t="shared" si="4"/>
        <v>22.524999999999999</v>
      </c>
      <c r="O35" s="42">
        <f t="shared" si="5"/>
        <v>112.625</v>
      </c>
      <c r="P35" s="69"/>
      <c r="Q35">
        <v>8850000</v>
      </c>
      <c r="R35" s="67" t="str">
        <f>IF(H35="","",VLOOKUP(H35,'DATOS CLIENTES'!B:F,5,FALSE))</f>
        <v>CORO</v>
      </c>
      <c r="S35" s="67">
        <f t="shared" si="14"/>
        <v>0</v>
      </c>
      <c r="U35" s="68">
        <f t="shared" si="6"/>
        <v>72.179999999999993</v>
      </c>
      <c r="V35" s="68">
        <f t="shared" si="7"/>
        <v>650.34180000000003</v>
      </c>
      <c r="X35" s="67">
        <f t="shared" si="15"/>
        <v>10</v>
      </c>
      <c r="Y35" s="67" t="str">
        <f t="shared" si="16"/>
        <v>CHS</v>
      </c>
      <c r="Z35" s="67" t="str">
        <f t="shared" si="17"/>
        <v>FREDDY R. CH</v>
      </c>
      <c r="AA35" s="67" t="str">
        <f t="shared" si="18"/>
        <v>`00001893</v>
      </c>
      <c r="AB35" s="219">
        <f t="shared" si="19"/>
        <v>44876</v>
      </c>
      <c r="AC35" s="67" t="str">
        <f t="shared" si="20"/>
        <v>INVERSIONES FERREMADEIRA JE, C.A.</v>
      </c>
      <c r="AD35" s="67" t="str">
        <f t="shared" si="21"/>
        <v>CHS - PASTA EN POLVO PLUS - SACO 3KG</v>
      </c>
      <c r="AE35" s="67">
        <f t="shared" si="22"/>
        <v>5</v>
      </c>
      <c r="AF35" s="67">
        <f t="shared" si="23"/>
        <v>2.5</v>
      </c>
      <c r="AG35" s="67">
        <f t="shared" si="24"/>
        <v>9.01</v>
      </c>
    </row>
    <row r="36" spans="1:33" ht="17.25" customHeight="1">
      <c r="A36" s="18" t="str">
        <f t="shared" si="0"/>
        <v>4`00001893</v>
      </c>
      <c r="B36" s="211" t="s">
        <v>1412</v>
      </c>
      <c r="C36" s="57" t="s">
        <v>946</v>
      </c>
      <c r="D36" s="43">
        <f t="shared" ref="D36:D38" si="75">IF(OR(H36="",AND(H36=H35,G36=G35)),D35,D35+1)</f>
        <v>9</v>
      </c>
      <c r="E36" s="58">
        <f t="shared" ref="E36:E38" si="76">IF(F36="","",IF(OR(F36=0,F36=F35),E35+1,1))</f>
        <v>4</v>
      </c>
      <c r="F36" s="89" t="s">
        <v>1750</v>
      </c>
      <c r="G36" s="198">
        <v>44876</v>
      </c>
      <c r="H36" s="185" t="s">
        <v>1751</v>
      </c>
      <c r="I36" s="196" t="s">
        <v>632</v>
      </c>
      <c r="J36" s="41">
        <v>2</v>
      </c>
      <c r="K36" s="38">
        <v>2</v>
      </c>
      <c r="L36" s="199">
        <f t="shared" ref="L36:L38" si="77">ROUND(K36*J36,2)</f>
        <v>4</v>
      </c>
      <c r="M36" s="209">
        <v>9.01</v>
      </c>
      <c r="N36" s="12">
        <f t="shared" ref="N36:N38" si="78">M36*K36</f>
        <v>18.02</v>
      </c>
      <c r="O36" s="42">
        <f t="shared" ref="O36:O38" si="79">N36*J36</f>
        <v>36.04</v>
      </c>
      <c r="P36" s="69"/>
      <c r="Q36">
        <v>15720000</v>
      </c>
      <c r="R36" s="67" t="str">
        <f>IF(H36="","",VLOOKUP(H36,'DATOS CLIENTES'!B:F,5,FALSE))</f>
        <v>CORO</v>
      </c>
      <c r="S36" s="67">
        <f t="shared" si="14"/>
        <v>0</v>
      </c>
      <c r="U36" s="68">
        <f t="shared" si="6"/>
        <v>72.179999999999993</v>
      </c>
      <c r="V36" s="68">
        <f t="shared" si="7"/>
        <v>650.34180000000003</v>
      </c>
      <c r="X36" s="67">
        <f t="shared" si="15"/>
        <v>11</v>
      </c>
      <c r="Y36" s="67" t="str">
        <f t="shared" si="16"/>
        <v>CHS</v>
      </c>
      <c r="Z36" s="67" t="str">
        <f t="shared" si="17"/>
        <v>FREDDY R. CH</v>
      </c>
      <c r="AA36" s="67" t="str">
        <f t="shared" si="18"/>
        <v>`00001893</v>
      </c>
      <c r="AB36" s="219">
        <f t="shared" si="19"/>
        <v>44876</v>
      </c>
      <c r="AC36" s="67" t="str">
        <f t="shared" si="20"/>
        <v>INVERSIONES FERREMADEIRA JE, C.A.</v>
      </c>
      <c r="AD36" s="67" t="str">
        <f t="shared" si="21"/>
        <v>CHS - BASE RENDIDORA PINTURA (1,25 KG)</v>
      </c>
      <c r="AE36" s="67">
        <f t="shared" si="22"/>
        <v>2</v>
      </c>
      <c r="AF36" s="67">
        <f t="shared" si="23"/>
        <v>2</v>
      </c>
      <c r="AG36" s="67">
        <f t="shared" si="24"/>
        <v>9.01</v>
      </c>
    </row>
    <row r="37" spans="1:33" ht="17.25" customHeight="1">
      <c r="A37" s="18" t="str">
        <f t="shared" si="0"/>
        <v>5`00001893</v>
      </c>
      <c r="B37" s="211" t="s">
        <v>1412</v>
      </c>
      <c r="C37" s="57" t="s">
        <v>946</v>
      </c>
      <c r="D37" s="43">
        <f t="shared" si="75"/>
        <v>9</v>
      </c>
      <c r="E37" s="58">
        <f t="shared" si="76"/>
        <v>5</v>
      </c>
      <c r="F37" s="89" t="s">
        <v>1750</v>
      </c>
      <c r="G37" s="198">
        <v>44876</v>
      </c>
      <c r="H37" s="185" t="s">
        <v>1751</v>
      </c>
      <c r="I37" s="196" t="s">
        <v>480</v>
      </c>
      <c r="J37" s="197">
        <v>4</v>
      </c>
      <c r="K37" s="38">
        <v>0.72</v>
      </c>
      <c r="L37" s="199">
        <f t="shared" si="77"/>
        <v>2.88</v>
      </c>
      <c r="M37" s="209">
        <v>9.01</v>
      </c>
      <c r="N37" s="12">
        <f t="shared" si="78"/>
        <v>6.4871999999999996</v>
      </c>
      <c r="O37" s="42">
        <f t="shared" si="79"/>
        <v>25.948799999999999</v>
      </c>
      <c r="P37" s="69"/>
      <c r="Q37">
        <v>9750000</v>
      </c>
      <c r="R37" s="67" t="str">
        <f>IF(H37="","",VLOOKUP(H37,'DATOS CLIENTES'!B:F,5,FALSE))</f>
        <v>CORO</v>
      </c>
      <c r="S37" s="67">
        <f t="shared" si="14"/>
        <v>0</v>
      </c>
      <c r="U37" s="68">
        <f t="shared" si="6"/>
        <v>72.179999999999993</v>
      </c>
      <c r="V37" s="68">
        <f t="shared" si="7"/>
        <v>650.34180000000003</v>
      </c>
      <c r="X37" s="67">
        <f t="shared" si="15"/>
        <v>12</v>
      </c>
      <c r="Y37" s="67" t="str">
        <f t="shared" si="16"/>
        <v>CHS</v>
      </c>
      <c r="Z37" s="67" t="str">
        <f t="shared" si="17"/>
        <v>FREDDY R. CH</v>
      </c>
      <c r="AA37" s="67" t="str">
        <f t="shared" si="18"/>
        <v>`00001893</v>
      </c>
      <c r="AB37" s="219">
        <f t="shared" si="19"/>
        <v>44876</v>
      </c>
      <c r="AC37" s="67" t="str">
        <f t="shared" si="20"/>
        <v>INVERSIONES FERREMADEIRA JE, C.A.</v>
      </c>
      <c r="AD37" s="67" t="str">
        <f t="shared" si="21"/>
        <v>CHS - PASTA EN POLVO - SACO 0,75 KG</v>
      </c>
      <c r="AE37" s="67">
        <f t="shared" si="22"/>
        <v>4</v>
      </c>
      <c r="AF37" s="67">
        <f t="shared" si="23"/>
        <v>0.72</v>
      </c>
      <c r="AG37" s="67">
        <f t="shared" si="24"/>
        <v>9.01</v>
      </c>
    </row>
    <row r="38" spans="1:33">
      <c r="A38" s="18" t="str">
        <f t="shared" si="0"/>
        <v>6`00001893</v>
      </c>
      <c r="B38" s="211" t="s">
        <v>1412</v>
      </c>
      <c r="C38" s="57" t="s">
        <v>946</v>
      </c>
      <c r="D38" s="43">
        <f t="shared" si="75"/>
        <v>9</v>
      </c>
      <c r="E38" s="58">
        <f t="shared" si="76"/>
        <v>6</v>
      </c>
      <c r="F38" s="89" t="s">
        <v>1750</v>
      </c>
      <c r="G38" s="198">
        <v>44876</v>
      </c>
      <c r="H38" s="185" t="s">
        <v>1751</v>
      </c>
      <c r="I38" s="185" t="s">
        <v>838</v>
      </c>
      <c r="J38" s="197">
        <v>2</v>
      </c>
      <c r="K38" s="38">
        <v>5.6</v>
      </c>
      <c r="L38" s="199">
        <f t="shared" si="77"/>
        <v>11.2</v>
      </c>
      <c r="M38" s="209">
        <v>9.01</v>
      </c>
      <c r="N38" s="12">
        <f t="shared" si="78"/>
        <v>50.455999999999996</v>
      </c>
      <c r="O38" s="42">
        <f t="shared" si="79"/>
        <v>100.91199999999999</v>
      </c>
      <c r="P38" s="69"/>
      <c r="Q38">
        <v>4530000</v>
      </c>
      <c r="R38" s="67" t="str">
        <f>IF(H38="","",VLOOKUP(H38,'DATOS CLIENTES'!B:F,5,FALSE))</f>
        <v>CORO</v>
      </c>
      <c r="S38" s="67">
        <f t="shared" si="14"/>
        <v>0</v>
      </c>
      <c r="U38" s="68">
        <f t="shared" si="6"/>
        <v>72.179999999999993</v>
      </c>
      <c r="V38" s="68">
        <f t="shared" si="7"/>
        <v>650.34180000000003</v>
      </c>
      <c r="X38" s="67">
        <f t="shared" si="15"/>
        <v>13</v>
      </c>
      <c r="Y38" s="67" t="str">
        <f t="shared" si="16"/>
        <v>CHS</v>
      </c>
      <c r="Z38" s="67" t="str">
        <f t="shared" si="17"/>
        <v>FREDDY R. CH</v>
      </c>
      <c r="AA38" s="67" t="str">
        <f t="shared" si="18"/>
        <v>`00001893</v>
      </c>
      <c r="AB38" s="219">
        <f t="shared" si="19"/>
        <v>44876</v>
      </c>
      <c r="AC38" s="67" t="str">
        <f t="shared" si="20"/>
        <v>INVERSIONES FERREMADEIRA JE, C.A.</v>
      </c>
      <c r="AD38" s="67" t="str">
        <f t="shared" si="21"/>
        <v>CHS - GRAFIADO EN POLVO - SACO 15KG</v>
      </c>
      <c r="AE38" s="67">
        <f t="shared" si="22"/>
        <v>2</v>
      </c>
      <c r="AF38" s="67">
        <f t="shared" si="23"/>
        <v>5.6</v>
      </c>
      <c r="AG38" s="67">
        <f t="shared" si="24"/>
        <v>9.01</v>
      </c>
    </row>
    <row r="39" spans="1:33">
      <c r="A39" s="18" t="str">
        <f t="shared" si="0"/>
        <v>1`00001895</v>
      </c>
      <c r="B39" s="211" t="s">
        <v>1412</v>
      </c>
      <c r="C39" s="57" t="s">
        <v>946</v>
      </c>
      <c r="D39" s="43">
        <f t="shared" ref="D39" si="80">IF(OR(H39="",AND(H39=H38,G39=G38)),D38,D38+1)</f>
        <v>10</v>
      </c>
      <c r="E39" s="58">
        <f t="shared" ref="E39" si="81">IF(F39="","",IF(OR(F39=0,F39=F38),E38+1,1))</f>
        <v>1</v>
      </c>
      <c r="F39" s="89" t="s">
        <v>1753</v>
      </c>
      <c r="G39" s="198">
        <v>44882</v>
      </c>
      <c r="H39" s="185" t="s">
        <v>1024</v>
      </c>
      <c r="I39" s="185" t="s">
        <v>983</v>
      </c>
      <c r="J39" s="197">
        <v>4</v>
      </c>
      <c r="K39" s="38">
        <v>7.6</v>
      </c>
      <c r="L39" s="199">
        <f t="shared" ref="L39:L45" si="82">ROUND(K39*J39,2)</f>
        <v>30.4</v>
      </c>
      <c r="M39" s="209">
        <v>9.56</v>
      </c>
      <c r="N39" s="12">
        <f t="shared" ref="N39:N45" si="83">M39*K39</f>
        <v>72.656000000000006</v>
      </c>
      <c r="O39" s="42">
        <f t="shared" ref="O39:O45" si="84">N39*J39</f>
        <v>290.62400000000002</v>
      </c>
      <c r="P39" s="69"/>
      <c r="Q39">
        <v>6900000</v>
      </c>
      <c r="R39" s="67" t="str">
        <f>IF(H39="","",VLOOKUP(H39,'DATOS CLIENTES'!B:F,5,FALSE))</f>
        <v>CORO</v>
      </c>
      <c r="S39" s="67">
        <f t="shared" si="14"/>
        <v>0</v>
      </c>
      <c r="U39" s="68">
        <f t="shared" si="6"/>
        <v>60.099999999999994</v>
      </c>
      <c r="V39" s="68">
        <f t="shared" si="7"/>
        <v>574.55600000000004</v>
      </c>
      <c r="X39" s="67">
        <f t="shared" si="15"/>
        <v>14</v>
      </c>
      <c r="Y39" s="67" t="str">
        <f t="shared" si="16"/>
        <v>CHS</v>
      </c>
      <c r="Z39" s="67" t="str">
        <f t="shared" si="17"/>
        <v>FREDDY R. CH</v>
      </c>
      <c r="AA39" s="67" t="str">
        <f t="shared" si="18"/>
        <v>`00001895</v>
      </c>
      <c r="AB39" s="219">
        <f t="shared" si="19"/>
        <v>44882</v>
      </c>
      <c r="AC39" s="67" t="str">
        <f t="shared" si="20"/>
        <v>FERRETERIA MONTE ALTO F.E., C.A.</v>
      </c>
      <c r="AD39" s="67" t="str">
        <f t="shared" si="21"/>
        <v>CHS - PINTURA IMPERMEABLE - SACO 10KG</v>
      </c>
      <c r="AE39" s="67">
        <f t="shared" si="22"/>
        <v>4</v>
      </c>
      <c r="AF39" s="67">
        <f t="shared" si="23"/>
        <v>7.6</v>
      </c>
      <c r="AG39" s="67">
        <f t="shared" si="24"/>
        <v>9.56</v>
      </c>
    </row>
    <row r="40" spans="1:33">
      <c r="A40" s="18" t="str">
        <f t="shared" si="0"/>
        <v>2`00001895</v>
      </c>
      <c r="B40" s="211" t="s">
        <v>1412</v>
      </c>
      <c r="C40" s="57" t="s">
        <v>946</v>
      </c>
      <c r="D40" s="43">
        <f t="shared" ref="D40:D41" si="85">IF(OR(H40="",AND(H40=H39,G40=G39)),D39,D39+1)</f>
        <v>10</v>
      </c>
      <c r="E40" s="58">
        <f t="shared" ref="E40:E41" si="86">IF(F40="","",IF(OR(F40=0,F40=F39),E39+1,1))</f>
        <v>2</v>
      </c>
      <c r="F40" s="89" t="s">
        <v>1753</v>
      </c>
      <c r="G40" s="198">
        <v>44882</v>
      </c>
      <c r="H40" s="185" t="s">
        <v>1024</v>
      </c>
      <c r="I40" s="196" t="s">
        <v>515</v>
      </c>
      <c r="J40" s="197">
        <v>6</v>
      </c>
      <c r="K40" s="38">
        <v>2.5</v>
      </c>
      <c r="L40" s="199">
        <f t="shared" si="82"/>
        <v>15</v>
      </c>
      <c r="M40" s="209">
        <v>9.56</v>
      </c>
      <c r="N40" s="12">
        <f t="shared" si="83"/>
        <v>23.900000000000002</v>
      </c>
      <c r="O40" s="42">
        <f t="shared" si="84"/>
        <v>143.4</v>
      </c>
      <c r="P40" s="69"/>
      <c r="Q40">
        <v>15720000</v>
      </c>
      <c r="R40" s="67" t="str">
        <f>IF(H40="","",VLOOKUP(H40,'DATOS CLIENTES'!B:F,5,FALSE))</f>
        <v>CORO</v>
      </c>
      <c r="S40" s="67">
        <f t="shared" si="14"/>
        <v>0</v>
      </c>
      <c r="U40" s="68">
        <f t="shared" si="6"/>
        <v>60.099999999999994</v>
      </c>
      <c r="V40" s="68">
        <f t="shared" si="7"/>
        <v>574.55600000000004</v>
      </c>
      <c r="X40" s="67">
        <f t="shared" si="15"/>
        <v>15</v>
      </c>
      <c r="Y40" s="67" t="str">
        <f t="shared" si="16"/>
        <v>CHS</v>
      </c>
      <c r="Z40" s="67" t="str">
        <f t="shared" si="17"/>
        <v>FREDDY R. CH</v>
      </c>
      <c r="AA40" s="67" t="str">
        <f t="shared" si="18"/>
        <v>`00001895</v>
      </c>
      <c r="AB40" s="219">
        <f t="shared" si="19"/>
        <v>44882</v>
      </c>
      <c r="AC40" s="67" t="str">
        <f t="shared" si="20"/>
        <v>FERRETERIA MONTE ALTO F.E., C.A.</v>
      </c>
      <c r="AD40" s="67" t="str">
        <f t="shared" si="21"/>
        <v>CHS - PASTA EN POLVO PLUS - SACO 3KG</v>
      </c>
      <c r="AE40" s="67">
        <f t="shared" si="22"/>
        <v>6</v>
      </c>
      <c r="AF40" s="67">
        <f t="shared" si="23"/>
        <v>2.5</v>
      </c>
      <c r="AG40" s="67">
        <f t="shared" si="24"/>
        <v>9.56</v>
      </c>
    </row>
    <row r="41" spans="1:33">
      <c r="A41" s="18" t="str">
        <f t="shared" si="0"/>
        <v>3`00001895</v>
      </c>
      <c r="B41" s="211" t="s">
        <v>1412</v>
      </c>
      <c r="C41" s="57" t="s">
        <v>946</v>
      </c>
      <c r="D41" s="43">
        <f t="shared" si="85"/>
        <v>10</v>
      </c>
      <c r="E41" s="58">
        <f t="shared" si="86"/>
        <v>3</v>
      </c>
      <c r="F41" s="89" t="s">
        <v>1753</v>
      </c>
      <c r="G41" s="198">
        <v>44882</v>
      </c>
      <c r="H41" s="185" t="s">
        <v>1024</v>
      </c>
      <c r="I41" s="196" t="s">
        <v>681</v>
      </c>
      <c r="J41" s="197">
        <v>6</v>
      </c>
      <c r="K41" s="38">
        <v>2.4500000000000002</v>
      </c>
      <c r="L41" s="199">
        <f t="shared" si="82"/>
        <v>14.7</v>
      </c>
      <c r="M41" s="209">
        <v>9.56</v>
      </c>
      <c r="N41" s="12">
        <f t="shared" si="83"/>
        <v>23.422000000000004</v>
      </c>
      <c r="O41" s="42">
        <f t="shared" si="84"/>
        <v>140.53200000000004</v>
      </c>
      <c r="P41" s="69"/>
      <c r="Q41">
        <v>2070000</v>
      </c>
      <c r="R41" s="67" t="str">
        <f>IF(H41="","",VLOOKUP(H41,'DATOS CLIENTES'!B:F,5,FALSE))</f>
        <v>CORO</v>
      </c>
      <c r="S41" s="67">
        <f t="shared" si="14"/>
        <v>0</v>
      </c>
      <c r="U41" s="68">
        <f t="shared" si="6"/>
        <v>60.099999999999994</v>
      </c>
      <c r="V41" s="68">
        <f t="shared" si="7"/>
        <v>574.55600000000004</v>
      </c>
      <c r="X41" s="67">
        <f t="shared" si="15"/>
        <v>16</v>
      </c>
      <c r="Y41" s="67" t="str">
        <f t="shared" si="16"/>
        <v>CHS</v>
      </c>
      <c r="Z41" s="67" t="str">
        <f t="shared" si="17"/>
        <v>FREDDY R. CH</v>
      </c>
      <c r="AA41" s="67" t="str">
        <f t="shared" si="18"/>
        <v>`00001895</v>
      </c>
      <c r="AB41" s="219">
        <f t="shared" si="19"/>
        <v>44882</v>
      </c>
      <c r="AC41" s="67" t="str">
        <f t="shared" si="20"/>
        <v>FERRETERIA MONTE ALTO F.E., C.A.</v>
      </c>
      <c r="AD41" s="67" t="str">
        <f t="shared" si="21"/>
        <v>CHS - PEGO GRIS - SACO 10KG</v>
      </c>
      <c r="AE41" s="67">
        <f t="shared" si="22"/>
        <v>6</v>
      </c>
      <c r="AF41" s="67">
        <f t="shared" si="23"/>
        <v>2.4500000000000002</v>
      </c>
      <c r="AG41" s="67">
        <f t="shared" si="24"/>
        <v>9.56</v>
      </c>
    </row>
    <row r="42" spans="1:33" ht="15.75" customHeight="1">
      <c r="A42" s="18" t="str">
        <f t="shared" si="0"/>
        <v>1`00001897</v>
      </c>
      <c r="B42" s="211" t="s">
        <v>927</v>
      </c>
      <c r="C42" s="57" t="s">
        <v>946</v>
      </c>
      <c r="D42" s="43">
        <v>78</v>
      </c>
      <c r="E42" s="58">
        <v>1</v>
      </c>
      <c r="F42" s="89" t="s">
        <v>1755</v>
      </c>
      <c r="G42" s="198">
        <v>44889</v>
      </c>
      <c r="H42" s="185" t="s">
        <v>1754</v>
      </c>
      <c r="I42" s="196" t="s">
        <v>983</v>
      </c>
      <c r="J42" s="197">
        <v>40</v>
      </c>
      <c r="K42" s="38">
        <v>7.6</v>
      </c>
      <c r="L42" s="199">
        <f t="shared" si="82"/>
        <v>304</v>
      </c>
      <c r="M42" s="209">
        <f>IF(F42="",0,IF(SUMIF('REPORTE GASTOS'!$C$6:$C$208,F42,'REPORTE GASTOS'!$G$6:$G$208)=0,'LISTA DE PRECIOS'!$H$3,SUMIF('REPORTE GASTOS'!$C$6:$C$208,F42,'REPORTE GASTOS'!$I$6:$I$208)/SUMIF('REPORTE GASTOS'!$C$6:$C$208,F42,'REPORTE GASTOS'!$G$6:$G$208)))</f>
        <v>5.0999999999999996</v>
      </c>
      <c r="N42" s="12">
        <f t="shared" si="83"/>
        <v>38.76</v>
      </c>
      <c r="O42" s="42">
        <f t="shared" si="84"/>
        <v>1550.3999999999999</v>
      </c>
      <c r="P42" s="69"/>
      <c r="Q42">
        <v>5220000</v>
      </c>
      <c r="R42" s="67" t="e">
        <f>IF(H42="","",VLOOKUP(H42,'DATOS CLIENTES'!B:F,5,FALSE))</f>
        <v>#N/A</v>
      </c>
      <c r="S42" s="67" t="str">
        <f t="shared" si="14"/>
        <v>001</v>
      </c>
      <c r="U42" s="68" t="e">
        <f t="shared" si="6"/>
        <v>#N/A</v>
      </c>
      <c r="V42" s="68" t="e">
        <f t="shared" si="7"/>
        <v>#N/A</v>
      </c>
      <c r="X42" s="67" t="e">
        <f t="shared" si="15"/>
        <v>#N/A</v>
      </c>
      <c r="Y42" s="67" t="e">
        <f t="shared" si="16"/>
        <v>#N/A</v>
      </c>
      <c r="Z42" s="67" t="e">
        <f t="shared" si="17"/>
        <v>#N/A</v>
      </c>
      <c r="AA42" s="67" t="e">
        <f t="shared" si="18"/>
        <v>#N/A</v>
      </c>
      <c r="AB42" s="219" t="e">
        <f t="shared" si="19"/>
        <v>#N/A</v>
      </c>
      <c r="AC42" s="67" t="e">
        <f t="shared" si="20"/>
        <v>#N/A</v>
      </c>
      <c r="AD42" s="67" t="e">
        <f t="shared" si="21"/>
        <v>#N/A</v>
      </c>
      <c r="AE42" s="67" t="e">
        <f t="shared" si="22"/>
        <v>#N/A</v>
      </c>
      <c r="AF42" s="67" t="e">
        <f t="shared" si="23"/>
        <v>#N/A</v>
      </c>
      <c r="AG42" s="67" t="e">
        <f t="shared" si="24"/>
        <v>#N/A</v>
      </c>
    </row>
    <row r="43" spans="1:33">
      <c r="A43" s="18" t="str">
        <f t="shared" si="0"/>
        <v>2`00001897</v>
      </c>
      <c r="B43" s="211" t="s">
        <v>927</v>
      </c>
      <c r="C43" s="57" t="s">
        <v>946</v>
      </c>
      <c r="D43" s="43">
        <v>78</v>
      </c>
      <c r="E43" s="58">
        <v>2</v>
      </c>
      <c r="F43" s="89" t="s">
        <v>1755</v>
      </c>
      <c r="G43" s="198">
        <v>44889</v>
      </c>
      <c r="H43" s="185" t="s">
        <v>1754</v>
      </c>
      <c r="I43" s="196" t="s">
        <v>1236</v>
      </c>
      <c r="J43" s="197">
        <v>103</v>
      </c>
      <c r="K43" s="38">
        <v>0.95</v>
      </c>
      <c r="L43" s="199">
        <f t="shared" si="82"/>
        <v>97.85</v>
      </c>
      <c r="M43" s="209">
        <f>IF(F43="",0,IF(SUMIF('REPORTE GASTOS'!$C$6:$C$208,F43,'REPORTE GASTOS'!$G$6:$G$208)=0,'LISTA DE PRECIOS'!$H$3,SUMIF('REPORTE GASTOS'!$C$6:$C$208,F43,'REPORTE GASTOS'!$I$6:$I$208)/SUMIF('REPORTE GASTOS'!$C$6:$C$208,F43,'REPORTE GASTOS'!$G$6:$G$208)))</f>
        <v>5.0999999999999996</v>
      </c>
      <c r="N43" s="12">
        <f t="shared" si="83"/>
        <v>4.8449999999999998</v>
      </c>
      <c r="O43" s="42">
        <f t="shared" si="84"/>
        <v>499.03499999999997</v>
      </c>
      <c r="P43" s="69"/>
      <c r="Q43">
        <v>15720000</v>
      </c>
      <c r="R43" s="67" t="e">
        <f>IF(H43="","",VLOOKUP(H43,'DATOS CLIENTES'!B:F,5,FALSE))</f>
        <v>#N/A</v>
      </c>
      <c r="S43" s="67" t="str">
        <f t="shared" si="14"/>
        <v>001</v>
      </c>
      <c r="U43" s="68" t="e">
        <f t="shared" si="6"/>
        <v>#N/A</v>
      </c>
      <c r="V43" s="68" t="e">
        <f t="shared" si="7"/>
        <v>#N/A</v>
      </c>
      <c r="X43" s="67" t="e">
        <f t="shared" si="15"/>
        <v>#N/A</v>
      </c>
      <c r="Y43" s="67" t="e">
        <f t="shared" si="16"/>
        <v>#N/A</v>
      </c>
      <c r="Z43" s="67" t="e">
        <f t="shared" si="17"/>
        <v>#N/A</v>
      </c>
      <c r="AA43" s="67" t="e">
        <f t="shared" si="18"/>
        <v>#N/A</v>
      </c>
      <c r="AB43" s="219" t="e">
        <f t="shared" si="19"/>
        <v>#N/A</v>
      </c>
      <c r="AC43" s="67" t="e">
        <f t="shared" si="20"/>
        <v>#N/A</v>
      </c>
      <c r="AD43" s="67" t="e">
        <f t="shared" si="21"/>
        <v>#N/A</v>
      </c>
      <c r="AE43" s="67" t="e">
        <f t="shared" si="22"/>
        <v>#N/A</v>
      </c>
      <c r="AF43" s="67" t="e">
        <f t="shared" si="23"/>
        <v>#N/A</v>
      </c>
      <c r="AG43" s="67" t="e">
        <f t="shared" si="24"/>
        <v>#N/A</v>
      </c>
    </row>
    <row r="44" spans="1:33">
      <c r="A44" s="18" t="str">
        <f t="shared" si="0"/>
        <v>3`00001897</v>
      </c>
      <c r="B44" s="211" t="s">
        <v>927</v>
      </c>
      <c r="C44" s="57" t="s">
        <v>946</v>
      </c>
      <c r="D44" s="43">
        <v>78</v>
      </c>
      <c r="E44" s="58">
        <v>3</v>
      </c>
      <c r="F44" s="89" t="s">
        <v>1755</v>
      </c>
      <c r="G44" s="198">
        <v>44889</v>
      </c>
      <c r="H44" s="185" t="s">
        <v>1754</v>
      </c>
      <c r="I44" s="196" t="s">
        <v>1234</v>
      </c>
      <c r="J44" s="197">
        <v>92</v>
      </c>
      <c r="K44" s="38">
        <v>1</v>
      </c>
      <c r="L44" s="199">
        <f t="shared" si="82"/>
        <v>92</v>
      </c>
      <c r="M44" s="209">
        <f>IF(F44="",0,IF(SUMIF('REPORTE GASTOS'!$C$6:$C$208,F44,'REPORTE GASTOS'!$G$6:$G$208)=0,'LISTA DE PRECIOS'!$H$3,SUMIF('REPORTE GASTOS'!$C$6:$C$208,F44,'REPORTE GASTOS'!$I$6:$I$208)/SUMIF('REPORTE GASTOS'!$C$6:$C$208,F44,'REPORTE GASTOS'!$G$6:$G$208)))</f>
        <v>5.0999999999999996</v>
      </c>
      <c r="N44" s="12">
        <f t="shared" si="83"/>
        <v>5.0999999999999996</v>
      </c>
      <c r="O44" s="42">
        <f t="shared" si="84"/>
        <v>469.2</v>
      </c>
      <c r="P44" s="69"/>
      <c r="R44" s="67" t="e">
        <f>IF(H44="","",VLOOKUP(H44,'DATOS CLIENTES'!B:F,5,FALSE))</f>
        <v>#N/A</v>
      </c>
      <c r="S44" s="67" t="str">
        <f t="shared" si="14"/>
        <v>001</v>
      </c>
      <c r="U44" s="68" t="e">
        <f t="shared" si="6"/>
        <v>#N/A</v>
      </c>
      <c r="V44" s="68" t="e">
        <f t="shared" si="7"/>
        <v>#N/A</v>
      </c>
      <c r="X44" s="67" t="e">
        <f t="shared" si="15"/>
        <v>#N/A</v>
      </c>
      <c r="Y44" s="67" t="e">
        <f t="shared" si="16"/>
        <v>#N/A</v>
      </c>
      <c r="Z44" s="67" t="e">
        <f t="shared" si="17"/>
        <v>#N/A</v>
      </c>
      <c r="AA44" s="67" t="e">
        <f t="shared" si="18"/>
        <v>#N/A</v>
      </c>
      <c r="AB44" s="219" t="e">
        <f t="shared" si="19"/>
        <v>#N/A</v>
      </c>
      <c r="AC44" s="67" t="e">
        <f t="shared" si="20"/>
        <v>#N/A</v>
      </c>
      <c r="AD44" s="67" t="e">
        <f t="shared" si="21"/>
        <v>#N/A</v>
      </c>
      <c r="AE44" s="67" t="e">
        <f t="shared" si="22"/>
        <v>#N/A</v>
      </c>
      <c r="AF44" s="67" t="e">
        <f t="shared" si="23"/>
        <v>#N/A</v>
      </c>
      <c r="AG44" s="67" t="e">
        <f t="shared" si="24"/>
        <v>#N/A</v>
      </c>
    </row>
    <row r="45" spans="1:33">
      <c r="A45" s="18" t="str">
        <f t="shared" si="0"/>
        <v>4`00001897</v>
      </c>
      <c r="B45" s="211" t="s">
        <v>927</v>
      </c>
      <c r="C45" s="57" t="s">
        <v>946</v>
      </c>
      <c r="D45" s="43">
        <v>78</v>
      </c>
      <c r="E45" s="58">
        <v>4</v>
      </c>
      <c r="F45" s="89" t="s">
        <v>1755</v>
      </c>
      <c r="G45" s="184">
        <v>44889</v>
      </c>
      <c r="H45" s="185" t="s">
        <v>1754</v>
      </c>
      <c r="I45" s="185" t="s">
        <v>1239</v>
      </c>
      <c r="J45" s="197">
        <v>87</v>
      </c>
      <c r="K45" s="38">
        <v>0.85</v>
      </c>
      <c r="L45" s="199">
        <f t="shared" si="82"/>
        <v>73.95</v>
      </c>
      <c r="M45" s="209">
        <f>IF(F45="",0,IF(SUMIF('REPORTE GASTOS'!$C$6:$C$208,F45,'REPORTE GASTOS'!$G$6:$G$208)=0,'LISTA DE PRECIOS'!$H$3,SUMIF('REPORTE GASTOS'!$C$6:$C$208,F45,'REPORTE GASTOS'!$I$6:$I$208)/SUMIF('REPORTE GASTOS'!$C$6:$C$208,F45,'REPORTE GASTOS'!$G$6:$G$208)))</f>
        <v>5.0999999999999996</v>
      </c>
      <c r="N45" s="12">
        <f t="shared" si="83"/>
        <v>4.335</v>
      </c>
      <c r="O45" s="42">
        <f t="shared" si="84"/>
        <v>377.14499999999998</v>
      </c>
      <c r="P45" s="69"/>
      <c r="R45" s="67" t="e">
        <f>IF(H45="","",VLOOKUP(H45,'DATOS CLIENTES'!B:F,5,FALSE))</f>
        <v>#N/A</v>
      </c>
      <c r="S45" s="67" t="str">
        <f t="shared" si="14"/>
        <v>001</v>
      </c>
      <c r="U45" s="68" t="e">
        <f t="shared" si="6"/>
        <v>#N/A</v>
      </c>
      <c r="V45" s="68" t="e">
        <f t="shared" si="7"/>
        <v>#N/A</v>
      </c>
      <c r="X45" s="67" t="e">
        <f t="shared" si="15"/>
        <v>#N/A</v>
      </c>
      <c r="Y45" s="67" t="e">
        <f t="shared" si="16"/>
        <v>#N/A</v>
      </c>
      <c r="Z45" s="67" t="e">
        <f t="shared" si="17"/>
        <v>#N/A</v>
      </c>
      <c r="AA45" s="67" t="e">
        <f t="shared" si="18"/>
        <v>#N/A</v>
      </c>
      <c r="AB45" s="219" t="e">
        <f t="shared" si="19"/>
        <v>#N/A</v>
      </c>
      <c r="AC45" s="67" t="e">
        <f t="shared" si="20"/>
        <v>#N/A</v>
      </c>
      <c r="AD45" s="67" t="e">
        <f t="shared" si="21"/>
        <v>#N/A</v>
      </c>
      <c r="AE45" s="67" t="e">
        <f t="shared" si="22"/>
        <v>#N/A</v>
      </c>
      <c r="AF45" s="67" t="e">
        <f t="shared" si="23"/>
        <v>#N/A</v>
      </c>
      <c r="AG45" s="67" t="e">
        <f t="shared" si="24"/>
        <v>#N/A</v>
      </c>
    </row>
    <row r="46" spans="1:33">
      <c r="A46" s="18" t="str">
        <f t="shared" si="0"/>
        <v>5`00001897</v>
      </c>
      <c r="B46" s="211" t="s">
        <v>927</v>
      </c>
      <c r="C46" s="57" t="s">
        <v>946</v>
      </c>
      <c r="D46" s="43">
        <v>78</v>
      </c>
      <c r="E46" s="58">
        <v>5</v>
      </c>
      <c r="F46" s="89" t="s">
        <v>1755</v>
      </c>
      <c r="G46" s="184">
        <v>44889</v>
      </c>
      <c r="H46" s="185" t="s">
        <v>1754</v>
      </c>
      <c r="I46" s="196" t="s">
        <v>1238</v>
      </c>
      <c r="J46" s="197">
        <v>74</v>
      </c>
      <c r="K46" s="38">
        <v>1</v>
      </c>
      <c r="L46" s="199">
        <f t="shared" si="3"/>
        <v>74</v>
      </c>
      <c r="M46" s="209">
        <f>IF(F46="",0,IF(SUMIF('REPORTE GASTOS'!$C$6:$C$208,F46,'REPORTE GASTOS'!$G$6:$G$208)=0,'LISTA DE PRECIOS'!$H$3,SUMIF('REPORTE GASTOS'!$C$6:$C$208,F46,'REPORTE GASTOS'!$I$6:$I$208)/SUMIF('REPORTE GASTOS'!$C$6:$C$208,F46,'REPORTE GASTOS'!$G$6:$G$208)))</f>
        <v>5.0999999999999996</v>
      </c>
      <c r="N46" s="12">
        <f t="shared" si="4"/>
        <v>5.0999999999999996</v>
      </c>
      <c r="O46" s="42">
        <f t="shared" si="5"/>
        <v>377.4</v>
      </c>
      <c r="P46" s="69"/>
      <c r="R46" s="67" t="e">
        <f>IF(H46="","",VLOOKUP(H46,'DATOS CLIENTES'!B:F,5,FALSE))</f>
        <v>#N/A</v>
      </c>
      <c r="S46" s="67" t="str">
        <f t="shared" si="14"/>
        <v>001</v>
      </c>
      <c r="U46" s="68" t="e">
        <f t="shared" si="6"/>
        <v>#N/A</v>
      </c>
      <c r="V46" s="68" t="e">
        <f t="shared" si="7"/>
        <v>#N/A</v>
      </c>
      <c r="X46" s="67" t="e">
        <f t="shared" si="15"/>
        <v>#N/A</v>
      </c>
      <c r="Y46" s="67" t="e">
        <f t="shared" si="16"/>
        <v>#N/A</v>
      </c>
      <c r="Z46" s="67" t="e">
        <f t="shared" si="17"/>
        <v>#N/A</v>
      </c>
      <c r="AA46" s="67" t="e">
        <f t="shared" si="18"/>
        <v>#N/A</v>
      </c>
      <c r="AB46" s="219" t="e">
        <f t="shared" si="19"/>
        <v>#N/A</v>
      </c>
      <c r="AC46" s="67" t="e">
        <f t="shared" si="20"/>
        <v>#N/A</v>
      </c>
      <c r="AD46" s="67" t="e">
        <f t="shared" si="21"/>
        <v>#N/A</v>
      </c>
      <c r="AE46" s="67" t="e">
        <f t="shared" si="22"/>
        <v>#N/A</v>
      </c>
      <c r="AF46" s="67" t="e">
        <f t="shared" si="23"/>
        <v>#N/A</v>
      </c>
      <c r="AG46" s="67" t="e">
        <f t="shared" si="24"/>
        <v>#N/A</v>
      </c>
    </row>
    <row r="47" spans="1:33">
      <c r="A47" s="18" t="str">
        <f t="shared" si="0"/>
        <v>6`00001897</v>
      </c>
      <c r="B47" s="211" t="s">
        <v>927</v>
      </c>
      <c r="C47" s="57" t="s">
        <v>946</v>
      </c>
      <c r="D47" s="43">
        <v>78</v>
      </c>
      <c r="E47" s="58">
        <v>6</v>
      </c>
      <c r="F47" s="89" t="s">
        <v>1755</v>
      </c>
      <c r="G47" s="184">
        <v>44889</v>
      </c>
      <c r="H47" s="185" t="s">
        <v>1754</v>
      </c>
      <c r="I47" s="196" t="s">
        <v>1238</v>
      </c>
      <c r="J47" s="197">
        <v>74</v>
      </c>
      <c r="K47" s="38">
        <v>1</v>
      </c>
      <c r="L47" s="199">
        <f t="shared" si="3"/>
        <v>74</v>
      </c>
      <c r="M47" s="209">
        <f>IF(F47="",0,IF(SUMIF('REPORTE GASTOS'!$C$6:$C$208,F47,'REPORTE GASTOS'!$G$6:$G$208)=0,'LISTA DE PRECIOS'!$H$3,SUMIF('REPORTE GASTOS'!$C$6:$C$208,F47,'REPORTE GASTOS'!$I$6:$I$208)/SUMIF('REPORTE GASTOS'!$C$6:$C$208,F47,'REPORTE GASTOS'!$G$6:$G$208)))</f>
        <v>5.0999999999999996</v>
      </c>
      <c r="N47" s="12">
        <f t="shared" si="4"/>
        <v>5.0999999999999996</v>
      </c>
      <c r="O47" s="42">
        <f t="shared" si="5"/>
        <v>377.4</v>
      </c>
      <c r="P47" s="69"/>
      <c r="Q47" s="85"/>
      <c r="R47" s="67" t="e">
        <f>IF(H47="","",VLOOKUP(H47,'DATOS CLIENTES'!B:F,5,FALSE))</f>
        <v>#N/A</v>
      </c>
      <c r="S47" s="67" t="str">
        <f t="shared" si="14"/>
        <v>001</v>
      </c>
      <c r="U47" s="68" t="e">
        <f t="shared" si="6"/>
        <v>#N/A</v>
      </c>
      <c r="V47" s="68" t="e">
        <f t="shared" si="7"/>
        <v>#N/A</v>
      </c>
      <c r="X47" s="67" t="e">
        <f t="shared" si="15"/>
        <v>#N/A</v>
      </c>
      <c r="Y47" s="67" t="e">
        <f t="shared" si="16"/>
        <v>#N/A</v>
      </c>
      <c r="Z47" s="67" t="e">
        <f t="shared" si="17"/>
        <v>#N/A</v>
      </c>
      <c r="AA47" s="67" t="e">
        <f t="shared" si="18"/>
        <v>#N/A</v>
      </c>
      <c r="AB47" s="219" t="e">
        <f t="shared" si="19"/>
        <v>#N/A</v>
      </c>
      <c r="AC47" s="67" t="e">
        <f t="shared" si="20"/>
        <v>#N/A</v>
      </c>
      <c r="AD47" s="67" t="e">
        <f t="shared" si="21"/>
        <v>#N/A</v>
      </c>
      <c r="AE47" s="67" t="e">
        <f t="shared" si="22"/>
        <v>#N/A</v>
      </c>
      <c r="AF47" s="67" t="e">
        <f t="shared" si="23"/>
        <v>#N/A</v>
      </c>
      <c r="AG47" s="67" t="e">
        <f t="shared" si="24"/>
        <v>#N/A</v>
      </c>
    </row>
    <row r="48" spans="1:33">
      <c r="A48" s="18" t="str">
        <f t="shared" si="0"/>
        <v>6`00001898</v>
      </c>
      <c r="B48" s="211" t="s">
        <v>927</v>
      </c>
      <c r="C48" s="57" t="s">
        <v>946</v>
      </c>
      <c r="D48" s="43">
        <v>78</v>
      </c>
      <c r="E48" s="58">
        <v>6</v>
      </c>
      <c r="F48" s="89" t="s">
        <v>1756</v>
      </c>
      <c r="G48" s="184">
        <v>44893</v>
      </c>
      <c r="H48" s="185" t="s">
        <v>1746</v>
      </c>
      <c r="I48" s="196" t="s">
        <v>983</v>
      </c>
      <c r="J48" s="197">
        <v>10</v>
      </c>
      <c r="K48" s="38">
        <v>7</v>
      </c>
      <c r="L48" s="199">
        <f t="shared" ref="L48:L52" si="87">ROUND(K48*J48,2)</f>
        <v>70</v>
      </c>
      <c r="M48" s="209">
        <v>10.72</v>
      </c>
      <c r="N48" s="12">
        <f t="shared" ref="N48:N52" si="88">M48*K48</f>
        <v>75.040000000000006</v>
      </c>
      <c r="O48" s="42">
        <f t="shared" ref="O48:O52" si="89">N48*J48</f>
        <v>750.40000000000009</v>
      </c>
      <c r="P48" s="69"/>
      <c r="R48" s="67" t="str">
        <f>IF(H48="","",VLOOKUP(H48,'DATOS CLIENTES'!B:F,5,FALSE))</f>
        <v>PUNTO FIJO</v>
      </c>
      <c r="S48" s="67" t="str">
        <f t="shared" si="14"/>
        <v>001</v>
      </c>
      <c r="U48" s="68">
        <f t="shared" si="6"/>
        <v>0</v>
      </c>
      <c r="V48" s="68">
        <f t="shared" si="7"/>
        <v>0</v>
      </c>
      <c r="X48" s="67" t="e">
        <f t="shared" si="15"/>
        <v>#N/A</v>
      </c>
      <c r="Y48" s="67" t="str">
        <f t="shared" si="16"/>
        <v/>
      </c>
      <c r="Z48" s="67" t="str">
        <f t="shared" si="17"/>
        <v/>
      </c>
      <c r="AA48" s="67" t="str">
        <f t="shared" si="18"/>
        <v/>
      </c>
      <c r="AB48" s="219" t="str">
        <f t="shared" si="19"/>
        <v/>
      </c>
      <c r="AC48" s="67" t="str">
        <f t="shared" si="20"/>
        <v/>
      </c>
      <c r="AD48" s="67" t="str">
        <f t="shared" si="21"/>
        <v/>
      </c>
      <c r="AE48" s="67" t="str">
        <f t="shared" si="22"/>
        <v/>
      </c>
      <c r="AF48" s="67" t="str">
        <f t="shared" si="23"/>
        <v/>
      </c>
      <c r="AG48" s="67" t="str">
        <f t="shared" si="24"/>
        <v/>
      </c>
    </row>
    <row r="49" spans="1:33">
      <c r="A49" s="18" t="str">
        <f t="shared" si="0"/>
        <v>6`00001898</v>
      </c>
      <c r="B49" s="211" t="s">
        <v>927</v>
      </c>
      <c r="C49" s="57" t="s">
        <v>946</v>
      </c>
      <c r="D49" s="43">
        <v>78</v>
      </c>
      <c r="E49" s="58">
        <v>6</v>
      </c>
      <c r="F49" s="89" t="s">
        <v>1756</v>
      </c>
      <c r="G49" s="184">
        <v>44893</v>
      </c>
      <c r="H49" s="185" t="s">
        <v>1746</v>
      </c>
      <c r="I49" s="196" t="s">
        <v>1234</v>
      </c>
      <c r="J49" s="197">
        <v>68</v>
      </c>
      <c r="K49" s="38">
        <v>1</v>
      </c>
      <c r="L49" s="199">
        <f t="shared" si="87"/>
        <v>68</v>
      </c>
      <c r="M49" s="209">
        <v>10.72</v>
      </c>
      <c r="N49" s="12">
        <f t="shared" si="88"/>
        <v>10.72</v>
      </c>
      <c r="O49" s="42">
        <f t="shared" si="89"/>
        <v>728.96</v>
      </c>
      <c r="P49" s="69"/>
      <c r="R49" s="67" t="str">
        <f>IF(H49="","",VLOOKUP(H49,'DATOS CLIENTES'!B:F,5,FALSE))</f>
        <v>PUNTO FIJO</v>
      </c>
      <c r="S49" s="67" t="str">
        <f t="shared" si="14"/>
        <v>001</v>
      </c>
      <c r="U49" s="68">
        <f t="shared" si="6"/>
        <v>0</v>
      </c>
      <c r="V49" s="68">
        <f t="shared" si="7"/>
        <v>0</v>
      </c>
      <c r="X49" s="67" t="e">
        <f t="shared" si="15"/>
        <v>#N/A</v>
      </c>
      <c r="Y49" s="67" t="str">
        <f t="shared" si="16"/>
        <v/>
      </c>
      <c r="Z49" s="67" t="str">
        <f t="shared" si="17"/>
        <v/>
      </c>
      <c r="AA49" s="67" t="str">
        <f t="shared" si="18"/>
        <v/>
      </c>
      <c r="AB49" s="219" t="str">
        <f t="shared" si="19"/>
        <v/>
      </c>
      <c r="AC49" s="67" t="str">
        <f t="shared" si="20"/>
        <v/>
      </c>
      <c r="AD49" s="67" t="str">
        <f t="shared" si="21"/>
        <v/>
      </c>
      <c r="AE49" s="67" t="str">
        <f t="shared" si="22"/>
        <v/>
      </c>
      <c r="AF49" s="67" t="str">
        <f t="shared" si="23"/>
        <v/>
      </c>
      <c r="AG49" s="67" t="str">
        <f t="shared" si="24"/>
        <v/>
      </c>
    </row>
    <row r="50" spans="1:33">
      <c r="A50" s="18" t="str">
        <f t="shared" si="0"/>
        <v>6`00001898</v>
      </c>
      <c r="B50" s="211" t="s">
        <v>927</v>
      </c>
      <c r="C50" s="57" t="s">
        <v>946</v>
      </c>
      <c r="D50" s="43">
        <v>78</v>
      </c>
      <c r="E50" s="58">
        <v>6</v>
      </c>
      <c r="F50" s="89" t="s">
        <v>1756</v>
      </c>
      <c r="G50" s="184">
        <v>44893</v>
      </c>
      <c r="H50" s="185" t="s">
        <v>1746</v>
      </c>
      <c r="I50" s="196" t="s">
        <v>1236</v>
      </c>
      <c r="J50" s="197">
        <v>94</v>
      </c>
      <c r="K50" s="38">
        <v>0.95</v>
      </c>
      <c r="L50" s="199">
        <f t="shared" si="87"/>
        <v>89.3</v>
      </c>
      <c r="M50" s="209">
        <v>10.72</v>
      </c>
      <c r="N50" s="12">
        <f t="shared" si="88"/>
        <v>10.183999999999999</v>
      </c>
      <c r="O50" s="42">
        <f t="shared" si="89"/>
        <v>957.29599999999994</v>
      </c>
      <c r="P50" s="69"/>
      <c r="R50" s="67" t="str">
        <f>IF(H50="","",VLOOKUP(H50,'DATOS CLIENTES'!B:F,5,FALSE))</f>
        <v>PUNTO FIJO</v>
      </c>
      <c r="S50" s="67" t="str">
        <f t="shared" si="14"/>
        <v>001</v>
      </c>
      <c r="U50" s="68">
        <f t="shared" si="6"/>
        <v>0</v>
      </c>
      <c r="V50" s="68">
        <f t="shared" si="7"/>
        <v>0</v>
      </c>
      <c r="X50" s="67" t="e">
        <f t="shared" si="15"/>
        <v>#N/A</v>
      </c>
      <c r="Y50" s="67" t="str">
        <f t="shared" si="16"/>
        <v/>
      </c>
      <c r="Z50" s="67" t="str">
        <f t="shared" si="17"/>
        <v/>
      </c>
      <c r="AA50" s="67" t="str">
        <f t="shared" si="18"/>
        <v/>
      </c>
      <c r="AB50" s="219" t="str">
        <f t="shared" si="19"/>
        <v/>
      </c>
      <c r="AC50" s="67" t="str">
        <f t="shared" si="20"/>
        <v/>
      </c>
      <c r="AD50" s="67" t="str">
        <f t="shared" si="21"/>
        <v/>
      </c>
      <c r="AE50" s="67" t="str">
        <f t="shared" si="22"/>
        <v/>
      </c>
      <c r="AF50" s="67" t="str">
        <f t="shared" si="23"/>
        <v/>
      </c>
      <c r="AG50" s="67" t="str">
        <f t="shared" si="24"/>
        <v/>
      </c>
    </row>
    <row r="51" spans="1:33">
      <c r="A51" s="18" t="str">
        <f t="shared" si="0"/>
        <v>6`00001898</v>
      </c>
      <c r="B51" s="211" t="s">
        <v>927</v>
      </c>
      <c r="C51" s="57" t="s">
        <v>946</v>
      </c>
      <c r="D51" s="43">
        <v>78</v>
      </c>
      <c r="E51" s="58">
        <v>6</v>
      </c>
      <c r="F51" s="89" t="s">
        <v>1756</v>
      </c>
      <c r="G51" s="184">
        <v>44893</v>
      </c>
      <c r="H51" s="185" t="s">
        <v>1746</v>
      </c>
      <c r="I51" s="185" t="s">
        <v>1238</v>
      </c>
      <c r="J51" s="197">
        <v>72</v>
      </c>
      <c r="K51" s="38">
        <v>1</v>
      </c>
      <c r="L51" s="199">
        <f t="shared" si="87"/>
        <v>72</v>
      </c>
      <c r="M51" s="209">
        <v>10.72</v>
      </c>
      <c r="N51" s="12">
        <f t="shared" si="88"/>
        <v>10.72</v>
      </c>
      <c r="O51" s="42">
        <f t="shared" si="89"/>
        <v>771.84</v>
      </c>
      <c r="P51" s="69"/>
      <c r="R51" s="67" t="str">
        <f>IF(H51="","",VLOOKUP(H51,'DATOS CLIENTES'!B:F,5,FALSE))</f>
        <v>PUNTO FIJO</v>
      </c>
      <c r="S51" s="67" t="str">
        <f t="shared" si="14"/>
        <v>001</v>
      </c>
      <c r="U51" s="68">
        <f t="shared" si="6"/>
        <v>0</v>
      </c>
      <c r="V51" s="68">
        <f t="shared" si="7"/>
        <v>0</v>
      </c>
      <c r="X51" s="67" t="e">
        <f t="shared" si="15"/>
        <v>#N/A</v>
      </c>
      <c r="Y51" s="67" t="str">
        <f t="shared" si="16"/>
        <v/>
      </c>
      <c r="Z51" s="67" t="str">
        <f t="shared" si="17"/>
        <v/>
      </c>
      <c r="AA51" s="67" t="str">
        <f t="shared" si="18"/>
        <v/>
      </c>
      <c r="AB51" s="219" t="str">
        <f t="shared" si="19"/>
        <v/>
      </c>
      <c r="AC51" s="67" t="str">
        <f t="shared" si="20"/>
        <v/>
      </c>
      <c r="AD51" s="67" t="str">
        <f t="shared" si="21"/>
        <v/>
      </c>
      <c r="AE51" s="67" t="str">
        <f t="shared" si="22"/>
        <v/>
      </c>
      <c r="AF51" s="67" t="str">
        <f t="shared" si="23"/>
        <v/>
      </c>
      <c r="AG51" s="67" t="str">
        <f t="shared" si="24"/>
        <v/>
      </c>
    </row>
    <row r="52" spans="1:33">
      <c r="A52" s="18" t="str">
        <f t="shared" si="0"/>
        <v>6`00001898</v>
      </c>
      <c r="B52" s="211" t="s">
        <v>927</v>
      </c>
      <c r="C52" s="57" t="s">
        <v>946</v>
      </c>
      <c r="D52" s="43">
        <v>78</v>
      </c>
      <c r="E52" s="58">
        <v>6</v>
      </c>
      <c r="F52" s="89" t="s">
        <v>1756</v>
      </c>
      <c r="G52" s="184">
        <v>44893</v>
      </c>
      <c r="H52" s="185" t="s">
        <v>1746</v>
      </c>
      <c r="I52" s="196" t="s">
        <v>1239</v>
      </c>
      <c r="J52" s="197">
        <v>110</v>
      </c>
      <c r="K52" s="38">
        <v>0.85</v>
      </c>
      <c r="L52" s="199">
        <f t="shared" si="87"/>
        <v>93.5</v>
      </c>
      <c r="M52" s="209">
        <v>10.72</v>
      </c>
      <c r="N52" s="12">
        <f t="shared" si="88"/>
        <v>9.1120000000000001</v>
      </c>
      <c r="O52" s="42">
        <f t="shared" si="89"/>
        <v>1002.32</v>
      </c>
      <c r="P52" s="69"/>
      <c r="R52" s="67" t="str">
        <f>IF(H52="","",VLOOKUP(H52,'DATOS CLIENTES'!B:F,5,FALSE))</f>
        <v>PUNTO FIJO</v>
      </c>
      <c r="S52" s="67" t="str">
        <f t="shared" si="14"/>
        <v>001</v>
      </c>
      <c r="U52" s="68">
        <f t="shared" si="6"/>
        <v>0</v>
      </c>
      <c r="V52" s="68">
        <f t="shared" si="7"/>
        <v>0</v>
      </c>
      <c r="X52" s="67" t="e">
        <f t="shared" si="15"/>
        <v>#N/A</v>
      </c>
      <c r="Y52" s="67" t="str">
        <f t="shared" si="16"/>
        <v/>
      </c>
      <c r="Z52" s="67" t="str">
        <f t="shared" si="17"/>
        <v/>
      </c>
      <c r="AA52" s="67" t="str">
        <f t="shared" si="18"/>
        <v/>
      </c>
      <c r="AB52" s="219" t="str">
        <f t="shared" si="19"/>
        <v/>
      </c>
      <c r="AC52" s="67" t="str">
        <f t="shared" si="20"/>
        <v/>
      </c>
      <c r="AD52" s="67" t="str">
        <f t="shared" si="21"/>
        <v/>
      </c>
      <c r="AE52" s="67" t="str">
        <f t="shared" si="22"/>
        <v/>
      </c>
      <c r="AF52" s="67" t="str">
        <f t="shared" si="23"/>
        <v/>
      </c>
      <c r="AG52" s="67" t="str">
        <f t="shared" si="24"/>
        <v/>
      </c>
    </row>
    <row r="53" spans="1:33">
      <c r="A53" s="18" t="str">
        <f t="shared" si="0"/>
        <v>6`00001900</v>
      </c>
      <c r="B53" s="211" t="s">
        <v>927</v>
      </c>
      <c r="C53" s="57" t="s">
        <v>946</v>
      </c>
      <c r="D53" s="43">
        <v>78</v>
      </c>
      <c r="E53" s="58">
        <v>6</v>
      </c>
      <c r="F53" s="89" t="s">
        <v>1757</v>
      </c>
      <c r="G53" s="184">
        <v>44895</v>
      </c>
      <c r="H53" s="185" t="s">
        <v>1024</v>
      </c>
      <c r="I53" s="196" t="s">
        <v>524</v>
      </c>
      <c r="J53" s="197">
        <v>5</v>
      </c>
      <c r="K53" s="38">
        <v>1.25</v>
      </c>
      <c r="L53" s="199">
        <f t="shared" si="3"/>
        <v>6.25</v>
      </c>
      <c r="M53" s="209">
        <v>10.8</v>
      </c>
      <c r="N53" s="12">
        <f t="shared" si="4"/>
        <v>13.5</v>
      </c>
      <c r="O53" s="42">
        <f t="shared" si="5"/>
        <v>67.5</v>
      </c>
      <c r="P53" s="69"/>
      <c r="R53" s="67" t="str">
        <f>IF(H53="","",VLOOKUP(H53,'DATOS CLIENTES'!B:F,5,FALSE))</f>
        <v>CORO</v>
      </c>
      <c r="S53" s="67" t="str">
        <f t="shared" si="14"/>
        <v>001</v>
      </c>
      <c r="U53" s="68">
        <f t="shared" si="6"/>
        <v>37.75</v>
      </c>
      <c r="V53" s="68">
        <f t="shared" si="7"/>
        <v>407.70000000000005</v>
      </c>
      <c r="X53" s="67" t="e">
        <f t="shared" si="15"/>
        <v>#N/A</v>
      </c>
      <c r="Y53" s="67" t="str">
        <f t="shared" si="16"/>
        <v>SFACT</v>
      </c>
      <c r="Z53" s="67" t="str">
        <f t="shared" si="17"/>
        <v>FREDDY R. CH</v>
      </c>
      <c r="AA53" s="67" t="str">
        <f t="shared" si="18"/>
        <v>`00001900</v>
      </c>
      <c r="AB53" s="219">
        <f t="shared" si="19"/>
        <v>44895</v>
      </c>
      <c r="AC53" s="67" t="str">
        <f t="shared" si="20"/>
        <v>FERRETERIA MONTE ALTO F.E., C.A.</v>
      </c>
      <c r="AD53" s="67" t="str">
        <f>IF(AND($R53&lt;&gt;"PUNTO FIJO",$R53&lt;&gt;""),I63,"")</f>
        <v>CHS - TRAPEZZIO 20X40 - 20 pzas</v>
      </c>
      <c r="AE53" s="67">
        <f t="shared" si="22"/>
        <v>5</v>
      </c>
      <c r="AF53" s="67">
        <f t="shared" si="23"/>
        <v>1.25</v>
      </c>
      <c r="AG53" s="67">
        <f t="shared" si="24"/>
        <v>10.8</v>
      </c>
    </row>
    <row r="54" spans="1:33">
      <c r="A54" s="18" t="str">
        <f t="shared" si="0"/>
        <v>6`00001900</v>
      </c>
      <c r="B54" s="211" t="s">
        <v>927</v>
      </c>
      <c r="C54" s="57" t="s">
        <v>946</v>
      </c>
      <c r="D54" s="43">
        <v>78</v>
      </c>
      <c r="E54" s="58">
        <v>6</v>
      </c>
      <c r="F54" s="89" t="s">
        <v>1757</v>
      </c>
      <c r="G54" s="184">
        <v>44895</v>
      </c>
      <c r="H54" s="185" t="s">
        <v>1024</v>
      </c>
      <c r="I54" s="196" t="s">
        <v>1001</v>
      </c>
      <c r="J54" s="197">
        <v>5</v>
      </c>
      <c r="K54" s="38">
        <v>6.3</v>
      </c>
      <c r="L54" s="199">
        <f t="shared" ref="L54:L58" si="90">ROUND(K54*J54,2)</f>
        <v>31.5</v>
      </c>
      <c r="M54" s="209">
        <v>10.8</v>
      </c>
      <c r="N54" s="12">
        <f t="shared" ref="N54:N58" si="91">M54*K54</f>
        <v>68.040000000000006</v>
      </c>
      <c r="O54" s="42">
        <f t="shared" ref="O54:O58" si="92">N54*J54</f>
        <v>340.20000000000005</v>
      </c>
      <c r="P54" s="69"/>
      <c r="R54" s="67" t="str">
        <f>IF(H54="","",VLOOKUP(H54,'DATOS CLIENTES'!B:F,5,FALSE))</f>
        <v>CORO</v>
      </c>
      <c r="S54" s="67" t="str">
        <f t="shared" si="14"/>
        <v>001</v>
      </c>
      <c r="U54" s="68">
        <f t="shared" si="6"/>
        <v>37.75</v>
      </c>
      <c r="V54" s="68">
        <f t="shared" si="7"/>
        <v>407.70000000000005</v>
      </c>
      <c r="X54" s="67" t="e">
        <f t="shared" si="15"/>
        <v>#N/A</v>
      </c>
      <c r="Y54" s="67" t="str">
        <f t="shared" si="16"/>
        <v>SFACT</v>
      </c>
      <c r="Z54" s="67" t="str">
        <f t="shared" si="17"/>
        <v>FREDDY R. CH</v>
      </c>
      <c r="AA54" s="67" t="str">
        <f t="shared" si="18"/>
        <v>`00001900</v>
      </c>
      <c r="AB54" s="219">
        <f t="shared" si="19"/>
        <v>44895</v>
      </c>
      <c r="AC54" s="67" t="str">
        <f t="shared" si="20"/>
        <v>FERRETERIA MONTE ALTO F.E., C.A.</v>
      </c>
      <c r="AD54" s="67" t="str">
        <f t="shared" si="21"/>
        <v>CHS - ESTUCO GRIS - SACO 12KG</v>
      </c>
      <c r="AE54" s="67">
        <f t="shared" si="22"/>
        <v>5</v>
      </c>
      <c r="AF54" s="67">
        <f t="shared" si="23"/>
        <v>6.3</v>
      </c>
      <c r="AG54" s="67">
        <f t="shared" si="24"/>
        <v>10.8</v>
      </c>
    </row>
    <row r="55" spans="1:33">
      <c r="A55" s="18" t="str">
        <f t="shared" si="0"/>
        <v>6`00001901</v>
      </c>
      <c r="B55" s="211" t="s">
        <v>927</v>
      </c>
      <c r="C55" s="57" t="s">
        <v>946</v>
      </c>
      <c r="D55" s="328">
        <v>78</v>
      </c>
      <c r="E55" s="329">
        <v>6</v>
      </c>
      <c r="F55" s="330" t="s">
        <v>1759</v>
      </c>
      <c r="G55" s="331">
        <v>44895</v>
      </c>
      <c r="H55" s="332" t="s">
        <v>1024</v>
      </c>
      <c r="I55" s="333" t="s">
        <v>524</v>
      </c>
      <c r="J55" s="334">
        <v>5</v>
      </c>
      <c r="K55" s="335">
        <v>1.25</v>
      </c>
      <c r="L55" s="199">
        <f t="shared" si="90"/>
        <v>6.25</v>
      </c>
      <c r="M55" s="209">
        <v>11.7</v>
      </c>
      <c r="N55" s="12">
        <f t="shared" si="91"/>
        <v>14.625</v>
      </c>
      <c r="O55" s="42">
        <f t="shared" si="92"/>
        <v>73.125</v>
      </c>
      <c r="P55" s="69"/>
      <c r="R55" s="67" t="str">
        <f>IF(H55="","",VLOOKUP(H55,'DATOS CLIENTES'!B:F,5,FALSE))</f>
        <v>CORO</v>
      </c>
      <c r="S55" s="67" t="e">
        <f>IF(#REF!="CHS",S54,IF(D55=D54,S54,IF(S54+1-1&lt;9,CONCATENATE("00",S54+1),IF(S54+1-1&lt;99,CONCATENATE("0",S54+1),S54+1))))</f>
        <v>#REF!</v>
      </c>
      <c r="U55" s="68">
        <f t="shared" si="6"/>
        <v>37.75</v>
      </c>
      <c r="V55" s="68">
        <f t="shared" si="7"/>
        <v>441.67499999999995</v>
      </c>
      <c r="X55" s="67" t="e">
        <f t="shared" si="15"/>
        <v>#REF!</v>
      </c>
      <c r="Y55" s="67" t="e">
        <f>IF(AND($R55&lt;&gt;"PUNTO FIJO",$R55&lt;&gt;""),#REF!,"")</f>
        <v>#REF!</v>
      </c>
      <c r="Z55" s="67" t="str">
        <f>IF(AND($R55&lt;&gt;"PUNTO FIJO",$R55&lt;&gt;""),B55,"")</f>
        <v>SFACT</v>
      </c>
      <c r="AA55" s="67" t="str">
        <f t="shared" si="18"/>
        <v>`00001901</v>
      </c>
      <c r="AB55" s="219">
        <f t="shared" si="19"/>
        <v>44895</v>
      </c>
      <c r="AC55" s="67" t="str">
        <f t="shared" si="20"/>
        <v>FERRETERIA MONTE ALTO F.E., C.A.</v>
      </c>
      <c r="AD55" s="67" t="str">
        <f t="shared" si="21"/>
        <v>CHS - CEMENTO BLANCO - SACO 1 KG</v>
      </c>
      <c r="AE55" s="67">
        <f t="shared" si="22"/>
        <v>5</v>
      </c>
      <c r="AF55" s="67">
        <f t="shared" si="23"/>
        <v>1.25</v>
      </c>
      <c r="AG55" s="67">
        <f t="shared" si="24"/>
        <v>11.7</v>
      </c>
    </row>
    <row r="56" spans="1:33">
      <c r="A56" s="18" t="str">
        <f t="shared" si="0"/>
        <v>6`00001901</v>
      </c>
      <c r="B56" s="211" t="s">
        <v>927</v>
      </c>
      <c r="C56" s="57" t="s">
        <v>946</v>
      </c>
      <c r="D56" s="328">
        <v>78</v>
      </c>
      <c r="E56" s="329">
        <v>6</v>
      </c>
      <c r="F56" s="330" t="s">
        <v>1759</v>
      </c>
      <c r="G56" s="331">
        <v>44895</v>
      </c>
      <c r="H56" s="332" t="s">
        <v>1024</v>
      </c>
      <c r="I56" s="333" t="s">
        <v>1001</v>
      </c>
      <c r="J56" s="334">
        <v>5</v>
      </c>
      <c r="K56" s="335">
        <v>6.3</v>
      </c>
      <c r="L56" s="199">
        <f t="shared" si="90"/>
        <v>31.5</v>
      </c>
      <c r="M56" s="209">
        <v>11.7</v>
      </c>
      <c r="N56" s="12">
        <f t="shared" si="91"/>
        <v>73.709999999999994</v>
      </c>
      <c r="O56" s="42">
        <f t="shared" si="92"/>
        <v>368.54999999999995</v>
      </c>
      <c r="P56" s="69"/>
      <c r="R56" s="67" t="str">
        <f>IF(H56="","",VLOOKUP(H56,'DATOS CLIENTES'!B:F,5,FALSE))</f>
        <v>CORO</v>
      </c>
      <c r="S56" s="67" t="e">
        <f t="shared" si="14"/>
        <v>#REF!</v>
      </c>
      <c r="U56" s="68">
        <f t="shared" si="6"/>
        <v>37.75</v>
      </c>
      <c r="V56" s="68">
        <f t="shared" si="7"/>
        <v>441.67499999999995</v>
      </c>
      <c r="X56" s="67" t="e">
        <f t="shared" si="15"/>
        <v>#REF!</v>
      </c>
      <c r="Y56" s="67" t="str">
        <f t="shared" si="16"/>
        <v>SFACT</v>
      </c>
      <c r="Z56" s="67" t="str">
        <f t="shared" si="17"/>
        <v>FREDDY R. CH</v>
      </c>
      <c r="AA56" s="67" t="str">
        <f t="shared" si="18"/>
        <v>`00001901</v>
      </c>
      <c r="AB56" s="219">
        <f t="shared" si="19"/>
        <v>44895</v>
      </c>
      <c r="AC56" s="67" t="str">
        <f t="shared" si="20"/>
        <v>FERRETERIA MONTE ALTO F.E., C.A.</v>
      </c>
      <c r="AD56" s="67" t="str">
        <f t="shared" si="21"/>
        <v>CHS - ESTUCO GRIS - SACO 12KG</v>
      </c>
      <c r="AE56" s="67">
        <f t="shared" si="22"/>
        <v>5</v>
      </c>
      <c r="AF56" s="67">
        <f t="shared" si="23"/>
        <v>6.3</v>
      </c>
      <c r="AG56" s="67">
        <f t="shared" si="24"/>
        <v>11.7</v>
      </c>
    </row>
    <row r="57" spans="1:33">
      <c r="A57" s="18" t="str">
        <f t="shared" si="0"/>
        <v>1`00001902</v>
      </c>
      <c r="B57" s="211" t="s">
        <v>927</v>
      </c>
      <c r="C57" s="57" t="s">
        <v>946</v>
      </c>
      <c r="D57" s="43">
        <f t="shared" si="1"/>
        <v>79</v>
      </c>
      <c r="E57" s="58">
        <f t="shared" si="2"/>
        <v>1</v>
      </c>
      <c r="F57" s="89" t="s">
        <v>1758</v>
      </c>
      <c r="G57" s="325">
        <v>44901</v>
      </c>
      <c r="H57" s="326" t="s">
        <v>1754</v>
      </c>
      <c r="I57" s="185" t="s">
        <v>1236</v>
      </c>
      <c r="J57" s="41">
        <v>104</v>
      </c>
      <c r="K57" s="38">
        <v>0.95</v>
      </c>
      <c r="L57" s="199">
        <f t="shared" si="90"/>
        <v>98.8</v>
      </c>
      <c r="M57" s="209">
        <v>11.7</v>
      </c>
      <c r="N57" s="12">
        <f t="shared" si="91"/>
        <v>11.114999999999998</v>
      </c>
      <c r="O57" s="42">
        <f t="shared" si="92"/>
        <v>1155.9599999999998</v>
      </c>
      <c r="P57" s="69"/>
      <c r="R57" s="67" t="e">
        <f>IF(H57="","",VLOOKUP(H57,'DATOS CLIENTES'!B:F,5,FALSE))</f>
        <v>#N/A</v>
      </c>
      <c r="S57" s="67" t="e">
        <f t="shared" si="14"/>
        <v>#REF!</v>
      </c>
      <c r="U57" s="68" t="e">
        <f t="shared" si="6"/>
        <v>#N/A</v>
      </c>
      <c r="V57" s="68" t="e">
        <f t="shared" si="7"/>
        <v>#N/A</v>
      </c>
      <c r="X57" s="67" t="e">
        <f t="shared" si="15"/>
        <v>#N/A</v>
      </c>
      <c r="Y57" s="67" t="e">
        <f t="shared" si="16"/>
        <v>#N/A</v>
      </c>
      <c r="Z57" s="67" t="e">
        <f t="shared" si="17"/>
        <v>#N/A</v>
      </c>
      <c r="AA57" s="67" t="e">
        <f t="shared" si="18"/>
        <v>#N/A</v>
      </c>
      <c r="AB57" s="219" t="e">
        <f t="shared" si="19"/>
        <v>#N/A</v>
      </c>
      <c r="AC57" s="67" t="e">
        <f t="shared" si="20"/>
        <v>#N/A</v>
      </c>
      <c r="AD57" s="67" t="e">
        <f t="shared" si="21"/>
        <v>#N/A</v>
      </c>
      <c r="AE57" s="67" t="e">
        <f t="shared" si="22"/>
        <v>#N/A</v>
      </c>
      <c r="AF57" s="67" t="e">
        <f t="shared" si="23"/>
        <v>#N/A</v>
      </c>
      <c r="AG57" s="67" t="e">
        <f t="shared" si="24"/>
        <v>#N/A</v>
      </c>
    </row>
    <row r="58" spans="1:33">
      <c r="A58" s="18" t="str">
        <f t="shared" si="0"/>
        <v>2`00001902</v>
      </c>
      <c r="B58" s="211" t="s">
        <v>927</v>
      </c>
      <c r="C58" s="57" t="s">
        <v>946</v>
      </c>
      <c r="D58" s="43">
        <f t="shared" si="1"/>
        <v>79</v>
      </c>
      <c r="E58" s="58">
        <f t="shared" si="2"/>
        <v>2</v>
      </c>
      <c r="F58" s="89" t="s">
        <v>1758</v>
      </c>
      <c r="G58" s="325">
        <v>44901</v>
      </c>
      <c r="H58" s="326" t="s">
        <v>1754</v>
      </c>
      <c r="I58" s="185" t="s">
        <v>1239</v>
      </c>
      <c r="J58" s="41">
        <v>91</v>
      </c>
      <c r="K58" s="38">
        <v>0.85</v>
      </c>
      <c r="L58" s="199">
        <f t="shared" si="90"/>
        <v>77.349999999999994</v>
      </c>
      <c r="M58" s="209">
        <v>11.7</v>
      </c>
      <c r="N58" s="12">
        <f t="shared" si="91"/>
        <v>9.9449999999999985</v>
      </c>
      <c r="O58" s="42">
        <f t="shared" si="92"/>
        <v>904.99499999999989</v>
      </c>
      <c r="P58" s="69"/>
      <c r="R58" s="67" t="e">
        <f>IF(H58="","",VLOOKUP(H58,'DATOS CLIENTES'!B:F,5,FALSE))</f>
        <v>#N/A</v>
      </c>
      <c r="S58" s="67" t="e">
        <f t="shared" si="14"/>
        <v>#REF!</v>
      </c>
      <c r="U58" s="68" t="e">
        <f t="shared" si="6"/>
        <v>#N/A</v>
      </c>
      <c r="V58" s="68" t="e">
        <f t="shared" si="7"/>
        <v>#N/A</v>
      </c>
      <c r="X58" s="67" t="e">
        <f t="shared" si="15"/>
        <v>#N/A</v>
      </c>
      <c r="Y58" s="67" t="e">
        <f t="shared" si="16"/>
        <v>#N/A</v>
      </c>
      <c r="Z58" s="67" t="e">
        <f t="shared" si="17"/>
        <v>#N/A</v>
      </c>
      <c r="AA58" s="67" t="e">
        <f t="shared" si="18"/>
        <v>#N/A</v>
      </c>
      <c r="AB58" s="219" t="e">
        <f t="shared" si="19"/>
        <v>#N/A</v>
      </c>
      <c r="AC58" s="67" t="e">
        <f t="shared" si="20"/>
        <v>#N/A</v>
      </c>
      <c r="AD58" s="67" t="e">
        <f t="shared" si="21"/>
        <v>#N/A</v>
      </c>
      <c r="AE58" s="67" t="e">
        <f t="shared" si="22"/>
        <v>#N/A</v>
      </c>
      <c r="AF58" s="67" t="e">
        <f t="shared" si="23"/>
        <v>#N/A</v>
      </c>
      <c r="AG58" s="67" t="e">
        <f t="shared" si="24"/>
        <v>#N/A</v>
      </c>
    </row>
    <row r="59" spans="1:33">
      <c r="A59" s="18" t="str">
        <f t="shared" si="0"/>
        <v>3`00001902</v>
      </c>
      <c r="B59" s="211" t="s">
        <v>927</v>
      </c>
      <c r="C59" s="57" t="s">
        <v>946</v>
      </c>
      <c r="D59" s="43">
        <f t="shared" si="1"/>
        <v>79</v>
      </c>
      <c r="E59" s="58">
        <f t="shared" si="2"/>
        <v>3</v>
      </c>
      <c r="F59" s="89" t="s">
        <v>1758</v>
      </c>
      <c r="G59" s="325">
        <v>44901</v>
      </c>
      <c r="H59" s="326" t="s">
        <v>1754</v>
      </c>
      <c r="I59" s="185" t="s">
        <v>76</v>
      </c>
      <c r="J59" s="41">
        <v>300</v>
      </c>
      <c r="K59" s="38">
        <v>1.4</v>
      </c>
      <c r="L59" s="199">
        <f t="shared" ref="L59:L65" si="93">ROUND(K59*J59,2)</f>
        <v>420</v>
      </c>
      <c r="M59" s="209">
        <v>11.7</v>
      </c>
      <c r="N59" s="12">
        <f t="shared" ref="N59:N65" si="94">M59*K59</f>
        <v>16.38</v>
      </c>
      <c r="O59" s="42">
        <f t="shared" ref="O59:O65" si="95">N59*J59</f>
        <v>4914</v>
      </c>
      <c r="P59" s="69"/>
      <c r="R59" s="67" t="e">
        <f>IF(H59="","",VLOOKUP(H59,'DATOS CLIENTES'!B:F,5,FALSE))</f>
        <v>#N/A</v>
      </c>
      <c r="S59" s="67" t="e">
        <f t="shared" si="14"/>
        <v>#REF!</v>
      </c>
      <c r="U59" s="68" t="e">
        <f t="shared" si="6"/>
        <v>#N/A</v>
      </c>
      <c r="V59" s="68" t="e">
        <f t="shared" si="7"/>
        <v>#N/A</v>
      </c>
      <c r="X59" s="67" t="e">
        <f t="shared" si="15"/>
        <v>#N/A</v>
      </c>
      <c r="Y59" s="67" t="e">
        <f t="shared" si="16"/>
        <v>#N/A</v>
      </c>
      <c r="Z59" s="67" t="e">
        <f t="shared" si="17"/>
        <v>#N/A</v>
      </c>
      <c r="AA59" s="67" t="e">
        <f t="shared" si="18"/>
        <v>#N/A</v>
      </c>
      <c r="AB59" s="219" t="e">
        <f t="shared" si="19"/>
        <v>#N/A</v>
      </c>
      <c r="AC59" s="67" t="e">
        <f t="shared" si="20"/>
        <v>#N/A</v>
      </c>
      <c r="AD59" s="67" t="e">
        <f t="shared" si="21"/>
        <v>#N/A</v>
      </c>
      <c r="AE59" s="67" t="e">
        <f t="shared" si="22"/>
        <v>#N/A</v>
      </c>
      <c r="AF59" s="67" t="e">
        <f t="shared" si="23"/>
        <v>#N/A</v>
      </c>
      <c r="AG59" s="67" t="e">
        <f t="shared" si="24"/>
        <v>#N/A</v>
      </c>
    </row>
    <row r="60" spans="1:33">
      <c r="A60" s="18" t="str">
        <f t="shared" si="0"/>
        <v>4`00001902</v>
      </c>
      <c r="B60" s="211" t="s">
        <v>927</v>
      </c>
      <c r="C60" s="57" t="s">
        <v>946</v>
      </c>
      <c r="D60" s="43">
        <f t="shared" si="1"/>
        <v>79</v>
      </c>
      <c r="E60" s="58">
        <f t="shared" si="2"/>
        <v>4</v>
      </c>
      <c r="F60" s="89" t="s">
        <v>1758</v>
      </c>
      <c r="G60" s="325">
        <v>44901</v>
      </c>
      <c r="H60" s="326" t="s">
        <v>1754</v>
      </c>
      <c r="I60" s="185" t="s">
        <v>983</v>
      </c>
      <c r="J60" s="41">
        <v>30</v>
      </c>
      <c r="K60" s="38">
        <v>7</v>
      </c>
      <c r="L60" s="199">
        <f t="shared" si="93"/>
        <v>210</v>
      </c>
      <c r="M60" s="209">
        <v>14.13</v>
      </c>
      <c r="N60" s="12">
        <f t="shared" si="94"/>
        <v>98.910000000000011</v>
      </c>
      <c r="O60" s="42">
        <f t="shared" si="95"/>
        <v>2967.3</v>
      </c>
      <c r="P60" s="69"/>
      <c r="R60" s="67" t="e">
        <f>IF(H60="","",VLOOKUP(H60,'DATOS CLIENTES'!B:F,5,FALSE))</f>
        <v>#N/A</v>
      </c>
      <c r="S60" s="67" t="e">
        <f t="shared" si="14"/>
        <v>#REF!</v>
      </c>
      <c r="U60" s="68" t="e">
        <f t="shared" si="6"/>
        <v>#N/A</v>
      </c>
      <c r="V60" s="68" t="e">
        <f t="shared" si="7"/>
        <v>#N/A</v>
      </c>
      <c r="X60" s="67" t="e">
        <f t="shared" si="15"/>
        <v>#N/A</v>
      </c>
      <c r="Y60" s="67" t="e">
        <f t="shared" si="16"/>
        <v>#N/A</v>
      </c>
      <c r="Z60" s="67" t="e">
        <f t="shared" si="17"/>
        <v>#N/A</v>
      </c>
      <c r="AA60" s="67" t="e">
        <f t="shared" si="18"/>
        <v>#N/A</v>
      </c>
      <c r="AB60" s="219" t="e">
        <f t="shared" si="19"/>
        <v>#N/A</v>
      </c>
      <c r="AC60" s="67" t="e">
        <f t="shared" si="20"/>
        <v>#N/A</v>
      </c>
      <c r="AD60" s="67" t="e">
        <f t="shared" si="21"/>
        <v>#N/A</v>
      </c>
      <c r="AE60" s="67" t="e">
        <f t="shared" si="22"/>
        <v>#N/A</v>
      </c>
      <c r="AF60" s="67" t="e">
        <f t="shared" si="23"/>
        <v>#N/A</v>
      </c>
      <c r="AG60" s="67" t="e">
        <f t="shared" si="24"/>
        <v>#N/A</v>
      </c>
    </row>
    <row r="61" spans="1:33" ht="14.25" customHeight="1">
      <c r="A61" s="18" t="str">
        <f t="shared" si="0"/>
        <v>1`00001903</v>
      </c>
      <c r="B61" s="211" t="s">
        <v>927</v>
      </c>
      <c r="C61" s="57" t="s">
        <v>946</v>
      </c>
      <c r="D61" s="43">
        <f t="shared" si="1"/>
        <v>80</v>
      </c>
      <c r="E61" s="58">
        <f t="shared" si="2"/>
        <v>1</v>
      </c>
      <c r="F61" s="89" t="s">
        <v>1761</v>
      </c>
      <c r="G61" s="184">
        <v>44908</v>
      </c>
      <c r="H61" s="185" t="s">
        <v>1754</v>
      </c>
      <c r="I61" s="185" t="s">
        <v>983</v>
      </c>
      <c r="J61" s="197">
        <v>10</v>
      </c>
      <c r="K61" s="38">
        <v>7</v>
      </c>
      <c r="L61" s="199">
        <f t="shared" si="93"/>
        <v>70</v>
      </c>
      <c r="M61" s="209">
        <v>14.13</v>
      </c>
      <c r="N61" s="12">
        <f t="shared" si="94"/>
        <v>98.910000000000011</v>
      </c>
      <c r="O61" s="42">
        <f t="shared" si="95"/>
        <v>989.10000000000014</v>
      </c>
      <c r="P61" s="69"/>
      <c r="R61" s="67" t="e">
        <f>IF(H61="","",VLOOKUP(H61,'DATOS CLIENTES'!B:F,5,FALSE))</f>
        <v>#N/A</v>
      </c>
      <c r="S61" s="67" t="e">
        <f t="shared" si="14"/>
        <v>#REF!</v>
      </c>
      <c r="U61" s="68" t="e">
        <f t="shared" si="6"/>
        <v>#N/A</v>
      </c>
      <c r="V61" s="68" t="e">
        <f t="shared" si="7"/>
        <v>#N/A</v>
      </c>
      <c r="X61" s="67" t="e">
        <f t="shared" si="15"/>
        <v>#N/A</v>
      </c>
      <c r="Y61" s="67" t="e">
        <f t="shared" si="16"/>
        <v>#N/A</v>
      </c>
      <c r="Z61" s="67" t="e">
        <f t="shared" si="17"/>
        <v>#N/A</v>
      </c>
      <c r="AA61" s="67" t="e">
        <f t="shared" si="18"/>
        <v>#N/A</v>
      </c>
      <c r="AB61" s="219" t="e">
        <f t="shared" si="19"/>
        <v>#N/A</v>
      </c>
      <c r="AC61" s="67" t="e">
        <f t="shared" si="20"/>
        <v>#N/A</v>
      </c>
      <c r="AD61" s="67" t="e">
        <f t="shared" si="21"/>
        <v>#N/A</v>
      </c>
      <c r="AE61" s="67" t="e">
        <f t="shared" si="22"/>
        <v>#N/A</v>
      </c>
      <c r="AF61" s="67" t="e">
        <f t="shared" si="23"/>
        <v>#N/A</v>
      </c>
      <c r="AG61" s="67" t="e">
        <f t="shared" si="24"/>
        <v>#N/A</v>
      </c>
    </row>
    <row r="62" spans="1:33">
      <c r="A62" s="18" t="str">
        <f t="shared" si="0"/>
        <v>2`00001903</v>
      </c>
      <c r="B62" s="211" t="s">
        <v>927</v>
      </c>
      <c r="C62" s="57" t="s">
        <v>946</v>
      </c>
      <c r="D62" s="43">
        <f t="shared" si="1"/>
        <v>80</v>
      </c>
      <c r="E62" s="58">
        <f t="shared" si="2"/>
        <v>2</v>
      </c>
      <c r="F62" s="89" t="s">
        <v>1761</v>
      </c>
      <c r="G62" s="184">
        <v>44908</v>
      </c>
      <c r="H62" s="185" t="s">
        <v>1754</v>
      </c>
      <c r="I62" s="196" t="s">
        <v>1234</v>
      </c>
      <c r="J62" s="197">
        <v>119</v>
      </c>
      <c r="K62" s="38">
        <v>1</v>
      </c>
      <c r="L62" s="199">
        <f t="shared" si="93"/>
        <v>119</v>
      </c>
      <c r="M62" s="209">
        <v>14.13</v>
      </c>
      <c r="N62" s="12">
        <f t="shared" si="94"/>
        <v>14.13</v>
      </c>
      <c r="O62" s="42">
        <f t="shared" si="95"/>
        <v>1681.47</v>
      </c>
      <c r="P62" s="69"/>
      <c r="R62" s="67" t="e">
        <f>IF(H62="","",VLOOKUP(H62,'DATOS CLIENTES'!B:F,5,FALSE))</f>
        <v>#N/A</v>
      </c>
      <c r="S62" s="67" t="e">
        <f t="shared" si="14"/>
        <v>#REF!</v>
      </c>
      <c r="U62" s="68" t="e">
        <f t="shared" si="6"/>
        <v>#N/A</v>
      </c>
      <c r="V62" s="68" t="e">
        <f t="shared" si="7"/>
        <v>#N/A</v>
      </c>
      <c r="X62" s="67" t="e">
        <f t="shared" si="15"/>
        <v>#N/A</v>
      </c>
      <c r="Y62" s="67" t="e">
        <f t="shared" si="16"/>
        <v>#N/A</v>
      </c>
      <c r="Z62" s="67" t="e">
        <f t="shared" si="17"/>
        <v>#N/A</v>
      </c>
      <c r="AA62" s="67" t="e">
        <f t="shared" si="18"/>
        <v>#N/A</v>
      </c>
      <c r="AB62" s="219" t="e">
        <f t="shared" si="19"/>
        <v>#N/A</v>
      </c>
      <c r="AC62" s="67" t="e">
        <f t="shared" si="20"/>
        <v>#N/A</v>
      </c>
      <c r="AD62" s="67" t="e">
        <f t="shared" si="21"/>
        <v>#N/A</v>
      </c>
      <c r="AE62" s="67" t="e">
        <f t="shared" si="22"/>
        <v>#N/A</v>
      </c>
      <c r="AF62" s="67" t="e">
        <f t="shared" si="23"/>
        <v>#N/A</v>
      </c>
      <c r="AG62" s="67" t="e">
        <f t="shared" si="24"/>
        <v>#N/A</v>
      </c>
    </row>
    <row r="63" spans="1:33">
      <c r="A63" s="18" t="str">
        <f t="shared" si="0"/>
        <v>3`00001903</v>
      </c>
      <c r="B63" s="211" t="s">
        <v>927</v>
      </c>
      <c r="C63" s="57" t="s">
        <v>946</v>
      </c>
      <c r="D63" s="43">
        <f t="shared" si="1"/>
        <v>80</v>
      </c>
      <c r="E63" s="58">
        <f t="shared" si="2"/>
        <v>3</v>
      </c>
      <c r="F63" s="89" t="s">
        <v>1761</v>
      </c>
      <c r="G63" s="184">
        <v>44908</v>
      </c>
      <c r="H63" s="185" t="s">
        <v>1754</v>
      </c>
      <c r="I63" s="196" t="s">
        <v>1236</v>
      </c>
      <c r="J63" s="197">
        <v>132</v>
      </c>
      <c r="K63" s="38">
        <v>0.95</v>
      </c>
      <c r="L63" s="199">
        <f t="shared" si="93"/>
        <v>125.4</v>
      </c>
      <c r="M63" s="209">
        <v>14.13</v>
      </c>
      <c r="N63" s="12">
        <f t="shared" si="94"/>
        <v>13.423500000000001</v>
      </c>
      <c r="O63" s="42">
        <f t="shared" si="95"/>
        <v>1771.902</v>
      </c>
      <c r="P63" s="69"/>
      <c r="R63" s="67" t="e">
        <f>IF(H63="","",VLOOKUP(H63,'DATOS CLIENTES'!B:F,5,FALSE))</f>
        <v>#N/A</v>
      </c>
      <c r="S63" s="67" t="e">
        <f t="shared" si="14"/>
        <v>#REF!</v>
      </c>
      <c r="U63" s="68" t="e">
        <f t="shared" si="6"/>
        <v>#N/A</v>
      </c>
      <c r="V63" s="68" t="e">
        <f t="shared" si="7"/>
        <v>#N/A</v>
      </c>
      <c r="X63" s="67" t="e">
        <f t="shared" si="15"/>
        <v>#N/A</v>
      </c>
      <c r="Y63" s="67" t="e">
        <f t="shared" si="16"/>
        <v>#N/A</v>
      </c>
      <c r="Z63" s="67" t="e">
        <f t="shared" si="17"/>
        <v>#N/A</v>
      </c>
      <c r="AA63" s="67" t="e">
        <f t="shared" si="18"/>
        <v>#N/A</v>
      </c>
      <c r="AB63" s="219" t="e">
        <f t="shared" si="19"/>
        <v>#N/A</v>
      </c>
      <c r="AC63" s="67" t="e">
        <f t="shared" si="20"/>
        <v>#N/A</v>
      </c>
      <c r="AD63" s="67" t="e">
        <f t="shared" si="21"/>
        <v>#N/A</v>
      </c>
      <c r="AE63" s="67" t="e">
        <f t="shared" si="22"/>
        <v>#N/A</v>
      </c>
      <c r="AF63" s="67" t="e">
        <f t="shared" si="23"/>
        <v>#N/A</v>
      </c>
      <c r="AG63" s="67" t="e">
        <f t="shared" si="24"/>
        <v>#N/A</v>
      </c>
    </row>
    <row r="64" spans="1:33">
      <c r="A64" s="18" t="str">
        <f t="shared" si="0"/>
        <v>4`00001903</v>
      </c>
      <c r="B64" s="211" t="s">
        <v>927</v>
      </c>
      <c r="C64" s="57" t="s">
        <v>946</v>
      </c>
      <c r="D64" s="43">
        <f t="shared" si="1"/>
        <v>80</v>
      </c>
      <c r="E64" s="58">
        <f t="shared" si="2"/>
        <v>4</v>
      </c>
      <c r="F64" s="89" t="s">
        <v>1761</v>
      </c>
      <c r="G64" s="184">
        <v>44908</v>
      </c>
      <c r="H64" s="185" t="s">
        <v>1754</v>
      </c>
      <c r="I64" s="196" t="s">
        <v>1238</v>
      </c>
      <c r="J64" s="197">
        <v>63</v>
      </c>
      <c r="K64" s="38">
        <v>1</v>
      </c>
      <c r="L64" s="199">
        <f t="shared" si="93"/>
        <v>63</v>
      </c>
      <c r="M64" s="209">
        <v>14.13</v>
      </c>
      <c r="N64" s="12">
        <f t="shared" si="94"/>
        <v>14.13</v>
      </c>
      <c r="O64" s="42">
        <f t="shared" si="95"/>
        <v>890.19</v>
      </c>
      <c r="P64" s="69"/>
      <c r="R64" s="67" t="e">
        <f>IF(H64="","",VLOOKUP(H64,'DATOS CLIENTES'!B:F,5,FALSE))</f>
        <v>#N/A</v>
      </c>
      <c r="S64" s="67" t="e">
        <f t="shared" si="14"/>
        <v>#REF!</v>
      </c>
      <c r="U64" s="68" t="e">
        <f t="shared" si="6"/>
        <v>#N/A</v>
      </c>
      <c r="V64" s="68" t="e">
        <f t="shared" si="7"/>
        <v>#N/A</v>
      </c>
      <c r="X64" s="67" t="e">
        <f t="shared" si="15"/>
        <v>#N/A</v>
      </c>
      <c r="Y64" s="67" t="e">
        <f t="shared" si="16"/>
        <v>#N/A</v>
      </c>
      <c r="Z64" s="67" t="e">
        <f t="shared" si="17"/>
        <v>#N/A</v>
      </c>
      <c r="AA64" s="67" t="e">
        <f t="shared" si="18"/>
        <v>#N/A</v>
      </c>
      <c r="AB64" s="219" t="e">
        <f t="shared" si="19"/>
        <v>#N/A</v>
      </c>
      <c r="AC64" s="67" t="e">
        <f t="shared" si="20"/>
        <v>#N/A</v>
      </c>
      <c r="AD64" s="67" t="e">
        <f t="shared" si="21"/>
        <v>#N/A</v>
      </c>
      <c r="AE64" s="67" t="e">
        <f t="shared" si="22"/>
        <v>#N/A</v>
      </c>
      <c r="AF64" s="67" t="e">
        <f t="shared" si="23"/>
        <v>#N/A</v>
      </c>
      <c r="AG64" s="67" t="e">
        <f t="shared" si="24"/>
        <v>#N/A</v>
      </c>
    </row>
    <row r="65" spans="1:33">
      <c r="A65" s="18" t="str">
        <f t="shared" si="0"/>
        <v>5`00001903</v>
      </c>
      <c r="B65" s="211" t="s">
        <v>927</v>
      </c>
      <c r="C65" s="57" t="s">
        <v>946</v>
      </c>
      <c r="D65" s="43">
        <f t="shared" si="1"/>
        <v>80</v>
      </c>
      <c r="E65" s="58">
        <f t="shared" si="2"/>
        <v>5</v>
      </c>
      <c r="F65" s="89" t="s">
        <v>1761</v>
      </c>
      <c r="G65" s="184">
        <v>44908</v>
      </c>
      <c r="H65" s="185" t="s">
        <v>1754</v>
      </c>
      <c r="I65" s="196" t="s">
        <v>1239</v>
      </c>
      <c r="J65" s="197">
        <v>98</v>
      </c>
      <c r="K65" s="38">
        <v>0.85</v>
      </c>
      <c r="L65" s="199">
        <f t="shared" si="93"/>
        <v>83.3</v>
      </c>
      <c r="M65" s="209">
        <v>14.13</v>
      </c>
      <c r="N65" s="12">
        <f t="shared" si="94"/>
        <v>12.0105</v>
      </c>
      <c r="O65" s="42">
        <f t="shared" si="95"/>
        <v>1177.029</v>
      </c>
      <c r="P65" s="69"/>
      <c r="R65" s="67" t="e">
        <f>IF(H65="","",VLOOKUP(H65,'DATOS CLIENTES'!B:F,5,FALSE))</f>
        <v>#N/A</v>
      </c>
      <c r="S65" s="67" t="e">
        <f t="shared" si="14"/>
        <v>#REF!</v>
      </c>
      <c r="U65" s="68" t="e">
        <f t="shared" si="6"/>
        <v>#N/A</v>
      </c>
      <c r="V65" s="68" t="e">
        <f t="shared" si="7"/>
        <v>#N/A</v>
      </c>
      <c r="X65" s="67" t="e">
        <f t="shared" si="15"/>
        <v>#N/A</v>
      </c>
      <c r="Y65" s="67" t="e">
        <f t="shared" si="16"/>
        <v>#N/A</v>
      </c>
      <c r="Z65" s="67" t="e">
        <f t="shared" si="17"/>
        <v>#N/A</v>
      </c>
      <c r="AA65" s="67" t="e">
        <f t="shared" si="18"/>
        <v>#N/A</v>
      </c>
      <c r="AB65" s="219" t="e">
        <f t="shared" si="19"/>
        <v>#N/A</v>
      </c>
      <c r="AC65" s="67" t="e">
        <f t="shared" si="20"/>
        <v>#N/A</v>
      </c>
      <c r="AD65" s="67" t="e">
        <f t="shared" si="21"/>
        <v>#N/A</v>
      </c>
      <c r="AE65" s="67" t="e">
        <f t="shared" si="22"/>
        <v>#N/A</v>
      </c>
      <c r="AF65" s="67" t="e">
        <f t="shared" si="23"/>
        <v>#N/A</v>
      </c>
      <c r="AG65" s="67" t="e">
        <f t="shared" si="24"/>
        <v>#N/A</v>
      </c>
    </row>
    <row r="66" spans="1:33">
      <c r="A66" s="18" t="str">
        <f t="shared" si="0"/>
        <v>1`00001904</v>
      </c>
      <c r="B66" s="211" t="s">
        <v>927</v>
      </c>
      <c r="C66" s="57" t="s">
        <v>946</v>
      </c>
      <c r="D66" s="43">
        <f t="shared" ref="D66" si="96">IF(OR(H66="",AND(H66=H65,G66=G65)),D65,D65+1)</f>
        <v>81</v>
      </c>
      <c r="E66" s="58">
        <f t="shared" ref="E66" si="97">IF(F66="","",IF(OR(F66=0,F66=F65),E65+1,1))</f>
        <v>1</v>
      </c>
      <c r="F66" s="89" t="s">
        <v>1767</v>
      </c>
      <c r="G66" s="184">
        <v>44909</v>
      </c>
      <c r="H66" s="185" t="s">
        <v>1762</v>
      </c>
      <c r="I66" s="196" t="s">
        <v>1001</v>
      </c>
      <c r="J66" s="197">
        <v>39</v>
      </c>
      <c r="K66" s="38">
        <v>6.15</v>
      </c>
      <c r="L66" s="199">
        <f t="shared" ref="L66" si="98">ROUND(K66*J66,2)</f>
        <v>239.85</v>
      </c>
      <c r="M66" s="209">
        <v>14.13</v>
      </c>
      <c r="N66" s="12">
        <f t="shared" ref="N66" si="99">M66*K66</f>
        <v>86.899500000000003</v>
      </c>
      <c r="O66" s="42">
        <f t="shared" ref="O66" si="100">N66*J66</f>
        <v>3389.0805</v>
      </c>
      <c r="P66" s="69"/>
      <c r="R66" s="67" t="str">
        <f>IF(H66="","",VLOOKUP(H66,'DATOS CLIENTES'!B:F,5,FALSE))</f>
        <v>MORON</v>
      </c>
      <c r="S66" s="67" t="e">
        <f t="shared" si="14"/>
        <v>#REF!</v>
      </c>
      <c r="U66" s="68">
        <f t="shared" si="6"/>
        <v>239.85</v>
      </c>
      <c r="V66" s="68">
        <f t="shared" si="7"/>
        <v>3389.0805</v>
      </c>
      <c r="X66" s="67" t="e">
        <f t="shared" si="15"/>
        <v>#N/A</v>
      </c>
      <c r="Y66" s="67" t="str">
        <f t="shared" si="16"/>
        <v>SFACT</v>
      </c>
      <c r="Z66" s="67" t="str">
        <f t="shared" si="17"/>
        <v>FREDDY R. CH</v>
      </c>
      <c r="AA66" s="67" t="str">
        <f t="shared" si="18"/>
        <v>`00001904</v>
      </c>
      <c r="AB66" s="219">
        <f t="shared" si="19"/>
        <v>44909</v>
      </c>
      <c r="AC66" s="67" t="str">
        <f t="shared" si="20"/>
        <v>INVERSIONES Y SUMINISTROS SULAG1, C.A.</v>
      </c>
      <c r="AD66" s="67" t="str">
        <f t="shared" si="21"/>
        <v>CHS - ESTUCO GRIS - SACO 12KG</v>
      </c>
      <c r="AE66" s="67">
        <f t="shared" si="22"/>
        <v>39</v>
      </c>
      <c r="AF66" s="67">
        <f t="shared" si="23"/>
        <v>6.15</v>
      </c>
      <c r="AG66" s="67">
        <f t="shared" si="24"/>
        <v>14.13</v>
      </c>
    </row>
    <row r="67" spans="1:33">
      <c r="A67" s="18" t="str">
        <f t="shared" si="0"/>
        <v>1`00001905</v>
      </c>
      <c r="B67" s="211" t="s">
        <v>927</v>
      </c>
      <c r="C67" s="57" t="s">
        <v>946</v>
      </c>
      <c r="D67" s="43">
        <f t="shared" ref="D67" si="101">IF(OR(H67="",AND(H67=H66,G67=G66)),D66,D66+1)</f>
        <v>82</v>
      </c>
      <c r="E67" s="58">
        <f t="shared" ref="E67" si="102">IF(F67="","",IF(OR(F67=0,F67=F66),E66+1,1))</f>
        <v>1</v>
      </c>
      <c r="F67" s="89" t="s">
        <v>1768</v>
      </c>
      <c r="G67" s="184">
        <v>44916</v>
      </c>
      <c r="H67" s="185" t="s">
        <v>161</v>
      </c>
      <c r="I67" s="196" t="s">
        <v>76</v>
      </c>
      <c r="J67" s="197">
        <v>50</v>
      </c>
      <c r="K67" s="38">
        <v>1.4</v>
      </c>
      <c r="L67" s="199">
        <f t="shared" ref="L67:L68" si="103">ROUND(K67*J67,2)</f>
        <v>70</v>
      </c>
      <c r="M67" s="209">
        <v>16.100000000000001</v>
      </c>
      <c r="N67" s="12">
        <f t="shared" ref="N67:N68" si="104">M67*K67</f>
        <v>22.54</v>
      </c>
      <c r="O67" s="42">
        <f t="shared" ref="O67:O68" si="105">N67*J67</f>
        <v>1127</v>
      </c>
      <c r="P67" s="69"/>
      <c r="R67" s="67" t="str">
        <f>IF(H67="","",VLOOKUP(H67,'DATOS CLIENTES'!B:F,5,FALSE))</f>
        <v>PUNTO FIJO</v>
      </c>
      <c r="S67" s="67" t="e">
        <f t="shared" si="14"/>
        <v>#REF!</v>
      </c>
      <c r="U67" s="68">
        <f t="shared" si="6"/>
        <v>0</v>
      </c>
      <c r="V67" s="68">
        <f t="shared" si="7"/>
        <v>0</v>
      </c>
      <c r="X67" s="67" t="e">
        <f t="shared" si="15"/>
        <v>#N/A</v>
      </c>
      <c r="Y67" s="67" t="str">
        <f t="shared" si="16"/>
        <v/>
      </c>
      <c r="Z67" s="67" t="str">
        <f t="shared" si="17"/>
        <v/>
      </c>
      <c r="AA67" s="67" t="str">
        <f t="shared" si="18"/>
        <v/>
      </c>
      <c r="AB67" s="219" t="str">
        <f t="shared" si="19"/>
        <v/>
      </c>
      <c r="AC67" s="67" t="str">
        <f t="shared" si="20"/>
        <v/>
      </c>
      <c r="AD67" s="67" t="str">
        <f t="shared" si="21"/>
        <v/>
      </c>
      <c r="AE67" s="67" t="str">
        <f t="shared" si="22"/>
        <v/>
      </c>
      <c r="AF67" s="67" t="str">
        <f t="shared" si="23"/>
        <v/>
      </c>
      <c r="AG67" s="67" t="str">
        <f t="shared" si="24"/>
        <v/>
      </c>
    </row>
    <row r="68" spans="1:33">
      <c r="A68" s="18" t="str">
        <f t="shared" si="0"/>
        <v>2`00001905</v>
      </c>
      <c r="B68" s="211" t="s">
        <v>927</v>
      </c>
      <c r="C68" s="57" t="s">
        <v>946</v>
      </c>
      <c r="D68" s="43">
        <f t="shared" ref="D68" si="106">IF(OR(H68="",AND(H68=H67,G68=G67)),D67,D67+1)</f>
        <v>82</v>
      </c>
      <c r="E68" s="58">
        <f t="shared" ref="E68" si="107">IF(F68="","",IF(OR(F68=0,F68=F67),E67+1,1))</f>
        <v>2</v>
      </c>
      <c r="F68" s="89" t="s">
        <v>1768</v>
      </c>
      <c r="G68" s="184">
        <v>44916</v>
      </c>
      <c r="H68" s="185" t="s">
        <v>161</v>
      </c>
      <c r="I68" s="196" t="s">
        <v>922</v>
      </c>
      <c r="J68" s="197">
        <v>40</v>
      </c>
      <c r="K68" s="38">
        <v>3.1</v>
      </c>
      <c r="L68" s="199">
        <f t="shared" si="103"/>
        <v>124</v>
      </c>
      <c r="M68" s="209">
        <v>16.100000000000001</v>
      </c>
      <c r="N68" s="12">
        <f t="shared" si="104"/>
        <v>49.910000000000004</v>
      </c>
      <c r="O68" s="42">
        <f t="shared" si="105"/>
        <v>1996.4</v>
      </c>
      <c r="P68" s="69"/>
      <c r="R68" s="67" t="str">
        <f>IF(H68="","",VLOOKUP(H68,'DATOS CLIENTES'!B:F,5,FALSE))</f>
        <v>PUNTO FIJO</v>
      </c>
      <c r="S68" s="67" t="e">
        <f t="shared" si="14"/>
        <v>#REF!</v>
      </c>
      <c r="U68" s="68">
        <f t="shared" si="6"/>
        <v>0</v>
      </c>
      <c r="V68" s="68">
        <f t="shared" si="7"/>
        <v>0</v>
      </c>
      <c r="X68" s="67" t="e">
        <f t="shared" si="15"/>
        <v>#N/A</v>
      </c>
      <c r="Y68" s="67" t="str">
        <f t="shared" si="16"/>
        <v/>
      </c>
      <c r="Z68" s="67" t="str">
        <f t="shared" si="17"/>
        <v/>
      </c>
      <c r="AA68" s="67" t="str">
        <f t="shared" si="18"/>
        <v/>
      </c>
      <c r="AB68" s="219" t="str">
        <f t="shared" si="19"/>
        <v/>
      </c>
      <c r="AC68" s="67" t="str">
        <f t="shared" si="20"/>
        <v/>
      </c>
      <c r="AD68" s="67" t="str">
        <f t="shared" si="21"/>
        <v/>
      </c>
      <c r="AE68" s="67" t="str">
        <f t="shared" si="22"/>
        <v/>
      </c>
      <c r="AF68" s="67" t="str">
        <f t="shared" si="23"/>
        <v/>
      </c>
      <c r="AG68" s="67" t="str">
        <f t="shared" si="24"/>
        <v/>
      </c>
    </row>
    <row r="69" spans="1:33">
      <c r="A69" s="18" t="str">
        <f t="shared" si="0"/>
        <v>1`00001906</v>
      </c>
      <c r="B69" s="211" t="s">
        <v>927</v>
      </c>
      <c r="C69" s="57" t="s">
        <v>946</v>
      </c>
      <c r="D69" s="43">
        <f t="shared" ref="D69" si="108">IF(OR(H69="",AND(H69=H68,G69=G68)),D68,D68+1)</f>
        <v>83</v>
      </c>
      <c r="E69" s="58">
        <f t="shared" ref="E69" si="109">IF(F69="","",IF(OR(F69=0,F69=F68),E68+1,1))</f>
        <v>1</v>
      </c>
      <c r="F69" s="89" t="s">
        <v>1769</v>
      </c>
      <c r="G69" s="184">
        <v>44917</v>
      </c>
      <c r="H69" s="185" t="s">
        <v>1746</v>
      </c>
      <c r="I69" s="196" t="s">
        <v>1234</v>
      </c>
      <c r="J69" s="197">
        <v>162</v>
      </c>
      <c r="K69" s="38">
        <v>1</v>
      </c>
      <c r="L69" s="199">
        <f t="shared" ref="L69:L71" si="110">ROUND(K69*J69,2)</f>
        <v>162</v>
      </c>
      <c r="M69" s="209">
        <v>16.2</v>
      </c>
      <c r="N69" s="12">
        <f t="shared" ref="N69:N71" si="111">M69*K69</f>
        <v>16.2</v>
      </c>
      <c r="O69" s="42">
        <f t="shared" ref="O69:O71" si="112">N69*J69</f>
        <v>2624.4</v>
      </c>
      <c r="P69" s="69"/>
      <c r="R69" s="67" t="str">
        <f>IF(H69="","",VLOOKUP(H69,'DATOS CLIENTES'!B:F,5,FALSE))</f>
        <v>PUNTO FIJO</v>
      </c>
      <c r="S69" s="67" t="e">
        <f t="shared" si="14"/>
        <v>#REF!</v>
      </c>
      <c r="U69" s="68">
        <f t="shared" si="6"/>
        <v>0</v>
      </c>
      <c r="V69" s="68">
        <f t="shared" si="7"/>
        <v>0</v>
      </c>
      <c r="X69" s="67" t="e">
        <f t="shared" si="15"/>
        <v>#N/A</v>
      </c>
      <c r="Y69" s="67" t="str">
        <f t="shared" si="16"/>
        <v/>
      </c>
      <c r="Z69" s="67" t="str">
        <f t="shared" si="17"/>
        <v/>
      </c>
      <c r="AA69" s="67" t="str">
        <f t="shared" si="18"/>
        <v/>
      </c>
      <c r="AB69" s="219" t="str">
        <f t="shared" si="19"/>
        <v/>
      </c>
      <c r="AC69" s="67" t="str">
        <f t="shared" si="20"/>
        <v/>
      </c>
      <c r="AD69" s="67" t="str">
        <f t="shared" si="21"/>
        <v/>
      </c>
      <c r="AE69" s="67" t="str">
        <f t="shared" si="22"/>
        <v/>
      </c>
      <c r="AF69" s="67" t="str">
        <f t="shared" si="23"/>
        <v/>
      </c>
      <c r="AG69" s="67" t="str">
        <f t="shared" si="24"/>
        <v/>
      </c>
    </row>
    <row r="70" spans="1:33">
      <c r="A70" s="18" t="str">
        <f t="shared" si="0"/>
        <v>2`00001906</v>
      </c>
      <c r="B70" s="211" t="s">
        <v>927</v>
      </c>
      <c r="C70" s="57" t="s">
        <v>946</v>
      </c>
      <c r="D70" s="43">
        <f t="shared" ref="D70:D71" si="113">IF(OR(H70="",AND(H70=H69,G70=G69)),D69,D69+1)</f>
        <v>83</v>
      </c>
      <c r="E70" s="58">
        <f t="shared" ref="E70:E71" si="114">IF(F70="","",IF(OR(F70=0,F70=F69),E69+1,1))</f>
        <v>2</v>
      </c>
      <c r="F70" s="89" t="s">
        <v>1769</v>
      </c>
      <c r="G70" s="184">
        <v>44917</v>
      </c>
      <c r="H70" s="185" t="s">
        <v>1746</v>
      </c>
      <c r="I70" s="196" t="s">
        <v>1236</v>
      </c>
      <c r="J70" s="41">
        <v>128</v>
      </c>
      <c r="K70" s="38">
        <v>0.95</v>
      </c>
      <c r="L70" s="199">
        <f t="shared" si="110"/>
        <v>121.6</v>
      </c>
      <c r="M70" s="209">
        <v>16.2</v>
      </c>
      <c r="N70" s="12">
        <f t="shared" si="111"/>
        <v>15.389999999999999</v>
      </c>
      <c r="O70" s="42">
        <f t="shared" si="112"/>
        <v>1969.9199999999998</v>
      </c>
      <c r="P70" s="69"/>
      <c r="R70" s="67" t="str">
        <f>IF(H70="","",VLOOKUP(H70,'DATOS CLIENTES'!B:F,5,FALSE))</f>
        <v>PUNTO FIJO</v>
      </c>
      <c r="S70" s="67" t="e">
        <f t="shared" si="14"/>
        <v>#REF!</v>
      </c>
      <c r="U70" s="68">
        <f t="shared" si="6"/>
        <v>0</v>
      </c>
      <c r="V70" s="68">
        <f t="shared" si="7"/>
        <v>0</v>
      </c>
      <c r="X70" s="67" t="e">
        <f t="shared" si="15"/>
        <v>#N/A</v>
      </c>
      <c r="Y70" s="67" t="str">
        <f t="shared" si="16"/>
        <v/>
      </c>
      <c r="Z70" s="67" t="str">
        <f t="shared" si="17"/>
        <v/>
      </c>
      <c r="AA70" s="67" t="str">
        <f t="shared" si="18"/>
        <v/>
      </c>
      <c r="AB70" s="219" t="str">
        <f t="shared" si="19"/>
        <v/>
      </c>
      <c r="AC70" s="67" t="str">
        <f t="shared" si="20"/>
        <v/>
      </c>
      <c r="AD70" s="67" t="str">
        <f t="shared" si="21"/>
        <v/>
      </c>
      <c r="AE70" s="67" t="str">
        <f t="shared" si="22"/>
        <v/>
      </c>
      <c r="AF70" s="67" t="str">
        <f t="shared" si="23"/>
        <v/>
      </c>
      <c r="AG70" s="67" t="str">
        <f t="shared" si="24"/>
        <v/>
      </c>
    </row>
    <row r="71" spans="1:33">
      <c r="A71" s="18" t="str">
        <f t="shared" si="0"/>
        <v>3`00001906</v>
      </c>
      <c r="B71" s="211" t="s">
        <v>927</v>
      </c>
      <c r="C71" s="57" t="s">
        <v>946</v>
      </c>
      <c r="D71" s="43">
        <f t="shared" si="113"/>
        <v>83</v>
      </c>
      <c r="E71" s="58">
        <f t="shared" si="114"/>
        <v>3</v>
      </c>
      <c r="F71" s="89" t="s">
        <v>1769</v>
      </c>
      <c r="G71" s="184">
        <v>44917</v>
      </c>
      <c r="H71" s="185" t="s">
        <v>1746</v>
      </c>
      <c r="I71" s="196" t="s">
        <v>1239</v>
      </c>
      <c r="J71" s="41">
        <v>159</v>
      </c>
      <c r="K71" s="38">
        <v>0.85</v>
      </c>
      <c r="L71" s="199">
        <f t="shared" si="110"/>
        <v>135.15</v>
      </c>
      <c r="M71" s="209">
        <v>16.2</v>
      </c>
      <c r="N71" s="12">
        <f t="shared" si="111"/>
        <v>13.77</v>
      </c>
      <c r="O71" s="42">
        <f t="shared" si="112"/>
        <v>2189.4299999999998</v>
      </c>
      <c r="P71" s="69"/>
      <c r="R71" s="67" t="str">
        <f>IF(H71="","",VLOOKUP(H71,'DATOS CLIENTES'!B:F,5,FALSE))</f>
        <v>PUNTO FIJO</v>
      </c>
      <c r="S71" s="67" t="e">
        <f t="shared" si="14"/>
        <v>#REF!</v>
      </c>
      <c r="U71" s="68">
        <f t="shared" ref="U71:U134" si="115">IF(R71="PUNTO FIJO",0,SUMIF($F$7:$F$250,F71,$L$7:$L$250))</f>
        <v>0</v>
      </c>
      <c r="V71" s="68">
        <f t="shared" ref="V71:V134" si="116">IF(R71="PUNTO FIJO",0,SUMIF($F$7:$F$250,F71,$O$7:$O$250))</f>
        <v>0</v>
      </c>
      <c r="X71" s="67" t="e">
        <f t="shared" si="15"/>
        <v>#N/A</v>
      </c>
      <c r="Y71" s="67" t="str">
        <f t="shared" si="16"/>
        <v/>
      </c>
      <c r="Z71" s="67" t="str">
        <f t="shared" si="17"/>
        <v/>
      </c>
      <c r="AA71" s="67" t="str">
        <f t="shared" si="18"/>
        <v/>
      </c>
      <c r="AB71" s="219" t="str">
        <f t="shared" si="19"/>
        <v/>
      </c>
      <c r="AC71" s="67" t="str">
        <f t="shared" si="20"/>
        <v/>
      </c>
      <c r="AD71" s="67" t="str">
        <f t="shared" si="21"/>
        <v/>
      </c>
      <c r="AE71" s="67" t="str">
        <f t="shared" si="22"/>
        <v/>
      </c>
      <c r="AF71" s="67" t="str">
        <f t="shared" si="23"/>
        <v/>
      </c>
      <c r="AG71" s="67" t="str">
        <f t="shared" si="24"/>
        <v/>
      </c>
    </row>
    <row r="72" spans="1:33">
      <c r="A72" s="18" t="str">
        <f t="shared" si="0"/>
        <v>1`00001907</v>
      </c>
      <c r="B72" s="211" t="s">
        <v>927</v>
      </c>
      <c r="C72" s="57" t="s">
        <v>946</v>
      </c>
      <c r="D72" s="43">
        <f t="shared" ref="D72:D75" si="117">IF(OR(H72="",AND(H72=H71,G72=G71)),D71,D71+1)</f>
        <v>84</v>
      </c>
      <c r="E72" s="58">
        <f t="shared" ref="E72:E75" si="118">IF(F72="","",IF(OR(F72=0,F72=F71),E71+1,1))</f>
        <v>1</v>
      </c>
      <c r="F72" s="89" t="s">
        <v>1770</v>
      </c>
      <c r="G72" s="184">
        <v>44925</v>
      </c>
      <c r="H72" s="185" t="s">
        <v>161</v>
      </c>
      <c r="I72" s="185" t="s">
        <v>983</v>
      </c>
      <c r="J72" s="41">
        <v>20</v>
      </c>
      <c r="K72" s="38">
        <v>8</v>
      </c>
      <c r="L72" s="199">
        <f t="shared" ref="L72:L78" si="119">ROUND(K72*J72,2)</f>
        <v>160</v>
      </c>
      <c r="M72" s="209">
        <v>17.3</v>
      </c>
      <c r="N72" s="12">
        <f t="shared" ref="N72:N78" si="120">M72*K72</f>
        <v>138.4</v>
      </c>
      <c r="O72" s="42">
        <f t="shared" ref="O72:O78" si="121">N72*J72</f>
        <v>2768</v>
      </c>
      <c r="P72" s="69"/>
      <c r="R72" s="67" t="str">
        <f>IF(H72="","",VLOOKUP(H72,'DATOS CLIENTES'!B:F,5,FALSE))</f>
        <v>PUNTO FIJO</v>
      </c>
      <c r="S72" s="67" t="e">
        <f t="shared" si="14"/>
        <v>#REF!</v>
      </c>
      <c r="U72" s="68">
        <f t="shared" si="115"/>
        <v>0</v>
      </c>
      <c r="V72" s="68">
        <f t="shared" si="116"/>
        <v>0</v>
      </c>
      <c r="X72" s="67" t="e">
        <f t="shared" ref="X72:X135" si="122">IF(Y72="",X71,X71+1)</f>
        <v>#N/A</v>
      </c>
      <c r="Y72" s="67" t="str">
        <f t="shared" si="16"/>
        <v/>
      </c>
      <c r="Z72" s="67" t="str">
        <f t="shared" si="17"/>
        <v/>
      </c>
      <c r="AA72" s="67" t="str">
        <f t="shared" si="18"/>
        <v/>
      </c>
      <c r="AB72" s="219" t="str">
        <f t="shared" si="19"/>
        <v/>
      </c>
      <c r="AC72" s="67" t="str">
        <f t="shared" si="20"/>
        <v/>
      </c>
      <c r="AD72" s="67" t="str">
        <f t="shared" si="21"/>
        <v/>
      </c>
      <c r="AE72" s="67" t="str">
        <f t="shared" si="22"/>
        <v/>
      </c>
      <c r="AF72" s="67" t="str">
        <f t="shared" si="23"/>
        <v/>
      </c>
      <c r="AG72" s="67" t="str">
        <f t="shared" si="24"/>
        <v/>
      </c>
    </row>
    <row r="73" spans="1:33">
      <c r="A73" s="18" t="str">
        <f t="shared" si="0"/>
        <v>1`00001908</v>
      </c>
      <c r="B73" s="211" t="s">
        <v>927</v>
      </c>
      <c r="C73" s="57" t="s">
        <v>946</v>
      </c>
      <c r="D73" s="43">
        <f t="shared" ref="D73:D76" si="123">IF(OR(H73="",AND(H73=H72,G73=G72)),D72,D72+1)</f>
        <v>85</v>
      </c>
      <c r="E73" s="58">
        <f t="shared" ref="E73:E76" si="124">IF(F73="","",IF(OR(F73=0,F73=F72),E72+1,1))</f>
        <v>1</v>
      </c>
      <c r="F73" s="89" t="s">
        <v>1771</v>
      </c>
      <c r="G73" s="184">
        <v>44936</v>
      </c>
      <c r="H73" s="185" t="s">
        <v>1746</v>
      </c>
      <c r="I73" s="196" t="s">
        <v>983</v>
      </c>
      <c r="J73" s="41">
        <v>50</v>
      </c>
      <c r="K73" s="38">
        <v>7.3</v>
      </c>
      <c r="L73" s="199">
        <f t="shared" ref="L73:L134" si="125">ROUND(K73*J73,2)</f>
        <v>365</v>
      </c>
      <c r="M73" s="209">
        <v>18.62</v>
      </c>
      <c r="N73" s="12">
        <f t="shared" ref="N73:N134" si="126">M73*K73</f>
        <v>135.92600000000002</v>
      </c>
      <c r="O73" s="42">
        <f t="shared" ref="O73:O134" si="127">N73*J73</f>
        <v>6796.3000000000011</v>
      </c>
      <c r="P73" s="69"/>
      <c r="R73" s="67" t="str">
        <f>IF(H73="","",VLOOKUP(H73,'DATOS CLIENTES'!B:F,5,FALSE))</f>
        <v>PUNTO FIJO</v>
      </c>
      <c r="S73" s="67" t="e">
        <f t="shared" ref="S73:S136" si="128">IF(B73="CHS",S72,IF(D73=D72,S72,IF(S72+1-1&lt;9,CONCATENATE("00",S72+1),IF(S72+1-1&lt;99,CONCATENATE("0",S72+1),S72+1))))</f>
        <v>#REF!</v>
      </c>
      <c r="U73" s="68">
        <f t="shared" si="115"/>
        <v>0</v>
      </c>
      <c r="V73" s="68">
        <f t="shared" si="116"/>
        <v>0</v>
      </c>
      <c r="X73" s="67" t="e">
        <f t="shared" si="122"/>
        <v>#N/A</v>
      </c>
      <c r="Y73" s="67" t="str">
        <f t="shared" ref="Y73:Y136" si="129">IF(AND($R73&lt;&gt;"PUNTO FIJO",$R73&lt;&gt;""),B73,"")</f>
        <v/>
      </c>
      <c r="Z73" s="67" t="str">
        <f t="shared" ref="Z73:Z136" si="130">IF(AND($R73&lt;&gt;"PUNTO FIJO",$R73&lt;&gt;""),C73,"")</f>
        <v/>
      </c>
      <c r="AA73" s="67" t="str">
        <f t="shared" ref="AA73:AA136" si="131">IF(AND($R73&lt;&gt;"PUNTO FIJO",$R73&lt;&gt;""),F73,"")</f>
        <v/>
      </c>
      <c r="AB73" s="219" t="str">
        <f t="shared" ref="AB73:AB136" si="132">IF(AND($R73&lt;&gt;"PUNTO FIJO",$R73&lt;&gt;""),G73,"")</f>
        <v/>
      </c>
      <c r="AC73" s="67" t="str">
        <f t="shared" ref="AC73:AC136" si="133">IF(AND($R73&lt;&gt;"PUNTO FIJO",$R73&lt;&gt;""),H73,"")</f>
        <v/>
      </c>
      <c r="AD73" s="67" t="str">
        <f t="shared" ref="AD73:AD136" si="134">IF(AND($R73&lt;&gt;"PUNTO FIJO",$R73&lt;&gt;""),I73,"")</f>
        <v/>
      </c>
      <c r="AE73" s="67" t="str">
        <f t="shared" ref="AE73:AE136" si="135">IF(AND($R73&lt;&gt;"PUNTO FIJO",$R73&lt;&gt;""),J73,"")</f>
        <v/>
      </c>
      <c r="AF73" s="67" t="str">
        <f t="shared" ref="AF73:AF136" si="136">IF(AND($R73&lt;&gt;"PUNTO FIJO",$R73&lt;&gt;""),K73,"")</f>
        <v/>
      </c>
      <c r="AG73" s="67" t="str">
        <f t="shared" ref="AG73:AG136" si="137">IF(AND($R73&lt;&gt;"PUNTO FIJO",$R73&lt;&gt;""),M73,"")</f>
        <v/>
      </c>
    </row>
    <row r="74" spans="1:33">
      <c r="A74" s="18" t="str">
        <f t="shared" ref="A74:A134" si="138">CONCATENATE(E74,F74)</f>
        <v/>
      </c>
      <c r="B74" s="211"/>
      <c r="C74" s="57"/>
      <c r="D74" s="43">
        <f t="shared" si="123"/>
        <v>85</v>
      </c>
      <c r="E74" s="58" t="str">
        <f t="shared" si="124"/>
        <v/>
      </c>
      <c r="F74" s="89" t="str">
        <f t="shared" ref="F74:F78" si="139">IF(G74="","",CONCATENATE("SFC-",IF(LEN(MONTH($G$4))=1,CONCATENATE("0",MONTH($G$4)),MONTH($G$4)),RIGHT(YEAR($G$4),2),"-",S74))</f>
        <v/>
      </c>
      <c r="G74" s="184"/>
      <c r="H74" s="185"/>
      <c r="I74" s="196"/>
      <c r="J74" s="41"/>
      <c r="K74" s="38">
        <f>IF(I74="",0,VLOOKUP(I74,'LISTA DE PRECIOS'!A:F,IF(R74="CORO",4,5),FALSE))</f>
        <v>0</v>
      </c>
      <c r="L74" s="199">
        <f t="shared" si="125"/>
        <v>0</v>
      </c>
      <c r="M74" s="209">
        <f>IF(F74="",0,IF(SUMIF('REPORTE GASTOS'!$C$6:$C$208,F74,'REPORTE GASTOS'!$G$6:$G$208)=0,'LISTA DE PRECIOS'!$H$3,SUMIF('REPORTE GASTOS'!$C$6:$C$208,F74,'REPORTE GASTOS'!$I$6:$I$208)/SUMIF('REPORTE GASTOS'!$C$6:$C$208,F74,'REPORTE GASTOS'!$G$6:$G$208)))</f>
        <v>0</v>
      </c>
      <c r="N74" s="12">
        <f t="shared" si="126"/>
        <v>0</v>
      </c>
      <c r="O74" s="42">
        <f t="shared" si="127"/>
        <v>0</v>
      </c>
      <c r="P74" s="69"/>
      <c r="R74" s="67" t="str">
        <f>IF(H74="","",VLOOKUP(H74,'DATOS CLIENTES'!B:F,5,FALSE))</f>
        <v/>
      </c>
      <c r="S74" s="67" t="e">
        <f t="shared" si="128"/>
        <v>#REF!</v>
      </c>
      <c r="U74" s="68">
        <f t="shared" si="115"/>
        <v>0</v>
      </c>
      <c r="V74" s="68">
        <f t="shared" si="116"/>
        <v>0</v>
      </c>
      <c r="X74" s="67" t="e">
        <f t="shared" si="122"/>
        <v>#N/A</v>
      </c>
      <c r="Y74" s="67" t="str">
        <f t="shared" si="129"/>
        <v/>
      </c>
      <c r="Z74" s="67" t="str">
        <f t="shared" si="130"/>
        <v/>
      </c>
      <c r="AA74" s="67" t="str">
        <f t="shared" si="131"/>
        <v/>
      </c>
      <c r="AB74" s="219" t="str">
        <f t="shared" si="132"/>
        <v/>
      </c>
      <c r="AC74" s="67" t="str">
        <f t="shared" si="133"/>
        <v/>
      </c>
      <c r="AD74" s="67" t="str">
        <f t="shared" si="134"/>
        <v/>
      </c>
      <c r="AE74" s="67" t="str">
        <f t="shared" si="135"/>
        <v/>
      </c>
      <c r="AF74" s="67" t="str">
        <f t="shared" si="136"/>
        <v/>
      </c>
      <c r="AG74" s="67" t="str">
        <f t="shared" si="137"/>
        <v/>
      </c>
    </row>
    <row r="75" spans="1:33">
      <c r="A75" s="18" t="str">
        <f t="shared" si="138"/>
        <v/>
      </c>
      <c r="B75" s="211"/>
      <c r="C75" s="57"/>
      <c r="D75" s="43">
        <f t="shared" si="123"/>
        <v>85</v>
      </c>
      <c r="E75" s="58" t="str">
        <f t="shared" si="124"/>
        <v/>
      </c>
      <c r="F75" s="89" t="str">
        <f t="shared" si="139"/>
        <v/>
      </c>
      <c r="G75" s="184"/>
      <c r="H75" s="185"/>
      <c r="I75" s="196"/>
      <c r="J75" s="197"/>
      <c r="K75" s="38">
        <f>IF(I75="",0,VLOOKUP(I75,'LISTA DE PRECIOS'!A:F,IF(R75="CORO",4,5),FALSE))</f>
        <v>0</v>
      </c>
      <c r="L75" s="199">
        <f t="shared" si="125"/>
        <v>0</v>
      </c>
      <c r="M75" s="209">
        <f>IF(F75="",0,IF(SUMIF('REPORTE GASTOS'!$C$6:$C$208,F75,'REPORTE GASTOS'!$G$6:$G$208)=0,'LISTA DE PRECIOS'!$H$3,SUMIF('REPORTE GASTOS'!$C$6:$C$208,F75,'REPORTE GASTOS'!$I$6:$I$208)/SUMIF('REPORTE GASTOS'!$C$6:$C$208,F75,'REPORTE GASTOS'!$G$6:$G$208)))</f>
        <v>0</v>
      </c>
      <c r="N75" s="12">
        <f t="shared" si="126"/>
        <v>0</v>
      </c>
      <c r="O75" s="42">
        <f t="shared" si="127"/>
        <v>0</v>
      </c>
      <c r="P75" s="69"/>
      <c r="R75" s="67" t="str">
        <f>IF(H75="","",VLOOKUP(H75,'DATOS CLIENTES'!B:F,5,FALSE))</f>
        <v/>
      </c>
      <c r="S75" s="67" t="e">
        <f t="shared" si="128"/>
        <v>#REF!</v>
      </c>
      <c r="U75" s="68">
        <f t="shared" si="115"/>
        <v>0</v>
      </c>
      <c r="V75" s="68">
        <f t="shared" si="116"/>
        <v>0</v>
      </c>
      <c r="X75" s="67" t="e">
        <f t="shared" si="122"/>
        <v>#N/A</v>
      </c>
      <c r="Y75" s="67" t="str">
        <f t="shared" si="129"/>
        <v/>
      </c>
      <c r="Z75" s="67" t="str">
        <f t="shared" si="130"/>
        <v/>
      </c>
      <c r="AA75" s="67" t="str">
        <f t="shared" si="131"/>
        <v/>
      </c>
      <c r="AB75" s="219" t="str">
        <f t="shared" si="132"/>
        <v/>
      </c>
      <c r="AC75" s="67" t="str">
        <f t="shared" si="133"/>
        <v/>
      </c>
      <c r="AD75" s="67" t="str">
        <f t="shared" si="134"/>
        <v/>
      </c>
      <c r="AE75" s="67" t="str">
        <f t="shared" si="135"/>
        <v/>
      </c>
      <c r="AF75" s="67" t="str">
        <f t="shared" si="136"/>
        <v/>
      </c>
      <c r="AG75" s="67" t="str">
        <f t="shared" si="137"/>
        <v/>
      </c>
    </row>
    <row r="76" spans="1:33">
      <c r="A76" s="18" t="str">
        <f t="shared" si="138"/>
        <v/>
      </c>
      <c r="B76" s="211"/>
      <c r="C76" s="57"/>
      <c r="D76" s="43">
        <f t="shared" si="123"/>
        <v>85</v>
      </c>
      <c r="E76" s="58" t="str">
        <f t="shared" si="124"/>
        <v/>
      </c>
      <c r="F76" s="89" t="str">
        <f t="shared" si="139"/>
        <v/>
      </c>
      <c r="G76" s="184"/>
      <c r="H76" s="185"/>
      <c r="I76" s="196"/>
      <c r="J76" s="197"/>
      <c r="K76" s="38">
        <f>IF(I76="",0,VLOOKUP(I76,'LISTA DE PRECIOS'!A:F,IF(R76="CORO",4,5),FALSE))</f>
        <v>0</v>
      </c>
      <c r="L76" s="199">
        <f t="shared" si="125"/>
        <v>0</v>
      </c>
      <c r="M76" s="209">
        <f>IF(F76="",0,IF(SUMIF('REPORTE GASTOS'!$C$6:$C$208,F76,'REPORTE GASTOS'!$G$6:$G$208)=0,'LISTA DE PRECIOS'!$H$3,SUMIF('REPORTE GASTOS'!$C$6:$C$208,F76,'REPORTE GASTOS'!$I$6:$I$208)/SUMIF('REPORTE GASTOS'!$C$6:$C$208,F76,'REPORTE GASTOS'!$G$6:$G$208)))</f>
        <v>0</v>
      </c>
      <c r="N76" s="12">
        <f t="shared" si="126"/>
        <v>0</v>
      </c>
      <c r="O76" s="42">
        <f t="shared" si="127"/>
        <v>0</v>
      </c>
      <c r="P76" s="69"/>
      <c r="R76" s="67" t="str">
        <f>IF(H76="","",VLOOKUP(H76,'DATOS CLIENTES'!B:F,5,FALSE))</f>
        <v/>
      </c>
      <c r="S76" s="67" t="e">
        <f t="shared" si="128"/>
        <v>#REF!</v>
      </c>
      <c r="U76" s="68">
        <f t="shared" si="115"/>
        <v>0</v>
      </c>
      <c r="V76" s="68">
        <f t="shared" si="116"/>
        <v>0</v>
      </c>
      <c r="X76" s="67" t="e">
        <f t="shared" si="122"/>
        <v>#N/A</v>
      </c>
      <c r="Y76" s="67" t="str">
        <f t="shared" si="129"/>
        <v/>
      </c>
      <c r="Z76" s="67" t="str">
        <f t="shared" si="130"/>
        <v/>
      </c>
      <c r="AA76" s="67" t="str">
        <f t="shared" si="131"/>
        <v/>
      </c>
      <c r="AB76" s="219" t="str">
        <f t="shared" si="132"/>
        <v/>
      </c>
      <c r="AC76" s="67" t="str">
        <f t="shared" si="133"/>
        <v/>
      </c>
      <c r="AD76" s="67" t="str">
        <f t="shared" si="134"/>
        <v/>
      </c>
      <c r="AE76" s="67" t="str">
        <f t="shared" si="135"/>
        <v/>
      </c>
      <c r="AF76" s="67" t="str">
        <f t="shared" si="136"/>
        <v/>
      </c>
      <c r="AG76" s="67" t="str">
        <f t="shared" si="137"/>
        <v/>
      </c>
    </row>
    <row r="77" spans="1:33">
      <c r="A77" s="18" t="str">
        <f t="shared" si="138"/>
        <v/>
      </c>
      <c r="B77" s="211"/>
      <c r="C77" s="57"/>
      <c r="D77" s="43"/>
      <c r="E77" s="58"/>
      <c r="F77" s="89"/>
      <c r="G77" s="184"/>
      <c r="H77" s="185"/>
      <c r="I77" s="196"/>
      <c r="J77" s="41"/>
      <c r="K77" s="38">
        <f>IF(I77="",0,VLOOKUP(I77,'LISTA DE PRECIOS'!A:F,IF(R77="CORO",4,5),FALSE))</f>
        <v>0</v>
      </c>
      <c r="L77" s="199">
        <f t="shared" si="125"/>
        <v>0</v>
      </c>
      <c r="M77" s="209">
        <f>IF(F77="",0,IF(SUMIF('REPORTE GASTOS'!$C$6:$C$208,F77,'REPORTE GASTOS'!$G$6:$G$208)=0,'LISTA DE PRECIOS'!$H$3,SUMIF('REPORTE GASTOS'!$C$6:$C$208,F77,'REPORTE GASTOS'!$I$6:$I$208)/SUMIF('REPORTE GASTOS'!$C$6:$C$208,F77,'REPORTE GASTOS'!$G$6:$G$208)))</f>
        <v>0</v>
      </c>
      <c r="N77" s="12">
        <f t="shared" si="126"/>
        <v>0</v>
      </c>
      <c r="O77" s="42">
        <f t="shared" si="127"/>
        <v>0</v>
      </c>
      <c r="P77" s="69"/>
      <c r="R77" s="67" t="str">
        <f>IF(H77="","",VLOOKUP(H77,'DATOS CLIENTES'!B:F,5,FALSE))</f>
        <v/>
      </c>
      <c r="S77" s="67" t="e">
        <f t="shared" si="128"/>
        <v>#REF!</v>
      </c>
      <c r="U77" s="68">
        <f t="shared" si="115"/>
        <v>0</v>
      </c>
      <c r="V77" s="68">
        <f t="shared" si="116"/>
        <v>0</v>
      </c>
      <c r="X77" s="67" t="e">
        <f t="shared" si="122"/>
        <v>#N/A</v>
      </c>
      <c r="Y77" s="67" t="str">
        <f t="shared" si="129"/>
        <v/>
      </c>
      <c r="Z77" s="67" t="str">
        <f t="shared" si="130"/>
        <v/>
      </c>
      <c r="AA77" s="67" t="str">
        <f t="shared" si="131"/>
        <v/>
      </c>
      <c r="AB77" s="219" t="str">
        <f t="shared" si="132"/>
        <v/>
      </c>
      <c r="AC77" s="67" t="str">
        <f t="shared" si="133"/>
        <v/>
      </c>
      <c r="AD77" s="67" t="str">
        <f t="shared" si="134"/>
        <v/>
      </c>
      <c r="AE77" s="67" t="str">
        <f t="shared" si="135"/>
        <v/>
      </c>
      <c r="AF77" s="67" t="str">
        <f t="shared" si="136"/>
        <v/>
      </c>
      <c r="AG77" s="67" t="str">
        <f t="shared" si="137"/>
        <v/>
      </c>
    </row>
    <row r="78" spans="1:33">
      <c r="A78" s="18" t="str">
        <f t="shared" si="138"/>
        <v/>
      </c>
      <c r="B78" s="211"/>
      <c r="C78" s="57"/>
      <c r="D78" s="43"/>
      <c r="E78" s="58"/>
      <c r="F78" s="89"/>
      <c r="G78" s="184"/>
      <c r="H78" s="185"/>
      <c r="I78" s="196"/>
      <c r="J78" s="41"/>
      <c r="K78" s="38">
        <v>6.3</v>
      </c>
      <c r="L78" s="199">
        <f t="shared" si="125"/>
        <v>0</v>
      </c>
      <c r="M78" s="209">
        <v>10.8</v>
      </c>
      <c r="N78" s="12">
        <f t="shared" si="126"/>
        <v>68.040000000000006</v>
      </c>
      <c r="O78" s="42">
        <f t="shared" si="127"/>
        <v>0</v>
      </c>
      <c r="P78" s="69"/>
      <c r="R78" s="67" t="str">
        <f>IF(H78="","",VLOOKUP(H78,'DATOS CLIENTES'!B:F,5,FALSE))</f>
        <v/>
      </c>
      <c r="S78" s="67" t="e">
        <f t="shared" si="128"/>
        <v>#REF!</v>
      </c>
      <c r="U78" s="68">
        <f t="shared" si="115"/>
        <v>0</v>
      </c>
      <c r="V78" s="68">
        <f t="shared" si="116"/>
        <v>0</v>
      </c>
      <c r="X78" s="67" t="e">
        <f t="shared" si="122"/>
        <v>#N/A</v>
      </c>
      <c r="Y78" s="67" t="str">
        <f t="shared" si="129"/>
        <v/>
      </c>
      <c r="Z78" s="67" t="str">
        <f t="shared" si="130"/>
        <v/>
      </c>
      <c r="AA78" s="67" t="str">
        <f t="shared" si="131"/>
        <v/>
      </c>
      <c r="AB78" s="219" t="str">
        <f t="shared" si="132"/>
        <v/>
      </c>
      <c r="AC78" s="67" t="str">
        <f t="shared" si="133"/>
        <v/>
      </c>
      <c r="AD78" s="67" t="str">
        <f t="shared" si="134"/>
        <v/>
      </c>
      <c r="AE78" s="67" t="str">
        <f t="shared" si="135"/>
        <v/>
      </c>
      <c r="AF78" s="67" t="str">
        <f t="shared" si="136"/>
        <v/>
      </c>
      <c r="AG78" s="67" t="str">
        <f t="shared" si="137"/>
        <v/>
      </c>
    </row>
    <row r="79" spans="1:33">
      <c r="A79" s="18" t="str">
        <f t="shared" si="138"/>
        <v/>
      </c>
      <c r="B79" s="211"/>
      <c r="C79" s="57"/>
      <c r="D79" s="43">
        <f t="shared" ref="D79:D134" si="140">IF(OR(H79="",AND(H79=H78,G79=G78)),D78,D78+1)</f>
        <v>0</v>
      </c>
      <c r="E79" s="58" t="str">
        <f t="shared" ref="E79:E134" si="141">IF(F79="","",IF(OR(F79=0,F79=F78),E78+1,1))</f>
        <v/>
      </c>
      <c r="F79" s="89" t="str">
        <f t="shared" ref="F79:F134" si="142">IF(G79="","",CONCATENATE("SFC-",IF(LEN(MONTH($G$4))=1,CONCATENATE("0",MONTH($G$4)),MONTH($G$4)),RIGHT(YEAR($G$4),2),"-",S79))</f>
        <v/>
      </c>
      <c r="G79" s="184"/>
      <c r="H79" s="185"/>
      <c r="I79" s="196"/>
      <c r="J79" s="41"/>
      <c r="K79" s="38">
        <f>IF(I79="",0,VLOOKUP(I79,'LISTA DE PRECIOS'!A:F,IF(R79="CORO",4,5),FALSE))</f>
        <v>0</v>
      </c>
      <c r="L79" s="199">
        <f t="shared" si="125"/>
        <v>0</v>
      </c>
      <c r="M79" s="209">
        <f>IF(F79="",0,IF(SUMIF('REPORTE GASTOS'!$C$6:$C$208,F79,'REPORTE GASTOS'!$G$6:$G$208)=0,'LISTA DE PRECIOS'!$H$3,SUMIF('REPORTE GASTOS'!$C$6:$C$208,F79,'REPORTE GASTOS'!$I$6:$I$208)/SUMIF('REPORTE GASTOS'!$C$6:$C$208,F79,'REPORTE GASTOS'!$G$6:$G$208)))</f>
        <v>0</v>
      </c>
      <c r="N79" s="12">
        <f t="shared" si="126"/>
        <v>0</v>
      </c>
      <c r="O79" s="42">
        <f t="shared" si="127"/>
        <v>0</v>
      </c>
      <c r="P79" s="69"/>
      <c r="R79" s="67" t="str">
        <f>IF(H79="","",VLOOKUP(H79,'DATOS CLIENTES'!B:F,5,FALSE))</f>
        <v/>
      </c>
      <c r="S79" s="67" t="e">
        <f t="shared" si="128"/>
        <v>#REF!</v>
      </c>
      <c r="U79" s="68">
        <f t="shared" si="115"/>
        <v>0</v>
      </c>
      <c r="V79" s="68">
        <f t="shared" si="116"/>
        <v>0</v>
      </c>
      <c r="X79" s="67" t="e">
        <f t="shared" si="122"/>
        <v>#N/A</v>
      </c>
      <c r="Y79" s="67" t="str">
        <f t="shared" si="129"/>
        <v/>
      </c>
      <c r="Z79" s="67" t="str">
        <f t="shared" si="130"/>
        <v/>
      </c>
      <c r="AA79" s="67" t="str">
        <f t="shared" si="131"/>
        <v/>
      </c>
      <c r="AB79" s="219" t="str">
        <f t="shared" si="132"/>
        <v/>
      </c>
      <c r="AC79" s="67" t="str">
        <f t="shared" si="133"/>
        <v/>
      </c>
      <c r="AD79" s="67" t="str">
        <f t="shared" si="134"/>
        <v/>
      </c>
      <c r="AE79" s="67" t="str">
        <f t="shared" si="135"/>
        <v/>
      </c>
      <c r="AF79" s="67" t="str">
        <f t="shared" si="136"/>
        <v/>
      </c>
      <c r="AG79" s="67" t="str">
        <f t="shared" si="137"/>
        <v/>
      </c>
    </row>
    <row r="80" spans="1:33">
      <c r="A80" s="18" t="str">
        <f t="shared" si="138"/>
        <v/>
      </c>
      <c r="B80" s="211"/>
      <c r="C80" s="57"/>
      <c r="D80" s="43">
        <f t="shared" si="140"/>
        <v>0</v>
      </c>
      <c r="E80" s="58" t="str">
        <f t="shared" si="141"/>
        <v/>
      </c>
      <c r="F80" s="89" t="str">
        <f t="shared" si="142"/>
        <v/>
      </c>
      <c r="G80" s="184"/>
      <c r="H80" s="185"/>
      <c r="I80" s="196"/>
      <c r="J80" s="41"/>
      <c r="K80" s="38">
        <f>IF(I80="",0,VLOOKUP(I80,'LISTA DE PRECIOS'!A:F,IF(R80="CORO",4,5),FALSE))</f>
        <v>0</v>
      </c>
      <c r="L80" s="199">
        <f t="shared" si="125"/>
        <v>0</v>
      </c>
      <c r="M80" s="209">
        <f>IF(F80="",0,IF(SUMIF('REPORTE GASTOS'!$C$6:$C$208,F80,'REPORTE GASTOS'!$G$6:$G$208)=0,'LISTA DE PRECIOS'!$H$3,SUMIF('REPORTE GASTOS'!$C$6:$C$208,F80,'REPORTE GASTOS'!$I$6:$I$208)/SUMIF('REPORTE GASTOS'!$C$6:$C$208,F80,'REPORTE GASTOS'!$G$6:$G$208)))</f>
        <v>0</v>
      </c>
      <c r="N80" s="12">
        <f t="shared" si="126"/>
        <v>0</v>
      </c>
      <c r="O80" s="42">
        <f t="shared" si="127"/>
        <v>0</v>
      </c>
      <c r="P80" s="69"/>
      <c r="R80" s="67" t="str">
        <f>IF(H80="","",VLOOKUP(H80,'DATOS CLIENTES'!B:F,5,FALSE))</f>
        <v/>
      </c>
      <c r="S80" s="67" t="e">
        <f t="shared" si="128"/>
        <v>#REF!</v>
      </c>
      <c r="U80" s="68">
        <f t="shared" si="115"/>
        <v>0</v>
      </c>
      <c r="V80" s="68">
        <f t="shared" si="116"/>
        <v>0</v>
      </c>
      <c r="X80" s="67" t="e">
        <f t="shared" si="122"/>
        <v>#N/A</v>
      </c>
      <c r="Y80" s="67" t="str">
        <f t="shared" si="129"/>
        <v/>
      </c>
      <c r="Z80" s="67" t="str">
        <f t="shared" si="130"/>
        <v/>
      </c>
      <c r="AA80" s="67" t="str">
        <f t="shared" si="131"/>
        <v/>
      </c>
      <c r="AB80" s="219" t="str">
        <f t="shared" si="132"/>
        <v/>
      </c>
      <c r="AC80" s="67" t="str">
        <f t="shared" si="133"/>
        <v/>
      </c>
      <c r="AD80" s="67" t="str">
        <f t="shared" si="134"/>
        <v/>
      </c>
      <c r="AE80" s="67" t="str">
        <f t="shared" si="135"/>
        <v/>
      </c>
      <c r="AF80" s="67" t="str">
        <f t="shared" si="136"/>
        <v/>
      </c>
      <c r="AG80" s="67" t="str">
        <f t="shared" si="137"/>
        <v/>
      </c>
    </row>
    <row r="81" spans="1:33">
      <c r="A81" s="18" t="str">
        <f t="shared" si="138"/>
        <v/>
      </c>
      <c r="B81" s="211"/>
      <c r="C81" s="57"/>
      <c r="D81" s="43">
        <f t="shared" si="140"/>
        <v>0</v>
      </c>
      <c r="E81" s="58" t="str">
        <f t="shared" si="141"/>
        <v/>
      </c>
      <c r="F81" s="89" t="str">
        <f t="shared" si="142"/>
        <v/>
      </c>
      <c r="G81" s="184"/>
      <c r="H81" s="185"/>
      <c r="I81" s="196"/>
      <c r="J81" s="41"/>
      <c r="K81" s="38">
        <f>IF(I81="",0,VLOOKUP(I81,'LISTA DE PRECIOS'!A:F,IF(R81="CORO",4,5),FALSE))</f>
        <v>0</v>
      </c>
      <c r="L81" s="199">
        <f t="shared" si="125"/>
        <v>0</v>
      </c>
      <c r="M81" s="209">
        <f>IF(F81="",0,IF(SUMIF('REPORTE GASTOS'!$C$6:$C$208,F81,'REPORTE GASTOS'!$G$6:$G$208)=0,'LISTA DE PRECIOS'!$H$3,SUMIF('REPORTE GASTOS'!$C$6:$C$208,F81,'REPORTE GASTOS'!$I$6:$I$208)/SUMIF('REPORTE GASTOS'!$C$6:$C$208,F81,'REPORTE GASTOS'!$G$6:$G$208)))</f>
        <v>0</v>
      </c>
      <c r="N81" s="12">
        <f t="shared" si="126"/>
        <v>0</v>
      </c>
      <c r="O81" s="42">
        <f t="shared" si="127"/>
        <v>0</v>
      </c>
      <c r="P81" s="69"/>
      <c r="R81" s="67" t="str">
        <f>IF(H81="","",VLOOKUP(H81,'DATOS CLIENTES'!B:F,5,FALSE))</f>
        <v/>
      </c>
      <c r="S81" s="67" t="e">
        <f t="shared" si="128"/>
        <v>#REF!</v>
      </c>
      <c r="U81" s="68">
        <f t="shared" si="115"/>
        <v>0</v>
      </c>
      <c r="V81" s="68">
        <f t="shared" si="116"/>
        <v>0</v>
      </c>
      <c r="X81" s="67" t="e">
        <f t="shared" si="122"/>
        <v>#N/A</v>
      </c>
      <c r="Y81" s="67" t="str">
        <f t="shared" si="129"/>
        <v/>
      </c>
      <c r="Z81" s="67" t="str">
        <f t="shared" si="130"/>
        <v/>
      </c>
      <c r="AA81" s="67" t="str">
        <f t="shared" si="131"/>
        <v/>
      </c>
      <c r="AB81" s="219" t="str">
        <f t="shared" si="132"/>
        <v/>
      </c>
      <c r="AC81" s="67" t="str">
        <f t="shared" si="133"/>
        <v/>
      </c>
      <c r="AD81" s="67" t="str">
        <f t="shared" si="134"/>
        <v/>
      </c>
      <c r="AE81" s="67" t="str">
        <f t="shared" si="135"/>
        <v/>
      </c>
      <c r="AF81" s="67" t="str">
        <f t="shared" si="136"/>
        <v/>
      </c>
      <c r="AG81" s="67" t="str">
        <f t="shared" si="137"/>
        <v/>
      </c>
    </row>
    <row r="82" spans="1:33">
      <c r="A82" s="18" t="str">
        <f t="shared" si="138"/>
        <v/>
      </c>
      <c r="B82" s="211"/>
      <c r="C82" s="57"/>
      <c r="D82" s="43">
        <f t="shared" si="140"/>
        <v>0</v>
      </c>
      <c r="E82" s="58" t="str">
        <f t="shared" si="141"/>
        <v/>
      </c>
      <c r="F82" s="89" t="str">
        <f t="shared" si="142"/>
        <v/>
      </c>
      <c r="G82" s="184"/>
      <c r="H82" s="185"/>
      <c r="I82" s="196"/>
      <c r="J82" s="41"/>
      <c r="K82" s="38">
        <f>IF(I82="",0,VLOOKUP(I82,'LISTA DE PRECIOS'!A:F,IF(R82="CORO",4,5),FALSE))</f>
        <v>0</v>
      </c>
      <c r="L82" s="199">
        <f t="shared" si="125"/>
        <v>0</v>
      </c>
      <c r="M82" s="209">
        <f>IF(F82="",0,IF(SUMIF('REPORTE GASTOS'!$C$6:$C$208,F82,'REPORTE GASTOS'!$G$6:$G$208)=0,'LISTA DE PRECIOS'!$H$3,SUMIF('REPORTE GASTOS'!$C$6:$C$208,F82,'REPORTE GASTOS'!$I$6:$I$208)/SUMIF('REPORTE GASTOS'!$C$6:$C$208,F82,'REPORTE GASTOS'!$G$6:$G$208)))</f>
        <v>0</v>
      </c>
      <c r="N82" s="12">
        <f t="shared" si="126"/>
        <v>0</v>
      </c>
      <c r="O82" s="42">
        <f t="shared" si="127"/>
        <v>0</v>
      </c>
      <c r="P82" s="69"/>
      <c r="R82" s="67" t="str">
        <f>IF(H82="","",VLOOKUP(H82,'DATOS CLIENTES'!B:F,5,FALSE))</f>
        <v/>
      </c>
      <c r="S82" s="67" t="e">
        <f t="shared" si="128"/>
        <v>#REF!</v>
      </c>
      <c r="U82" s="68">
        <f t="shared" si="115"/>
        <v>0</v>
      </c>
      <c r="V82" s="68">
        <f t="shared" si="116"/>
        <v>0</v>
      </c>
      <c r="X82" s="67" t="e">
        <f t="shared" si="122"/>
        <v>#N/A</v>
      </c>
      <c r="Y82" s="67" t="str">
        <f t="shared" si="129"/>
        <v/>
      </c>
      <c r="Z82" s="67" t="str">
        <f t="shared" si="130"/>
        <v/>
      </c>
      <c r="AA82" s="67" t="str">
        <f t="shared" si="131"/>
        <v/>
      </c>
      <c r="AB82" s="219" t="str">
        <f t="shared" si="132"/>
        <v/>
      </c>
      <c r="AC82" s="67" t="str">
        <f t="shared" si="133"/>
        <v/>
      </c>
      <c r="AD82" s="67" t="str">
        <f t="shared" si="134"/>
        <v/>
      </c>
      <c r="AE82" s="67" t="str">
        <f t="shared" si="135"/>
        <v/>
      </c>
      <c r="AF82" s="67" t="str">
        <f t="shared" si="136"/>
        <v/>
      </c>
      <c r="AG82" s="67" t="str">
        <f t="shared" si="137"/>
        <v/>
      </c>
    </row>
    <row r="83" spans="1:33">
      <c r="A83" s="18" t="str">
        <f t="shared" si="138"/>
        <v/>
      </c>
      <c r="B83" s="211"/>
      <c r="C83" s="57"/>
      <c r="D83" s="43">
        <f t="shared" si="140"/>
        <v>0</v>
      </c>
      <c r="E83" s="58" t="str">
        <f t="shared" si="141"/>
        <v/>
      </c>
      <c r="F83" s="89" t="str">
        <f t="shared" si="142"/>
        <v/>
      </c>
      <c r="G83" s="184"/>
      <c r="H83" s="185"/>
      <c r="I83" s="196"/>
      <c r="J83" s="41"/>
      <c r="K83" s="38">
        <f>IF(I83="",0,VLOOKUP(I83,'LISTA DE PRECIOS'!A:F,IF(R83="CORO",4,5),FALSE))</f>
        <v>0</v>
      </c>
      <c r="L83" s="199">
        <f t="shared" si="125"/>
        <v>0</v>
      </c>
      <c r="M83" s="209">
        <f>IF(F83="",0,IF(SUMIF('REPORTE GASTOS'!$C$6:$C$208,F83,'REPORTE GASTOS'!$G$6:$G$208)=0,'LISTA DE PRECIOS'!$H$3,SUMIF('REPORTE GASTOS'!$C$6:$C$208,F83,'REPORTE GASTOS'!$I$6:$I$208)/SUMIF('REPORTE GASTOS'!$C$6:$C$208,F83,'REPORTE GASTOS'!$G$6:$G$208)))</f>
        <v>0</v>
      </c>
      <c r="N83" s="12">
        <f t="shared" si="126"/>
        <v>0</v>
      </c>
      <c r="O83" s="42">
        <f t="shared" si="127"/>
        <v>0</v>
      </c>
      <c r="P83" s="69"/>
      <c r="R83" s="67" t="str">
        <f>IF(H83="","",VLOOKUP(H83,'DATOS CLIENTES'!B:F,5,FALSE))</f>
        <v/>
      </c>
      <c r="S83" s="67" t="e">
        <f t="shared" si="128"/>
        <v>#REF!</v>
      </c>
      <c r="U83" s="68">
        <f t="shared" si="115"/>
        <v>0</v>
      </c>
      <c r="V83" s="68">
        <f t="shared" si="116"/>
        <v>0</v>
      </c>
      <c r="X83" s="67" t="e">
        <f t="shared" si="122"/>
        <v>#N/A</v>
      </c>
      <c r="Y83" s="67" t="str">
        <f t="shared" si="129"/>
        <v/>
      </c>
      <c r="Z83" s="67" t="str">
        <f t="shared" si="130"/>
        <v/>
      </c>
      <c r="AA83" s="67" t="str">
        <f t="shared" si="131"/>
        <v/>
      </c>
      <c r="AB83" s="219" t="str">
        <f t="shared" si="132"/>
        <v/>
      </c>
      <c r="AC83" s="67" t="str">
        <f t="shared" si="133"/>
        <v/>
      </c>
      <c r="AD83" s="67" t="str">
        <f t="shared" si="134"/>
        <v/>
      </c>
      <c r="AE83" s="67" t="str">
        <f t="shared" si="135"/>
        <v/>
      </c>
      <c r="AF83" s="67" t="str">
        <f t="shared" si="136"/>
        <v/>
      </c>
      <c r="AG83" s="67" t="str">
        <f t="shared" si="137"/>
        <v/>
      </c>
    </row>
    <row r="84" spans="1:33">
      <c r="A84" s="18" t="str">
        <f t="shared" si="138"/>
        <v/>
      </c>
      <c r="B84" s="211"/>
      <c r="C84" s="57"/>
      <c r="D84" s="43">
        <f t="shared" si="140"/>
        <v>0</v>
      </c>
      <c r="E84" s="58" t="str">
        <f t="shared" si="141"/>
        <v/>
      </c>
      <c r="F84" s="89" t="str">
        <f t="shared" si="142"/>
        <v/>
      </c>
      <c r="G84" s="198"/>
      <c r="H84" s="185"/>
      <c r="I84" s="196"/>
      <c r="J84" s="41"/>
      <c r="K84" s="38">
        <f>IF(I84="",0,VLOOKUP(I84,'LISTA DE PRECIOS'!A:F,IF(R84="CORO",4,5),FALSE))</f>
        <v>0</v>
      </c>
      <c r="L84" s="199">
        <f t="shared" si="125"/>
        <v>0</v>
      </c>
      <c r="M84" s="209">
        <f>IF(F84="",0,IF(SUMIF('REPORTE GASTOS'!$C$6:$C$208,F84,'REPORTE GASTOS'!$G$6:$G$208)=0,'LISTA DE PRECIOS'!$H$3,SUMIF('REPORTE GASTOS'!$C$6:$C$208,F84,'REPORTE GASTOS'!$I$6:$I$208)/SUMIF('REPORTE GASTOS'!$C$6:$C$208,F84,'REPORTE GASTOS'!$G$6:$G$208)))</f>
        <v>0</v>
      </c>
      <c r="N84" s="12">
        <f t="shared" si="126"/>
        <v>0</v>
      </c>
      <c r="O84" s="42">
        <f t="shared" si="127"/>
        <v>0</v>
      </c>
      <c r="P84" s="69"/>
      <c r="R84" s="67" t="str">
        <f>IF(H84="","",VLOOKUP(H84,'DATOS CLIENTES'!B:F,5,FALSE))</f>
        <v/>
      </c>
      <c r="S84" s="67" t="e">
        <f t="shared" si="128"/>
        <v>#REF!</v>
      </c>
      <c r="U84" s="68">
        <f t="shared" si="115"/>
        <v>0</v>
      </c>
      <c r="V84" s="68">
        <f t="shared" si="116"/>
        <v>0</v>
      </c>
      <c r="X84" s="67" t="e">
        <f t="shared" si="122"/>
        <v>#N/A</v>
      </c>
      <c r="Y84" s="67" t="str">
        <f t="shared" si="129"/>
        <v/>
      </c>
      <c r="Z84" s="67" t="str">
        <f t="shared" si="130"/>
        <v/>
      </c>
      <c r="AA84" s="67" t="str">
        <f t="shared" si="131"/>
        <v/>
      </c>
      <c r="AB84" s="219" t="str">
        <f t="shared" si="132"/>
        <v/>
      </c>
      <c r="AC84" s="67" t="str">
        <f t="shared" si="133"/>
        <v/>
      </c>
      <c r="AD84" s="67" t="str">
        <f t="shared" si="134"/>
        <v/>
      </c>
      <c r="AE84" s="67" t="str">
        <f t="shared" si="135"/>
        <v/>
      </c>
      <c r="AF84" s="67" t="str">
        <f t="shared" si="136"/>
        <v/>
      </c>
      <c r="AG84" s="67" t="str">
        <f t="shared" si="137"/>
        <v/>
      </c>
    </row>
    <row r="85" spans="1:33">
      <c r="A85" s="18" t="str">
        <f t="shared" si="138"/>
        <v/>
      </c>
      <c r="B85" s="211"/>
      <c r="C85" s="57"/>
      <c r="D85" s="43">
        <f t="shared" si="140"/>
        <v>0</v>
      </c>
      <c r="E85" s="58" t="str">
        <f t="shared" si="141"/>
        <v/>
      </c>
      <c r="F85" s="89" t="str">
        <f t="shared" si="142"/>
        <v/>
      </c>
      <c r="G85" s="198"/>
      <c r="H85" s="185"/>
      <c r="I85" s="196"/>
      <c r="J85" s="41"/>
      <c r="K85" s="38">
        <f>IF(I85="",0,VLOOKUP(I85,'LISTA DE PRECIOS'!A:F,IF(R85="CORO",4,5),FALSE))</f>
        <v>0</v>
      </c>
      <c r="L85" s="199">
        <f t="shared" si="125"/>
        <v>0</v>
      </c>
      <c r="M85" s="209">
        <f>IF(F85="",0,IF(SUMIF('REPORTE GASTOS'!$C$6:$C$208,F85,'REPORTE GASTOS'!$G$6:$G$208)=0,'LISTA DE PRECIOS'!$H$3,SUMIF('REPORTE GASTOS'!$C$6:$C$208,F85,'REPORTE GASTOS'!$I$6:$I$208)/SUMIF('REPORTE GASTOS'!$C$6:$C$208,F85,'REPORTE GASTOS'!$G$6:$G$208)))</f>
        <v>0</v>
      </c>
      <c r="N85" s="12">
        <f t="shared" si="126"/>
        <v>0</v>
      </c>
      <c r="O85" s="42">
        <f t="shared" si="127"/>
        <v>0</v>
      </c>
      <c r="P85" s="69"/>
      <c r="R85" s="67" t="str">
        <f>IF(H85="","",VLOOKUP(H85,'DATOS CLIENTES'!B:F,5,FALSE))</f>
        <v/>
      </c>
      <c r="S85" s="67" t="e">
        <f t="shared" si="128"/>
        <v>#REF!</v>
      </c>
      <c r="U85" s="68">
        <f t="shared" si="115"/>
        <v>0</v>
      </c>
      <c r="V85" s="68">
        <f t="shared" si="116"/>
        <v>0</v>
      </c>
      <c r="X85" s="67" t="e">
        <f t="shared" si="122"/>
        <v>#N/A</v>
      </c>
      <c r="Y85" s="67" t="str">
        <f t="shared" si="129"/>
        <v/>
      </c>
      <c r="Z85" s="67" t="str">
        <f t="shared" si="130"/>
        <v/>
      </c>
      <c r="AA85" s="67" t="str">
        <f t="shared" si="131"/>
        <v/>
      </c>
      <c r="AB85" s="219" t="str">
        <f t="shared" si="132"/>
        <v/>
      </c>
      <c r="AC85" s="67" t="str">
        <f t="shared" si="133"/>
        <v/>
      </c>
      <c r="AD85" s="67" t="str">
        <f t="shared" si="134"/>
        <v/>
      </c>
      <c r="AE85" s="67" t="str">
        <f t="shared" si="135"/>
        <v/>
      </c>
      <c r="AF85" s="67" t="str">
        <f t="shared" si="136"/>
        <v/>
      </c>
      <c r="AG85" s="67" t="str">
        <f t="shared" si="137"/>
        <v/>
      </c>
    </row>
    <row r="86" spans="1:33">
      <c r="A86" s="18" t="str">
        <f t="shared" si="138"/>
        <v/>
      </c>
      <c r="B86" s="211"/>
      <c r="C86" s="57"/>
      <c r="D86" s="43">
        <f t="shared" si="140"/>
        <v>0</v>
      </c>
      <c r="E86" s="58" t="str">
        <f t="shared" si="141"/>
        <v/>
      </c>
      <c r="F86" s="89" t="str">
        <f t="shared" si="142"/>
        <v/>
      </c>
      <c r="G86" s="198"/>
      <c r="H86" s="185"/>
      <c r="I86" s="196"/>
      <c r="J86" s="41"/>
      <c r="K86" s="38">
        <f>IF(I86="",0,VLOOKUP(I86,'LISTA DE PRECIOS'!A:F,IF(R86="CORO",4,5),FALSE))</f>
        <v>0</v>
      </c>
      <c r="L86" s="199">
        <f t="shared" si="125"/>
        <v>0</v>
      </c>
      <c r="M86" s="209">
        <f>IF(F86="",0,IF(SUMIF('REPORTE GASTOS'!$C$6:$C$208,F86,'REPORTE GASTOS'!$G$6:$G$208)=0,'LISTA DE PRECIOS'!$H$3,SUMIF('REPORTE GASTOS'!$C$6:$C$208,F86,'REPORTE GASTOS'!$I$6:$I$208)/SUMIF('REPORTE GASTOS'!$C$6:$C$208,F86,'REPORTE GASTOS'!$G$6:$G$208)))</f>
        <v>0</v>
      </c>
      <c r="N86" s="12">
        <f t="shared" si="126"/>
        <v>0</v>
      </c>
      <c r="O86" s="42">
        <f t="shared" si="127"/>
        <v>0</v>
      </c>
      <c r="P86" s="69"/>
      <c r="R86" s="67" t="str">
        <f>IF(H86="","",VLOOKUP(H86,'DATOS CLIENTES'!B:F,5,FALSE))</f>
        <v/>
      </c>
      <c r="S86" s="67" t="e">
        <f t="shared" si="128"/>
        <v>#REF!</v>
      </c>
      <c r="U86" s="68">
        <f t="shared" si="115"/>
        <v>0</v>
      </c>
      <c r="V86" s="68">
        <f t="shared" si="116"/>
        <v>0</v>
      </c>
      <c r="X86" s="67" t="e">
        <f t="shared" si="122"/>
        <v>#N/A</v>
      </c>
      <c r="Y86" s="67" t="str">
        <f t="shared" si="129"/>
        <v/>
      </c>
      <c r="Z86" s="67" t="str">
        <f t="shared" si="130"/>
        <v/>
      </c>
      <c r="AA86" s="67" t="str">
        <f t="shared" si="131"/>
        <v/>
      </c>
      <c r="AB86" s="219" t="str">
        <f t="shared" si="132"/>
        <v/>
      </c>
      <c r="AC86" s="67" t="str">
        <f t="shared" si="133"/>
        <v/>
      </c>
      <c r="AD86" s="67" t="str">
        <f t="shared" si="134"/>
        <v/>
      </c>
      <c r="AE86" s="67" t="str">
        <f t="shared" si="135"/>
        <v/>
      </c>
      <c r="AF86" s="67" t="str">
        <f t="shared" si="136"/>
        <v/>
      </c>
      <c r="AG86" s="67" t="str">
        <f t="shared" si="137"/>
        <v/>
      </c>
    </row>
    <row r="87" spans="1:33">
      <c r="A87" s="18" t="str">
        <f t="shared" si="138"/>
        <v/>
      </c>
      <c r="B87" s="211"/>
      <c r="C87" s="57"/>
      <c r="D87" s="43">
        <f t="shared" si="140"/>
        <v>0</v>
      </c>
      <c r="E87" s="58" t="str">
        <f t="shared" si="141"/>
        <v/>
      </c>
      <c r="F87" s="89" t="str">
        <f t="shared" si="142"/>
        <v/>
      </c>
      <c r="G87" s="198"/>
      <c r="H87" s="185"/>
      <c r="I87" s="196"/>
      <c r="J87" s="41"/>
      <c r="K87" s="38">
        <f>IF(I87="",0,VLOOKUP(I87,'LISTA DE PRECIOS'!A:F,IF(R87="CORO",4,5),FALSE))</f>
        <v>0</v>
      </c>
      <c r="L87" s="199">
        <f t="shared" si="125"/>
        <v>0</v>
      </c>
      <c r="M87" s="209">
        <f>IF(F87="",0,IF(SUMIF('REPORTE GASTOS'!$C$6:$C$208,F87,'REPORTE GASTOS'!$G$6:$G$208)=0,'LISTA DE PRECIOS'!$H$3,SUMIF('REPORTE GASTOS'!$C$6:$C$208,F87,'REPORTE GASTOS'!$I$6:$I$208)/SUMIF('REPORTE GASTOS'!$C$6:$C$208,F87,'REPORTE GASTOS'!$G$6:$G$208)))</f>
        <v>0</v>
      </c>
      <c r="N87" s="12">
        <f t="shared" si="126"/>
        <v>0</v>
      </c>
      <c r="O87" s="42">
        <f t="shared" si="127"/>
        <v>0</v>
      </c>
      <c r="P87" s="69"/>
      <c r="R87" s="67" t="str">
        <f>IF(H87="","",VLOOKUP(H87,'DATOS CLIENTES'!B:F,5,FALSE))</f>
        <v/>
      </c>
      <c r="S87" s="67" t="e">
        <f t="shared" si="128"/>
        <v>#REF!</v>
      </c>
      <c r="U87" s="68">
        <f t="shared" si="115"/>
        <v>0</v>
      </c>
      <c r="V87" s="68">
        <f t="shared" si="116"/>
        <v>0</v>
      </c>
      <c r="X87" s="67" t="e">
        <f t="shared" si="122"/>
        <v>#N/A</v>
      </c>
      <c r="Y87" s="67" t="str">
        <f t="shared" si="129"/>
        <v/>
      </c>
      <c r="Z87" s="67" t="str">
        <f t="shared" si="130"/>
        <v/>
      </c>
      <c r="AA87" s="67" t="str">
        <f t="shared" si="131"/>
        <v/>
      </c>
      <c r="AB87" s="219" t="str">
        <f t="shared" si="132"/>
        <v/>
      </c>
      <c r="AC87" s="67" t="str">
        <f t="shared" si="133"/>
        <v/>
      </c>
      <c r="AD87" s="67" t="str">
        <f t="shared" si="134"/>
        <v/>
      </c>
      <c r="AE87" s="67" t="str">
        <f t="shared" si="135"/>
        <v/>
      </c>
      <c r="AF87" s="67" t="str">
        <f t="shared" si="136"/>
        <v/>
      </c>
      <c r="AG87" s="67" t="str">
        <f t="shared" si="137"/>
        <v/>
      </c>
    </row>
    <row r="88" spans="1:33">
      <c r="A88" s="18" t="str">
        <f t="shared" si="138"/>
        <v/>
      </c>
      <c r="B88" s="211"/>
      <c r="C88" s="57"/>
      <c r="D88" s="43">
        <f t="shared" si="140"/>
        <v>0</v>
      </c>
      <c r="E88" s="58" t="str">
        <f t="shared" si="141"/>
        <v/>
      </c>
      <c r="F88" s="89" t="str">
        <f t="shared" si="142"/>
        <v/>
      </c>
      <c r="G88" s="198"/>
      <c r="H88" s="185"/>
      <c r="I88" s="196"/>
      <c r="J88" s="41"/>
      <c r="K88" s="38">
        <f>IF(I88="",0,VLOOKUP(I88,'LISTA DE PRECIOS'!A:F,IF(R88="CORO",4,5),FALSE))</f>
        <v>0</v>
      </c>
      <c r="L88" s="199">
        <f t="shared" si="125"/>
        <v>0</v>
      </c>
      <c r="M88" s="209">
        <f>IF(F88="",0,IF(SUMIF('REPORTE GASTOS'!$C$6:$C$208,F88,'REPORTE GASTOS'!$G$6:$G$208)=0,'LISTA DE PRECIOS'!$H$3,SUMIF('REPORTE GASTOS'!$C$6:$C$208,F88,'REPORTE GASTOS'!$I$6:$I$208)/SUMIF('REPORTE GASTOS'!$C$6:$C$208,F88,'REPORTE GASTOS'!$G$6:$G$208)))</f>
        <v>0</v>
      </c>
      <c r="N88" s="12">
        <f t="shared" si="126"/>
        <v>0</v>
      </c>
      <c r="O88" s="42">
        <f t="shared" si="127"/>
        <v>0</v>
      </c>
      <c r="P88" s="69"/>
      <c r="R88" s="67" t="str">
        <f>IF(H88="","",VLOOKUP(H88,'DATOS CLIENTES'!B:F,5,FALSE))</f>
        <v/>
      </c>
      <c r="S88" s="67" t="e">
        <f t="shared" si="128"/>
        <v>#REF!</v>
      </c>
      <c r="U88" s="68">
        <f t="shared" si="115"/>
        <v>0</v>
      </c>
      <c r="V88" s="68">
        <f t="shared" si="116"/>
        <v>0</v>
      </c>
      <c r="X88" s="67" t="e">
        <f t="shared" si="122"/>
        <v>#N/A</v>
      </c>
      <c r="Y88" s="67" t="str">
        <f t="shared" si="129"/>
        <v/>
      </c>
      <c r="Z88" s="67" t="str">
        <f t="shared" si="130"/>
        <v/>
      </c>
      <c r="AA88" s="67" t="str">
        <f t="shared" si="131"/>
        <v/>
      </c>
      <c r="AB88" s="219" t="str">
        <f t="shared" si="132"/>
        <v/>
      </c>
      <c r="AC88" s="67" t="str">
        <f t="shared" si="133"/>
        <v/>
      </c>
      <c r="AD88" s="67" t="str">
        <f t="shared" si="134"/>
        <v/>
      </c>
      <c r="AE88" s="67" t="str">
        <f t="shared" si="135"/>
        <v/>
      </c>
      <c r="AF88" s="67" t="str">
        <f t="shared" si="136"/>
        <v/>
      </c>
      <c r="AG88" s="67" t="str">
        <f t="shared" si="137"/>
        <v/>
      </c>
    </row>
    <row r="89" spans="1:33">
      <c r="A89" s="18" t="str">
        <f t="shared" si="138"/>
        <v/>
      </c>
      <c r="B89" s="211"/>
      <c r="C89" s="57"/>
      <c r="D89" s="43">
        <f t="shared" si="140"/>
        <v>0</v>
      </c>
      <c r="E89" s="58" t="str">
        <f t="shared" si="141"/>
        <v/>
      </c>
      <c r="F89" s="89" t="str">
        <f t="shared" si="142"/>
        <v/>
      </c>
      <c r="G89" s="198"/>
      <c r="H89" s="185"/>
      <c r="I89" s="196"/>
      <c r="J89" s="41"/>
      <c r="K89" s="38">
        <f>IF(I89="",0,VLOOKUP(I89,'LISTA DE PRECIOS'!A:F,IF(R89="CORO",4,5),FALSE))</f>
        <v>0</v>
      </c>
      <c r="L89" s="199">
        <f t="shared" si="125"/>
        <v>0</v>
      </c>
      <c r="M89" s="209">
        <f>IF(F89="",0,IF(SUMIF('REPORTE GASTOS'!$C$6:$C$208,F89,'REPORTE GASTOS'!$G$6:$G$208)=0,'LISTA DE PRECIOS'!$H$3,SUMIF('REPORTE GASTOS'!$C$6:$C$208,F89,'REPORTE GASTOS'!$I$6:$I$208)/SUMIF('REPORTE GASTOS'!$C$6:$C$208,F89,'REPORTE GASTOS'!$G$6:$G$208)))</f>
        <v>0</v>
      </c>
      <c r="N89" s="12">
        <f t="shared" si="126"/>
        <v>0</v>
      </c>
      <c r="O89" s="42">
        <f t="shared" si="127"/>
        <v>0</v>
      </c>
      <c r="P89" s="69"/>
      <c r="R89" s="67" t="str">
        <f>IF(H89="","",VLOOKUP(H89,'DATOS CLIENTES'!B:F,5,FALSE))</f>
        <v/>
      </c>
      <c r="S89" s="67" t="e">
        <f t="shared" si="128"/>
        <v>#REF!</v>
      </c>
      <c r="U89" s="68">
        <f t="shared" si="115"/>
        <v>0</v>
      </c>
      <c r="V89" s="68">
        <f t="shared" si="116"/>
        <v>0</v>
      </c>
      <c r="X89" s="67" t="e">
        <f t="shared" si="122"/>
        <v>#N/A</v>
      </c>
      <c r="Y89" s="67" t="str">
        <f t="shared" si="129"/>
        <v/>
      </c>
      <c r="Z89" s="67" t="str">
        <f t="shared" si="130"/>
        <v/>
      </c>
      <c r="AA89" s="67" t="str">
        <f t="shared" si="131"/>
        <v/>
      </c>
      <c r="AB89" s="219" t="str">
        <f t="shared" si="132"/>
        <v/>
      </c>
      <c r="AC89" s="67" t="str">
        <f t="shared" si="133"/>
        <v/>
      </c>
      <c r="AD89" s="67" t="str">
        <f t="shared" si="134"/>
        <v/>
      </c>
      <c r="AE89" s="67" t="str">
        <f t="shared" si="135"/>
        <v/>
      </c>
      <c r="AF89" s="67" t="str">
        <f t="shared" si="136"/>
        <v/>
      </c>
      <c r="AG89" s="67" t="str">
        <f t="shared" si="137"/>
        <v/>
      </c>
    </row>
    <row r="90" spans="1:33">
      <c r="A90" s="18" t="str">
        <f t="shared" si="138"/>
        <v/>
      </c>
      <c r="B90" s="211"/>
      <c r="C90" s="57"/>
      <c r="D90" s="43">
        <f t="shared" si="140"/>
        <v>0</v>
      </c>
      <c r="E90" s="58" t="str">
        <f t="shared" si="141"/>
        <v/>
      </c>
      <c r="F90" s="89" t="str">
        <f t="shared" si="142"/>
        <v/>
      </c>
      <c r="G90" s="198"/>
      <c r="H90" s="185"/>
      <c r="I90" s="196"/>
      <c r="J90" s="41"/>
      <c r="K90" s="38">
        <f>IF(I90="",0,VLOOKUP(I90,'LISTA DE PRECIOS'!A:F,IF(R90="CORO",4,5),FALSE))</f>
        <v>0</v>
      </c>
      <c r="L90" s="199">
        <f t="shared" si="125"/>
        <v>0</v>
      </c>
      <c r="M90" s="209">
        <f>IF(F90="",0,IF(SUMIF('REPORTE GASTOS'!$C$6:$C$208,F90,'REPORTE GASTOS'!$G$6:$G$208)=0,'LISTA DE PRECIOS'!$H$3,SUMIF('REPORTE GASTOS'!$C$6:$C$208,F90,'REPORTE GASTOS'!$I$6:$I$208)/SUMIF('REPORTE GASTOS'!$C$6:$C$208,F90,'REPORTE GASTOS'!$G$6:$G$208)))</f>
        <v>0</v>
      </c>
      <c r="N90" s="12">
        <f t="shared" si="126"/>
        <v>0</v>
      </c>
      <c r="O90" s="42">
        <f t="shared" si="127"/>
        <v>0</v>
      </c>
      <c r="P90" s="69"/>
      <c r="R90" s="67" t="str">
        <f>IF(H90="","",VLOOKUP(H90,'DATOS CLIENTES'!B:F,5,FALSE))</f>
        <v/>
      </c>
      <c r="S90" s="67" t="e">
        <f t="shared" si="128"/>
        <v>#REF!</v>
      </c>
      <c r="U90" s="68">
        <f t="shared" si="115"/>
        <v>0</v>
      </c>
      <c r="V90" s="68">
        <f t="shared" si="116"/>
        <v>0</v>
      </c>
      <c r="X90" s="67" t="e">
        <f t="shared" si="122"/>
        <v>#N/A</v>
      </c>
      <c r="Y90" s="67" t="str">
        <f t="shared" si="129"/>
        <v/>
      </c>
      <c r="Z90" s="67" t="str">
        <f t="shared" si="130"/>
        <v/>
      </c>
      <c r="AA90" s="67" t="str">
        <f t="shared" si="131"/>
        <v/>
      </c>
      <c r="AB90" s="219" t="str">
        <f t="shared" si="132"/>
        <v/>
      </c>
      <c r="AC90" s="67" t="str">
        <f t="shared" si="133"/>
        <v/>
      </c>
      <c r="AD90" s="67" t="str">
        <f t="shared" si="134"/>
        <v/>
      </c>
      <c r="AE90" s="67" t="str">
        <f t="shared" si="135"/>
        <v/>
      </c>
      <c r="AF90" s="67" t="str">
        <f t="shared" si="136"/>
        <v/>
      </c>
      <c r="AG90" s="67" t="str">
        <f t="shared" si="137"/>
        <v/>
      </c>
    </row>
    <row r="91" spans="1:33" ht="15.75" customHeight="1">
      <c r="A91" s="18" t="str">
        <f t="shared" si="138"/>
        <v/>
      </c>
      <c r="B91" s="211"/>
      <c r="C91" s="57"/>
      <c r="D91" s="43">
        <f t="shared" si="140"/>
        <v>0</v>
      </c>
      <c r="E91" s="58" t="str">
        <f t="shared" si="141"/>
        <v/>
      </c>
      <c r="F91" s="89" t="str">
        <f t="shared" si="142"/>
        <v/>
      </c>
      <c r="G91" s="198"/>
      <c r="H91" s="185"/>
      <c r="I91" s="196"/>
      <c r="J91" s="41"/>
      <c r="K91" s="38">
        <f>IF(I91="",0,VLOOKUP(I91,'LISTA DE PRECIOS'!A:F,IF(R91="CORO",4,5),FALSE))</f>
        <v>0</v>
      </c>
      <c r="L91" s="199">
        <f t="shared" si="125"/>
        <v>0</v>
      </c>
      <c r="M91" s="209">
        <f>IF(F91="",0,IF(SUMIF('REPORTE GASTOS'!$C$6:$C$208,F91,'REPORTE GASTOS'!$G$6:$G$208)=0,'LISTA DE PRECIOS'!$H$3,SUMIF('REPORTE GASTOS'!$C$6:$C$208,F91,'REPORTE GASTOS'!$I$6:$I$208)/SUMIF('REPORTE GASTOS'!$C$6:$C$208,F91,'REPORTE GASTOS'!$G$6:$G$208)))</f>
        <v>0</v>
      </c>
      <c r="N91" s="12">
        <f t="shared" si="126"/>
        <v>0</v>
      </c>
      <c r="O91" s="42">
        <f t="shared" si="127"/>
        <v>0</v>
      </c>
      <c r="P91" s="69"/>
      <c r="R91" s="67" t="str">
        <f>IF(H91="","",VLOOKUP(H91,'DATOS CLIENTES'!B:F,5,FALSE))</f>
        <v/>
      </c>
      <c r="S91" s="67" t="e">
        <f t="shared" si="128"/>
        <v>#REF!</v>
      </c>
      <c r="U91" s="68">
        <f t="shared" si="115"/>
        <v>0</v>
      </c>
      <c r="V91" s="68">
        <f t="shared" si="116"/>
        <v>0</v>
      </c>
      <c r="X91" s="67" t="e">
        <f t="shared" si="122"/>
        <v>#N/A</v>
      </c>
      <c r="Y91" s="67" t="str">
        <f t="shared" si="129"/>
        <v/>
      </c>
      <c r="Z91" s="67" t="str">
        <f t="shared" si="130"/>
        <v/>
      </c>
      <c r="AA91" s="67" t="str">
        <f t="shared" si="131"/>
        <v/>
      </c>
      <c r="AB91" s="219" t="str">
        <f t="shared" si="132"/>
        <v/>
      </c>
      <c r="AC91" s="67" t="str">
        <f t="shared" si="133"/>
        <v/>
      </c>
      <c r="AD91" s="67" t="str">
        <f t="shared" si="134"/>
        <v/>
      </c>
      <c r="AE91" s="67" t="str">
        <f t="shared" si="135"/>
        <v/>
      </c>
      <c r="AF91" s="67" t="str">
        <f t="shared" si="136"/>
        <v/>
      </c>
      <c r="AG91" s="67" t="str">
        <f t="shared" si="137"/>
        <v/>
      </c>
    </row>
    <row r="92" spans="1:33">
      <c r="A92" s="18" t="str">
        <f t="shared" si="138"/>
        <v/>
      </c>
      <c r="B92" s="211"/>
      <c r="C92" s="57"/>
      <c r="D92" s="43">
        <f t="shared" si="140"/>
        <v>0</v>
      </c>
      <c r="E92" s="58" t="str">
        <f t="shared" si="141"/>
        <v/>
      </c>
      <c r="F92" s="89" t="str">
        <f t="shared" si="142"/>
        <v/>
      </c>
      <c r="G92" s="198"/>
      <c r="H92" s="185"/>
      <c r="I92" s="196"/>
      <c r="J92" s="41"/>
      <c r="K92" s="38">
        <f>IF(I92="",0,VLOOKUP(I92,'LISTA DE PRECIOS'!A:F,IF(R92="CORO",4,5),FALSE))</f>
        <v>0</v>
      </c>
      <c r="L92" s="199">
        <f t="shared" si="125"/>
        <v>0</v>
      </c>
      <c r="M92" s="209">
        <f>IF(F92="",0,IF(SUMIF('REPORTE GASTOS'!$C$6:$C$208,F92,'REPORTE GASTOS'!$G$6:$G$208)=0,'LISTA DE PRECIOS'!$H$3,SUMIF('REPORTE GASTOS'!$C$6:$C$208,F92,'REPORTE GASTOS'!$I$6:$I$208)/SUMIF('REPORTE GASTOS'!$C$6:$C$208,F92,'REPORTE GASTOS'!$G$6:$G$208)))</f>
        <v>0</v>
      </c>
      <c r="N92" s="12">
        <f t="shared" si="126"/>
        <v>0</v>
      </c>
      <c r="O92" s="42">
        <f t="shared" si="127"/>
        <v>0</v>
      </c>
      <c r="P92" s="69"/>
      <c r="R92" s="67" t="str">
        <f>IF(H92="","",VLOOKUP(H92,'DATOS CLIENTES'!B:F,5,FALSE))</f>
        <v/>
      </c>
      <c r="S92" s="67" t="e">
        <f t="shared" si="128"/>
        <v>#REF!</v>
      </c>
      <c r="U92" s="68">
        <f t="shared" si="115"/>
        <v>0</v>
      </c>
      <c r="V92" s="68">
        <f t="shared" si="116"/>
        <v>0</v>
      </c>
      <c r="X92" s="67" t="e">
        <f t="shared" si="122"/>
        <v>#N/A</v>
      </c>
      <c r="Y92" s="67" t="str">
        <f t="shared" si="129"/>
        <v/>
      </c>
      <c r="Z92" s="67" t="str">
        <f t="shared" si="130"/>
        <v/>
      </c>
      <c r="AA92" s="67" t="str">
        <f t="shared" si="131"/>
        <v/>
      </c>
      <c r="AB92" s="219" t="str">
        <f t="shared" si="132"/>
        <v/>
      </c>
      <c r="AC92" s="67" t="str">
        <f t="shared" si="133"/>
        <v/>
      </c>
      <c r="AD92" s="67" t="str">
        <f t="shared" si="134"/>
        <v/>
      </c>
      <c r="AE92" s="67" t="str">
        <f t="shared" si="135"/>
        <v/>
      </c>
      <c r="AF92" s="67" t="str">
        <f t="shared" si="136"/>
        <v/>
      </c>
      <c r="AG92" s="67" t="str">
        <f t="shared" si="137"/>
        <v/>
      </c>
    </row>
    <row r="93" spans="1:33">
      <c r="A93" s="18" t="str">
        <f t="shared" si="138"/>
        <v/>
      </c>
      <c r="B93" s="211"/>
      <c r="C93" s="57"/>
      <c r="D93" s="43">
        <f t="shared" si="140"/>
        <v>0</v>
      </c>
      <c r="E93" s="58" t="str">
        <f t="shared" si="141"/>
        <v/>
      </c>
      <c r="F93" s="89" t="str">
        <f t="shared" si="142"/>
        <v/>
      </c>
      <c r="G93" s="198"/>
      <c r="H93" s="311"/>
      <c r="I93" s="312"/>
      <c r="J93" s="313"/>
      <c r="K93" s="314">
        <f>IF(I93="",0,VLOOKUP(I93,'LISTA DE PRECIOS'!A:F,IF(R93="CORO",4,5),FALSE))</f>
        <v>0</v>
      </c>
      <c r="L93" s="199">
        <f t="shared" si="125"/>
        <v>0</v>
      </c>
      <c r="M93" s="209">
        <f>IF(F93="",0,IF(SUMIF('REPORTE GASTOS'!$C$6:$C$208,F93,'REPORTE GASTOS'!$G$6:$G$208)=0,'LISTA DE PRECIOS'!$H$3,SUMIF('REPORTE GASTOS'!$C$6:$C$208,F93,'REPORTE GASTOS'!$I$6:$I$208)/SUMIF('REPORTE GASTOS'!$C$6:$C$208,F93,'REPORTE GASTOS'!$G$6:$G$208)))</f>
        <v>0</v>
      </c>
      <c r="N93" s="12">
        <f t="shared" si="126"/>
        <v>0</v>
      </c>
      <c r="O93" s="42">
        <f t="shared" si="127"/>
        <v>0</v>
      </c>
      <c r="P93" s="69"/>
      <c r="R93" s="67" t="str">
        <f>IF(H93="","",VLOOKUP(H93,'DATOS CLIENTES'!B:F,5,FALSE))</f>
        <v/>
      </c>
      <c r="S93" s="67" t="e">
        <f t="shared" si="128"/>
        <v>#REF!</v>
      </c>
      <c r="U93" s="68">
        <f t="shared" si="115"/>
        <v>0</v>
      </c>
      <c r="V93" s="68">
        <f t="shared" si="116"/>
        <v>0</v>
      </c>
      <c r="X93" s="67" t="e">
        <f t="shared" si="122"/>
        <v>#N/A</v>
      </c>
      <c r="Y93" s="67" t="str">
        <f t="shared" si="129"/>
        <v/>
      </c>
      <c r="Z93" s="67" t="str">
        <f t="shared" si="130"/>
        <v/>
      </c>
      <c r="AA93" s="67" t="str">
        <f t="shared" si="131"/>
        <v/>
      </c>
      <c r="AB93" s="219" t="str">
        <f t="shared" si="132"/>
        <v/>
      </c>
      <c r="AC93" s="67" t="str">
        <f t="shared" si="133"/>
        <v/>
      </c>
      <c r="AD93" s="67" t="str">
        <f t="shared" si="134"/>
        <v/>
      </c>
      <c r="AE93" s="67" t="str">
        <f t="shared" si="135"/>
        <v/>
      </c>
      <c r="AF93" s="67" t="str">
        <f t="shared" si="136"/>
        <v/>
      </c>
      <c r="AG93" s="67" t="str">
        <f t="shared" si="137"/>
        <v/>
      </c>
    </row>
    <row r="94" spans="1:33">
      <c r="A94" s="18" t="str">
        <f t="shared" si="138"/>
        <v/>
      </c>
      <c r="B94" s="211"/>
      <c r="C94" s="57"/>
      <c r="D94" s="43">
        <f t="shared" si="140"/>
        <v>0</v>
      </c>
      <c r="E94" s="58" t="str">
        <f t="shared" si="141"/>
        <v/>
      </c>
      <c r="F94" s="89" t="str">
        <f t="shared" si="142"/>
        <v/>
      </c>
      <c r="G94" s="198"/>
      <c r="H94" s="311"/>
      <c r="I94" s="312"/>
      <c r="J94" s="313"/>
      <c r="K94" s="314">
        <f>IF(I94="",0,VLOOKUP(I94,'LISTA DE PRECIOS'!A:F,IF(R94="CORO",4,5),FALSE))</f>
        <v>0</v>
      </c>
      <c r="L94" s="199">
        <f t="shared" si="125"/>
        <v>0</v>
      </c>
      <c r="M94" s="209">
        <f>IF(F94="",0,IF(SUMIF('REPORTE GASTOS'!$C$6:$C$208,F94,'REPORTE GASTOS'!$G$6:$G$208)=0,'LISTA DE PRECIOS'!$H$3,SUMIF('REPORTE GASTOS'!$C$6:$C$208,F94,'REPORTE GASTOS'!$I$6:$I$208)/SUMIF('REPORTE GASTOS'!$C$6:$C$208,F94,'REPORTE GASTOS'!$G$6:$G$208)))</f>
        <v>0</v>
      </c>
      <c r="N94" s="12">
        <f t="shared" si="126"/>
        <v>0</v>
      </c>
      <c r="O94" s="42">
        <f t="shared" si="127"/>
        <v>0</v>
      </c>
      <c r="P94" s="69"/>
      <c r="R94" s="67" t="str">
        <f>IF(H94="","",VLOOKUP(H94,'DATOS CLIENTES'!B:F,5,FALSE))</f>
        <v/>
      </c>
      <c r="S94" s="67" t="e">
        <f t="shared" si="128"/>
        <v>#REF!</v>
      </c>
      <c r="U94" s="68">
        <f t="shared" si="115"/>
        <v>0</v>
      </c>
      <c r="V94" s="68">
        <f t="shared" si="116"/>
        <v>0</v>
      </c>
      <c r="X94" s="67" t="e">
        <f t="shared" si="122"/>
        <v>#N/A</v>
      </c>
      <c r="Y94" s="67" t="str">
        <f t="shared" si="129"/>
        <v/>
      </c>
      <c r="Z94" s="67" t="str">
        <f t="shared" si="130"/>
        <v/>
      </c>
      <c r="AA94" s="67" t="str">
        <f t="shared" si="131"/>
        <v/>
      </c>
      <c r="AB94" s="219" t="str">
        <f t="shared" si="132"/>
        <v/>
      </c>
      <c r="AC94" s="67" t="str">
        <f t="shared" si="133"/>
        <v/>
      </c>
      <c r="AD94" s="67" t="str">
        <f t="shared" si="134"/>
        <v/>
      </c>
      <c r="AE94" s="67" t="str">
        <f t="shared" si="135"/>
        <v/>
      </c>
      <c r="AF94" s="67" t="str">
        <f t="shared" si="136"/>
        <v/>
      </c>
      <c r="AG94" s="67" t="str">
        <f t="shared" si="137"/>
        <v/>
      </c>
    </row>
    <row r="95" spans="1:33">
      <c r="A95" s="18" t="str">
        <f t="shared" si="138"/>
        <v/>
      </c>
      <c r="B95" s="211"/>
      <c r="C95" s="57"/>
      <c r="D95" s="43">
        <f t="shared" si="140"/>
        <v>0</v>
      </c>
      <c r="E95" s="58" t="str">
        <f t="shared" si="141"/>
        <v/>
      </c>
      <c r="F95" s="89" t="str">
        <f t="shared" si="142"/>
        <v/>
      </c>
      <c r="G95" s="198"/>
      <c r="H95" s="311"/>
      <c r="I95" s="312"/>
      <c r="J95" s="313"/>
      <c r="K95" s="314">
        <f>IF(I95="",0,VLOOKUP(I95,'LISTA DE PRECIOS'!A:F,IF(R95="CORO",4,5),FALSE))</f>
        <v>0</v>
      </c>
      <c r="L95" s="199">
        <f t="shared" si="125"/>
        <v>0</v>
      </c>
      <c r="M95" s="209">
        <f>IF(F95="",0,IF(SUMIF('REPORTE GASTOS'!$C$6:$C$208,F95,'REPORTE GASTOS'!$G$6:$G$208)=0,'LISTA DE PRECIOS'!$H$3,SUMIF('REPORTE GASTOS'!$C$6:$C$208,F95,'REPORTE GASTOS'!$I$6:$I$208)/SUMIF('REPORTE GASTOS'!$C$6:$C$208,F95,'REPORTE GASTOS'!$G$6:$G$208)))</f>
        <v>0</v>
      </c>
      <c r="N95" s="12">
        <f t="shared" si="126"/>
        <v>0</v>
      </c>
      <c r="O95" s="42">
        <f t="shared" si="127"/>
        <v>0</v>
      </c>
      <c r="P95" s="69"/>
      <c r="R95" s="67" t="str">
        <f>IF(H95="","",VLOOKUP(H95,'DATOS CLIENTES'!B:F,5,FALSE))</f>
        <v/>
      </c>
      <c r="S95" s="67" t="e">
        <f t="shared" si="128"/>
        <v>#REF!</v>
      </c>
      <c r="U95" s="68">
        <f t="shared" si="115"/>
        <v>0</v>
      </c>
      <c r="V95" s="68">
        <f t="shared" si="116"/>
        <v>0</v>
      </c>
      <c r="X95" s="67" t="e">
        <f t="shared" si="122"/>
        <v>#N/A</v>
      </c>
      <c r="Y95" s="67" t="str">
        <f t="shared" si="129"/>
        <v/>
      </c>
      <c r="Z95" s="67" t="str">
        <f t="shared" si="130"/>
        <v/>
      </c>
      <c r="AA95" s="67" t="str">
        <f t="shared" si="131"/>
        <v/>
      </c>
      <c r="AB95" s="219" t="str">
        <f t="shared" si="132"/>
        <v/>
      </c>
      <c r="AC95" s="67" t="str">
        <f t="shared" si="133"/>
        <v/>
      </c>
      <c r="AD95" s="67" t="str">
        <f t="shared" si="134"/>
        <v/>
      </c>
      <c r="AE95" s="67" t="str">
        <f t="shared" si="135"/>
        <v/>
      </c>
      <c r="AF95" s="67" t="str">
        <f t="shared" si="136"/>
        <v/>
      </c>
      <c r="AG95" s="67" t="str">
        <f t="shared" si="137"/>
        <v/>
      </c>
    </row>
    <row r="96" spans="1:33">
      <c r="A96" s="18" t="str">
        <f t="shared" si="138"/>
        <v/>
      </c>
      <c r="B96" s="211"/>
      <c r="C96" s="57"/>
      <c r="D96" s="43">
        <f t="shared" si="140"/>
        <v>0</v>
      </c>
      <c r="E96" s="58" t="str">
        <f t="shared" si="141"/>
        <v/>
      </c>
      <c r="F96" s="89" t="str">
        <f t="shared" si="142"/>
        <v/>
      </c>
      <c r="G96" s="198"/>
      <c r="H96" s="311"/>
      <c r="I96" s="312"/>
      <c r="J96" s="313"/>
      <c r="K96" s="314">
        <f>IF(I96="",0,VLOOKUP(I96,'LISTA DE PRECIOS'!A:F,IF(R96="CORO",4,5),FALSE))</f>
        <v>0</v>
      </c>
      <c r="L96" s="199">
        <f t="shared" si="125"/>
        <v>0</v>
      </c>
      <c r="M96" s="209">
        <f>IF(F96="",0,IF(SUMIF('REPORTE GASTOS'!$C$6:$C$208,F96,'REPORTE GASTOS'!$G$6:$G$208)=0,'LISTA DE PRECIOS'!$H$3,SUMIF('REPORTE GASTOS'!$C$6:$C$208,F96,'REPORTE GASTOS'!$I$6:$I$208)/SUMIF('REPORTE GASTOS'!$C$6:$C$208,F96,'REPORTE GASTOS'!$G$6:$G$208)))</f>
        <v>0</v>
      </c>
      <c r="N96" s="12">
        <f t="shared" si="126"/>
        <v>0</v>
      </c>
      <c r="O96" s="42">
        <f t="shared" si="127"/>
        <v>0</v>
      </c>
      <c r="P96" s="69"/>
      <c r="R96" s="67" t="str">
        <f>IF(H96="","",VLOOKUP(H96,'DATOS CLIENTES'!B:F,5,FALSE))</f>
        <v/>
      </c>
      <c r="S96" s="67" t="e">
        <f t="shared" si="128"/>
        <v>#REF!</v>
      </c>
      <c r="U96" s="68">
        <f t="shared" si="115"/>
        <v>0</v>
      </c>
      <c r="V96" s="68">
        <f t="shared" si="116"/>
        <v>0</v>
      </c>
      <c r="X96" s="67" t="e">
        <f t="shared" si="122"/>
        <v>#N/A</v>
      </c>
      <c r="Y96" s="67" t="str">
        <f t="shared" si="129"/>
        <v/>
      </c>
      <c r="Z96" s="67" t="str">
        <f t="shared" si="130"/>
        <v/>
      </c>
      <c r="AA96" s="67" t="str">
        <f t="shared" si="131"/>
        <v/>
      </c>
      <c r="AB96" s="219" t="str">
        <f t="shared" si="132"/>
        <v/>
      </c>
      <c r="AC96" s="67" t="str">
        <f t="shared" si="133"/>
        <v/>
      </c>
      <c r="AD96" s="67" t="str">
        <f t="shared" si="134"/>
        <v/>
      </c>
      <c r="AE96" s="67" t="str">
        <f t="shared" si="135"/>
        <v/>
      </c>
      <c r="AF96" s="67" t="str">
        <f t="shared" si="136"/>
        <v/>
      </c>
      <c r="AG96" s="67" t="str">
        <f t="shared" si="137"/>
        <v/>
      </c>
    </row>
    <row r="97" spans="1:33">
      <c r="A97" s="18" t="str">
        <f t="shared" si="138"/>
        <v/>
      </c>
      <c r="B97" s="211"/>
      <c r="C97" s="57"/>
      <c r="D97" s="43">
        <f t="shared" si="140"/>
        <v>0</v>
      </c>
      <c r="E97" s="58" t="str">
        <f t="shared" si="141"/>
        <v/>
      </c>
      <c r="F97" s="89" t="str">
        <f t="shared" si="142"/>
        <v/>
      </c>
      <c r="G97" s="198"/>
      <c r="H97" s="311"/>
      <c r="I97" s="312"/>
      <c r="J97" s="313"/>
      <c r="K97" s="314">
        <f>IF(I97="",0,VLOOKUP(I97,'LISTA DE PRECIOS'!A:F,IF(R97="CORO",4,5),FALSE))</f>
        <v>0</v>
      </c>
      <c r="L97" s="199">
        <f t="shared" si="125"/>
        <v>0</v>
      </c>
      <c r="M97" s="209">
        <f>IF(F97="",0,IF(SUMIF('REPORTE GASTOS'!$C$6:$C$208,F97,'REPORTE GASTOS'!$G$6:$G$208)=0,'LISTA DE PRECIOS'!$H$3,SUMIF('REPORTE GASTOS'!$C$6:$C$208,F97,'REPORTE GASTOS'!$I$6:$I$208)/SUMIF('REPORTE GASTOS'!$C$6:$C$208,F97,'REPORTE GASTOS'!$G$6:$G$208)))</f>
        <v>0</v>
      </c>
      <c r="N97" s="12">
        <f t="shared" si="126"/>
        <v>0</v>
      </c>
      <c r="O97" s="42">
        <f t="shared" si="127"/>
        <v>0</v>
      </c>
      <c r="P97" s="69"/>
      <c r="R97" s="67" t="str">
        <f>IF(H97="","",VLOOKUP(H97,'DATOS CLIENTES'!B:F,5,FALSE))</f>
        <v/>
      </c>
      <c r="S97" s="67" t="e">
        <f t="shared" si="128"/>
        <v>#REF!</v>
      </c>
      <c r="U97" s="68">
        <f t="shared" si="115"/>
        <v>0</v>
      </c>
      <c r="V97" s="68">
        <f t="shared" si="116"/>
        <v>0</v>
      </c>
      <c r="X97" s="67" t="e">
        <f t="shared" si="122"/>
        <v>#N/A</v>
      </c>
      <c r="Y97" s="67" t="str">
        <f t="shared" si="129"/>
        <v/>
      </c>
      <c r="Z97" s="67" t="str">
        <f t="shared" si="130"/>
        <v/>
      </c>
      <c r="AA97" s="67" t="str">
        <f t="shared" si="131"/>
        <v/>
      </c>
      <c r="AB97" s="219" t="str">
        <f t="shared" si="132"/>
        <v/>
      </c>
      <c r="AC97" s="67" t="str">
        <f t="shared" si="133"/>
        <v/>
      </c>
      <c r="AD97" s="67" t="str">
        <f t="shared" si="134"/>
        <v/>
      </c>
      <c r="AE97" s="67" t="str">
        <f t="shared" si="135"/>
        <v/>
      </c>
      <c r="AF97" s="67" t="str">
        <f t="shared" si="136"/>
        <v/>
      </c>
      <c r="AG97" s="67" t="str">
        <f t="shared" si="137"/>
        <v/>
      </c>
    </row>
    <row r="98" spans="1:33">
      <c r="A98" s="18" t="str">
        <f t="shared" si="138"/>
        <v/>
      </c>
      <c r="B98" s="211"/>
      <c r="C98" s="57"/>
      <c r="D98" s="43">
        <f t="shared" si="140"/>
        <v>0</v>
      </c>
      <c r="E98" s="58" t="str">
        <f t="shared" si="141"/>
        <v/>
      </c>
      <c r="F98" s="89" t="str">
        <f t="shared" si="142"/>
        <v/>
      </c>
      <c r="G98" s="198"/>
      <c r="H98" s="311"/>
      <c r="I98" s="311"/>
      <c r="J98" s="313"/>
      <c r="K98" s="314">
        <f>IF(I98="",0,VLOOKUP(I98,'LISTA DE PRECIOS'!A:F,IF(R98="CORO",4,5),FALSE))</f>
        <v>0</v>
      </c>
      <c r="L98" s="199">
        <f t="shared" si="125"/>
        <v>0</v>
      </c>
      <c r="M98" s="209">
        <f>IF(F98="",0,IF(SUMIF('REPORTE GASTOS'!$C$6:$C$208,F98,'REPORTE GASTOS'!$G$6:$G$208)=0,'LISTA DE PRECIOS'!$H$3,SUMIF('REPORTE GASTOS'!$C$6:$C$208,F98,'REPORTE GASTOS'!$I$6:$I$208)/SUMIF('REPORTE GASTOS'!$C$6:$C$208,F98,'REPORTE GASTOS'!$G$6:$G$208)))</f>
        <v>0</v>
      </c>
      <c r="N98" s="12">
        <f t="shared" si="126"/>
        <v>0</v>
      </c>
      <c r="O98" s="42">
        <f t="shared" si="127"/>
        <v>0</v>
      </c>
      <c r="P98" s="69"/>
      <c r="R98" s="67" t="str">
        <f>IF(H98="","",VLOOKUP(H98,'DATOS CLIENTES'!B:F,5,FALSE))</f>
        <v/>
      </c>
      <c r="S98" s="67" t="e">
        <f t="shared" si="128"/>
        <v>#REF!</v>
      </c>
      <c r="U98" s="68">
        <f t="shared" si="115"/>
        <v>0</v>
      </c>
      <c r="V98" s="68">
        <f t="shared" si="116"/>
        <v>0</v>
      </c>
      <c r="X98" s="67" t="e">
        <f t="shared" si="122"/>
        <v>#N/A</v>
      </c>
      <c r="Y98" s="67" t="str">
        <f t="shared" si="129"/>
        <v/>
      </c>
      <c r="Z98" s="67" t="str">
        <f t="shared" si="130"/>
        <v/>
      </c>
      <c r="AA98" s="67" t="str">
        <f t="shared" si="131"/>
        <v/>
      </c>
      <c r="AB98" s="219" t="str">
        <f t="shared" si="132"/>
        <v/>
      </c>
      <c r="AC98" s="67" t="str">
        <f t="shared" si="133"/>
        <v/>
      </c>
      <c r="AD98" s="67" t="str">
        <f t="shared" si="134"/>
        <v/>
      </c>
      <c r="AE98" s="67" t="str">
        <f t="shared" si="135"/>
        <v/>
      </c>
      <c r="AF98" s="67" t="str">
        <f t="shared" si="136"/>
        <v/>
      </c>
      <c r="AG98" s="67" t="str">
        <f t="shared" si="137"/>
        <v/>
      </c>
    </row>
    <row r="99" spans="1:33">
      <c r="A99" s="18" t="str">
        <f t="shared" si="138"/>
        <v/>
      </c>
      <c r="B99" s="211"/>
      <c r="C99" s="57"/>
      <c r="D99" s="43">
        <f t="shared" si="140"/>
        <v>0</v>
      </c>
      <c r="E99" s="58" t="str">
        <f t="shared" si="141"/>
        <v/>
      </c>
      <c r="F99" s="89" t="str">
        <f t="shared" si="142"/>
        <v/>
      </c>
      <c r="G99" s="198"/>
      <c r="H99" s="185"/>
      <c r="I99" s="196"/>
      <c r="J99" s="41"/>
      <c r="K99" s="38">
        <f>IF(I99="",0,VLOOKUP(I99,'LISTA DE PRECIOS'!A:F,IF(R99="CORO",4,5),FALSE))</f>
        <v>0</v>
      </c>
      <c r="L99" s="199">
        <f t="shared" si="125"/>
        <v>0</v>
      </c>
      <c r="M99" s="209">
        <f>IF(F99="",0,IF(SUMIF('REPORTE GASTOS'!$C$6:$C$208,F99,'REPORTE GASTOS'!$G$6:$G$208)=0,'LISTA DE PRECIOS'!$H$3,SUMIF('REPORTE GASTOS'!$C$6:$C$208,F99,'REPORTE GASTOS'!$I$6:$I$208)/SUMIF('REPORTE GASTOS'!$C$6:$C$208,F99,'REPORTE GASTOS'!$G$6:$G$208)))</f>
        <v>0</v>
      </c>
      <c r="N99" s="12">
        <f t="shared" si="126"/>
        <v>0</v>
      </c>
      <c r="O99" s="42">
        <f t="shared" si="127"/>
        <v>0</v>
      </c>
      <c r="P99" s="69"/>
      <c r="R99" s="67" t="str">
        <f>IF(H99="","",VLOOKUP(H99,'DATOS CLIENTES'!B:F,5,FALSE))</f>
        <v/>
      </c>
      <c r="S99" s="67" t="e">
        <f t="shared" si="128"/>
        <v>#REF!</v>
      </c>
      <c r="U99" s="68">
        <f t="shared" si="115"/>
        <v>0</v>
      </c>
      <c r="V99" s="68">
        <f t="shared" si="116"/>
        <v>0</v>
      </c>
      <c r="X99" s="67" t="e">
        <f t="shared" si="122"/>
        <v>#N/A</v>
      </c>
      <c r="Y99" s="67" t="str">
        <f t="shared" si="129"/>
        <v/>
      </c>
      <c r="Z99" s="67" t="str">
        <f t="shared" si="130"/>
        <v/>
      </c>
      <c r="AA99" s="67" t="str">
        <f t="shared" si="131"/>
        <v/>
      </c>
      <c r="AB99" s="219" t="str">
        <f t="shared" si="132"/>
        <v/>
      </c>
      <c r="AC99" s="67" t="str">
        <f t="shared" si="133"/>
        <v/>
      </c>
      <c r="AD99" s="67" t="str">
        <f t="shared" si="134"/>
        <v/>
      </c>
      <c r="AE99" s="67" t="str">
        <f t="shared" si="135"/>
        <v/>
      </c>
      <c r="AF99" s="67" t="str">
        <f t="shared" si="136"/>
        <v/>
      </c>
      <c r="AG99" s="67" t="str">
        <f t="shared" si="137"/>
        <v/>
      </c>
    </row>
    <row r="100" spans="1:33">
      <c r="A100" s="18" t="str">
        <f t="shared" si="138"/>
        <v/>
      </c>
      <c r="B100" s="211"/>
      <c r="C100" s="57"/>
      <c r="D100" s="43">
        <f t="shared" si="140"/>
        <v>0</v>
      </c>
      <c r="E100" s="58" t="str">
        <f t="shared" si="141"/>
        <v/>
      </c>
      <c r="F100" s="89" t="str">
        <f t="shared" si="142"/>
        <v/>
      </c>
      <c r="G100" s="198"/>
      <c r="H100" s="185"/>
      <c r="I100" s="196"/>
      <c r="J100" s="41"/>
      <c r="K100" s="38">
        <f>IF(I100="",0,VLOOKUP(I100,'LISTA DE PRECIOS'!A:F,IF(R100="CORO",4,5),FALSE))</f>
        <v>0</v>
      </c>
      <c r="L100" s="199">
        <f t="shared" si="125"/>
        <v>0</v>
      </c>
      <c r="M100" s="209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0</v>
      </c>
      <c r="N100" s="12">
        <f t="shared" si="126"/>
        <v>0</v>
      </c>
      <c r="O100" s="42">
        <f t="shared" si="127"/>
        <v>0</v>
      </c>
      <c r="P100" s="69"/>
      <c r="R100" s="67" t="str">
        <f>IF(H100="","",VLOOKUP(H100,'DATOS CLIENTES'!B:F,5,FALSE))</f>
        <v/>
      </c>
      <c r="S100" s="67" t="e">
        <f t="shared" si="128"/>
        <v>#REF!</v>
      </c>
      <c r="U100" s="68">
        <f t="shared" si="115"/>
        <v>0</v>
      </c>
      <c r="V100" s="68">
        <f t="shared" si="116"/>
        <v>0</v>
      </c>
      <c r="X100" s="67" t="e">
        <f t="shared" si="122"/>
        <v>#N/A</v>
      </c>
      <c r="Y100" s="67" t="str">
        <f t="shared" si="129"/>
        <v/>
      </c>
      <c r="Z100" s="67" t="str">
        <f t="shared" si="130"/>
        <v/>
      </c>
      <c r="AA100" s="67" t="str">
        <f t="shared" si="131"/>
        <v/>
      </c>
      <c r="AB100" s="219" t="str">
        <f t="shared" si="132"/>
        <v/>
      </c>
      <c r="AC100" s="67" t="str">
        <f t="shared" si="133"/>
        <v/>
      </c>
      <c r="AD100" s="67" t="str">
        <f t="shared" si="134"/>
        <v/>
      </c>
      <c r="AE100" s="67" t="str">
        <f t="shared" si="135"/>
        <v/>
      </c>
      <c r="AF100" s="67" t="str">
        <f t="shared" si="136"/>
        <v/>
      </c>
      <c r="AG100" s="67" t="str">
        <f t="shared" si="137"/>
        <v/>
      </c>
    </row>
    <row r="101" spans="1:33">
      <c r="A101" s="18" t="str">
        <f t="shared" si="138"/>
        <v/>
      </c>
      <c r="B101" s="211"/>
      <c r="C101" s="57"/>
      <c r="D101" s="43">
        <f t="shared" si="140"/>
        <v>0</v>
      </c>
      <c r="E101" s="58" t="str">
        <f t="shared" si="141"/>
        <v/>
      </c>
      <c r="F101" s="89" t="str">
        <f t="shared" si="142"/>
        <v/>
      </c>
      <c r="G101" s="198"/>
      <c r="H101" s="185"/>
      <c r="I101" s="196"/>
      <c r="J101" s="41"/>
      <c r="K101" s="38">
        <f>IF(I101="",0,VLOOKUP(I101,'LISTA DE PRECIOS'!A:F,IF(R101="CORO",4,5),FALSE))</f>
        <v>0</v>
      </c>
      <c r="L101" s="199">
        <f t="shared" si="125"/>
        <v>0</v>
      </c>
      <c r="M101" s="209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0</v>
      </c>
      <c r="N101" s="12">
        <f t="shared" si="126"/>
        <v>0</v>
      </c>
      <c r="O101" s="42">
        <f t="shared" si="127"/>
        <v>0</v>
      </c>
      <c r="P101" s="69"/>
      <c r="R101" s="67" t="str">
        <f>IF(H101="","",VLOOKUP(H101,'DATOS CLIENTES'!B:F,5,FALSE))</f>
        <v/>
      </c>
      <c r="S101" s="67" t="e">
        <f t="shared" si="128"/>
        <v>#REF!</v>
      </c>
      <c r="U101" s="68">
        <f t="shared" si="115"/>
        <v>0</v>
      </c>
      <c r="V101" s="68">
        <f t="shared" si="116"/>
        <v>0</v>
      </c>
      <c r="X101" s="67" t="e">
        <f t="shared" si="122"/>
        <v>#N/A</v>
      </c>
      <c r="Y101" s="67" t="str">
        <f t="shared" si="129"/>
        <v/>
      </c>
      <c r="Z101" s="67" t="str">
        <f t="shared" si="130"/>
        <v/>
      </c>
      <c r="AA101" s="67" t="str">
        <f t="shared" si="131"/>
        <v/>
      </c>
      <c r="AB101" s="219" t="str">
        <f t="shared" si="132"/>
        <v/>
      </c>
      <c r="AC101" s="67" t="str">
        <f t="shared" si="133"/>
        <v/>
      </c>
      <c r="AD101" s="67" t="str">
        <f t="shared" si="134"/>
        <v/>
      </c>
      <c r="AE101" s="67" t="str">
        <f t="shared" si="135"/>
        <v/>
      </c>
      <c r="AF101" s="67" t="str">
        <f t="shared" si="136"/>
        <v/>
      </c>
      <c r="AG101" s="67" t="str">
        <f t="shared" si="137"/>
        <v/>
      </c>
    </row>
    <row r="102" spans="1:33">
      <c r="A102" s="18" t="str">
        <f t="shared" si="138"/>
        <v/>
      </c>
      <c r="B102" s="211"/>
      <c r="C102" s="57"/>
      <c r="D102" s="43">
        <f t="shared" si="140"/>
        <v>0</v>
      </c>
      <c r="E102" s="58" t="str">
        <f t="shared" si="141"/>
        <v/>
      </c>
      <c r="F102" s="89" t="str">
        <f t="shared" si="142"/>
        <v/>
      </c>
      <c r="G102" s="184"/>
      <c r="H102" s="185"/>
      <c r="I102" s="196"/>
      <c r="J102" s="41"/>
      <c r="K102" s="38">
        <f>IF(I102="",0,VLOOKUP(I102,'LISTA DE PRECIOS'!A:F,IF(R102="CORO",4,5),FALSE))</f>
        <v>0</v>
      </c>
      <c r="L102" s="199">
        <f t="shared" si="125"/>
        <v>0</v>
      </c>
      <c r="M102" s="209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0</v>
      </c>
      <c r="N102" s="12">
        <f t="shared" si="126"/>
        <v>0</v>
      </c>
      <c r="O102" s="42">
        <f t="shared" si="127"/>
        <v>0</v>
      </c>
      <c r="P102" s="69"/>
      <c r="R102" s="67" t="str">
        <f>IF(H102="","",VLOOKUP(H102,'DATOS CLIENTES'!B:F,5,FALSE))</f>
        <v/>
      </c>
      <c r="S102" s="67" t="e">
        <f t="shared" si="128"/>
        <v>#REF!</v>
      </c>
      <c r="U102" s="68">
        <f t="shared" si="115"/>
        <v>0</v>
      </c>
      <c r="V102" s="68">
        <f t="shared" si="116"/>
        <v>0</v>
      </c>
      <c r="X102" s="67" t="e">
        <f t="shared" si="122"/>
        <v>#N/A</v>
      </c>
      <c r="Y102" s="67" t="str">
        <f t="shared" si="129"/>
        <v/>
      </c>
      <c r="Z102" s="67" t="str">
        <f t="shared" si="130"/>
        <v/>
      </c>
      <c r="AA102" s="67" t="str">
        <f t="shared" si="131"/>
        <v/>
      </c>
      <c r="AB102" s="219" t="str">
        <f t="shared" si="132"/>
        <v/>
      </c>
      <c r="AC102" s="67" t="str">
        <f t="shared" si="133"/>
        <v/>
      </c>
      <c r="AD102" s="67" t="str">
        <f t="shared" si="134"/>
        <v/>
      </c>
      <c r="AE102" s="67" t="str">
        <f t="shared" si="135"/>
        <v/>
      </c>
      <c r="AF102" s="67" t="str">
        <f t="shared" si="136"/>
        <v/>
      </c>
      <c r="AG102" s="67" t="str">
        <f t="shared" si="137"/>
        <v/>
      </c>
    </row>
    <row r="103" spans="1:33">
      <c r="A103" s="18" t="str">
        <f t="shared" si="138"/>
        <v/>
      </c>
      <c r="B103" s="211"/>
      <c r="C103" s="57"/>
      <c r="D103" s="43">
        <f t="shared" si="140"/>
        <v>0</v>
      </c>
      <c r="E103" s="58" t="str">
        <f t="shared" si="141"/>
        <v/>
      </c>
      <c r="F103" s="89" t="str">
        <f t="shared" si="142"/>
        <v/>
      </c>
      <c r="G103" s="184"/>
      <c r="H103" s="185"/>
      <c r="I103" s="196"/>
      <c r="J103" s="41"/>
      <c r="K103" s="38">
        <f>IF(I103="",0,VLOOKUP(I103,'LISTA DE PRECIOS'!A:F,IF(R103="CORO",4,5),FALSE))</f>
        <v>0</v>
      </c>
      <c r="L103" s="199">
        <f t="shared" si="125"/>
        <v>0</v>
      </c>
      <c r="M103" s="209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0</v>
      </c>
      <c r="N103" s="12">
        <f t="shared" si="126"/>
        <v>0</v>
      </c>
      <c r="O103" s="42">
        <f t="shared" si="127"/>
        <v>0</v>
      </c>
      <c r="P103" s="69"/>
      <c r="R103" s="67" t="str">
        <f>IF(H103="","",VLOOKUP(H103,'DATOS CLIENTES'!B:F,5,FALSE))</f>
        <v/>
      </c>
      <c r="S103" s="67" t="e">
        <f t="shared" si="128"/>
        <v>#REF!</v>
      </c>
      <c r="U103" s="68">
        <f t="shared" si="115"/>
        <v>0</v>
      </c>
      <c r="V103" s="68">
        <f t="shared" si="116"/>
        <v>0</v>
      </c>
      <c r="X103" s="67" t="e">
        <f t="shared" si="122"/>
        <v>#N/A</v>
      </c>
      <c r="Y103" s="67" t="str">
        <f t="shared" si="129"/>
        <v/>
      </c>
      <c r="Z103" s="67" t="str">
        <f t="shared" si="130"/>
        <v/>
      </c>
      <c r="AA103" s="67" t="str">
        <f t="shared" si="131"/>
        <v/>
      </c>
      <c r="AB103" s="219" t="str">
        <f t="shared" si="132"/>
        <v/>
      </c>
      <c r="AC103" s="67" t="str">
        <f t="shared" si="133"/>
        <v/>
      </c>
      <c r="AD103" s="67" t="str">
        <f t="shared" si="134"/>
        <v/>
      </c>
      <c r="AE103" s="67" t="str">
        <f t="shared" si="135"/>
        <v/>
      </c>
      <c r="AF103" s="67" t="str">
        <f t="shared" si="136"/>
        <v/>
      </c>
      <c r="AG103" s="67" t="str">
        <f t="shared" si="137"/>
        <v/>
      </c>
    </row>
    <row r="104" spans="1:33">
      <c r="A104" s="18" t="str">
        <f t="shared" si="138"/>
        <v/>
      </c>
      <c r="B104" s="211"/>
      <c r="C104" s="57"/>
      <c r="D104" s="43">
        <f t="shared" si="140"/>
        <v>0</v>
      </c>
      <c r="E104" s="58" t="str">
        <f t="shared" si="141"/>
        <v/>
      </c>
      <c r="F104" s="89" t="str">
        <f t="shared" si="142"/>
        <v/>
      </c>
      <c r="G104" s="184"/>
      <c r="H104" s="185"/>
      <c r="I104" s="196"/>
      <c r="J104" s="41"/>
      <c r="K104" s="38">
        <f>IF(I104="",0,VLOOKUP(I104,'LISTA DE PRECIOS'!A:F,IF(R104="CORO",4,5),FALSE))</f>
        <v>0</v>
      </c>
      <c r="L104" s="199">
        <f t="shared" si="125"/>
        <v>0</v>
      </c>
      <c r="M104" s="209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0</v>
      </c>
      <c r="N104" s="12">
        <f t="shared" si="126"/>
        <v>0</v>
      </c>
      <c r="O104" s="42">
        <f t="shared" si="127"/>
        <v>0</v>
      </c>
      <c r="P104" s="69"/>
      <c r="R104" s="67" t="str">
        <f>IF(H104="","",VLOOKUP(H104,'DATOS CLIENTES'!B:F,5,FALSE))</f>
        <v/>
      </c>
      <c r="S104" s="67" t="e">
        <f t="shared" si="128"/>
        <v>#REF!</v>
      </c>
      <c r="U104" s="68">
        <f t="shared" si="115"/>
        <v>0</v>
      </c>
      <c r="V104" s="68">
        <f t="shared" si="116"/>
        <v>0</v>
      </c>
      <c r="X104" s="67" t="e">
        <f t="shared" si="122"/>
        <v>#N/A</v>
      </c>
      <c r="Y104" s="67" t="str">
        <f t="shared" si="129"/>
        <v/>
      </c>
      <c r="Z104" s="67" t="str">
        <f t="shared" si="130"/>
        <v/>
      </c>
      <c r="AA104" s="67" t="str">
        <f t="shared" si="131"/>
        <v/>
      </c>
      <c r="AB104" s="219" t="str">
        <f t="shared" si="132"/>
        <v/>
      </c>
      <c r="AC104" s="67" t="str">
        <f t="shared" si="133"/>
        <v/>
      </c>
      <c r="AD104" s="67" t="str">
        <f t="shared" si="134"/>
        <v/>
      </c>
      <c r="AE104" s="67" t="str">
        <f t="shared" si="135"/>
        <v/>
      </c>
      <c r="AF104" s="67" t="str">
        <f t="shared" si="136"/>
        <v/>
      </c>
      <c r="AG104" s="67" t="str">
        <f t="shared" si="137"/>
        <v/>
      </c>
    </row>
    <row r="105" spans="1:33" s="66" customFormat="1">
      <c r="A105" s="18" t="str">
        <f t="shared" si="138"/>
        <v/>
      </c>
      <c r="B105" s="211"/>
      <c r="C105" s="57"/>
      <c r="D105" s="43">
        <f t="shared" si="140"/>
        <v>0</v>
      </c>
      <c r="E105" s="58" t="str">
        <f t="shared" si="141"/>
        <v/>
      </c>
      <c r="F105" s="89" t="str">
        <f t="shared" si="142"/>
        <v/>
      </c>
      <c r="G105" s="184"/>
      <c r="H105" s="185"/>
      <c r="I105" s="196"/>
      <c r="J105" s="41"/>
      <c r="K105" s="38">
        <f>IF(I105="",0,VLOOKUP(I105,'LISTA DE PRECIOS'!A:F,IF(R105="CORO",4,5),FALSE))</f>
        <v>0</v>
      </c>
      <c r="L105" s="199">
        <f t="shared" si="125"/>
        <v>0</v>
      </c>
      <c r="M105" s="209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0</v>
      </c>
      <c r="N105" s="12">
        <f t="shared" si="126"/>
        <v>0</v>
      </c>
      <c r="O105" s="42">
        <f t="shared" si="127"/>
        <v>0</v>
      </c>
      <c r="P105" s="69"/>
      <c r="R105" s="67" t="str">
        <f>IF(H105="","",VLOOKUP(H105,'DATOS CLIENTES'!B:F,5,FALSE))</f>
        <v/>
      </c>
      <c r="S105" s="67" t="e">
        <f t="shared" si="128"/>
        <v>#REF!</v>
      </c>
      <c r="U105" s="68">
        <f t="shared" si="115"/>
        <v>0</v>
      </c>
      <c r="V105" s="68">
        <f t="shared" si="116"/>
        <v>0</v>
      </c>
      <c r="X105" s="67" t="e">
        <f t="shared" si="122"/>
        <v>#N/A</v>
      </c>
      <c r="Y105" s="67" t="str">
        <f t="shared" si="129"/>
        <v/>
      </c>
      <c r="Z105" s="67" t="str">
        <f t="shared" si="130"/>
        <v/>
      </c>
      <c r="AA105" s="67" t="str">
        <f t="shared" si="131"/>
        <v/>
      </c>
      <c r="AB105" s="219" t="str">
        <f t="shared" si="132"/>
        <v/>
      </c>
      <c r="AC105" s="67" t="str">
        <f t="shared" si="133"/>
        <v/>
      </c>
      <c r="AD105" s="67" t="str">
        <f t="shared" si="134"/>
        <v/>
      </c>
      <c r="AE105" s="67" t="str">
        <f t="shared" si="135"/>
        <v/>
      </c>
      <c r="AF105" s="67" t="str">
        <f t="shared" si="136"/>
        <v/>
      </c>
      <c r="AG105" s="67" t="str">
        <f t="shared" si="137"/>
        <v/>
      </c>
    </row>
    <row r="106" spans="1:33" s="66" customFormat="1">
      <c r="A106" s="18" t="str">
        <f t="shared" si="138"/>
        <v/>
      </c>
      <c r="B106" s="211"/>
      <c r="C106" s="57"/>
      <c r="D106" s="43">
        <f t="shared" si="140"/>
        <v>0</v>
      </c>
      <c r="E106" s="58" t="str">
        <f t="shared" si="141"/>
        <v/>
      </c>
      <c r="F106" s="89" t="str">
        <f t="shared" si="142"/>
        <v/>
      </c>
      <c r="G106" s="184"/>
      <c r="H106" s="185"/>
      <c r="I106" s="196"/>
      <c r="J106" s="41"/>
      <c r="K106" s="38">
        <f>IF(I106="",0,VLOOKUP(I106,'LISTA DE PRECIOS'!A:F,IF(R106="CORO",4,5),FALSE))</f>
        <v>0</v>
      </c>
      <c r="L106" s="199">
        <f t="shared" si="125"/>
        <v>0</v>
      </c>
      <c r="M106" s="209">
        <f>IF(F106="",0,IF(SUMIF('REPORTE GASTOS'!$C$6:$C$208,F106,'REPORTE GASTOS'!$G$6:$G$208)=0,'LISTA DE PRECIOS'!$H$3,SUMIF('REPORTE GASTOS'!$C$6:$C$208,F106,'REPORTE GASTOS'!$I$6:$I$208)/SUMIF('REPORTE GASTOS'!$C$6:$C$208,F106,'REPORTE GASTOS'!$G$6:$G$208)))</f>
        <v>0</v>
      </c>
      <c r="N106" s="12">
        <f t="shared" si="126"/>
        <v>0</v>
      </c>
      <c r="O106" s="42">
        <f t="shared" si="127"/>
        <v>0</v>
      </c>
      <c r="P106" s="69"/>
      <c r="R106" s="67" t="str">
        <f>IF(H106="","",VLOOKUP(H106,'DATOS CLIENTES'!B:F,5,FALSE))</f>
        <v/>
      </c>
      <c r="S106" s="67" t="e">
        <f t="shared" si="128"/>
        <v>#REF!</v>
      </c>
      <c r="U106" s="68">
        <f t="shared" si="115"/>
        <v>0</v>
      </c>
      <c r="V106" s="68">
        <f t="shared" si="116"/>
        <v>0</v>
      </c>
      <c r="X106" s="67" t="e">
        <f t="shared" si="122"/>
        <v>#N/A</v>
      </c>
      <c r="Y106" s="67" t="str">
        <f t="shared" si="129"/>
        <v/>
      </c>
      <c r="Z106" s="67" t="str">
        <f t="shared" si="130"/>
        <v/>
      </c>
      <c r="AA106" s="67" t="str">
        <f t="shared" si="131"/>
        <v/>
      </c>
      <c r="AB106" s="219" t="str">
        <f t="shared" si="132"/>
        <v/>
      </c>
      <c r="AC106" s="67" t="str">
        <f t="shared" si="133"/>
        <v/>
      </c>
      <c r="AD106" s="67" t="str">
        <f t="shared" si="134"/>
        <v/>
      </c>
      <c r="AE106" s="67" t="str">
        <f t="shared" si="135"/>
        <v/>
      </c>
      <c r="AF106" s="67" t="str">
        <f t="shared" si="136"/>
        <v/>
      </c>
      <c r="AG106" s="67" t="str">
        <f t="shared" si="137"/>
        <v/>
      </c>
    </row>
    <row r="107" spans="1:33" s="66" customFormat="1">
      <c r="A107" s="18" t="str">
        <f t="shared" si="138"/>
        <v/>
      </c>
      <c r="B107" s="211"/>
      <c r="C107" s="57"/>
      <c r="D107" s="43">
        <f t="shared" si="140"/>
        <v>0</v>
      </c>
      <c r="E107" s="58" t="str">
        <f t="shared" si="141"/>
        <v/>
      </c>
      <c r="F107" s="89" t="str">
        <f t="shared" si="142"/>
        <v/>
      </c>
      <c r="G107" s="184"/>
      <c r="H107" s="185"/>
      <c r="I107" s="196"/>
      <c r="J107" s="41"/>
      <c r="K107" s="38">
        <f>IF(I107="",0,VLOOKUP(I107,'LISTA DE PRECIOS'!A:F,IF(R107="CORO",4,5),FALSE))</f>
        <v>0</v>
      </c>
      <c r="L107" s="199">
        <f t="shared" si="125"/>
        <v>0</v>
      </c>
      <c r="M107" s="209">
        <f>IF(F107="",0,IF(SUMIF('REPORTE GASTOS'!$C$6:$C$208,F107,'REPORTE GASTOS'!$G$6:$G$208)=0,'LISTA DE PRECIOS'!$H$3,SUMIF('REPORTE GASTOS'!$C$6:$C$208,F107,'REPORTE GASTOS'!$I$6:$I$208)/SUMIF('REPORTE GASTOS'!$C$6:$C$208,F107,'REPORTE GASTOS'!$G$6:$G$208)))</f>
        <v>0</v>
      </c>
      <c r="N107" s="12">
        <f t="shared" si="126"/>
        <v>0</v>
      </c>
      <c r="O107" s="42">
        <f t="shared" si="127"/>
        <v>0</v>
      </c>
      <c r="P107" s="69"/>
      <c r="R107" s="67" t="str">
        <f>IF(H107="","",VLOOKUP(H107,'DATOS CLIENTES'!B:F,5,FALSE))</f>
        <v/>
      </c>
      <c r="S107" s="67" t="e">
        <f t="shared" si="128"/>
        <v>#REF!</v>
      </c>
      <c r="U107" s="68">
        <f t="shared" si="115"/>
        <v>0</v>
      </c>
      <c r="V107" s="68">
        <f t="shared" si="116"/>
        <v>0</v>
      </c>
      <c r="X107" s="67" t="e">
        <f t="shared" si="122"/>
        <v>#N/A</v>
      </c>
      <c r="Y107" s="67" t="str">
        <f t="shared" si="129"/>
        <v/>
      </c>
      <c r="Z107" s="67" t="str">
        <f t="shared" si="130"/>
        <v/>
      </c>
      <c r="AA107" s="67" t="str">
        <f t="shared" si="131"/>
        <v/>
      </c>
      <c r="AB107" s="219" t="str">
        <f t="shared" si="132"/>
        <v/>
      </c>
      <c r="AC107" s="67" t="str">
        <f t="shared" si="133"/>
        <v/>
      </c>
      <c r="AD107" s="67" t="str">
        <f t="shared" si="134"/>
        <v/>
      </c>
      <c r="AE107" s="67" t="str">
        <f t="shared" si="135"/>
        <v/>
      </c>
      <c r="AF107" s="67" t="str">
        <f t="shared" si="136"/>
        <v/>
      </c>
      <c r="AG107" s="67" t="str">
        <f t="shared" si="137"/>
        <v/>
      </c>
    </row>
    <row r="108" spans="1:33" s="66" customFormat="1">
      <c r="A108" s="18" t="str">
        <f t="shared" si="138"/>
        <v/>
      </c>
      <c r="B108" s="211"/>
      <c r="C108" s="57"/>
      <c r="D108" s="43">
        <f t="shared" si="140"/>
        <v>0</v>
      </c>
      <c r="E108" s="58" t="str">
        <f t="shared" si="141"/>
        <v/>
      </c>
      <c r="F108" s="89" t="str">
        <f t="shared" si="142"/>
        <v/>
      </c>
      <c r="G108" s="184"/>
      <c r="H108" s="185"/>
      <c r="I108" s="196"/>
      <c r="J108" s="41"/>
      <c r="K108" s="38">
        <f>IF(I108="",0,VLOOKUP(I108,'LISTA DE PRECIOS'!A:F,IF(R108="CORO",4,5),FALSE))</f>
        <v>0</v>
      </c>
      <c r="L108" s="199">
        <f t="shared" si="125"/>
        <v>0</v>
      </c>
      <c r="M108" s="209">
        <f>IF(F108="",0,IF(SUMIF('REPORTE GASTOS'!$C$6:$C$208,F108,'REPORTE GASTOS'!$G$6:$G$208)=0,'LISTA DE PRECIOS'!$H$3,SUMIF('REPORTE GASTOS'!$C$6:$C$208,F108,'REPORTE GASTOS'!$I$6:$I$208)/SUMIF('REPORTE GASTOS'!$C$6:$C$208,F108,'REPORTE GASTOS'!$G$6:$G$208)))</f>
        <v>0</v>
      </c>
      <c r="N108" s="12">
        <f t="shared" si="126"/>
        <v>0</v>
      </c>
      <c r="O108" s="42">
        <f t="shared" si="127"/>
        <v>0</v>
      </c>
      <c r="P108" s="69"/>
      <c r="R108" s="67" t="str">
        <f>IF(H108="","",VLOOKUP(H108,'DATOS CLIENTES'!B:F,5,FALSE))</f>
        <v/>
      </c>
      <c r="S108" s="67" t="e">
        <f t="shared" si="128"/>
        <v>#REF!</v>
      </c>
      <c r="U108" s="68">
        <f t="shared" si="115"/>
        <v>0</v>
      </c>
      <c r="V108" s="68">
        <f t="shared" si="116"/>
        <v>0</v>
      </c>
      <c r="X108" s="67" t="e">
        <f t="shared" si="122"/>
        <v>#N/A</v>
      </c>
      <c r="Y108" s="67" t="str">
        <f t="shared" si="129"/>
        <v/>
      </c>
      <c r="Z108" s="67" t="str">
        <f t="shared" si="130"/>
        <v/>
      </c>
      <c r="AA108" s="67" t="str">
        <f t="shared" si="131"/>
        <v/>
      </c>
      <c r="AB108" s="219" t="str">
        <f t="shared" si="132"/>
        <v/>
      </c>
      <c r="AC108" s="67" t="str">
        <f t="shared" si="133"/>
        <v/>
      </c>
      <c r="AD108" s="67" t="str">
        <f t="shared" si="134"/>
        <v/>
      </c>
      <c r="AE108" s="67" t="str">
        <f t="shared" si="135"/>
        <v/>
      </c>
      <c r="AF108" s="67" t="str">
        <f t="shared" si="136"/>
        <v/>
      </c>
      <c r="AG108" s="67" t="str">
        <f t="shared" si="137"/>
        <v/>
      </c>
    </row>
    <row r="109" spans="1:33" s="66" customFormat="1">
      <c r="A109" s="18" t="str">
        <f t="shared" si="138"/>
        <v/>
      </c>
      <c r="B109" s="211"/>
      <c r="C109" s="57"/>
      <c r="D109" s="43">
        <f t="shared" si="140"/>
        <v>0</v>
      </c>
      <c r="E109" s="58" t="str">
        <f t="shared" si="141"/>
        <v/>
      </c>
      <c r="F109" s="89" t="str">
        <f t="shared" si="142"/>
        <v/>
      </c>
      <c r="G109" s="184"/>
      <c r="H109" s="185"/>
      <c r="I109" s="196"/>
      <c r="J109" s="41"/>
      <c r="K109" s="38">
        <f>IF(I109="",0,VLOOKUP(I109,'LISTA DE PRECIOS'!A:F,IF(R109="CORO",4,5),FALSE))</f>
        <v>0</v>
      </c>
      <c r="L109" s="199">
        <f t="shared" si="125"/>
        <v>0</v>
      </c>
      <c r="M109" s="209">
        <f>IF(F109="",0,IF(SUMIF('REPORTE GASTOS'!$C$6:$C$208,F109,'REPORTE GASTOS'!$G$6:$G$208)=0,'LISTA DE PRECIOS'!$H$3,SUMIF('REPORTE GASTOS'!$C$6:$C$208,F109,'REPORTE GASTOS'!$I$6:$I$208)/SUMIF('REPORTE GASTOS'!$C$6:$C$208,F109,'REPORTE GASTOS'!$G$6:$G$208)))</f>
        <v>0</v>
      </c>
      <c r="N109" s="12">
        <f t="shared" si="126"/>
        <v>0</v>
      </c>
      <c r="O109" s="42">
        <f t="shared" si="127"/>
        <v>0</v>
      </c>
      <c r="P109" s="69"/>
      <c r="R109" s="67" t="str">
        <f>IF(H109="","",VLOOKUP(H109,'DATOS CLIENTES'!B:F,5,FALSE))</f>
        <v/>
      </c>
      <c r="S109" s="67" t="e">
        <f t="shared" si="128"/>
        <v>#REF!</v>
      </c>
      <c r="U109" s="68">
        <f t="shared" si="115"/>
        <v>0</v>
      </c>
      <c r="V109" s="68">
        <f t="shared" si="116"/>
        <v>0</v>
      </c>
      <c r="X109" s="67" t="e">
        <f t="shared" si="122"/>
        <v>#N/A</v>
      </c>
      <c r="Y109" s="67" t="str">
        <f t="shared" si="129"/>
        <v/>
      </c>
      <c r="Z109" s="67" t="str">
        <f t="shared" si="130"/>
        <v/>
      </c>
      <c r="AA109" s="67" t="str">
        <f t="shared" si="131"/>
        <v/>
      </c>
      <c r="AB109" s="219" t="str">
        <f t="shared" si="132"/>
        <v/>
      </c>
      <c r="AC109" s="67" t="str">
        <f t="shared" si="133"/>
        <v/>
      </c>
      <c r="AD109" s="67" t="str">
        <f t="shared" si="134"/>
        <v/>
      </c>
      <c r="AE109" s="67" t="str">
        <f t="shared" si="135"/>
        <v/>
      </c>
      <c r="AF109" s="67" t="str">
        <f t="shared" si="136"/>
        <v/>
      </c>
      <c r="AG109" s="67" t="str">
        <f t="shared" si="137"/>
        <v/>
      </c>
    </row>
    <row r="110" spans="1:33" s="66" customFormat="1">
      <c r="A110" s="18" t="str">
        <f t="shared" si="138"/>
        <v/>
      </c>
      <c r="B110" s="211"/>
      <c r="C110" s="57"/>
      <c r="D110" s="43">
        <f t="shared" si="140"/>
        <v>0</v>
      </c>
      <c r="E110" s="58" t="str">
        <f t="shared" si="141"/>
        <v/>
      </c>
      <c r="F110" s="89" t="str">
        <f t="shared" si="142"/>
        <v/>
      </c>
      <c r="G110" s="184"/>
      <c r="H110" s="185"/>
      <c r="I110" s="196"/>
      <c r="J110" s="41"/>
      <c r="K110" s="38">
        <f>IF(I110="",0,VLOOKUP(I110,'LISTA DE PRECIOS'!A:F,IF(R110="CORO",4,5),FALSE))</f>
        <v>0</v>
      </c>
      <c r="L110" s="199">
        <f t="shared" si="125"/>
        <v>0</v>
      </c>
      <c r="M110" s="209">
        <f>IF(F110="",0,IF(SUMIF('REPORTE GASTOS'!$C$6:$C$208,F110,'REPORTE GASTOS'!$G$6:$G$208)=0,'LISTA DE PRECIOS'!$H$3,SUMIF('REPORTE GASTOS'!$C$6:$C$208,F110,'REPORTE GASTOS'!$I$6:$I$208)/SUMIF('REPORTE GASTOS'!$C$6:$C$208,F110,'REPORTE GASTOS'!$G$6:$G$208)))</f>
        <v>0</v>
      </c>
      <c r="N110" s="12">
        <f t="shared" si="126"/>
        <v>0</v>
      </c>
      <c r="O110" s="42">
        <f t="shared" si="127"/>
        <v>0</v>
      </c>
      <c r="P110" s="69"/>
      <c r="R110" s="67" t="str">
        <f>IF(H110="","",VLOOKUP(H110,'DATOS CLIENTES'!B:F,5,FALSE))</f>
        <v/>
      </c>
      <c r="S110" s="67" t="e">
        <f t="shared" si="128"/>
        <v>#REF!</v>
      </c>
      <c r="U110" s="68">
        <f t="shared" si="115"/>
        <v>0</v>
      </c>
      <c r="V110" s="68">
        <f t="shared" si="116"/>
        <v>0</v>
      </c>
      <c r="X110" s="67" t="e">
        <f t="shared" si="122"/>
        <v>#N/A</v>
      </c>
      <c r="Y110" s="67" t="str">
        <f t="shared" si="129"/>
        <v/>
      </c>
      <c r="Z110" s="67" t="str">
        <f t="shared" si="130"/>
        <v/>
      </c>
      <c r="AA110" s="67" t="str">
        <f t="shared" si="131"/>
        <v/>
      </c>
      <c r="AB110" s="219" t="str">
        <f t="shared" si="132"/>
        <v/>
      </c>
      <c r="AC110" s="67" t="str">
        <f t="shared" si="133"/>
        <v/>
      </c>
      <c r="AD110" s="67" t="str">
        <f t="shared" si="134"/>
        <v/>
      </c>
      <c r="AE110" s="67" t="str">
        <f t="shared" si="135"/>
        <v/>
      </c>
      <c r="AF110" s="67" t="str">
        <f t="shared" si="136"/>
        <v/>
      </c>
      <c r="AG110" s="67" t="str">
        <f t="shared" si="137"/>
        <v/>
      </c>
    </row>
    <row r="111" spans="1:33" s="66" customFormat="1">
      <c r="A111" s="18" t="str">
        <f t="shared" si="138"/>
        <v/>
      </c>
      <c r="B111" s="211"/>
      <c r="C111" s="57"/>
      <c r="D111" s="43">
        <f t="shared" si="140"/>
        <v>0</v>
      </c>
      <c r="E111" s="58" t="str">
        <f t="shared" si="141"/>
        <v/>
      </c>
      <c r="F111" s="89" t="str">
        <f t="shared" si="142"/>
        <v/>
      </c>
      <c r="G111" s="184"/>
      <c r="H111" s="185"/>
      <c r="I111" s="196"/>
      <c r="J111" s="41"/>
      <c r="K111" s="38">
        <f>IF(I111="",0,VLOOKUP(I111,'LISTA DE PRECIOS'!A:F,IF(R111="CORO",4,5),FALSE))</f>
        <v>0</v>
      </c>
      <c r="L111" s="199">
        <f t="shared" si="125"/>
        <v>0</v>
      </c>
      <c r="M111" s="209">
        <f>IF(F111="",0,IF(SUMIF('REPORTE GASTOS'!$C$6:$C$208,F111,'REPORTE GASTOS'!$G$6:$G$208)=0,'LISTA DE PRECIOS'!$H$3,SUMIF('REPORTE GASTOS'!$C$6:$C$208,F111,'REPORTE GASTOS'!$I$6:$I$208)/SUMIF('REPORTE GASTOS'!$C$6:$C$208,F111,'REPORTE GASTOS'!$G$6:$G$208)))</f>
        <v>0</v>
      </c>
      <c r="N111" s="12">
        <f t="shared" si="126"/>
        <v>0</v>
      </c>
      <c r="O111" s="42">
        <f t="shared" si="127"/>
        <v>0</v>
      </c>
      <c r="P111" s="69"/>
      <c r="R111" s="67" t="str">
        <f>IF(H111="","",VLOOKUP(H111,'DATOS CLIENTES'!B:F,5,FALSE))</f>
        <v/>
      </c>
      <c r="S111" s="67" t="e">
        <f t="shared" si="128"/>
        <v>#REF!</v>
      </c>
      <c r="U111" s="68">
        <f t="shared" si="115"/>
        <v>0</v>
      </c>
      <c r="V111" s="68">
        <f t="shared" si="116"/>
        <v>0</v>
      </c>
      <c r="X111" s="67" t="e">
        <f t="shared" si="122"/>
        <v>#N/A</v>
      </c>
      <c r="Y111" s="67" t="str">
        <f t="shared" si="129"/>
        <v/>
      </c>
      <c r="Z111" s="67" t="str">
        <f t="shared" si="130"/>
        <v/>
      </c>
      <c r="AA111" s="67" t="str">
        <f t="shared" si="131"/>
        <v/>
      </c>
      <c r="AB111" s="219" t="str">
        <f t="shared" si="132"/>
        <v/>
      </c>
      <c r="AC111" s="67" t="str">
        <f t="shared" si="133"/>
        <v/>
      </c>
      <c r="AD111" s="67" t="str">
        <f t="shared" si="134"/>
        <v/>
      </c>
      <c r="AE111" s="67" t="str">
        <f t="shared" si="135"/>
        <v/>
      </c>
      <c r="AF111" s="67" t="str">
        <f t="shared" si="136"/>
        <v/>
      </c>
      <c r="AG111" s="67" t="str">
        <f t="shared" si="137"/>
        <v/>
      </c>
    </row>
    <row r="112" spans="1:33" s="66" customFormat="1">
      <c r="A112" s="18" t="str">
        <f t="shared" si="138"/>
        <v/>
      </c>
      <c r="B112" s="211"/>
      <c r="C112" s="57"/>
      <c r="D112" s="43">
        <f t="shared" si="140"/>
        <v>0</v>
      </c>
      <c r="E112" s="58" t="str">
        <f t="shared" si="141"/>
        <v/>
      </c>
      <c r="F112" s="89" t="str">
        <f t="shared" si="142"/>
        <v/>
      </c>
      <c r="G112" s="184"/>
      <c r="H112" s="185"/>
      <c r="I112" s="196"/>
      <c r="J112" s="41"/>
      <c r="K112" s="38">
        <f>IF(I112="",0,VLOOKUP(I112,'LISTA DE PRECIOS'!A:F,IF(R112="CORO",4,5),FALSE))</f>
        <v>0</v>
      </c>
      <c r="L112" s="199">
        <f t="shared" si="125"/>
        <v>0</v>
      </c>
      <c r="M112" s="209">
        <f>IF(F112="",0,IF(SUMIF('REPORTE GASTOS'!$C$6:$C$208,F112,'REPORTE GASTOS'!$G$6:$G$208)=0,'LISTA DE PRECIOS'!$H$3,SUMIF('REPORTE GASTOS'!$C$6:$C$208,F112,'REPORTE GASTOS'!$I$6:$I$208)/SUMIF('REPORTE GASTOS'!$C$6:$C$208,F112,'REPORTE GASTOS'!$G$6:$G$208)))</f>
        <v>0</v>
      </c>
      <c r="N112" s="12">
        <f t="shared" si="126"/>
        <v>0</v>
      </c>
      <c r="O112" s="42">
        <f t="shared" si="127"/>
        <v>0</v>
      </c>
      <c r="P112" s="69"/>
      <c r="R112" s="67" t="str">
        <f>IF(H112="","",VLOOKUP(H112,'DATOS CLIENTES'!B:F,5,FALSE))</f>
        <v/>
      </c>
      <c r="S112" s="67" t="e">
        <f t="shared" si="128"/>
        <v>#REF!</v>
      </c>
      <c r="U112" s="68">
        <f t="shared" si="115"/>
        <v>0</v>
      </c>
      <c r="V112" s="68">
        <f t="shared" si="116"/>
        <v>0</v>
      </c>
      <c r="X112" s="67" t="e">
        <f t="shared" si="122"/>
        <v>#N/A</v>
      </c>
      <c r="Y112" s="67" t="str">
        <f t="shared" si="129"/>
        <v/>
      </c>
      <c r="Z112" s="67" t="str">
        <f t="shared" si="130"/>
        <v/>
      </c>
      <c r="AA112" s="67" t="str">
        <f t="shared" si="131"/>
        <v/>
      </c>
      <c r="AB112" s="219" t="str">
        <f t="shared" si="132"/>
        <v/>
      </c>
      <c r="AC112" s="67" t="str">
        <f t="shared" si="133"/>
        <v/>
      </c>
      <c r="AD112" s="67" t="str">
        <f t="shared" si="134"/>
        <v/>
      </c>
      <c r="AE112" s="67" t="str">
        <f t="shared" si="135"/>
        <v/>
      </c>
      <c r="AF112" s="67" t="str">
        <f t="shared" si="136"/>
        <v/>
      </c>
      <c r="AG112" s="67" t="str">
        <f t="shared" si="137"/>
        <v/>
      </c>
    </row>
    <row r="113" spans="1:33" s="66" customFormat="1">
      <c r="A113" s="18" t="str">
        <f t="shared" si="138"/>
        <v/>
      </c>
      <c r="B113" s="211"/>
      <c r="C113" s="57"/>
      <c r="D113" s="43">
        <f t="shared" si="140"/>
        <v>0</v>
      </c>
      <c r="E113" s="58" t="str">
        <f t="shared" si="141"/>
        <v/>
      </c>
      <c r="F113" s="89" t="str">
        <f t="shared" si="142"/>
        <v/>
      </c>
      <c r="G113" s="184"/>
      <c r="H113" s="311"/>
      <c r="I113" s="311"/>
      <c r="J113" s="313"/>
      <c r="K113" s="314">
        <f>IF(I113="",0,VLOOKUP(I113,'LISTA DE PRECIOS'!A:F,IF(R113="CORO",4,5),FALSE))</f>
        <v>0</v>
      </c>
      <c r="L113" s="199">
        <f t="shared" si="125"/>
        <v>0</v>
      </c>
      <c r="M113" s="209">
        <f>IF(F113="",0,IF(SUMIF('REPORTE GASTOS'!$C$6:$C$208,F113,'REPORTE GASTOS'!$G$6:$G$208)=0,'LISTA DE PRECIOS'!$H$3,SUMIF('REPORTE GASTOS'!$C$6:$C$208,F113,'REPORTE GASTOS'!$I$6:$I$208)/SUMIF('REPORTE GASTOS'!$C$6:$C$208,F113,'REPORTE GASTOS'!$G$6:$G$208)))</f>
        <v>0</v>
      </c>
      <c r="N113" s="12">
        <f t="shared" si="126"/>
        <v>0</v>
      </c>
      <c r="O113" s="42">
        <f t="shared" si="127"/>
        <v>0</v>
      </c>
      <c r="P113" s="69"/>
      <c r="R113" s="67" t="str">
        <f>IF(H113="","",VLOOKUP(H113,'DATOS CLIENTES'!B:F,5,FALSE))</f>
        <v/>
      </c>
      <c r="S113" s="67" t="e">
        <f t="shared" si="128"/>
        <v>#REF!</v>
      </c>
      <c r="U113" s="68">
        <f t="shared" si="115"/>
        <v>0</v>
      </c>
      <c r="V113" s="68">
        <f t="shared" si="116"/>
        <v>0</v>
      </c>
      <c r="X113" s="67" t="e">
        <f t="shared" si="122"/>
        <v>#N/A</v>
      </c>
      <c r="Y113" s="67" t="str">
        <f t="shared" si="129"/>
        <v/>
      </c>
      <c r="Z113" s="67" t="str">
        <f t="shared" si="130"/>
        <v/>
      </c>
      <c r="AA113" s="67" t="str">
        <f t="shared" si="131"/>
        <v/>
      </c>
      <c r="AB113" s="219" t="str">
        <f t="shared" si="132"/>
        <v/>
      </c>
      <c r="AC113" s="67" t="str">
        <f t="shared" si="133"/>
        <v/>
      </c>
      <c r="AD113" s="67" t="str">
        <f t="shared" si="134"/>
        <v/>
      </c>
      <c r="AE113" s="67" t="str">
        <f t="shared" si="135"/>
        <v/>
      </c>
      <c r="AF113" s="67" t="str">
        <f t="shared" si="136"/>
        <v/>
      </c>
      <c r="AG113" s="67" t="str">
        <f t="shared" si="137"/>
        <v/>
      </c>
    </row>
    <row r="114" spans="1:33" s="66" customFormat="1">
      <c r="A114" s="18" t="str">
        <f t="shared" si="138"/>
        <v/>
      </c>
      <c r="B114" s="211"/>
      <c r="C114" s="57"/>
      <c r="D114" s="43">
        <f t="shared" si="140"/>
        <v>0</v>
      </c>
      <c r="E114" s="58" t="str">
        <f t="shared" si="141"/>
        <v/>
      </c>
      <c r="F114" s="89" t="str">
        <f t="shared" si="142"/>
        <v/>
      </c>
      <c r="G114" s="184"/>
      <c r="H114" s="311"/>
      <c r="I114" s="312"/>
      <c r="J114" s="313"/>
      <c r="K114" s="314">
        <f>IF(I114="",0,VLOOKUP(I114,'LISTA DE PRECIOS'!A:F,IF(R114="CORO",4,5),FALSE))</f>
        <v>0</v>
      </c>
      <c r="L114" s="199">
        <f t="shared" si="125"/>
        <v>0</v>
      </c>
      <c r="M114" s="209">
        <f>IF(F114="",0,IF(SUMIF('REPORTE GASTOS'!$C$6:$C$208,F114,'REPORTE GASTOS'!$G$6:$G$208)=0,'LISTA DE PRECIOS'!$H$3,SUMIF('REPORTE GASTOS'!$C$6:$C$208,F114,'REPORTE GASTOS'!$I$6:$I$208)/SUMIF('REPORTE GASTOS'!$C$6:$C$208,F114,'REPORTE GASTOS'!$G$6:$G$208)))</f>
        <v>0</v>
      </c>
      <c r="N114" s="12">
        <f t="shared" si="126"/>
        <v>0</v>
      </c>
      <c r="O114" s="42">
        <f t="shared" si="127"/>
        <v>0</v>
      </c>
      <c r="P114" s="69"/>
      <c r="R114" s="67" t="str">
        <f>IF(H114="","",VLOOKUP(H114,'DATOS CLIENTES'!B:F,5,FALSE))</f>
        <v/>
      </c>
      <c r="S114" s="67" t="e">
        <f t="shared" si="128"/>
        <v>#REF!</v>
      </c>
      <c r="U114" s="68">
        <f t="shared" si="115"/>
        <v>0</v>
      </c>
      <c r="V114" s="68">
        <f t="shared" si="116"/>
        <v>0</v>
      </c>
      <c r="X114" s="67" t="e">
        <f t="shared" si="122"/>
        <v>#N/A</v>
      </c>
      <c r="Y114" s="67" t="str">
        <f t="shared" si="129"/>
        <v/>
      </c>
      <c r="Z114" s="67" t="str">
        <f t="shared" si="130"/>
        <v/>
      </c>
      <c r="AA114" s="67" t="str">
        <f t="shared" si="131"/>
        <v/>
      </c>
      <c r="AB114" s="219" t="str">
        <f t="shared" si="132"/>
        <v/>
      </c>
      <c r="AC114" s="67" t="str">
        <f t="shared" si="133"/>
        <v/>
      </c>
      <c r="AD114" s="67" t="str">
        <f t="shared" si="134"/>
        <v/>
      </c>
      <c r="AE114" s="67" t="str">
        <f t="shared" si="135"/>
        <v/>
      </c>
      <c r="AF114" s="67" t="str">
        <f t="shared" si="136"/>
        <v/>
      </c>
      <c r="AG114" s="67" t="str">
        <f t="shared" si="137"/>
        <v/>
      </c>
    </row>
    <row r="115" spans="1:33" s="66" customFormat="1">
      <c r="A115" s="18" t="str">
        <f t="shared" si="138"/>
        <v/>
      </c>
      <c r="B115" s="211"/>
      <c r="C115" s="57"/>
      <c r="D115" s="43">
        <f t="shared" si="140"/>
        <v>0</v>
      </c>
      <c r="E115" s="58" t="str">
        <f t="shared" si="141"/>
        <v/>
      </c>
      <c r="F115" s="89" t="str">
        <f t="shared" si="142"/>
        <v/>
      </c>
      <c r="G115" s="184"/>
      <c r="H115" s="185"/>
      <c r="I115" s="185"/>
      <c r="J115" s="41"/>
      <c r="K115" s="38">
        <f>IF(I115="",0,VLOOKUP(I115,'LISTA DE PRECIOS'!A:F,IF(R115="CORO",4,5),FALSE))</f>
        <v>0</v>
      </c>
      <c r="L115" s="199">
        <f t="shared" si="125"/>
        <v>0</v>
      </c>
      <c r="M115" s="209">
        <f>IF(F115="",0,IF(SUMIF('REPORTE GASTOS'!$C$6:$C$208,F115,'REPORTE GASTOS'!$G$6:$G$208)=0,'LISTA DE PRECIOS'!$H$3,SUMIF('REPORTE GASTOS'!$C$6:$C$208,F115,'REPORTE GASTOS'!$I$6:$I$208)/SUMIF('REPORTE GASTOS'!$C$6:$C$208,F115,'REPORTE GASTOS'!$G$6:$G$208)))</f>
        <v>0</v>
      </c>
      <c r="N115" s="12">
        <f t="shared" si="126"/>
        <v>0</v>
      </c>
      <c r="O115" s="42">
        <f t="shared" si="127"/>
        <v>0</v>
      </c>
      <c r="P115" s="69"/>
      <c r="R115" s="67" t="str">
        <f>IF(H115="","",VLOOKUP(H115,'DATOS CLIENTES'!B:F,5,FALSE))</f>
        <v/>
      </c>
      <c r="S115" s="67" t="e">
        <f t="shared" si="128"/>
        <v>#REF!</v>
      </c>
      <c r="U115" s="68">
        <f t="shared" si="115"/>
        <v>0</v>
      </c>
      <c r="V115" s="68">
        <f t="shared" si="116"/>
        <v>0</v>
      </c>
      <c r="X115" s="67" t="e">
        <f t="shared" si="122"/>
        <v>#N/A</v>
      </c>
      <c r="Y115" s="67" t="str">
        <f t="shared" si="129"/>
        <v/>
      </c>
      <c r="Z115" s="67" t="str">
        <f t="shared" si="130"/>
        <v/>
      </c>
      <c r="AA115" s="67" t="str">
        <f t="shared" si="131"/>
        <v/>
      </c>
      <c r="AB115" s="219" t="str">
        <f t="shared" si="132"/>
        <v/>
      </c>
      <c r="AC115" s="67" t="str">
        <f t="shared" si="133"/>
        <v/>
      </c>
      <c r="AD115" s="67" t="str">
        <f t="shared" si="134"/>
        <v/>
      </c>
      <c r="AE115" s="67" t="str">
        <f t="shared" si="135"/>
        <v/>
      </c>
      <c r="AF115" s="67" t="str">
        <f t="shared" si="136"/>
        <v/>
      </c>
      <c r="AG115" s="67" t="str">
        <f t="shared" si="137"/>
        <v/>
      </c>
    </row>
    <row r="116" spans="1:33" s="66" customFormat="1">
      <c r="A116" s="18" t="str">
        <f t="shared" si="138"/>
        <v/>
      </c>
      <c r="B116" s="211"/>
      <c r="C116" s="57"/>
      <c r="D116" s="43">
        <f t="shared" si="140"/>
        <v>0</v>
      </c>
      <c r="E116" s="58" t="str">
        <f t="shared" si="141"/>
        <v/>
      </c>
      <c r="F116" s="89" t="str">
        <f t="shared" si="142"/>
        <v/>
      </c>
      <c r="G116" s="184"/>
      <c r="H116" s="185"/>
      <c r="I116" s="185"/>
      <c r="J116" s="41"/>
      <c r="K116" s="38">
        <f>IF(I116="",0,VLOOKUP(I116,'LISTA DE PRECIOS'!A:F,IF(R116="CORO",4,5),FALSE))</f>
        <v>0</v>
      </c>
      <c r="L116" s="199">
        <f t="shared" si="125"/>
        <v>0</v>
      </c>
      <c r="M116" s="209">
        <f>IF(F116="",0,IF(SUMIF('REPORTE GASTOS'!$C$6:$C$208,F116,'REPORTE GASTOS'!$G$6:$G$208)=0,'LISTA DE PRECIOS'!$H$3,SUMIF('REPORTE GASTOS'!$C$6:$C$208,F116,'REPORTE GASTOS'!$I$6:$I$208)/SUMIF('REPORTE GASTOS'!$C$6:$C$208,F116,'REPORTE GASTOS'!$G$6:$G$208)))</f>
        <v>0</v>
      </c>
      <c r="N116" s="12">
        <f t="shared" si="126"/>
        <v>0</v>
      </c>
      <c r="O116" s="42">
        <f t="shared" si="127"/>
        <v>0</v>
      </c>
      <c r="P116" s="69"/>
      <c r="R116" s="67" t="str">
        <f>IF(H116="","",VLOOKUP(H116,'DATOS CLIENTES'!B:F,5,FALSE))</f>
        <v/>
      </c>
      <c r="S116" s="67" t="e">
        <f t="shared" si="128"/>
        <v>#REF!</v>
      </c>
      <c r="U116" s="68">
        <f t="shared" si="115"/>
        <v>0</v>
      </c>
      <c r="V116" s="68">
        <f t="shared" si="116"/>
        <v>0</v>
      </c>
      <c r="X116" s="67" t="e">
        <f t="shared" si="122"/>
        <v>#N/A</v>
      </c>
      <c r="Y116" s="67" t="str">
        <f t="shared" si="129"/>
        <v/>
      </c>
      <c r="Z116" s="67" t="str">
        <f t="shared" si="130"/>
        <v/>
      </c>
      <c r="AA116" s="67" t="str">
        <f t="shared" si="131"/>
        <v/>
      </c>
      <c r="AB116" s="219" t="str">
        <f t="shared" si="132"/>
        <v/>
      </c>
      <c r="AC116" s="67" t="str">
        <f t="shared" si="133"/>
        <v/>
      </c>
      <c r="AD116" s="67" t="str">
        <f t="shared" si="134"/>
        <v/>
      </c>
      <c r="AE116" s="67" t="str">
        <f t="shared" si="135"/>
        <v/>
      </c>
      <c r="AF116" s="67" t="str">
        <f t="shared" si="136"/>
        <v/>
      </c>
      <c r="AG116" s="67" t="str">
        <f t="shared" si="137"/>
        <v/>
      </c>
    </row>
    <row r="117" spans="1:33" s="66" customFormat="1">
      <c r="A117" s="18" t="str">
        <f t="shared" si="138"/>
        <v/>
      </c>
      <c r="B117" s="211"/>
      <c r="C117" s="57"/>
      <c r="D117" s="43">
        <f t="shared" si="140"/>
        <v>0</v>
      </c>
      <c r="E117" s="58" t="str">
        <f t="shared" si="141"/>
        <v/>
      </c>
      <c r="F117" s="89" t="str">
        <f t="shared" si="142"/>
        <v/>
      </c>
      <c r="G117" s="184"/>
      <c r="H117" s="185"/>
      <c r="I117" s="185"/>
      <c r="J117" s="41"/>
      <c r="K117" s="38">
        <f>IF(I117="",0,VLOOKUP(I117,'LISTA DE PRECIOS'!A:F,IF(R117="CORO",4,5),FALSE))</f>
        <v>0</v>
      </c>
      <c r="L117" s="199">
        <f t="shared" si="125"/>
        <v>0</v>
      </c>
      <c r="M117" s="209">
        <f>IF(F117="",0,IF(SUMIF('REPORTE GASTOS'!$C$6:$C$208,F117,'REPORTE GASTOS'!$G$6:$G$208)=0,'LISTA DE PRECIOS'!$H$3,SUMIF('REPORTE GASTOS'!$C$6:$C$208,F117,'REPORTE GASTOS'!$I$6:$I$208)/SUMIF('REPORTE GASTOS'!$C$6:$C$208,F117,'REPORTE GASTOS'!$G$6:$G$208)))</f>
        <v>0</v>
      </c>
      <c r="N117" s="12">
        <f t="shared" si="126"/>
        <v>0</v>
      </c>
      <c r="O117" s="42">
        <f t="shared" si="127"/>
        <v>0</v>
      </c>
      <c r="P117" s="69"/>
      <c r="R117" s="67" t="str">
        <f>IF(H117="","",VLOOKUP(H117,'DATOS CLIENTES'!B:F,5,FALSE))</f>
        <v/>
      </c>
      <c r="S117" s="67" t="e">
        <f t="shared" si="128"/>
        <v>#REF!</v>
      </c>
      <c r="U117" s="68">
        <f t="shared" si="115"/>
        <v>0</v>
      </c>
      <c r="V117" s="68">
        <f t="shared" si="116"/>
        <v>0</v>
      </c>
      <c r="X117" s="67" t="e">
        <f t="shared" si="122"/>
        <v>#N/A</v>
      </c>
      <c r="Y117" s="67" t="str">
        <f t="shared" si="129"/>
        <v/>
      </c>
      <c r="Z117" s="67" t="str">
        <f t="shared" si="130"/>
        <v/>
      </c>
      <c r="AA117" s="67" t="str">
        <f t="shared" si="131"/>
        <v/>
      </c>
      <c r="AB117" s="219" t="str">
        <f t="shared" si="132"/>
        <v/>
      </c>
      <c r="AC117" s="67" t="str">
        <f t="shared" si="133"/>
        <v/>
      </c>
      <c r="AD117" s="67" t="str">
        <f t="shared" si="134"/>
        <v/>
      </c>
      <c r="AE117" s="67" t="str">
        <f t="shared" si="135"/>
        <v/>
      </c>
      <c r="AF117" s="67" t="str">
        <f t="shared" si="136"/>
        <v/>
      </c>
      <c r="AG117" s="67" t="str">
        <f t="shared" si="137"/>
        <v/>
      </c>
    </row>
    <row r="118" spans="1:33" s="66" customFormat="1">
      <c r="A118" s="18" t="str">
        <f t="shared" si="138"/>
        <v/>
      </c>
      <c r="B118" s="211"/>
      <c r="C118" s="57"/>
      <c r="D118" s="43">
        <f t="shared" si="140"/>
        <v>0</v>
      </c>
      <c r="E118" s="58" t="str">
        <f t="shared" si="141"/>
        <v/>
      </c>
      <c r="F118" s="89" t="str">
        <f t="shared" si="142"/>
        <v/>
      </c>
      <c r="G118" s="184"/>
      <c r="H118" s="185"/>
      <c r="I118" s="185"/>
      <c r="J118" s="41"/>
      <c r="K118" s="38">
        <f>IF(I118="",0,VLOOKUP(I118,'LISTA DE PRECIOS'!A:F,IF(R118="CORO",4,5),FALSE))</f>
        <v>0</v>
      </c>
      <c r="L118" s="199">
        <f t="shared" si="125"/>
        <v>0</v>
      </c>
      <c r="M118" s="209">
        <f>IF(F118="",0,IF(SUMIF('REPORTE GASTOS'!$C$6:$C$208,F118,'REPORTE GASTOS'!$G$6:$G$208)=0,'LISTA DE PRECIOS'!$H$3,SUMIF('REPORTE GASTOS'!$C$6:$C$208,F118,'REPORTE GASTOS'!$I$6:$I$208)/SUMIF('REPORTE GASTOS'!$C$6:$C$208,F118,'REPORTE GASTOS'!$G$6:$G$208)))</f>
        <v>0</v>
      </c>
      <c r="N118" s="12">
        <f t="shared" si="126"/>
        <v>0</v>
      </c>
      <c r="O118" s="42">
        <f t="shared" si="127"/>
        <v>0</v>
      </c>
      <c r="P118" s="69"/>
      <c r="R118" s="67" t="str">
        <f>IF(H118="","",VLOOKUP(H118,'DATOS CLIENTES'!B:F,5,FALSE))</f>
        <v/>
      </c>
      <c r="S118" s="67" t="e">
        <f t="shared" si="128"/>
        <v>#REF!</v>
      </c>
      <c r="U118" s="68">
        <f t="shared" si="115"/>
        <v>0</v>
      </c>
      <c r="V118" s="68">
        <f t="shared" si="116"/>
        <v>0</v>
      </c>
      <c r="X118" s="67" t="e">
        <f t="shared" si="122"/>
        <v>#N/A</v>
      </c>
      <c r="Y118" s="67" t="str">
        <f t="shared" si="129"/>
        <v/>
      </c>
      <c r="Z118" s="67" t="str">
        <f t="shared" si="130"/>
        <v/>
      </c>
      <c r="AA118" s="67" t="str">
        <f t="shared" si="131"/>
        <v/>
      </c>
      <c r="AB118" s="219" t="str">
        <f t="shared" si="132"/>
        <v/>
      </c>
      <c r="AC118" s="67" t="str">
        <f t="shared" si="133"/>
        <v/>
      </c>
      <c r="AD118" s="67" t="str">
        <f t="shared" si="134"/>
        <v/>
      </c>
      <c r="AE118" s="67" t="str">
        <f t="shared" si="135"/>
        <v/>
      </c>
      <c r="AF118" s="67" t="str">
        <f t="shared" si="136"/>
        <v/>
      </c>
      <c r="AG118" s="67" t="str">
        <f t="shared" si="137"/>
        <v/>
      </c>
    </row>
    <row r="119" spans="1:33" s="66" customFormat="1">
      <c r="A119" s="18" t="str">
        <f t="shared" si="138"/>
        <v/>
      </c>
      <c r="B119" s="211"/>
      <c r="C119" s="57"/>
      <c r="D119" s="43">
        <f t="shared" si="140"/>
        <v>0</v>
      </c>
      <c r="E119" s="58" t="str">
        <f t="shared" si="141"/>
        <v/>
      </c>
      <c r="F119" s="89" t="str">
        <f t="shared" si="142"/>
        <v/>
      </c>
      <c r="G119" s="184"/>
      <c r="H119" s="185"/>
      <c r="I119" s="185"/>
      <c r="J119" s="41"/>
      <c r="K119" s="38">
        <f>IF(I119="",0,VLOOKUP(I119,'LISTA DE PRECIOS'!A:F,IF(R119="CORO",4,5),FALSE))</f>
        <v>0</v>
      </c>
      <c r="L119" s="199">
        <f t="shared" si="125"/>
        <v>0</v>
      </c>
      <c r="M119" s="209">
        <f>IF(F119="",0,IF(SUMIF('REPORTE GASTOS'!$C$6:$C$208,F119,'REPORTE GASTOS'!$G$6:$G$208)=0,'LISTA DE PRECIOS'!$H$3,SUMIF('REPORTE GASTOS'!$C$6:$C$208,F119,'REPORTE GASTOS'!$I$6:$I$208)/SUMIF('REPORTE GASTOS'!$C$6:$C$208,F119,'REPORTE GASTOS'!$G$6:$G$208)))</f>
        <v>0</v>
      </c>
      <c r="N119" s="12">
        <f t="shared" si="126"/>
        <v>0</v>
      </c>
      <c r="O119" s="42">
        <f t="shared" si="127"/>
        <v>0</v>
      </c>
      <c r="P119" s="69"/>
      <c r="R119" s="67" t="str">
        <f>IF(H119="","",VLOOKUP(H119,'DATOS CLIENTES'!B:F,5,FALSE))</f>
        <v/>
      </c>
      <c r="S119" s="67" t="e">
        <f t="shared" si="128"/>
        <v>#REF!</v>
      </c>
      <c r="U119" s="68">
        <f t="shared" si="115"/>
        <v>0</v>
      </c>
      <c r="V119" s="68">
        <f t="shared" si="116"/>
        <v>0</v>
      </c>
      <c r="X119" s="67" t="e">
        <f t="shared" si="122"/>
        <v>#N/A</v>
      </c>
      <c r="Y119" s="67" t="str">
        <f t="shared" si="129"/>
        <v/>
      </c>
      <c r="Z119" s="67" t="str">
        <f t="shared" si="130"/>
        <v/>
      </c>
      <c r="AA119" s="67" t="str">
        <f t="shared" si="131"/>
        <v/>
      </c>
      <c r="AB119" s="219" t="str">
        <f t="shared" si="132"/>
        <v/>
      </c>
      <c r="AC119" s="67" t="str">
        <f t="shared" si="133"/>
        <v/>
      </c>
      <c r="AD119" s="67" t="str">
        <f t="shared" si="134"/>
        <v/>
      </c>
      <c r="AE119" s="67" t="str">
        <f t="shared" si="135"/>
        <v/>
      </c>
      <c r="AF119" s="67" t="str">
        <f t="shared" si="136"/>
        <v/>
      </c>
      <c r="AG119" s="67" t="str">
        <f t="shared" si="137"/>
        <v/>
      </c>
    </row>
    <row r="120" spans="1:33" s="66" customFormat="1">
      <c r="A120" s="18" t="str">
        <f t="shared" si="138"/>
        <v/>
      </c>
      <c r="B120" s="211"/>
      <c r="C120" s="57"/>
      <c r="D120" s="43">
        <f t="shared" si="140"/>
        <v>0</v>
      </c>
      <c r="E120" s="58" t="str">
        <f t="shared" si="141"/>
        <v/>
      </c>
      <c r="F120" s="89" t="str">
        <f t="shared" si="142"/>
        <v/>
      </c>
      <c r="G120" s="184"/>
      <c r="H120" s="185"/>
      <c r="I120" s="185"/>
      <c r="J120" s="41"/>
      <c r="K120" s="38">
        <f>IF(I120="",0,VLOOKUP(I120,'LISTA DE PRECIOS'!A:F,IF(R120="CORO",4,5),FALSE))</f>
        <v>0</v>
      </c>
      <c r="L120" s="199">
        <f t="shared" si="125"/>
        <v>0</v>
      </c>
      <c r="M120" s="209">
        <f>IF(F120="",0,IF(SUMIF('REPORTE GASTOS'!$C$6:$C$208,F120,'REPORTE GASTOS'!$G$6:$G$208)=0,'LISTA DE PRECIOS'!$H$3,SUMIF('REPORTE GASTOS'!$C$6:$C$208,F120,'REPORTE GASTOS'!$I$6:$I$208)/SUMIF('REPORTE GASTOS'!$C$6:$C$208,F120,'REPORTE GASTOS'!$G$6:$G$208)))</f>
        <v>0</v>
      </c>
      <c r="N120" s="12">
        <f t="shared" si="126"/>
        <v>0</v>
      </c>
      <c r="O120" s="42">
        <f t="shared" si="127"/>
        <v>0</v>
      </c>
      <c r="P120" s="69"/>
      <c r="R120" s="67" t="str">
        <f>IF(H120="","",VLOOKUP(H120,'DATOS CLIENTES'!B:F,5,FALSE))</f>
        <v/>
      </c>
      <c r="S120" s="67" t="e">
        <f t="shared" si="128"/>
        <v>#REF!</v>
      </c>
      <c r="U120" s="68">
        <f t="shared" si="115"/>
        <v>0</v>
      </c>
      <c r="V120" s="68">
        <f t="shared" si="116"/>
        <v>0</v>
      </c>
      <c r="X120" s="67" t="e">
        <f t="shared" si="122"/>
        <v>#N/A</v>
      </c>
      <c r="Y120" s="67" t="str">
        <f t="shared" si="129"/>
        <v/>
      </c>
      <c r="Z120" s="67" t="str">
        <f t="shared" si="130"/>
        <v/>
      </c>
      <c r="AA120" s="67" t="str">
        <f t="shared" si="131"/>
        <v/>
      </c>
      <c r="AB120" s="219" t="str">
        <f t="shared" si="132"/>
        <v/>
      </c>
      <c r="AC120" s="67" t="str">
        <f t="shared" si="133"/>
        <v/>
      </c>
      <c r="AD120" s="67" t="str">
        <f t="shared" si="134"/>
        <v/>
      </c>
      <c r="AE120" s="67" t="str">
        <f t="shared" si="135"/>
        <v/>
      </c>
      <c r="AF120" s="67" t="str">
        <f t="shared" si="136"/>
        <v/>
      </c>
      <c r="AG120" s="67" t="str">
        <f t="shared" si="137"/>
        <v/>
      </c>
    </row>
    <row r="121" spans="1:33" s="66" customFormat="1">
      <c r="A121" s="18" t="str">
        <f t="shared" si="138"/>
        <v/>
      </c>
      <c r="B121" s="211"/>
      <c r="C121" s="57"/>
      <c r="D121" s="43">
        <f t="shared" si="140"/>
        <v>0</v>
      </c>
      <c r="E121" s="58" t="str">
        <f t="shared" si="141"/>
        <v/>
      </c>
      <c r="F121" s="89" t="str">
        <f t="shared" si="142"/>
        <v/>
      </c>
      <c r="G121" s="184"/>
      <c r="H121" s="185"/>
      <c r="I121" s="185"/>
      <c r="J121" s="41"/>
      <c r="K121" s="38">
        <f>IF(I121="",0,VLOOKUP(I121,'LISTA DE PRECIOS'!A:F,IF(R121="CORO",4,5),FALSE))</f>
        <v>0</v>
      </c>
      <c r="L121" s="199">
        <f t="shared" si="125"/>
        <v>0</v>
      </c>
      <c r="M121" s="209">
        <f>IF(F121="",0,IF(SUMIF('REPORTE GASTOS'!$C$6:$C$208,F121,'REPORTE GASTOS'!$G$6:$G$208)=0,'LISTA DE PRECIOS'!$H$3,SUMIF('REPORTE GASTOS'!$C$6:$C$208,F121,'REPORTE GASTOS'!$I$6:$I$208)/SUMIF('REPORTE GASTOS'!$C$6:$C$208,F121,'REPORTE GASTOS'!$G$6:$G$208)))</f>
        <v>0</v>
      </c>
      <c r="N121" s="12">
        <f t="shared" si="126"/>
        <v>0</v>
      </c>
      <c r="O121" s="42">
        <f t="shared" si="127"/>
        <v>0</v>
      </c>
      <c r="P121" s="69"/>
      <c r="R121" s="67" t="str">
        <f>IF(H121="","",VLOOKUP(H121,'DATOS CLIENTES'!B:F,5,FALSE))</f>
        <v/>
      </c>
      <c r="S121" s="67" t="e">
        <f t="shared" si="128"/>
        <v>#REF!</v>
      </c>
      <c r="U121" s="68">
        <f t="shared" si="115"/>
        <v>0</v>
      </c>
      <c r="V121" s="68">
        <f t="shared" si="116"/>
        <v>0</v>
      </c>
      <c r="X121" s="67" t="e">
        <f t="shared" si="122"/>
        <v>#N/A</v>
      </c>
      <c r="Y121" s="67" t="str">
        <f t="shared" si="129"/>
        <v/>
      </c>
      <c r="Z121" s="67" t="str">
        <f t="shared" si="130"/>
        <v/>
      </c>
      <c r="AA121" s="67" t="str">
        <f t="shared" si="131"/>
        <v/>
      </c>
      <c r="AB121" s="219" t="str">
        <f t="shared" si="132"/>
        <v/>
      </c>
      <c r="AC121" s="67" t="str">
        <f t="shared" si="133"/>
        <v/>
      </c>
      <c r="AD121" s="67" t="str">
        <f t="shared" si="134"/>
        <v/>
      </c>
      <c r="AE121" s="67" t="str">
        <f t="shared" si="135"/>
        <v/>
      </c>
      <c r="AF121" s="67" t="str">
        <f t="shared" si="136"/>
        <v/>
      </c>
      <c r="AG121" s="67" t="str">
        <f t="shared" si="137"/>
        <v/>
      </c>
    </row>
    <row r="122" spans="1:33" s="66" customFormat="1">
      <c r="A122" s="18" t="str">
        <f t="shared" si="138"/>
        <v/>
      </c>
      <c r="B122" s="211"/>
      <c r="C122" s="57"/>
      <c r="D122" s="43">
        <f t="shared" si="140"/>
        <v>0</v>
      </c>
      <c r="E122" s="58" t="str">
        <f t="shared" si="141"/>
        <v/>
      </c>
      <c r="F122" s="89" t="str">
        <f t="shared" si="142"/>
        <v/>
      </c>
      <c r="G122" s="184"/>
      <c r="H122" s="185"/>
      <c r="I122" s="185"/>
      <c r="J122" s="41"/>
      <c r="K122" s="38">
        <f>IF(I122="",0,VLOOKUP(I122,'LISTA DE PRECIOS'!A:F,IF(R122="CORO",4,5),FALSE))</f>
        <v>0</v>
      </c>
      <c r="L122" s="199">
        <f t="shared" si="125"/>
        <v>0</v>
      </c>
      <c r="M122" s="209">
        <f>IF(F122="",0,IF(SUMIF('REPORTE GASTOS'!$C$6:$C$208,F122,'REPORTE GASTOS'!$G$6:$G$208)=0,'LISTA DE PRECIOS'!$H$3,SUMIF('REPORTE GASTOS'!$C$6:$C$208,F122,'REPORTE GASTOS'!$I$6:$I$208)/SUMIF('REPORTE GASTOS'!$C$6:$C$208,F122,'REPORTE GASTOS'!$G$6:$G$208)))</f>
        <v>0</v>
      </c>
      <c r="N122" s="12">
        <f t="shared" si="126"/>
        <v>0</v>
      </c>
      <c r="O122" s="42">
        <f t="shared" si="127"/>
        <v>0</v>
      </c>
      <c r="P122" s="69"/>
      <c r="R122" s="67" t="str">
        <f>IF(H122="","",VLOOKUP(H122,'DATOS CLIENTES'!B:F,5,FALSE))</f>
        <v/>
      </c>
      <c r="S122" s="67" t="e">
        <f t="shared" si="128"/>
        <v>#REF!</v>
      </c>
      <c r="U122" s="68">
        <f t="shared" si="115"/>
        <v>0</v>
      </c>
      <c r="V122" s="68">
        <f t="shared" si="116"/>
        <v>0</v>
      </c>
      <c r="X122" s="67" t="e">
        <f t="shared" si="122"/>
        <v>#N/A</v>
      </c>
      <c r="Y122" s="67" t="str">
        <f t="shared" si="129"/>
        <v/>
      </c>
      <c r="Z122" s="67" t="str">
        <f t="shared" si="130"/>
        <v/>
      </c>
      <c r="AA122" s="67" t="str">
        <f t="shared" si="131"/>
        <v/>
      </c>
      <c r="AB122" s="219" t="str">
        <f t="shared" si="132"/>
        <v/>
      </c>
      <c r="AC122" s="67" t="str">
        <f t="shared" si="133"/>
        <v/>
      </c>
      <c r="AD122" s="67" t="str">
        <f t="shared" si="134"/>
        <v/>
      </c>
      <c r="AE122" s="67" t="str">
        <f t="shared" si="135"/>
        <v/>
      </c>
      <c r="AF122" s="67" t="str">
        <f t="shared" si="136"/>
        <v/>
      </c>
      <c r="AG122" s="67" t="str">
        <f t="shared" si="137"/>
        <v/>
      </c>
    </row>
    <row r="123" spans="1:33" s="66" customFormat="1">
      <c r="A123" s="18" t="str">
        <f t="shared" si="138"/>
        <v/>
      </c>
      <c r="B123" s="211"/>
      <c r="C123" s="57"/>
      <c r="D123" s="43">
        <f t="shared" si="140"/>
        <v>0</v>
      </c>
      <c r="E123" s="58" t="str">
        <f t="shared" si="141"/>
        <v/>
      </c>
      <c r="F123" s="89" t="str">
        <f t="shared" si="142"/>
        <v/>
      </c>
      <c r="G123" s="184"/>
      <c r="H123" s="185"/>
      <c r="I123" s="185"/>
      <c r="J123" s="41"/>
      <c r="K123" s="38">
        <f>IF(I123="",0,VLOOKUP(I123,'LISTA DE PRECIOS'!A:F,IF(R123="CORO",4,5),FALSE))</f>
        <v>0</v>
      </c>
      <c r="L123" s="199">
        <f t="shared" si="125"/>
        <v>0</v>
      </c>
      <c r="M123" s="209">
        <f>IF(F123="",0,IF(SUMIF('REPORTE GASTOS'!$C$6:$C$208,F123,'REPORTE GASTOS'!$G$6:$G$208)=0,'LISTA DE PRECIOS'!$H$3,SUMIF('REPORTE GASTOS'!$C$6:$C$208,F123,'REPORTE GASTOS'!$I$6:$I$208)/SUMIF('REPORTE GASTOS'!$C$6:$C$208,F123,'REPORTE GASTOS'!$G$6:$G$208)))</f>
        <v>0</v>
      </c>
      <c r="N123" s="12">
        <f t="shared" si="126"/>
        <v>0</v>
      </c>
      <c r="O123" s="42">
        <f t="shared" si="127"/>
        <v>0</v>
      </c>
      <c r="P123" s="69"/>
      <c r="R123" s="67" t="str">
        <f>IF(H123="","",VLOOKUP(H123,'DATOS CLIENTES'!B:F,5,FALSE))</f>
        <v/>
      </c>
      <c r="S123" s="67" t="e">
        <f t="shared" si="128"/>
        <v>#REF!</v>
      </c>
      <c r="U123" s="68">
        <f t="shared" si="115"/>
        <v>0</v>
      </c>
      <c r="V123" s="68">
        <f t="shared" si="116"/>
        <v>0</v>
      </c>
      <c r="X123" s="67" t="e">
        <f t="shared" si="122"/>
        <v>#N/A</v>
      </c>
      <c r="Y123" s="67" t="str">
        <f t="shared" si="129"/>
        <v/>
      </c>
      <c r="Z123" s="67" t="str">
        <f t="shared" si="130"/>
        <v/>
      </c>
      <c r="AA123" s="67" t="str">
        <f t="shared" si="131"/>
        <v/>
      </c>
      <c r="AB123" s="219" t="str">
        <f t="shared" si="132"/>
        <v/>
      </c>
      <c r="AC123" s="67" t="str">
        <f t="shared" si="133"/>
        <v/>
      </c>
      <c r="AD123" s="67" t="str">
        <f t="shared" si="134"/>
        <v/>
      </c>
      <c r="AE123" s="67" t="str">
        <f t="shared" si="135"/>
        <v/>
      </c>
      <c r="AF123" s="67" t="str">
        <f t="shared" si="136"/>
        <v/>
      </c>
      <c r="AG123" s="67" t="str">
        <f t="shared" si="137"/>
        <v/>
      </c>
    </row>
    <row r="124" spans="1:33" s="66" customFormat="1">
      <c r="A124" s="18" t="str">
        <f t="shared" si="138"/>
        <v/>
      </c>
      <c r="B124" s="211"/>
      <c r="C124" s="57"/>
      <c r="D124" s="43">
        <f t="shared" si="140"/>
        <v>0</v>
      </c>
      <c r="E124" s="58" t="str">
        <f t="shared" si="141"/>
        <v/>
      </c>
      <c r="F124" s="89" t="str">
        <f t="shared" si="142"/>
        <v/>
      </c>
      <c r="G124" s="184"/>
      <c r="H124" s="185"/>
      <c r="I124" s="185"/>
      <c r="J124" s="41"/>
      <c r="K124" s="38">
        <f>IF(I124="",0,VLOOKUP(I124,'LISTA DE PRECIOS'!A:F,IF(R124="CORO",4,5),FALSE))</f>
        <v>0</v>
      </c>
      <c r="L124" s="199">
        <f t="shared" si="125"/>
        <v>0</v>
      </c>
      <c r="M124" s="209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0</v>
      </c>
      <c r="N124" s="12">
        <f t="shared" si="126"/>
        <v>0</v>
      </c>
      <c r="O124" s="42">
        <f t="shared" si="127"/>
        <v>0</v>
      </c>
      <c r="P124" s="69"/>
      <c r="R124" s="67" t="str">
        <f>IF(H124="","",VLOOKUP(H124,'DATOS CLIENTES'!B:F,5,FALSE))</f>
        <v/>
      </c>
      <c r="S124" s="67" t="e">
        <f t="shared" si="128"/>
        <v>#REF!</v>
      </c>
      <c r="U124" s="68">
        <f t="shared" si="115"/>
        <v>0</v>
      </c>
      <c r="V124" s="68">
        <f t="shared" si="116"/>
        <v>0</v>
      </c>
      <c r="X124" s="67" t="e">
        <f t="shared" si="122"/>
        <v>#N/A</v>
      </c>
      <c r="Y124" s="67" t="str">
        <f t="shared" si="129"/>
        <v/>
      </c>
      <c r="Z124" s="67" t="str">
        <f t="shared" si="130"/>
        <v/>
      </c>
      <c r="AA124" s="67" t="str">
        <f t="shared" si="131"/>
        <v/>
      </c>
      <c r="AB124" s="219" t="str">
        <f t="shared" si="132"/>
        <v/>
      </c>
      <c r="AC124" s="67" t="str">
        <f t="shared" si="133"/>
        <v/>
      </c>
      <c r="AD124" s="67" t="str">
        <f t="shared" si="134"/>
        <v/>
      </c>
      <c r="AE124" s="67" t="str">
        <f t="shared" si="135"/>
        <v/>
      </c>
      <c r="AF124" s="67" t="str">
        <f t="shared" si="136"/>
        <v/>
      </c>
      <c r="AG124" s="67" t="str">
        <f t="shared" si="137"/>
        <v/>
      </c>
    </row>
    <row r="125" spans="1:33" s="66" customFormat="1">
      <c r="A125" s="18" t="str">
        <f t="shared" si="138"/>
        <v/>
      </c>
      <c r="B125" s="211"/>
      <c r="C125" s="57"/>
      <c r="D125" s="43">
        <f t="shared" si="140"/>
        <v>0</v>
      </c>
      <c r="E125" s="58" t="str">
        <f t="shared" si="141"/>
        <v/>
      </c>
      <c r="F125" s="89" t="str">
        <f t="shared" si="142"/>
        <v/>
      </c>
      <c r="G125" s="184"/>
      <c r="H125" s="185"/>
      <c r="I125" s="185"/>
      <c r="J125" s="41"/>
      <c r="K125" s="38">
        <f>IF(I125="",0,VLOOKUP(I125,'LISTA DE PRECIOS'!A:F,IF(R125="CORO",4,5),FALSE))</f>
        <v>0</v>
      </c>
      <c r="L125" s="199">
        <f t="shared" si="125"/>
        <v>0</v>
      </c>
      <c r="M125" s="209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0</v>
      </c>
      <c r="N125" s="12">
        <f t="shared" si="126"/>
        <v>0</v>
      </c>
      <c r="O125" s="42">
        <f t="shared" si="127"/>
        <v>0</v>
      </c>
      <c r="P125" s="69"/>
      <c r="R125" s="67" t="str">
        <f>IF(H125="","",VLOOKUP(H125,'DATOS CLIENTES'!B:F,5,FALSE))</f>
        <v/>
      </c>
      <c r="S125" s="67" t="e">
        <f t="shared" si="128"/>
        <v>#REF!</v>
      </c>
      <c r="U125" s="68">
        <f t="shared" si="115"/>
        <v>0</v>
      </c>
      <c r="V125" s="68">
        <f t="shared" si="116"/>
        <v>0</v>
      </c>
      <c r="X125" s="67" t="e">
        <f t="shared" si="122"/>
        <v>#N/A</v>
      </c>
      <c r="Y125" s="67" t="str">
        <f t="shared" si="129"/>
        <v/>
      </c>
      <c r="Z125" s="67" t="str">
        <f t="shared" si="130"/>
        <v/>
      </c>
      <c r="AA125" s="67" t="str">
        <f t="shared" si="131"/>
        <v/>
      </c>
      <c r="AB125" s="219" t="str">
        <f t="shared" si="132"/>
        <v/>
      </c>
      <c r="AC125" s="67" t="str">
        <f t="shared" si="133"/>
        <v/>
      </c>
      <c r="AD125" s="67" t="str">
        <f t="shared" si="134"/>
        <v/>
      </c>
      <c r="AE125" s="67" t="str">
        <f t="shared" si="135"/>
        <v/>
      </c>
      <c r="AF125" s="67" t="str">
        <f t="shared" si="136"/>
        <v/>
      </c>
      <c r="AG125" s="67" t="str">
        <f t="shared" si="137"/>
        <v/>
      </c>
    </row>
    <row r="126" spans="1:33" s="66" customFormat="1">
      <c r="A126" s="18" t="str">
        <f t="shared" si="138"/>
        <v/>
      </c>
      <c r="B126" s="211"/>
      <c r="C126" s="57"/>
      <c r="D126" s="43">
        <f t="shared" si="140"/>
        <v>0</v>
      </c>
      <c r="E126" s="58" t="str">
        <f t="shared" si="141"/>
        <v/>
      </c>
      <c r="F126" s="89" t="str">
        <f t="shared" si="142"/>
        <v/>
      </c>
      <c r="G126" s="184"/>
      <c r="H126" s="185"/>
      <c r="I126" s="185"/>
      <c r="J126" s="41"/>
      <c r="K126" s="38">
        <f>IF(I126="",0,VLOOKUP(I126,'LISTA DE PRECIOS'!A:F,IF(R126="CORO",4,5),FALSE))</f>
        <v>0</v>
      </c>
      <c r="L126" s="199">
        <f t="shared" si="125"/>
        <v>0</v>
      </c>
      <c r="M126" s="209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0</v>
      </c>
      <c r="N126" s="12">
        <f t="shared" si="126"/>
        <v>0</v>
      </c>
      <c r="O126" s="42">
        <f t="shared" si="127"/>
        <v>0</v>
      </c>
      <c r="P126" s="69"/>
      <c r="R126" s="67" t="str">
        <f>IF(H126="","",VLOOKUP(H126,'DATOS CLIENTES'!B:F,5,FALSE))</f>
        <v/>
      </c>
      <c r="S126" s="67" t="e">
        <f t="shared" si="128"/>
        <v>#REF!</v>
      </c>
      <c r="U126" s="68">
        <f t="shared" si="115"/>
        <v>0</v>
      </c>
      <c r="V126" s="68">
        <f t="shared" si="116"/>
        <v>0</v>
      </c>
      <c r="X126" s="67" t="e">
        <f t="shared" si="122"/>
        <v>#N/A</v>
      </c>
      <c r="Y126" s="67" t="str">
        <f t="shared" si="129"/>
        <v/>
      </c>
      <c r="Z126" s="67" t="str">
        <f t="shared" si="130"/>
        <v/>
      </c>
      <c r="AA126" s="67" t="str">
        <f t="shared" si="131"/>
        <v/>
      </c>
      <c r="AB126" s="219" t="str">
        <f t="shared" si="132"/>
        <v/>
      </c>
      <c r="AC126" s="67" t="str">
        <f t="shared" si="133"/>
        <v/>
      </c>
      <c r="AD126" s="67" t="str">
        <f t="shared" si="134"/>
        <v/>
      </c>
      <c r="AE126" s="67" t="str">
        <f t="shared" si="135"/>
        <v/>
      </c>
      <c r="AF126" s="67" t="str">
        <f t="shared" si="136"/>
        <v/>
      </c>
      <c r="AG126" s="67" t="str">
        <f t="shared" si="137"/>
        <v/>
      </c>
    </row>
    <row r="127" spans="1:33" s="66" customFormat="1">
      <c r="A127" s="18" t="str">
        <f t="shared" si="138"/>
        <v/>
      </c>
      <c r="B127" s="211"/>
      <c r="C127" s="57"/>
      <c r="D127" s="43">
        <f t="shared" si="140"/>
        <v>0</v>
      </c>
      <c r="E127" s="58" t="str">
        <f t="shared" si="141"/>
        <v/>
      </c>
      <c r="F127" s="89" t="str">
        <f t="shared" si="142"/>
        <v/>
      </c>
      <c r="G127" s="184"/>
      <c r="H127" s="185"/>
      <c r="I127" s="185"/>
      <c r="J127" s="41"/>
      <c r="K127" s="38">
        <f>IF(I127="",0,VLOOKUP(I127,'LISTA DE PRECIOS'!A:F,IF(R127="CORO",4,5),FALSE))</f>
        <v>0</v>
      </c>
      <c r="L127" s="199">
        <f t="shared" si="125"/>
        <v>0</v>
      </c>
      <c r="M127" s="209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0</v>
      </c>
      <c r="N127" s="12">
        <f t="shared" si="126"/>
        <v>0</v>
      </c>
      <c r="O127" s="42">
        <f t="shared" si="127"/>
        <v>0</v>
      </c>
      <c r="P127" s="69"/>
      <c r="R127" s="67" t="str">
        <f>IF(H127="","",VLOOKUP(H127,'DATOS CLIENTES'!B:F,5,FALSE))</f>
        <v/>
      </c>
      <c r="S127" s="67" t="e">
        <f t="shared" si="128"/>
        <v>#REF!</v>
      </c>
      <c r="U127" s="68">
        <f t="shared" si="115"/>
        <v>0</v>
      </c>
      <c r="V127" s="68">
        <f t="shared" si="116"/>
        <v>0</v>
      </c>
      <c r="X127" s="67" t="e">
        <f t="shared" si="122"/>
        <v>#N/A</v>
      </c>
      <c r="Y127" s="67" t="str">
        <f t="shared" si="129"/>
        <v/>
      </c>
      <c r="Z127" s="67" t="str">
        <f t="shared" si="130"/>
        <v/>
      </c>
      <c r="AA127" s="67" t="str">
        <f t="shared" si="131"/>
        <v/>
      </c>
      <c r="AB127" s="219" t="str">
        <f t="shared" si="132"/>
        <v/>
      </c>
      <c r="AC127" s="67" t="str">
        <f t="shared" si="133"/>
        <v/>
      </c>
      <c r="AD127" s="67" t="str">
        <f t="shared" si="134"/>
        <v/>
      </c>
      <c r="AE127" s="67" t="str">
        <f t="shared" si="135"/>
        <v/>
      </c>
      <c r="AF127" s="67" t="str">
        <f t="shared" si="136"/>
        <v/>
      </c>
      <c r="AG127" s="67" t="str">
        <f t="shared" si="137"/>
        <v/>
      </c>
    </row>
    <row r="128" spans="1:33" s="66" customFormat="1">
      <c r="A128" s="18" t="str">
        <f t="shared" si="138"/>
        <v/>
      </c>
      <c r="B128" s="211"/>
      <c r="C128" s="57"/>
      <c r="D128" s="43">
        <f t="shared" si="140"/>
        <v>0</v>
      </c>
      <c r="E128" s="58" t="str">
        <f t="shared" si="141"/>
        <v/>
      </c>
      <c r="F128" s="89" t="str">
        <f t="shared" si="142"/>
        <v/>
      </c>
      <c r="G128" s="184"/>
      <c r="H128" s="185"/>
      <c r="I128" s="185"/>
      <c r="J128" s="321"/>
      <c r="K128" s="38">
        <f>IF(I128="",0,VLOOKUP(I128,'LISTA DE PRECIOS'!A:F,IF(R128="CORO",4,5),FALSE))</f>
        <v>0</v>
      </c>
      <c r="L128" s="199">
        <f t="shared" si="125"/>
        <v>0</v>
      </c>
      <c r="M128" s="209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0</v>
      </c>
      <c r="N128" s="12">
        <f t="shared" si="126"/>
        <v>0</v>
      </c>
      <c r="O128" s="42">
        <f t="shared" si="127"/>
        <v>0</v>
      </c>
      <c r="P128" s="69"/>
      <c r="R128" s="67" t="str">
        <f>IF(H128="","",VLOOKUP(H128,'DATOS CLIENTES'!B:F,5,FALSE))</f>
        <v/>
      </c>
      <c r="S128" s="67" t="e">
        <f t="shared" si="128"/>
        <v>#REF!</v>
      </c>
      <c r="U128" s="68">
        <f t="shared" si="115"/>
        <v>0</v>
      </c>
      <c r="V128" s="68">
        <f t="shared" si="116"/>
        <v>0</v>
      </c>
      <c r="X128" s="67" t="e">
        <f t="shared" si="122"/>
        <v>#N/A</v>
      </c>
      <c r="Y128" s="67" t="str">
        <f t="shared" si="129"/>
        <v/>
      </c>
      <c r="Z128" s="67" t="str">
        <f t="shared" si="130"/>
        <v/>
      </c>
      <c r="AA128" s="67" t="str">
        <f t="shared" si="131"/>
        <v/>
      </c>
      <c r="AB128" s="219" t="str">
        <f t="shared" si="132"/>
        <v/>
      </c>
      <c r="AC128" s="67" t="str">
        <f t="shared" si="133"/>
        <v/>
      </c>
      <c r="AD128" s="67" t="str">
        <f t="shared" si="134"/>
        <v/>
      </c>
      <c r="AE128" s="67" t="str">
        <f t="shared" si="135"/>
        <v/>
      </c>
      <c r="AF128" s="67" t="str">
        <f t="shared" si="136"/>
        <v/>
      </c>
      <c r="AG128" s="67" t="str">
        <f t="shared" si="137"/>
        <v/>
      </c>
    </row>
    <row r="129" spans="1:33" s="66" customFormat="1">
      <c r="A129" s="18" t="str">
        <f t="shared" si="138"/>
        <v/>
      </c>
      <c r="B129" s="211"/>
      <c r="C129" s="57"/>
      <c r="D129" s="43">
        <f t="shared" si="140"/>
        <v>0</v>
      </c>
      <c r="E129" s="58" t="str">
        <f t="shared" si="141"/>
        <v/>
      </c>
      <c r="F129" s="89" t="str">
        <f t="shared" si="142"/>
        <v/>
      </c>
      <c r="G129" s="184"/>
      <c r="H129" s="185"/>
      <c r="I129" s="185"/>
      <c r="J129" s="322"/>
      <c r="K129" s="38">
        <f>IF(I129="",0,VLOOKUP(I129,'LISTA DE PRECIOS'!A:F,IF(R129="CORO",4,5),FALSE))</f>
        <v>0</v>
      </c>
      <c r="L129" s="199">
        <f t="shared" si="125"/>
        <v>0</v>
      </c>
      <c r="M129" s="209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0</v>
      </c>
      <c r="N129" s="12">
        <f t="shared" si="126"/>
        <v>0</v>
      </c>
      <c r="O129" s="42">
        <f t="shared" si="127"/>
        <v>0</v>
      </c>
      <c r="P129" s="69"/>
      <c r="R129" s="67" t="str">
        <f>IF(H129="","",VLOOKUP(H129,'DATOS CLIENTES'!B:F,5,FALSE))</f>
        <v/>
      </c>
      <c r="S129" s="67" t="e">
        <f t="shared" si="128"/>
        <v>#REF!</v>
      </c>
      <c r="U129" s="68">
        <f t="shared" si="115"/>
        <v>0</v>
      </c>
      <c r="V129" s="68">
        <f t="shared" si="116"/>
        <v>0</v>
      </c>
      <c r="X129" s="67" t="e">
        <f t="shared" si="122"/>
        <v>#N/A</v>
      </c>
      <c r="Y129" s="67" t="str">
        <f t="shared" si="129"/>
        <v/>
      </c>
      <c r="Z129" s="67" t="str">
        <f t="shared" si="130"/>
        <v/>
      </c>
      <c r="AA129" s="67" t="str">
        <f t="shared" si="131"/>
        <v/>
      </c>
      <c r="AB129" s="219" t="str">
        <f t="shared" si="132"/>
        <v/>
      </c>
      <c r="AC129" s="67" t="str">
        <f t="shared" si="133"/>
        <v/>
      </c>
      <c r="AD129" s="67" t="str">
        <f t="shared" si="134"/>
        <v/>
      </c>
      <c r="AE129" s="67" t="str">
        <f t="shared" si="135"/>
        <v/>
      </c>
      <c r="AF129" s="67" t="str">
        <f t="shared" si="136"/>
        <v/>
      </c>
      <c r="AG129" s="67" t="str">
        <f t="shared" si="137"/>
        <v/>
      </c>
    </row>
    <row r="130" spans="1:33" s="66" customFormat="1">
      <c r="A130" s="18" t="str">
        <f t="shared" si="138"/>
        <v/>
      </c>
      <c r="B130" s="211"/>
      <c r="C130" s="57"/>
      <c r="D130" s="43">
        <f t="shared" si="140"/>
        <v>0</v>
      </c>
      <c r="E130" s="58" t="str">
        <f t="shared" si="141"/>
        <v/>
      </c>
      <c r="F130" s="89" t="str">
        <f t="shared" si="142"/>
        <v/>
      </c>
      <c r="G130" s="184"/>
      <c r="H130" s="185"/>
      <c r="I130" s="185"/>
      <c r="J130" s="41"/>
      <c r="K130" s="38">
        <f>IF(I130="",0,VLOOKUP(I130,'LISTA DE PRECIOS'!A:F,IF(R130="CORO",4,5),FALSE))</f>
        <v>0</v>
      </c>
      <c r="L130" s="199">
        <f t="shared" si="125"/>
        <v>0</v>
      </c>
      <c r="M130" s="209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0</v>
      </c>
      <c r="N130" s="12">
        <f t="shared" si="126"/>
        <v>0</v>
      </c>
      <c r="O130" s="42">
        <f t="shared" si="127"/>
        <v>0</v>
      </c>
      <c r="P130" s="69"/>
      <c r="R130" s="67" t="str">
        <f>IF(H130="","",VLOOKUP(H130,'DATOS CLIENTES'!B:F,5,FALSE))</f>
        <v/>
      </c>
      <c r="S130" s="67" t="e">
        <f t="shared" si="128"/>
        <v>#REF!</v>
      </c>
      <c r="U130" s="68">
        <f t="shared" si="115"/>
        <v>0</v>
      </c>
      <c r="V130" s="68">
        <f t="shared" si="116"/>
        <v>0</v>
      </c>
      <c r="X130" s="67" t="e">
        <f t="shared" si="122"/>
        <v>#N/A</v>
      </c>
      <c r="Y130" s="67" t="str">
        <f t="shared" si="129"/>
        <v/>
      </c>
      <c r="Z130" s="67" t="str">
        <f t="shared" si="130"/>
        <v/>
      </c>
      <c r="AA130" s="67" t="str">
        <f t="shared" si="131"/>
        <v/>
      </c>
      <c r="AB130" s="219" t="str">
        <f t="shared" si="132"/>
        <v/>
      </c>
      <c r="AC130" s="67" t="str">
        <f t="shared" si="133"/>
        <v/>
      </c>
      <c r="AD130" s="67" t="str">
        <f t="shared" si="134"/>
        <v/>
      </c>
      <c r="AE130" s="67" t="str">
        <f t="shared" si="135"/>
        <v/>
      </c>
      <c r="AF130" s="67" t="str">
        <f t="shared" si="136"/>
        <v/>
      </c>
      <c r="AG130" s="67" t="str">
        <f t="shared" si="137"/>
        <v/>
      </c>
    </row>
    <row r="131" spans="1:33" s="66" customFormat="1">
      <c r="A131" s="18" t="str">
        <f t="shared" si="138"/>
        <v/>
      </c>
      <c r="B131" s="211"/>
      <c r="C131" s="57"/>
      <c r="D131" s="43">
        <f t="shared" si="140"/>
        <v>0</v>
      </c>
      <c r="E131" s="58" t="str">
        <f t="shared" si="141"/>
        <v/>
      </c>
      <c r="F131" s="89" t="str">
        <f t="shared" si="142"/>
        <v/>
      </c>
      <c r="G131" s="184"/>
      <c r="H131" s="196"/>
      <c r="I131" s="185"/>
      <c r="J131" s="41"/>
      <c r="K131" s="38">
        <f>IF(I131="",0,VLOOKUP(I131,'LISTA DE PRECIOS'!A:F,IF(R131="CORO",4,5),FALSE))</f>
        <v>0</v>
      </c>
      <c r="L131" s="199">
        <f t="shared" si="125"/>
        <v>0</v>
      </c>
      <c r="M131" s="209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0</v>
      </c>
      <c r="N131" s="12">
        <f t="shared" si="126"/>
        <v>0</v>
      </c>
      <c r="O131" s="42">
        <f t="shared" si="127"/>
        <v>0</v>
      </c>
      <c r="P131" s="69"/>
      <c r="R131" s="67" t="str">
        <f>IF(H131="","",VLOOKUP(H131,'DATOS CLIENTES'!B:F,5,FALSE))</f>
        <v/>
      </c>
      <c r="S131" s="67" t="e">
        <f t="shared" si="128"/>
        <v>#REF!</v>
      </c>
      <c r="U131" s="68">
        <f t="shared" si="115"/>
        <v>0</v>
      </c>
      <c r="V131" s="68">
        <f t="shared" si="116"/>
        <v>0</v>
      </c>
      <c r="X131" s="67" t="e">
        <f t="shared" si="122"/>
        <v>#N/A</v>
      </c>
      <c r="Y131" s="67" t="str">
        <f t="shared" si="129"/>
        <v/>
      </c>
      <c r="Z131" s="67" t="str">
        <f t="shared" si="130"/>
        <v/>
      </c>
      <c r="AA131" s="67" t="str">
        <f t="shared" si="131"/>
        <v/>
      </c>
      <c r="AB131" s="219" t="str">
        <f t="shared" si="132"/>
        <v/>
      </c>
      <c r="AC131" s="67" t="str">
        <f t="shared" si="133"/>
        <v/>
      </c>
      <c r="AD131" s="67" t="str">
        <f t="shared" si="134"/>
        <v/>
      </c>
      <c r="AE131" s="67" t="str">
        <f t="shared" si="135"/>
        <v/>
      </c>
      <c r="AF131" s="67" t="str">
        <f t="shared" si="136"/>
        <v/>
      </c>
      <c r="AG131" s="67" t="str">
        <f t="shared" si="137"/>
        <v/>
      </c>
    </row>
    <row r="132" spans="1:33" s="66" customFormat="1">
      <c r="A132" s="18" t="str">
        <f t="shared" si="138"/>
        <v/>
      </c>
      <c r="B132" s="211"/>
      <c r="C132" s="57"/>
      <c r="D132" s="43">
        <f t="shared" si="140"/>
        <v>0</v>
      </c>
      <c r="E132" s="58" t="str">
        <f t="shared" si="141"/>
        <v/>
      </c>
      <c r="F132" s="89" t="str">
        <f t="shared" si="142"/>
        <v/>
      </c>
      <c r="G132" s="184"/>
      <c r="H132" s="196"/>
      <c r="I132" s="185"/>
      <c r="J132" s="41"/>
      <c r="K132" s="38">
        <f>IF(I132="",0,VLOOKUP(I132,'LISTA DE PRECIOS'!A:F,IF(R132="CORO",4,5),FALSE))</f>
        <v>0</v>
      </c>
      <c r="L132" s="199">
        <f t="shared" si="125"/>
        <v>0</v>
      </c>
      <c r="M132" s="209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0</v>
      </c>
      <c r="N132" s="12">
        <f t="shared" si="126"/>
        <v>0</v>
      </c>
      <c r="O132" s="42">
        <f t="shared" si="127"/>
        <v>0</v>
      </c>
      <c r="P132" s="69"/>
      <c r="R132" s="67" t="str">
        <f>IF(H132="","",VLOOKUP(H132,'DATOS CLIENTES'!B:F,5,FALSE))</f>
        <v/>
      </c>
      <c r="S132" s="67" t="e">
        <f t="shared" si="128"/>
        <v>#REF!</v>
      </c>
      <c r="U132" s="68">
        <f t="shared" si="115"/>
        <v>0</v>
      </c>
      <c r="V132" s="68">
        <f t="shared" si="116"/>
        <v>0</v>
      </c>
      <c r="X132" s="67" t="e">
        <f t="shared" si="122"/>
        <v>#N/A</v>
      </c>
      <c r="Y132" s="67" t="str">
        <f t="shared" si="129"/>
        <v/>
      </c>
      <c r="Z132" s="67" t="str">
        <f t="shared" si="130"/>
        <v/>
      </c>
      <c r="AA132" s="67" t="str">
        <f t="shared" si="131"/>
        <v/>
      </c>
      <c r="AB132" s="219" t="str">
        <f t="shared" si="132"/>
        <v/>
      </c>
      <c r="AC132" s="67" t="str">
        <f t="shared" si="133"/>
        <v/>
      </c>
      <c r="AD132" s="67" t="str">
        <f t="shared" si="134"/>
        <v/>
      </c>
      <c r="AE132" s="67" t="str">
        <f t="shared" si="135"/>
        <v/>
      </c>
      <c r="AF132" s="67" t="str">
        <f t="shared" si="136"/>
        <v/>
      </c>
      <c r="AG132" s="67" t="str">
        <f t="shared" si="137"/>
        <v/>
      </c>
    </row>
    <row r="133" spans="1:33" s="66" customFormat="1">
      <c r="A133" s="18" t="str">
        <f t="shared" si="138"/>
        <v/>
      </c>
      <c r="B133" s="211"/>
      <c r="C133" s="57"/>
      <c r="D133" s="43">
        <f t="shared" si="140"/>
        <v>0</v>
      </c>
      <c r="E133" s="58" t="str">
        <f t="shared" si="141"/>
        <v/>
      </c>
      <c r="F133" s="89" t="str">
        <f t="shared" si="142"/>
        <v/>
      </c>
      <c r="G133" s="184"/>
      <c r="H133" s="196"/>
      <c r="I133" s="185"/>
      <c r="J133" s="41"/>
      <c r="K133" s="38">
        <f>IF(I133="",0,VLOOKUP(I133,'LISTA DE PRECIOS'!A:F,IF(R133="CORO",4,5),FALSE))</f>
        <v>0</v>
      </c>
      <c r="L133" s="199">
        <f t="shared" si="125"/>
        <v>0</v>
      </c>
      <c r="M133" s="209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0</v>
      </c>
      <c r="N133" s="12">
        <f t="shared" si="126"/>
        <v>0</v>
      </c>
      <c r="O133" s="42">
        <f t="shared" si="127"/>
        <v>0</v>
      </c>
      <c r="P133" s="69"/>
      <c r="R133" s="67" t="str">
        <f>IF(H133="","",VLOOKUP(H133,'DATOS CLIENTES'!B:F,5,FALSE))</f>
        <v/>
      </c>
      <c r="S133" s="67" t="e">
        <f t="shared" si="128"/>
        <v>#REF!</v>
      </c>
      <c r="U133" s="68">
        <f t="shared" si="115"/>
        <v>0</v>
      </c>
      <c r="V133" s="68">
        <f t="shared" si="116"/>
        <v>0</v>
      </c>
      <c r="X133" s="67" t="e">
        <f t="shared" si="122"/>
        <v>#N/A</v>
      </c>
      <c r="Y133" s="67" t="str">
        <f t="shared" si="129"/>
        <v/>
      </c>
      <c r="Z133" s="67" t="str">
        <f t="shared" si="130"/>
        <v/>
      </c>
      <c r="AA133" s="67" t="str">
        <f t="shared" si="131"/>
        <v/>
      </c>
      <c r="AB133" s="219" t="str">
        <f t="shared" si="132"/>
        <v/>
      </c>
      <c r="AC133" s="67" t="str">
        <f t="shared" si="133"/>
        <v/>
      </c>
      <c r="AD133" s="67" t="str">
        <f t="shared" si="134"/>
        <v/>
      </c>
      <c r="AE133" s="67" t="str">
        <f t="shared" si="135"/>
        <v/>
      </c>
      <c r="AF133" s="67" t="str">
        <f t="shared" si="136"/>
        <v/>
      </c>
      <c r="AG133" s="67" t="str">
        <f t="shared" si="137"/>
        <v/>
      </c>
    </row>
    <row r="134" spans="1:33" s="66" customFormat="1">
      <c r="A134" s="18" t="str">
        <f t="shared" si="138"/>
        <v/>
      </c>
      <c r="B134" s="211"/>
      <c r="C134" s="57"/>
      <c r="D134" s="43">
        <f t="shared" si="140"/>
        <v>0</v>
      </c>
      <c r="E134" s="58" t="str">
        <f t="shared" si="141"/>
        <v/>
      </c>
      <c r="F134" s="89" t="str">
        <f t="shared" si="142"/>
        <v/>
      </c>
      <c r="G134" s="184"/>
      <c r="H134" s="196"/>
      <c r="I134" s="185"/>
      <c r="J134" s="41"/>
      <c r="K134" s="38">
        <f>IF(I134="",0,VLOOKUP(I134,'LISTA DE PRECIOS'!A:F,IF(R134="CORO",4,5),FALSE))</f>
        <v>0</v>
      </c>
      <c r="L134" s="199">
        <f t="shared" si="125"/>
        <v>0</v>
      </c>
      <c r="M134" s="209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0</v>
      </c>
      <c r="N134" s="12">
        <f t="shared" si="126"/>
        <v>0</v>
      </c>
      <c r="O134" s="42">
        <f t="shared" si="127"/>
        <v>0</v>
      </c>
      <c r="P134" s="69"/>
      <c r="R134" s="67" t="str">
        <f>IF(H134="","",VLOOKUP(H134,'DATOS CLIENTES'!B:F,5,FALSE))</f>
        <v/>
      </c>
      <c r="S134" s="67" t="e">
        <f t="shared" si="128"/>
        <v>#REF!</v>
      </c>
      <c r="U134" s="68">
        <f t="shared" si="115"/>
        <v>0</v>
      </c>
      <c r="V134" s="68">
        <f t="shared" si="116"/>
        <v>0</v>
      </c>
      <c r="X134" s="67" t="e">
        <f t="shared" si="122"/>
        <v>#N/A</v>
      </c>
      <c r="Y134" s="67" t="str">
        <f t="shared" si="129"/>
        <v/>
      </c>
      <c r="Z134" s="67" t="str">
        <f t="shared" si="130"/>
        <v/>
      </c>
      <c r="AA134" s="67" t="str">
        <f t="shared" si="131"/>
        <v/>
      </c>
      <c r="AB134" s="219" t="str">
        <f t="shared" si="132"/>
        <v/>
      </c>
      <c r="AC134" s="67" t="str">
        <f t="shared" si="133"/>
        <v/>
      </c>
      <c r="AD134" s="67" t="str">
        <f t="shared" si="134"/>
        <v/>
      </c>
      <c r="AE134" s="67" t="str">
        <f t="shared" si="135"/>
        <v/>
      </c>
      <c r="AF134" s="67" t="str">
        <f t="shared" si="136"/>
        <v/>
      </c>
      <c r="AG134" s="67" t="str">
        <f t="shared" si="137"/>
        <v/>
      </c>
    </row>
    <row r="135" spans="1:33" s="66" customFormat="1">
      <c r="A135" s="18" t="str">
        <f t="shared" ref="A135:A197" si="143">CONCATENATE(E135,F135)</f>
        <v/>
      </c>
      <c r="B135" s="211"/>
      <c r="C135" s="57"/>
      <c r="D135" s="43">
        <f t="shared" ref="D135:D198" si="144">IF(OR(H135="",AND(H135=H134,G135=G134)),D134,D134+1)</f>
        <v>0</v>
      </c>
      <c r="E135" s="58" t="str">
        <f t="shared" ref="E135:E198" si="145">IF(F135="","",IF(OR(F135=0,F135=F134),E134+1,1))</f>
        <v/>
      </c>
      <c r="F135" s="89" t="str">
        <f t="shared" ref="F135:F198" si="146">IF(G135="","",CONCATENATE("SFC-",IF(LEN(MONTH($G$4))=1,CONCATENATE("0",MONTH($G$4)),MONTH($G$4)),RIGHT(YEAR($G$4),2),"-",S135))</f>
        <v/>
      </c>
      <c r="G135" s="184"/>
      <c r="H135" s="196"/>
      <c r="I135" s="185"/>
      <c r="J135" s="41"/>
      <c r="K135" s="38">
        <f>IF(I135="",0,VLOOKUP(I135,'LISTA DE PRECIOS'!A:F,IF(R135="CORO",4,5),FALSE))</f>
        <v>0</v>
      </c>
      <c r="L135" s="199">
        <f t="shared" ref="L135:L198" si="147">ROUND(K135*J135,2)</f>
        <v>0</v>
      </c>
      <c r="M135" s="209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0</v>
      </c>
      <c r="N135" s="12">
        <f t="shared" ref="N135:N198" si="148">M135*K135</f>
        <v>0</v>
      </c>
      <c r="O135" s="42">
        <f t="shared" ref="O135:O198" si="149">N135*J135</f>
        <v>0</v>
      </c>
      <c r="P135" s="69"/>
      <c r="R135" s="67" t="str">
        <f>IF(H135="","",VLOOKUP(H135,'DATOS CLIENTES'!B:F,5,FALSE))</f>
        <v/>
      </c>
      <c r="S135" s="67" t="e">
        <f t="shared" si="128"/>
        <v>#REF!</v>
      </c>
      <c r="U135" s="68">
        <f t="shared" ref="U135:U198" si="150">IF(R135="PUNTO FIJO",0,SUMIF($F$7:$F$250,F135,$L$7:$L$250))</f>
        <v>0</v>
      </c>
      <c r="V135" s="68">
        <f t="shared" ref="V135:V198" si="151">IF(R135="PUNTO FIJO",0,SUMIF($F$7:$F$250,F135,$O$7:$O$250))</f>
        <v>0</v>
      </c>
      <c r="X135" s="67" t="e">
        <f t="shared" si="122"/>
        <v>#N/A</v>
      </c>
      <c r="Y135" s="67" t="str">
        <f t="shared" si="129"/>
        <v/>
      </c>
      <c r="Z135" s="67" t="str">
        <f t="shared" si="130"/>
        <v/>
      </c>
      <c r="AA135" s="67" t="str">
        <f t="shared" si="131"/>
        <v/>
      </c>
      <c r="AB135" s="219" t="str">
        <f t="shared" si="132"/>
        <v/>
      </c>
      <c r="AC135" s="67" t="str">
        <f t="shared" si="133"/>
        <v/>
      </c>
      <c r="AD135" s="67" t="str">
        <f t="shared" si="134"/>
        <v/>
      </c>
      <c r="AE135" s="67" t="str">
        <f t="shared" si="135"/>
        <v/>
      </c>
      <c r="AF135" s="67" t="str">
        <f t="shared" si="136"/>
        <v/>
      </c>
      <c r="AG135" s="67" t="str">
        <f t="shared" si="137"/>
        <v/>
      </c>
    </row>
    <row r="136" spans="1:33" s="66" customFormat="1">
      <c r="A136" s="18" t="str">
        <f t="shared" si="143"/>
        <v/>
      </c>
      <c r="B136" s="211"/>
      <c r="C136" s="57"/>
      <c r="D136" s="43">
        <f t="shared" si="144"/>
        <v>0</v>
      </c>
      <c r="E136" s="58" t="str">
        <f t="shared" si="145"/>
        <v/>
      </c>
      <c r="F136" s="89" t="str">
        <f t="shared" si="146"/>
        <v/>
      </c>
      <c r="G136" s="184"/>
      <c r="H136" s="196"/>
      <c r="I136" s="185"/>
      <c r="J136" s="41"/>
      <c r="K136" s="38">
        <f>IF(I136="",0,VLOOKUP(I136,'LISTA DE PRECIOS'!A:F,IF(R136="CORO",4,5),FALSE))</f>
        <v>0</v>
      </c>
      <c r="L136" s="199">
        <f t="shared" si="147"/>
        <v>0</v>
      </c>
      <c r="M136" s="209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0</v>
      </c>
      <c r="N136" s="12">
        <f t="shared" si="148"/>
        <v>0</v>
      </c>
      <c r="O136" s="42">
        <f t="shared" si="149"/>
        <v>0</v>
      </c>
      <c r="P136" s="69"/>
      <c r="R136" s="67" t="str">
        <f>IF(H136="","",VLOOKUP(H136,'DATOS CLIENTES'!B:F,5,FALSE))</f>
        <v/>
      </c>
      <c r="S136" s="67" t="e">
        <f t="shared" si="128"/>
        <v>#REF!</v>
      </c>
      <c r="U136" s="68">
        <f t="shared" si="150"/>
        <v>0</v>
      </c>
      <c r="V136" s="68">
        <f t="shared" si="151"/>
        <v>0</v>
      </c>
      <c r="X136" s="67" t="e">
        <f t="shared" ref="X136:X199" si="152">IF(Y136="",X135,X135+1)</f>
        <v>#N/A</v>
      </c>
      <c r="Y136" s="67" t="str">
        <f t="shared" si="129"/>
        <v/>
      </c>
      <c r="Z136" s="67" t="str">
        <f t="shared" si="130"/>
        <v/>
      </c>
      <c r="AA136" s="67" t="str">
        <f t="shared" si="131"/>
        <v/>
      </c>
      <c r="AB136" s="219" t="str">
        <f t="shared" si="132"/>
        <v/>
      </c>
      <c r="AC136" s="67" t="str">
        <f t="shared" si="133"/>
        <v/>
      </c>
      <c r="AD136" s="67" t="str">
        <f t="shared" si="134"/>
        <v/>
      </c>
      <c r="AE136" s="67" t="str">
        <f t="shared" si="135"/>
        <v/>
      </c>
      <c r="AF136" s="67" t="str">
        <f t="shared" si="136"/>
        <v/>
      </c>
      <c r="AG136" s="67" t="str">
        <f t="shared" si="137"/>
        <v/>
      </c>
    </row>
    <row r="137" spans="1:33" s="66" customFormat="1">
      <c r="A137" s="18" t="str">
        <f t="shared" si="143"/>
        <v/>
      </c>
      <c r="B137" s="211"/>
      <c r="C137" s="57"/>
      <c r="D137" s="43">
        <f t="shared" si="144"/>
        <v>0</v>
      </c>
      <c r="E137" s="58" t="str">
        <f t="shared" si="145"/>
        <v/>
      </c>
      <c r="F137" s="89" t="str">
        <f t="shared" si="146"/>
        <v/>
      </c>
      <c r="G137" s="184"/>
      <c r="H137" s="196"/>
      <c r="I137" s="185"/>
      <c r="J137" s="41"/>
      <c r="K137" s="38">
        <f>IF(I137="",0,VLOOKUP(I137,'LISTA DE PRECIOS'!A:F,IF(R137="CORO",4,5),FALSE))</f>
        <v>0</v>
      </c>
      <c r="L137" s="199">
        <f t="shared" si="147"/>
        <v>0</v>
      </c>
      <c r="M137" s="209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0</v>
      </c>
      <c r="N137" s="12">
        <f t="shared" si="148"/>
        <v>0</v>
      </c>
      <c r="O137" s="42">
        <f t="shared" si="149"/>
        <v>0</v>
      </c>
      <c r="P137" s="69"/>
      <c r="R137" s="67" t="str">
        <f>IF(H137="","",VLOOKUP(H137,'DATOS CLIENTES'!B:F,5,FALSE))</f>
        <v/>
      </c>
      <c r="S137" s="67" t="e">
        <f t="shared" ref="S137:S200" si="153">IF(B137="CHS",S136,IF(D137=D136,S136,IF(S136+1-1&lt;9,CONCATENATE("00",S136+1),IF(S136+1-1&lt;99,CONCATENATE("0",S136+1),S136+1))))</f>
        <v>#REF!</v>
      </c>
      <c r="U137" s="68">
        <f t="shared" si="150"/>
        <v>0</v>
      </c>
      <c r="V137" s="68">
        <f t="shared" si="151"/>
        <v>0</v>
      </c>
      <c r="X137" s="67" t="e">
        <f t="shared" si="152"/>
        <v>#N/A</v>
      </c>
      <c r="Y137" s="67" t="str">
        <f t="shared" ref="Y137:Y200" si="154">IF(AND($R137&lt;&gt;"PUNTO FIJO",$R137&lt;&gt;""),B137,"")</f>
        <v/>
      </c>
      <c r="Z137" s="67" t="str">
        <f t="shared" ref="Z137:Z200" si="155">IF(AND($R137&lt;&gt;"PUNTO FIJO",$R137&lt;&gt;""),C137,"")</f>
        <v/>
      </c>
      <c r="AA137" s="67" t="str">
        <f t="shared" ref="AA137:AA200" si="156">IF(AND($R137&lt;&gt;"PUNTO FIJO",$R137&lt;&gt;""),F137,"")</f>
        <v/>
      </c>
      <c r="AB137" s="219" t="str">
        <f t="shared" ref="AB137:AB200" si="157">IF(AND($R137&lt;&gt;"PUNTO FIJO",$R137&lt;&gt;""),G137,"")</f>
        <v/>
      </c>
      <c r="AC137" s="67" t="str">
        <f t="shared" ref="AC137:AC200" si="158">IF(AND($R137&lt;&gt;"PUNTO FIJO",$R137&lt;&gt;""),H137,"")</f>
        <v/>
      </c>
      <c r="AD137" s="67" t="str">
        <f t="shared" ref="AD137:AD200" si="159">IF(AND($R137&lt;&gt;"PUNTO FIJO",$R137&lt;&gt;""),I137,"")</f>
        <v/>
      </c>
      <c r="AE137" s="67" t="str">
        <f t="shared" ref="AE137:AE200" si="160">IF(AND($R137&lt;&gt;"PUNTO FIJO",$R137&lt;&gt;""),J137,"")</f>
        <v/>
      </c>
      <c r="AF137" s="67" t="str">
        <f t="shared" ref="AF137:AF200" si="161">IF(AND($R137&lt;&gt;"PUNTO FIJO",$R137&lt;&gt;""),K137,"")</f>
        <v/>
      </c>
      <c r="AG137" s="67" t="str">
        <f t="shared" ref="AG137:AG200" si="162">IF(AND($R137&lt;&gt;"PUNTO FIJO",$R137&lt;&gt;""),M137,"")</f>
        <v/>
      </c>
    </row>
    <row r="138" spans="1:33" s="66" customFormat="1">
      <c r="A138" s="18" t="str">
        <f t="shared" si="143"/>
        <v/>
      </c>
      <c r="B138" s="211"/>
      <c r="C138" s="57"/>
      <c r="D138" s="43">
        <f t="shared" si="144"/>
        <v>0</v>
      </c>
      <c r="E138" s="58" t="str">
        <f t="shared" si="145"/>
        <v/>
      </c>
      <c r="F138" s="89" t="str">
        <f t="shared" si="146"/>
        <v/>
      </c>
      <c r="G138" s="184"/>
      <c r="H138" s="196"/>
      <c r="I138" s="185"/>
      <c r="J138" s="41"/>
      <c r="K138" s="38">
        <f>IF(I138="",0,VLOOKUP(I138,'LISTA DE PRECIOS'!A:F,IF(R138="CORO",4,5),FALSE))</f>
        <v>0</v>
      </c>
      <c r="L138" s="199">
        <f t="shared" si="147"/>
        <v>0</v>
      </c>
      <c r="M138" s="209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0</v>
      </c>
      <c r="N138" s="12">
        <f t="shared" si="148"/>
        <v>0</v>
      </c>
      <c r="O138" s="42">
        <f t="shared" si="149"/>
        <v>0</v>
      </c>
      <c r="P138" s="69"/>
      <c r="R138" s="67" t="str">
        <f>IF(H138="","",VLOOKUP(H138,'DATOS CLIENTES'!B:F,5,FALSE))</f>
        <v/>
      </c>
      <c r="S138" s="67" t="e">
        <f t="shared" si="153"/>
        <v>#REF!</v>
      </c>
      <c r="U138" s="68">
        <f t="shared" si="150"/>
        <v>0</v>
      </c>
      <c r="V138" s="68">
        <f t="shared" si="151"/>
        <v>0</v>
      </c>
      <c r="X138" s="67" t="e">
        <f t="shared" si="152"/>
        <v>#N/A</v>
      </c>
      <c r="Y138" s="67" t="str">
        <f t="shared" si="154"/>
        <v/>
      </c>
      <c r="Z138" s="67" t="str">
        <f t="shared" si="155"/>
        <v/>
      </c>
      <c r="AA138" s="67" t="str">
        <f t="shared" si="156"/>
        <v/>
      </c>
      <c r="AB138" s="219" t="str">
        <f t="shared" si="157"/>
        <v/>
      </c>
      <c r="AC138" s="67" t="str">
        <f t="shared" si="158"/>
        <v/>
      </c>
      <c r="AD138" s="67" t="str">
        <f t="shared" si="159"/>
        <v/>
      </c>
      <c r="AE138" s="67" t="str">
        <f t="shared" si="160"/>
        <v/>
      </c>
      <c r="AF138" s="67" t="str">
        <f t="shared" si="161"/>
        <v/>
      </c>
      <c r="AG138" s="67" t="str">
        <f t="shared" si="162"/>
        <v/>
      </c>
    </row>
    <row r="139" spans="1:33" s="66" customFormat="1">
      <c r="A139" s="18" t="str">
        <f t="shared" si="143"/>
        <v/>
      </c>
      <c r="B139" s="211"/>
      <c r="C139" s="57"/>
      <c r="D139" s="43">
        <f t="shared" si="144"/>
        <v>0</v>
      </c>
      <c r="E139" s="58" t="str">
        <f t="shared" si="145"/>
        <v/>
      </c>
      <c r="F139" s="89" t="str">
        <f t="shared" si="146"/>
        <v/>
      </c>
      <c r="G139" s="184"/>
      <c r="H139" s="196"/>
      <c r="I139" s="185"/>
      <c r="J139" s="41"/>
      <c r="K139" s="38">
        <f>IF(I139="",0,VLOOKUP(I139,'LISTA DE PRECIOS'!A:F,IF(R139="CORO",4,5),FALSE))</f>
        <v>0</v>
      </c>
      <c r="L139" s="199">
        <f t="shared" si="147"/>
        <v>0</v>
      </c>
      <c r="M139" s="209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0</v>
      </c>
      <c r="N139" s="12">
        <f t="shared" si="148"/>
        <v>0</v>
      </c>
      <c r="O139" s="42">
        <f t="shared" si="149"/>
        <v>0</v>
      </c>
      <c r="P139" s="69"/>
      <c r="R139" s="67" t="str">
        <f>IF(H139="","",VLOOKUP(H139,'DATOS CLIENTES'!B:F,5,FALSE))</f>
        <v/>
      </c>
      <c r="S139" s="67" t="e">
        <f t="shared" si="153"/>
        <v>#REF!</v>
      </c>
      <c r="U139" s="68">
        <f t="shared" si="150"/>
        <v>0</v>
      </c>
      <c r="V139" s="68">
        <f t="shared" si="151"/>
        <v>0</v>
      </c>
      <c r="X139" s="67" t="e">
        <f t="shared" si="152"/>
        <v>#N/A</v>
      </c>
      <c r="Y139" s="67" t="str">
        <f t="shared" si="154"/>
        <v/>
      </c>
      <c r="Z139" s="67" t="str">
        <f t="shared" si="155"/>
        <v/>
      </c>
      <c r="AA139" s="67" t="str">
        <f t="shared" si="156"/>
        <v/>
      </c>
      <c r="AB139" s="219" t="str">
        <f t="shared" si="157"/>
        <v/>
      </c>
      <c r="AC139" s="67" t="str">
        <f t="shared" si="158"/>
        <v/>
      </c>
      <c r="AD139" s="67" t="str">
        <f t="shared" si="159"/>
        <v/>
      </c>
      <c r="AE139" s="67" t="str">
        <f t="shared" si="160"/>
        <v/>
      </c>
      <c r="AF139" s="67" t="str">
        <f t="shared" si="161"/>
        <v/>
      </c>
      <c r="AG139" s="67" t="str">
        <f t="shared" si="162"/>
        <v/>
      </c>
    </row>
    <row r="140" spans="1:33" s="66" customFormat="1">
      <c r="A140" s="18" t="str">
        <f t="shared" si="143"/>
        <v/>
      </c>
      <c r="B140" s="211"/>
      <c r="C140" s="57"/>
      <c r="D140" s="43">
        <f t="shared" si="144"/>
        <v>0</v>
      </c>
      <c r="E140" s="58" t="str">
        <f t="shared" si="145"/>
        <v/>
      </c>
      <c r="F140" s="89" t="str">
        <f t="shared" si="146"/>
        <v/>
      </c>
      <c r="G140" s="184"/>
      <c r="H140" s="196"/>
      <c r="I140" s="185"/>
      <c r="J140" s="41"/>
      <c r="K140" s="38">
        <f>IF(I140="",0,VLOOKUP(I140,'LISTA DE PRECIOS'!A:F,IF(R140="CORO",4,5),FALSE))</f>
        <v>0</v>
      </c>
      <c r="L140" s="199">
        <f t="shared" si="147"/>
        <v>0</v>
      </c>
      <c r="M140" s="209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0</v>
      </c>
      <c r="N140" s="12">
        <f t="shared" si="148"/>
        <v>0</v>
      </c>
      <c r="O140" s="42">
        <f t="shared" si="149"/>
        <v>0</v>
      </c>
      <c r="P140" s="69"/>
      <c r="R140" s="67" t="str">
        <f>IF(H140="","",VLOOKUP(H140,'DATOS CLIENTES'!B:F,5,FALSE))</f>
        <v/>
      </c>
      <c r="S140" s="67" t="e">
        <f t="shared" si="153"/>
        <v>#REF!</v>
      </c>
      <c r="U140" s="68">
        <f t="shared" si="150"/>
        <v>0</v>
      </c>
      <c r="V140" s="68">
        <f t="shared" si="151"/>
        <v>0</v>
      </c>
      <c r="X140" s="67" t="e">
        <f t="shared" si="152"/>
        <v>#N/A</v>
      </c>
      <c r="Y140" s="67" t="str">
        <f t="shared" si="154"/>
        <v/>
      </c>
      <c r="Z140" s="67" t="str">
        <f t="shared" si="155"/>
        <v/>
      </c>
      <c r="AA140" s="67" t="str">
        <f t="shared" si="156"/>
        <v/>
      </c>
      <c r="AB140" s="219" t="str">
        <f t="shared" si="157"/>
        <v/>
      </c>
      <c r="AC140" s="67" t="str">
        <f t="shared" si="158"/>
        <v/>
      </c>
      <c r="AD140" s="67" t="str">
        <f t="shared" si="159"/>
        <v/>
      </c>
      <c r="AE140" s="67" t="str">
        <f t="shared" si="160"/>
        <v/>
      </c>
      <c r="AF140" s="67" t="str">
        <f t="shared" si="161"/>
        <v/>
      </c>
      <c r="AG140" s="67" t="str">
        <f t="shared" si="162"/>
        <v/>
      </c>
    </row>
    <row r="141" spans="1:33" s="66" customFormat="1">
      <c r="A141" s="18" t="str">
        <f t="shared" si="143"/>
        <v/>
      </c>
      <c r="B141" s="211"/>
      <c r="C141" s="57"/>
      <c r="D141" s="43">
        <f t="shared" si="144"/>
        <v>0</v>
      </c>
      <c r="E141" s="58" t="str">
        <f t="shared" si="145"/>
        <v/>
      </c>
      <c r="F141" s="89" t="str">
        <f t="shared" si="146"/>
        <v/>
      </c>
      <c r="G141" s="184"/>
      <c r="H141" s="196"/>
      <c r="I141" s="185"/>
      <c r="J141" s="41"/>
      <c r="K141" s="38">
        <f>IF(I141="",0,VLOOKUP(I141,'LISTA DE PRECIOS'!A:F,IF(R141="CORO",4,5),FALSE))</f>
        <v>0</v>
      </c>
      <c r="L141" s="199">
        <f t="shared" si="147"/>
        <v>0</v>
      </c>
      <c r="M141" s="209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0</v>
      </c>
      <c r="N141" s="12">
        <f t="shared" si="148"/>
        <v>0</v>
      </c>
      <c r="O141" s="42">
        <f t="shared" si="149"/>
        <v>0</v>
      </c>
      <c r="P141" s="69"/>
      <c r="R141" s="67" t="str">
        <f>IF(H141="","",VLOOKUP(H141,'DATOS CLIENTES'!B:F,5,FALSE))</f>
        <v/>
      </c>
      <c r="S141" s="67" t="e">
        <f t="shared" si="153"/>
        <v>#REF!</v>
      </c>
      <c r="U141" s="68">
        <f t="shared" si="150"/>
        <v>0</v>
      </c>
      <c r="V141" s="68">
        <f t="shared" si="151"/>
        <v>0</v>
      </c>
      <c r="X141" s="67" t="e">
        <f t="shared" si="152"/>
        <v>#N/A</v>
      </c>
      <c r="Y141" s="67" t="str">
        <f t="shared" si="154"/>
        <v/>
      </c>
      <c r="Z141" s="67" t="str">
        <f t="shared" si="155"/>
        <v/>
      </c>
      <c r="AA141" s="67" t="str">
        <f t="shared" si="156"/>
        <v/>
      </c>
      <c r="AB141" s="219" t="str">
        <f t="shared" si="157"/>
        <v/>
      </c>
      <c r="AC141" s="67" t="str">
        <f t="shared" si="158"/>
        <v/>
      </c>
      <c r="AD141" s="67" t="str">
        <f t="shared" si="159"/>
        <v/>
      </c>
      <c r="AE141" s="67" t="str">
        <f t="shared" si="160"/>
        <v/>
      </c>
      <c r="AF141" s="67" t="str">
        <f t="shared" si="161"/>
        <v/>
      </c>
      <c r="AG141" s="67" t="str">
        <f t="shared" si="162"/>
        <v/>
      </c>
    </row>
    <row r="142" spans="1:33" s="66" customFormat="1">
      <c r="A142" s="18" t="str">
        <f t="shared" si="143"/>
        <v/>
      </c>
      <c r="B142" s="211"/>
      <c r="C142" s="57"/>
      <c r="D142" s="43">
        <f t="shared" si="144"/>
        <v>0</v>
      </c>
      <c r="E142" s="58" t="str">
        <f t="shared" si="145"/>
        <v/>
      </c>
      <c r="F142" s="89" t="str">
        <f t="shared" si="146"/>
        <v/>
      </c>
      <c r="G142" s="184"/>
      <c r="H142" s="196"/>
      <c r="I142" s="185"/>
      <c r="J142" s="41"/>
      <c r="K142" s="38">
        <f>IF(I142="",0,VLOOKUP(I142,'LISTA DE PRECIOS'!A:F,IF(R142="CORO",4,5),FALSE))</f>
        <v>0</v>
      </c>
      <c r="L142" s="199">
        <f t="shared" si="147"/>
        <v>0</v>
      </c>
      <c r="M142" s="209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0</v>
      </c>
      <c r="N142" s="12">
        <f t="shared" si="148"/>
        <v>0</v>
      </c>
      <c r="O142" s="42">
        <f t="shared" si="149"/>
        <v>0</v>
      </c>
      <c r="P142" s="69"/>
      <c r="R142" s="67" t="str">
        <f>IF(H142="","",VLOOKUP(H142,'DATOS CLIENTES'!B:F,5,FALSE))</f>
        <v/>
      </c>
      <c r="S142" s="67" t="e">
        <f t="shared" si="153"/>
        <v>#REF!</v>
      </c>
      <c r="U142" s="68">
        <f t="shared" si="150"/>
        <v>0</v>
      </c>
      <c r="V142" s="68">
        <f t="shared" si="151"/>
        <v>0</v>
      </c>
      <c r="X142" s="67" t="e">
        <f t="shared" si="152"/>
        <v>#N/A</v>
      </c>
      <c r="Y142" s="67" t="str">
        <f t="shared" si="154"/>
        <v/>
      </c>
      <c r="Z142" s="67" t="str">
        <f t="shared" si="155"/>
        <v/>
      </c>
      <c r="AA142" s="67" t="str">
        <f t="shared" si="156"/>
        <v/>
      </c>
      <c r="AB142" s="219" t="str">
        <f t="shared" si="157"/>
        <v/>
      </c>
      <c r="AC142" s="67" t="str">
        <f t="shared" si="158"/>
        <v/>
      </c>
      <c r="AD142" s="67" t="str">
        <f t="shared" si="159"/>
        <v/>
      </c>
      <c r="AE142" s="67" t="str">
        <f t="shared" si="160"/>
        <v/>
      </c>
      <c r="AF142" s="67" t="str">
        <f t="shared" si="161"/>
        <v/>
      </c>
      <c r="AG142" s="67" t="str">
        <f t="shared" si="162"/>
        <v/>
      </c>
    </row>
    <row r="143" spans="1:33" s="66" customFormat="1">
      <c r="A143" s="18" t="str">
        <f t="shared" si="143"/>
        <v/>
      </c>
      <c r="B143" s="211"/>
      <c r="C143" s="57"/>
      <c r="D143" s="43">
        <f t="shared" si="144"/>
        <v>0</v>
      </c>
      <c r="E143" s="58" t="str">
        <f t="shared" si="145"/>
        <v/>
      </c>
      <c r="F143" s="89" t="str">
        <f t="shared" si="146"/>
        <v/>
      </c>
      <c r="G143" s="184"/>
      <c r="H143" s="196"/>
      <c r="I143" s="185"/>
      <c r="J143" s="41"/>
      <c r="K143" s="38">
        <f>IF(I143="",0,VLOOKUP(I143,'LISTA DE PRECIOS'!A:F,IF(R143="CORO",4,5),FALSE))</f>
        <v>0</v>
      </c>
      <c r="L143" s="199">
        <f t="shared" si="147"/>
        <v>0</v>
      </c>
      <c r="M143" s="209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0</v>
      </c>
      <c r="N143" s="12">
        <f t="shared" si="148"/>
        <v>0</v>
      </c>
      <c r="O143" s="42">
        <f t="shared" si="149"/>
        <v>0</v>
      </c>
      <c r="P143" s="69"/>
      <c r="R143" s="67" t="str">
        <f>IF(H143="","",VLOOKUP(H143,'DATOS CLIENTES'!B:F,5,FALSE))</f>
        <v/>
      </c>
      <c r="S143" s="67" t="e">
        <f t="shared" si="153"/>
        <v>#REF!</v>
      </c>
      <c r="U143" s="68">
        <f t="shared" si="150"/>
        <v>0</v>
      </c>
      <c r="V143" s="68">
        <f t="shared" si="151"/>
        <v>0</v>
      </c>
      <c r="X143" s="67" t="e">
        <f t="shared" si="152"/>
        <v>#N/A</v>
      </c>
      <c r="Y143" s="67" t="str">
        <f t="shared" si="154"/>
        <v/>
      </c>
      <c r="Z143" s="67" t="str">
        <f t="shared" si="155"/>
        <v/>
      </c>
      <c r="AA143" s="67" t="str">
        <f t="shared" si="156"/>
        <v/>
      </c>
      <c r="AB143" s="219" t="str">
        <f t="shared" si="157"/>
        <v/>
      </c>
      <c r="AC143" s="67" t="str">
        <f t="shared" si="158"/>
        <v/>
      </c>
      <c r="AD143" s="67" t="str">
        <f t="shared" si="159"/>
        <v/>
      </c>
      <c r="AE143" s="67" t="str">
        <f t="shared" si="160"/>
        <v/>
      </c>
      <c r="AF143" s="67" t="str">
        <f t="shared" si="161"/>
        <v/>
      </c>
      <c r="AG143" s="67" t="str">
        <f t="shared" si="162"/>
        <v/>
      </c>
    </row>
    <row r="144" spans="1:33" s="66" customFormat="1">
      <c r="A144" s="18" t="str">
        <f t="shared" si="143"/>
        <v/>
      </c>
      <c r="B144" s="211"/>
      <c r="C144" s="57"/>
      <c r="D144" s="43">
        <f t="shared" si="144"/>
        <v>0</v>
      </c>
      <c r="E144" s="58" t="str">
        <f t="shared" si="145"/>
        <v/>
      </c>
      <c r="F144" s="89" t="str">
        <f t="shared" si="146"/>
        <v/>
      </c>
      <c r="G144" s="207"/>
      <c r="H144" s="208"/>
      <c r="I144" s="208"/>
      <c r="J144" s="186"/>
      <c r="K144" s="38">
        <f>IF(I144="",0,VLOOKUP(I144,'LISTA DE PRECIOS'!A:F,IF(R144="CORO",4,5),FALSE))</f>
        <v>0</v>
      </c>
      <c r="L144" s="199">
        <f t="shared" si="147"/>
        <v>0</v>
      </c>
      <c r="M144" s="209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0</v>
      </c>
      <c r="N144" s="12">
        <f t="shared" si="148"/>
        <v>0</v>
      </c>
      <c r="O144" s="42">
        <f t="shared" si="149"/>
        <v>0</v>
      </c>
      <c r="P144" s="69"/>
      <c r="R144" s="67" t="str">
        <f>IF(H144="","",VLOOKUP(H144,'DATOS CLIENTES'!B:F,5,FALSE))</f>
        <v/>
      </c>
      <c r="S144" s="67" t="e">
        <f t="shared" si="153"/>
        <v>#REF!</v>
      </c>
      <c r="U144" s="68">
        <f t="shared" si="150"/>
        <v>0</v>
      </c>
      <c r="V144" s="68">
        <f t="shared" si="151"/>
        <v>0</v>
      </c>
      <c r="X144" s="67" t="e">
        <f t="shared" si="152"/>
        <v>#N/A</v>
      </c>
      <c r="Y144" s="67" t="str">
        <f t="shared" si="154"/>
        <v/>
      </c>
      <c r="Z144" s="67" t="str">
        <f t="shared" si="155"/>
        <v/>
      </c>
      <c r="AA144" s="67" t="str">
        <f t="shared" si="156"/>
        <v/>
      </c>
      <c r="AB144" s="219" t="str">
        <f t="shared" si="157"/>
        <v/>
      </c>
      <c r="AC144" s="67" t="str">
        <f t="shared" si="158"/>
        <v/>
      </c>
      <c r="AD144" s="67" t="str">
        <f t="shared" si="159"/>
        <v/>
      </c>
      <c r="AE144" s="67" t="str">
        <f t="shared" si="160"/>
        <v/>
      </c>
      <c r="AF144" s="67" t="str">
        <f t="shared" si="161"/>
        <v/>
      </c>
      <c r="AG144" s="67" t="str">
        <f t="shared" si="162"/>
        <v/>
      </c>
    </row>
    <row r="145" spans="1:33" s="66" customFormat="1">
      <c r="A145" s="18" t="str">
        <f t="shared" si="143"/>
        <v/>
      </c>
      <c r="B145" s="211"/>
      <c r="C145" s="57"/>
      <c r="D145" s="43">
        <f t="shared" si="144"/>
        <v>0</v>
      </c>
      <c r="E145" s="58" t="str">
        <f t="shared" si="145"/>
        <v/>
      </c>
      <c r="F145" s="89" t="str">
        <f t="shared" si="146"/>
        <v/>
      </c>
      <c r="G145" s="207"/>
      <c r="H145" s="208"/>
      <c r="I145" s="208"/>
      <c r="J145" s="186"/>
      <c r="K145" s="38">
        <f>IF(I145="",0,VLOOKUP(I145,'LISTA DE PRECIOS'!A:F,IF(R145="CORO",4,5),FALSE))</f>
        <v>0</v>
      </c>
      <c r="L145" s="199">
        <f t="shared" si="147"/>
        <v>0</v>
      </c>
      <c r="M145" s="209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0</v>
      </c>
      <c r="N145" s="12">
        <f t="shared" si="148"/>
        <v>0</v>
      </c>
      <c r="O145" s="42">
        <f t="shared" si="149"/>
        <v>0</v>
      </c>
      <c r="P145" s="69"/>
      <c r="R145" s="67" t="str">
        <f>IF(H145="","",VLOOKUP(H145,'DATOS CLIENTES'!B:F,5,FALSE))</f>
        <v/>
      </c>
      <c r="S145" s="67" t="e">
        <f t="shared" si="153"/>
        <v>#REF!</v>
      </c>
      <c r="U145" s="68">
        <f t="shared" si="150"/>
        <v>0</v>
      </c>
      <c r="V145" s="68">
        <f t="shared" si="151"/>
        <v>0</v>
      </c>
      <c r="X145" s="67" t="e">
        <f t="shared" si="152"/>
        <v>#N/A</v>
      </c>
      <c r="Y145" s="67" t="str">
        <f t="shared" si="154"/>
        <v/>
      </c>
      <c r="Z145" s="67" t="str">
        <f t="shared" si="155"/>
        <v/>
      </c>
      <c r="AA145" s="67" t="str">
        <f t="shared" si="156"/>
        <v/>
      </c>
      <c r="AB145" s="219" t="str">
        <f t="shared" si="157"/>
        <v/>
      </c>
      <c r="AC145" s="67" t="str">
        <f t="shared" si="158"/>
        <v/>
      </c>
      <c r="AD145" s="67" t="str">
        <f t="shared" si="159"/>
        <v/>
      </c>
      <c r="AE145" s="67" t="str">
        <f t="shared" si="160"/>
        <v/>
      </c>
      <c r="AF145" s="67" t="str">
        <f t="shared" si="161"/>
        <v/>
      </c>
      <c r="AG145" s="67" t="str">
        <f t="shared" si="162"/>
        <v/>
      </c>
    </row>
    <row r="146" spans="1:33" s="66" customFormat="1">
      <c r="A146" s="18" t="str">
        <f t="shared" si="143"/>
        <v/>
      </c>
      <c r="B146" s="211"/>
      <c r="C146" s="57"/>
      <c r="D146" s="43">
        <f t="shared" si="144"/>
        <v>0</v>
      </c>
      <c r="E146" s="58" t="str">
        <f t="shared" si="145"/>
        <v/>
      </c>
      <c r="F146" s="89" t="str">
        <f t="shared" si="146"/>
        <v/>
      </c>
      <c r="G146" s="207"/>
      <c r="H146" s="208"/>
      <c r="I146" s="208"/>
      <c r="J146" s="186"/>
      <c r="K146" s="38">
        <f>IF(I146="",0,VLOOKUP(I146,'LISTA DE PRECIOS'!A:F,IF(R146="CORO",4,5),FALSE))</f>
        <v>0</v>
      </c>
      <c r="L146" s="199">
        <f t="shared" si="147"/>
        <v>0</v>
      </c>
      <c r="M146" s="209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0</v>
      </c>
      <c r="N146" s="12">
        <f t="shared" si="148"/>
        <v>0</v>
      </c>
      <c r="O146" s="42">
        <f t="shared" si="149"/>
        <v>0</v>
      </c>
      <c r="P146" s="69"/>
      <c r="R146" s="67" t="str">
        <f>IF(H146="","",VLOOKUP(H146,'DATOS CLIENTES'!B:F,5,FALSE))</f>
        <v/>
      </c>
      <c r="S146" s="67" t="e">
        <f t="shared" si="153"/>
        <v>#REF!</v>
      </c>
      <c r="U146" s="68">
        <f t="shared" si="150"/>
        <v>0</v>
      </c>
      <c r="V146" s="68">
        <f t="shared" si="151"/>
        <v>0</v>
      </c>
      <c r="X146" s="67" t="e">
        <f t="shared" si="152"/>
        <v>#N/A</v>
      </c>
      <c r="Y146" s="67" t="str">
        <f t="shared" si="154"/>
        <v/>
      </c>
      <c r="Z146" s="67" t="str">
        <f t="shared" si="155"/>
        <v/>
      </c>
      <c r="AA146" s="67" t="str">
        <f t="shared" si="156"/>
        <v/>
      </c>
      <c r="AB146" s="219" t="str">
        <f t="shared" si="157"/>
        <v/>
      </c>
      <c r="AC146" s="67" t="str">
        <f t="shared" si="158"/>
        <v/>
      </c>
      <c r="AD146" s="67" t="str">
        <f t="shared" si="159"/>
        <v/>
      </c>
      <c r="AE146" s="67" t="str">
        <f t="shared" si="160"/>
        <v/>
      </c>
      <c r="AF146" s="67" t="str">
        <f t="shared" si="161"/>
        <v/>
      </c>
      <c r="AG146" s="67" t="str">
        <f t="shared" si="162"/>
        <v/>
      </c>
    </row>
    <row r="147" spans="1:33" s="66" customFormat="1">
      <c r="A147" s="18" t="str">
        <f t="shared" si="143"/>
        <v/>
      </c>
      <c r="B147" s="211"/>
      <c r="C147" s="57"/>
      <c r="D147" s="43">
        <f t="shared" si="144"/>
        <v>0</v>
      </c>
      <c r="E147" s="58" t="str">
        <f t="shared" si="145"/>
        <v/>
      </c>
      <c r="F147" s="89" t="str">
        <f t="shared" si="146"/>
        <v/>
      </c>
      <c r="G147" s="207"/>
      <c r="H147" s="208"/>
      <c r="I147" s="208"/>
      <c r="J147" s="186"/>
      <c r="K147" s="38">
        <f>IF(I147="",0,VLOOKUP(I147,'LISTA DE PRECIOS'!A:F,IF(R147="CORO",4,5),FALSE))</f>
        <v>0</v>
      </c>
      <c r="L147" s="199">
        <f t="shared" si="147"/>
        <v>0</v>
      </c>
      <c r="M147" s="209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0</v>
      </c>
      <c r="N147" s="12">
        <f t="shared" si="148"/>
        <v>0</v>
      </c>
      <c r="O147" s="42">
        <f t="shared" si="149"/>
        <v>0</v>
      </c>
      <c r="P147" s="69"/>
      <c r="R147" s="67" t="str">
        <f>IF(H147="","",VLOOKUP(H147,'DATOS CLIENTES'!B:F,5,FALSE))</f>
        <v/>
      </c>
      <c r="S147" s="67" t="e">
        <f t="shared" si="153"/>
        <v>#REF!</v>
      </c>
      <c r="U147" s="68">
        <f t="shared" si="150"/>
        <v>0</v>
      </c>
      <c r="V147" s="68">
        <f t="shared" si="151"/>
        <v>0</v>
      </c>
      <c r="X147" s="67" t="e">
        <f t="shared" si="152"/>
        <v>#N/A</v>
      </c>
      <c r="Y147" s="67" t="str">
        <f t="shared" si="154"/>
        <v/>
      </c>
      <c r="Z147" s="67" t="str">
        <f t="shared" si="155"/>
        <v/>
      </c>
      <c r="AA147" s="67" t="str">
        <f t="shared" si="156"/>
        <v/>
      </c>
      <c r="AB147" s="219" t="str">
        <f t="shared" si="157"/>
        <v/>
      </c>
      <c r="AC147" s="67" t="str">
        <f t="shared" si="158"/>
        <v/>
      </c>
      <c r="AD147" s="67" t="str">
        <f t="shared" si="159"/>
        <v/>
      </c>
      <c r="AE147" s="67" t="str">
        <f t="shared" si="160"/>
        <v/>
      </c>
      <c r="AF147" s="67" t="str">
        <f t="shared" si="161"/>
        <v/>
      </c>
      <c r="AG147" s="67" t="str">
        <f t="shared" si="162"/>
        <v/>
      </c>
    </row>
    <row r="148" spans="1:33" s="66" customFormat="1">
      <c r="A148" s="18" t="str">
        <f t="shared" si="143"/>
        <v/>
      </c>
      <c r="B148" s="211"/>
      <c r="C148" s="57"/>
      <c r="D148" s="43">
        <f t="shared" si="144"/>
        <v>0</v>
      </c>
      <c r="E148" s="58" t="str">
        <f t="shared" si="145"/>
        <v/>
      </c>
      <c r="F148" s="89" t="str">
        <f t="shared" si="146"/>
        <v/>
      </c>
      <c r="G148" s="184"/>
      <c r="H148" s="196"/>
      <c r="I148" s="185"/>
      <c r="J148" s="41"/>
      <c r="K148" s="38">
        <f>IF(I148="",0,VLOOKUP(I148,'LISTA DE PRECIOS'!A:F,IF(R148="CORO",4,5),FALSE))</f>
        <v>0</v>
      </c>
      <c r="L148" s="199">
        <f t="shared" si="147"/>
        <v>0</v>
      </c>
      <c r="M148" s="209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0</v>
      </c>
      <c r="N148" s="12">
        <f t="shared" si="148"/>
        <v>0</v>
      </c>
      <c r="O148" s="42">
        <f t="shared" si="149"/>
        <v>0</v>
      </c>
      <c r="P148" s="69"/>
      <c r="R148" s="67" t="str">
        <f>IF(H148="","",VLOOKUP(H148,'DATOS CLIENTES'!B:F,5,FALSE))</f>
        <v/>
      </c>
      <c r="S148" s="67" t="e">
        <f t="shared" si="153"/>
        <v>#REF!</v>
      </c>
      <c r="U148" s="68">
        <f t="shared" si="150"/>
        <v>0</v>
      </c>
      <c r="V148" s="68">
        <f t="shared" si="151"/>
        <v>0</v>
      </c>
      <c r="X148" s="67" t="e">
        <f t="shared" si="152"/>
        <v>#N/A</v>
      </c>
      <c r="Y148" s="67" t="str">
        <f t="shared" si="154"/>
        <v/>
      </c>
      <c r="Z148" s="67" t="str">
        <f t="shared" si="155"/>
        <v/>
      </c>
      <c r="AA148" s="67" t="str">
        <f t="shared" si="156"/>
        <v/>
      </c>
      <c r="AB148" s="219" t="str">
        <f t="shared" si="157"/>
        <v/>
      </c>
      <c r="AC148" s="67" t="str">
        <f t="shared" si="158"/>
        <v/>
      </c>
      <c r="AD148" s="67" t="str">
        <f t="shared" si="159"/>
        <v/>
      </c>
      <c r="AE148" s="67" t="str">
        <f t="shared" si="160"/>
        <v/>
      </c>
      <c r="AF148" s="67" t="str">
        <f t="shared" si="161"/>
        <v/>
      </c>
      <c r="AG148" s="67" t="str">
        <f t="shared" si="162"/>
        <v/>
      </c>
    </row>
    <row r="149" spans="1:33" s="66" customFormat="1">
      <c r="A149" s="18" t="str">
        <f t="shared" si="143"/>
        <v/>
      </c>
      <c r="B149" s="211"/>
      <c r="C149" s="57"/>
      <c r="D149" s="43">
        <f t="shared" si="144"/>
        <v>0</v>
      </c>
      <c r="E149" s="58" t="str">
        <f t="shared" si="145"/>
        <v/>
      </c>
      <c r="F149" s="89" t="str">
        <f t="shared" si="146"/>
        <v/>
      </c>
      <c r="G149" s="184"/>
      <c r="H149" s="196"/>
      <c r="I149" s="185"/>
      <c r="J149" s="41"/>
      <c r="K149" s="38">
        <f>IF(I149="",0,VLOOKUP(I149,'LISTA DE PRECIOS'!A:F,IF(R149="CORO",4,5),FALSE))</f>
        <v>0</v>
      </c>
      <c r="L149" s="199">
        <f t="shared" si="147"/>
        <v>0</v>
      </c>
      <c r="M149" s="209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0</v>
      </c>
      <c r="N149" s="12">
        <f t="shared" si="148"/>
        <v>0</v>
      </c>
      <c r="O149" s="42">
        <f t="shared" si="149"/>
        <v>0</v>
      </c>
      <c r="P149" s="69"/>
      <c r="R149" s="67" t="str">
        <f>IF(H149="","",VLOOKUP(H149,'DATOS CLIENTES'!B:F,5,FALSE))</f>
        <v/>
      </c>
      <c r="S149" s="67" t="e">
        <f t="shared" si="153"/>
        <v>#REF!</v>
      </c>
      <c r="U149" s="68">
        <f t="shared" si="150"/>
        <v>0</v>
      </c>
      <c r="V149" s="68">
        <f t="shared" si="151"/>
        <v>0</v>
      </c>
      <c r="X149" s="67" t="e">
        <f t="shared" si="152"/>
        <v>#N/A</v>
      </c>
      <c r="Y149" s="67" t="str">
        <f t="shared" si="154"/>
        <v/>
      </c>
      <c r="Z149" s="67" t="str">
        <f t="shared" si="155"/>
        <v/>
      </c>
      <c r="AA149" s="67" t="str">
        <f t="shared" si="156"/>
        <v/>
      </c>
      <c r="AB149" s="219" t="str">
        <f t="shared" si="157"/>
        <v/>
      </c>
      <c r="AC149" s="67" t="str">
        <f t="shared" si="158"/>
        <v/>
      </c>
      <c r="AD149" s="67" t="str">
        <f t="shared" si="159"/>
        <v/>
      </c>
      <c r="AE149" s="67" t="str">
        <f t="shared" si="160"/>
        <v/>
      </c>
      <c r="AF149" s="67" t="str">
        <f t="shared" si="161"/>
        <v/>
      </c>
      <c r="AG149" s="67" t="str">
        <f t="shared" si="162"/>
        <v/>
      </c>
    </row>
    <row r="150" spans="1:33" s="66" customFormat="1">
      <c r="A150" s="18" t="str">
        <f t="shared" si="143"/>
        <v/>
      </c>
      <c r="B150" s="211"/>
      <c r="C150" s="57"/>
      <c r="D150" s="43">
        <f t="shared" si="144"/>
        <v>0</v>
      </c>
      <c r="E150" s="58" t="str">
        <f t="shared" si="145"/>
        <v/>
      </c>
      <c r="F150" s="89" t="str">
        <f t="shared" si="146"/>
        <v/>
      </c>
      <c r="G150" s="184"/>
      <c r="H150" s="196"/>
      <c r="I150" s="185"/>
      <c r="J150" s="41"/>
      <c r="K150" s="38">
        <f>IF(I150="",0,VLOOKUP(I150,'LISTA DE PRECIOS'!A:F,IF(R150="CORO",4,5),FALSE))</f>
        <v>0</v>
      </c>
      <c r="L150" s="199">
        <f t="shared" si="147"/>
        <v>0</v>
      </c>
      <c r="M150" s="209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0</v>
      </c>
      <c r="N150" s="12">
        <f t="shared" si="148"/>
        <v>0</v>
      </c>
      <c r="O150" s="42">
        <f t="shared" si="149"/>
        <v>0</v>
      </c>
      <c r="P150" s="69"/>
      <c r="R150" s="67" t="str">
        <f>IF(H150="","",VLOOKUP(H150,'DATOS CLIENTES'!B:F,5,FALSE))</f>
        <v/>
      </c>
      <c r="S150" s="67" t="e">
        <f t="shared" si="153"/>
        <v>#REF!</v>
      </c>
      <c r="U150" s="68">
        <f t="shared" si="150"/>
        <v>0</v>
      </c>
      <c r="V150" s="68">
        <f t="shared" si="151"/>
        <v>0</v>
      </c>
      <c r="X150" s="67" t="e">
        <f t="shared" si="152"/>
        <v>#N/A</v>
      </c>
      <c r="Y150" s="67" t="str">
        <f t="shared" si="154"/>
        <v/>
      </c>
      <c r="Z150" s="67" t="str">
        <f t="shared" si="155"/>
        <v/>
      </c>
      <c r="AA150" s="67" t="str">
        <f t="shared" si="156"/>
        <v/>
      </c>
      <c r="AB150" s="219" t="str">
        <f t="shared" si="157"/>
        <v/>
      </c>
      <c r="AC150" s="67" t="str">
        <f t="shared" si="158"/>
        <v/>
      </c>
      <c r="AD150" s="67" t="str">
        <f t="shared" si="159"/>
        <v/>
      </c>
      <c r="AE150" s="67" t="str">
        <f t="shared" si="160"/>
        <v/>
      </c>
      <c r="AF150" s="67" t="str">
        <f t="shared" si="161"/>
        <v/>
      </c>
      <c r="AG150" s="67" t="str">
        <f t="shared" si="162"/>
        <v/>
      </c>
    </row>
    <row r="151" spans="1:33" s="66" customFormat="1">
      <c r="A151" s="18" t="str">
        <f t="shared" si="143"/>
        <v/>
      </c>
      <c r="B151" s="211"/>
      <c r="C151" s="57"/>
      <c r="D151" s="43">
        <f t="shared" si="144"/>
        <v>0</v>
      </c>
      <c r="E151" s="58" t="str">
        <f t="shared" si="145"/>
        <v/>
      </c>
      <c r="F151" s="89" t="str">
        <f t="shared" si="146"/>
        <v/>
      </c>
      <c r="G151" s="184"/>
      <c r="H151" s="196"/>
      <c r="I151" s="185"/>
      <c r="J151" s="41"/>
      <c r="K151" s="38">
        <f>IF(I151="",0,VLOOKUP(I151,'LISTA DE PRECIOS'!A:F,IF(R151="CORO",4,5),FALSE))</f>
        <v>0</v>
      </c>
      <c r="L151" s="199">
        <f t="shared" si="147"/>
        <v>0</v>
      </c>
      <c r="M151" s="209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0</v>
      </c>
      <c r="N151" s="12">
        <f t="shared" si="148"/>
        <v>0</v>
      </c>
      <c r="O151" s="42">
        <f t="shared" si="149"/>
        <v>0</v>
      </c>
      <c r="P151" s="69"/>
      <c r="R151" s="67" t="str">
        <f>IF(H151="","",VLOOKUP(H151,'DATOS CLIENTES'!B:F,5,FALSE))</f>
        <v/>
      </c>
      <c r="S151" s="67" t="e">
        <f t="shared" si="153"/>
        <v>#REF!</v>
      </c>
      <c r="U151" s="68">
        <f t="shared" si="150"/>
        <v>0</v>
      </c>
      <c r="V151" s="68">
        <f t="shared" si="151"/>
        <v>0</v>
      </c>
      <c r="X151" s="67" t="e">
        <f t="shared" si="152"/>
        <v>#N/A</v>
      </c>
      <c r="Y151" s="67" t="str">
        <f t="shared" si="154"/>
        <v/>
      </c>
      <c r="Z151" s="67" t="str">
        <f t="shared" si="155"/>
        <v/>
      </c>
      <c r="AA151" s="67" t="str">
        <f t="shared" si="156"/>
        <v/>
      </c>
      <c r="AB151" s="219" t="str">
        <f t="shared" si="157"/>
        <v/>
      </c>
      <c r="AC151" s="67" t="str">
        <f t="shared" si="158"/>
        <v/>
      </c>
      <c r="AD151" s="67" t="str">
        <f t="shared" si="159"/>
        <v/>
      </c>
      <c r="AE151" s="67" t="str">
        <f t="shared" si="160"/>
        <v/>
      </c>
      <c r="AF151" s="67" t="str">
        <f t="shared" si="161"/>
        <v/>
      </c>
      <c r="AG151" s="67" t="str">
        <f t="shared" si="162"/>
        <v/>
      </c>
    </row>
    <row r="152" spans="1:33" s="66" customFormat="1">
      <c r="A152" s="18" t="str">
        <f t="shared" si="143"/>
        <v/>
      </c>
      <c r="B152" s="211"/>
      <c r="C152" s="57"/>
      <c r="D152" s="43">
        <f t="shared" si="144"/>
        <v>0</v>
      </c>
      <c r="E152" s="58" t="str">
        <f t="shared" si="145"/>
        <v/>
      </c>
      <c r="F152" s="89" t="str">
        <f t="shared" si="146"/>
        <v/>
      </c>
      <c r="G152" s="184"/>
      <c r="H152" s="196"/>
      <c r="I152" s="185"/>
      <c r="J152" s="41"/>
      <c r="K152" s="38">
        <f>IF(I152="",0,VLOOKUP(I152,'LISTA DE PRECIOS'!A:F,IF(R152="CORO",4,5),FALSE))</f>
        <v>0</v>
      </c>
      <c r="L152" s="199">
        <f t="shared" si="147"/>
        <v>0</v>
      </c>
      <c r="M152" s="209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0</v>
      </c>
      <c r="N152" s="12">
        <f t="shared" si="148"/>
        <v>0</v>
      </c>
      <c r="O152" s="42">
        <f t="shared" si="149"/>
        <v>0</v>
      </c>
      <c r="P152" s="69"/>
      <c r="R152" s="67" t="str">
        <f>IF(H152="","",VLOOKUP(H152,'DATOS CLIENTES'!B:F,5,FALSE))</f>
        <v/>
      </c>
      <c r="S152" s="67" t="e">
        <f t="shared" si="153"/>
        <v>#REF!</v>
      </c>
      <c r="U152" s="68">
        <f t="shared" si="150"/>
        <v>0</v>
      </c>
      <c r="V152" s="68">
        <f t="shared" si="151"/>
        <v>0</v>
      </c>
      <c r="X152" s="67" t="e">
        <f t="shared" si="152"/>
        <v>#N/A</v>
      </c>
      <c r="Y152" s="67" t="str">
        <f t="shared" si="154"/>
        <v/>
      </c>
      <c r="Z152" s="67" t="str">
        <f t="shared" si="155"/>
        <v/>
      </c>
      <c r="AA152" s="67" t="str">
        <f t="shared" si="156"/>
        <v/>
      </c>
      <c r="AB152" s="219" t="str">
        <f t="shared" si="157"/>
        <v/>
      </c>
      <c r="AC152" s="67" t="str">
        <f t="shared" si="158"/>
        <v/>
      </c>
      <c r="AD152" s="67" t="str">
        <f t="shared" si="159"/>
        <v/>
      </c>
      <c r="AE152" s="67" t="str">
        <f t="shared" si="160"/>
        <v/>
      </c>
      <c r="AF152" s="67" t="str">
        <f t="shared" si="161"/>
        <v/>
      </c>
      <c r="AG152" s="67" t="str">
        <f t="shared" si="162"/>
        <v/>
      </c>
    </row>
    <row r="153" spans="1:33" s="66" customFormat="1">
      <c r="A153" s="18" t="str">
        <f t="shared" si="143"/>
        <v/>
      </c>
      <c r="B153" s="211"/>
      <c r="C153" s="57"/>
      <c r="D153" s="43">
        <f t="shared" si="144"/>
        <v>0</v>
      </c>
      <c r="E153" s="58" t="str">
        <f t="shared" si="145"/>
        <v/>
      </c>
      <c r="F153" s="89" t="str">
        <f t="shared" si="146"/>
        <v/>
      </c>
      <c r="G153" s="184"/>
      <c r="H153" s="196"/>
      <c r="I153" s="185"/>
      <c r="J153" s="41"/>
      <c r="K153" s="38">
        <f>IF(I153="",0,VLOOKUP(I153,'LISTA DE PRECIOS'!A:F,IF(R153="CORO",4,5),FALSE))</f>
        <v>0</v>
      </c>
      <c r="L153" s="199">
        <f t="shared" si="147"/>
        <v>0</v>
      </c>
      <c r="M153" s="209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0</v>
      </c>
      <c r="N153" s="12">
        <f t="shared" si="148"/>
        <v>0</v>
      </c>
      <c r="O153" s="42">
        <f t="shared" si="149"/>
        <v>0</v>
      </c>
      <c r="P153" s="69"/>
      <c r="R153" s="67" t="str">
        <f>IF(H153="","",VLOOKUP(H153,'DATOS CLIENTES'!B:F,5,FALSE))</f>
        <v/>
      </c>
      <c r="S153" s="67" t="e">
        <f t="shared" si="153"/>
        <v>#REF!</v>
      </c>
      <c r="U153" s="68">
        <f t="shared" si="150"/>
        <v>0</v>
      </c>
      <c r="V153" s="68">
        <f t="shared" si="151"/>
        <v>0</v>
      </c>
      <c r="X153" s="67" t="e">
        <f t="shared" si="152"/>
        <v>#N/A</v>
      </c>
      <c r="Y153" s="67" t="str">
        <f t="shared" si="154"/>
        <v/>
      </c>
      <c r="Z153" s="67" t="str">
        <f t="shared" si="155"/>
        <v/>
      </c>
      <c r="AA153" s="67" t="str">
        <f t="shared" si="156"/>
        <v/>
      </c>
      <c r="AB153" s="219" t="str">
        <f t="shared" si="157"/>
        <v/>
      </c>
      <c r="AC153" s="67" t="str">
        <f t="shared" si="158"/>
        <v/>
      </c>
      <c r="AD153" s="67" t="str">
        <f t="shared" si="159"/>
        <v/>
      </c>
      <c r="AE153" s="67" t="str">
        <f t="shared" si="160"/>
        <v/>
      </c>
      <c r="AF153" s="67" t="str">
        <f t="shared" si="161"/>
        <v/>
      </c>
      <c r="AG153" s="67" t="str">
        <f t="shared" si="162"/>
        <v/>
      </c>
    </row>
    <row r="154" spans="1:33" s="66" customFormat="1">
      <c r="A154" s="18" t="str">
        <f t="shared" si="143"/>
        <v/>
      </c>
      <c r="B154" s="211"/>
      <c r="C154" s="57"/>
      <c r="D154" s="43">
        <f t="shared" si="144"/>
        <v>0</v>
      </c>
      <c r="E154" s="58" t="str">
        <f t="shared" si="145"/>
        <v/>
      </c>
      <c r="F154" s="89" t="str">
        <f t="shared" si="146"/>
        <v/>
      </c>
      <c r="G154" s="184"/>
      <c r="H154" s="196"/>
      <c r="I154" s="185"/>
      <c r="J154" s="41"/>
      <c r="K154" s="38">
        <f>IF(I154="",0,VLOOKUP(I154,'LISTA DE PRECIOS'!A:F,IF(R154="CORO",4,5),FALSE))</f>
        <v>0</v>
      </c>
      <c r="L154" s="199">
        <f t="shared" si="147"/>
        <v>0</v>
      </c>
      <c r="M154" s="209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0</v>
      </c>
      <c r="N154" s="12">
        <f t="shared" si="148"/>
        <v>0</v>
      </c>
      <c r="O154" s="42">
        <f t="shared" si="149"/>
        <v>0</v>
      </c>
      <c r="P154" s="69"/>
      <c r="R154" s="67" t="str">
        <f>IF(H154="","",VLOOKUP(H154,'DATOS CLIENTES'!B:F,5,FALSE))</f>
        <v/>
      </c>
      <c r="S154" s="67" t="e">
        <f t="shared" si="153"/>
        <v>#REF!</v>
      </c>
      <c r="U154" s="68">
        <f t="shared" si="150"/>
        <v>0</v>
      </c>
      <c r="V154" s="68">
        <f t="shared" si="151"/>
        <v>0</v>
      </c>
      <c r="X154" s="67" t="e">
        <f t="shared" si="152"/>
        <v>#N/A</v>
      </c>
      <c r="Y154" s="67" t="str">
        <f t="shared" si="154"/>
        <v/>
      </c>
      <c r="Z154" s="67" t="str">
        <f t="shared" si="155"/>
        <v/>
      </c>
      <c r="AA154" s="67" t="str">
        <f t="shared" si="156"/>
        <v/>
      </c>
      <c r="AB154" s="219" t="str">
        <f t="shared" si="157"/>
        <v/>
      </c>
      <c r="AC154" s="67" t="str">
        <f t="shared" si="158"/>
        <v/>
      </c>
      <c r="AD154" s="67" t="str">
        <f t="shared" si="159"/>
        <v/>
      </c>
      <c r="AE154" s="67" t="str">
        <f t="shared" si="160"/>
        <v/>
      </c>
      <c r="AF154" s="67" t="str">
        <f t="shared" si="161"/>
        <v/>
      </c>
      <c r="AG154" s="67" t="str">
        <f t="shared" si="162"/>
        <v/>
      </c>
    </row>
    <row r="155" spans="1:33" s="66" customFormat="1">
      <c r="A155" s="18" t="str">
        <f t="shared" si="143"/>
        <v/>
      </c>
      <c r="B155" s="211"/>
      <c r="C155" s="57"/>
      <c r="D155" s="43">
        <f t="shared" si="144"/>
        <v>0</v>
      </c>
      <c r="E155" s="58" t="str">
        <f t="shared" si="145"/>
        <v/>
      </c>
      <c r="F155" s="89" t="str">
        <f t="shared" si="146"/>
        <v/>
      </c>
      <c r="G155" s="184"/>
      <c r="H155" s="196"/>
      <c r="I155" s="185"/>
      <c r="J155" s="41"/>
      <c r="K155" s="38">
        <f>IF(I155="",0,VLOOKUP(I155,'LISTA DE PRECIOS'!A:F,IF(R155="CORO",4,5),FALSE))</f>
        <v>0</v>
      </c>
      <c r="L155" s="199">
        <f t="shared" si="147"/>
        <v>0</v>
      </c>
      <c r="M155" s="209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0</v>
      </c>
      <c r="N155" s="12">
        <f t="shared" si="148"/>
        <v>0</v>
      </c>
      <c r="O155" s="42">
        <f t="shared" si="149"/>
        <v>0</v>
      </c>
      <c r="P155" s="69"/>
      <c r="R155" s="67" t="str">
        <f>IF(H155="","",VLOOKUP(H155,'DATOS CLIENTES'!B:F,5,FALSE))</f>
        <v/>
      </c>
      <c r="S155" s="67" t="e">
        <f t="shared" si="153"/>
        <v>#REF!</v>
      </c>
      <c r="U155" s="68">
        <f t="shared" si="150"/>
        <v>0</v>
      </c>
      <c r="V155" s="68">
        <f t="shared" si="151"/>
        <v>0</v>
      </c>
      <c r="X155" s="67" t="e">
        <f t="shared" si="152"/>
        <v>#N/A</v>
      </c>
      <c r="Y155" s="67" t="str">
        <f t="shared" si="154"/>
        <v/>
      </c>
      <c r="Z155" s="67" t="str">
        <f t="shared" si="155"/>
        <v/>
      </c>
      <c r="AA155" s="67" t="str">
        <f t="shared" si="156"/>
        <v/>
      </c>
      <c r="AB155" s="219" t="str">
        <f t="shared" si="157"/>
        <v/>
      </c>
      <c r="AC155" s="67" t="str">
        <f t="shared" si="158"/>
        <v/>
      </c>
      <c r="AD155" s="67" t="str">
        <f t="shared" si="159"/>
        <v/>
      </c>
      <c r="AE155" s="67" t="str">
        <f t="shared" si="160"/>
        <v/>
      </c>
      <c r="AF155" s="67" t="str">
        <f t="shared" si="161"/>
        <v/>
      </c>
      <c r="AG155" s="67" t="str">
        <f t="shared" si="162"/>
        <v/>
      </c>
    </row>
    <row r="156" spans="1:33" s="66" customFormat="1">
      <c r="A156" s="18" t="str">
        <f t="shared" si="143"/>
        <v/>
      </c>
      <c r="B156" s="211"/>
      <c r="C156" s="57"/>
      <c r="D156" s="43">
        <f t="shared" si="144"/>
        <v>0</v>
      </c>
      <c r="E156" s="58" t="str">
        <f t="shared" si="145"/>
        <v/>
      </c>
      <c r="F156" s="89" t="str">
        <f t="shared" si="146"/>
        <v/>
      </c>
      <c r="G156" s="184"/>
      <c r="H156" s="196"/>
      <c r="I156" s="185"/>
      <c r="J156" s="41"/>
      <c r="K156" s="38">
        <f>IF(I156="",0,VLOOKUP(I156,'LISTA DE PRECIOS'!A:F,IF(R156="CORO",4,5),FALSE))</f>
        <v>0</v>
      </c>
      <c r="L156" s="199">
        <f t="shared" si="147"/>
        <v>0</v>
      </c>
      <c r="M156" s="209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0</v>
      </c>
      <c r="N156" s="12">
        <f t="shared" si="148"/>
        <v>0</v>
      </c>
      <c r="O156" s="42">
        <f t="shared" si="149"/>
        <v>0</v>
      </c>
      <c r="P156" s="69"/>
      <c r="R156" s="67" t="str">
        <f>IF(H156="","",VLOOKUP(H156,'DATOS CLIENTES'!B:F,5,FALSE))</f>
        <v/>
      </c>
      <c r="S156" s="67" t="e">
        <f t="shared" si="153"/>
        <v>#REF!</v>
      </c>
      <c r="U156" s="68">
        <f t="shared" si="150"/>
        <v>0</v>
      </c>
      <c r="V156" s="68">
        <f t="shared" si="151"/>
        <v>0</v>
      </c>
      <c r="X156" s="67" t="e">
        <f t="shared" si="152"/>
        <v>#N/A</v>
      </c>
      <c r="Y156" s="67" t="str">
        <f t="shared" si="154"/>
        <v/>
      </c>
      <c r="Z156" s="67" t="str">
        <f t="shared" si="155"/>
        <v/>
      </c>
      <c r="AA156" s="67" t="str">
        <f t="shared" si="156"/>
        <v/>
      </c>
      <c r="AB156" s="219" t="str">
        <f t="shared" si="157"/>
        <v/>
      </c>
      <c r="AC156" s="67" t="str">
        <f t="shared" si="158"/>
        <v/>
      </c>
      <c r="AD156" s="67" t="str">
        <f t="shared" si="159"/>
        <v/>
      </c>
      <c r="AE156" s="67" t="str">
        <f t="shared" si="160"/>
        <v/>
      </c>
      <c r="AF156" s="67" t="str">
        <f t="shared" si="161"/>
        <v/>
      </c>
      <c r="AG156" s="67" t="str">
        <f t="shared" si="162"/>
        <v/>
      </c>
    </row>
    <row r="157" spans="1:33" s="66" customFormat="1">
      <c r="A157" s="18" t="str">
        <f t="shared" si="143"/>
        <v/>
      </c>
      <c r="B157" s="211"/>
      <c r="C157" s="57"/>
      <c r="D157" s="43">
        <f t="shared" si="144"/>
        <v>0</v>
      </c>
      <c r="E157" s="58" t="str">
        <f t="shared" si="145"/>
        <v/>
      </c>
      <c r="F157" s="89" t="str">
        <f t="shared" si="146"/>
        <v/>
      </c>
      <c r="G157" s="184"/>
      <c r="H157" s="196"/>
      <c r="I157" s="185"/>
      <c r="J157" s="41"/>
      <c r="K157" s="38">
        <f>IF(I157="",0,VLOOKUP(I157,'LISTA DE PRECIOS'!A:F,IF(R157="CORO",4,5),FALSE))</f>
        <v>0</v>
      </c>
      <c r="L157" s="199">
        <f t="shared" si="147"/>
        <v>0</v>
      </c>
      <c r="M157" s="209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0</v>
      </c>
      <c r="N157" s="12">
        <f t="shared" si="148"/>
        <v>0</v>
      </c>
      <c r="O157" s="42">
        <f t="shared" si="149"/>
        <v>0</v>
      </c>
      <c r="P157" s="69"/>
      <c r="R157" s="67" t="str">
        <f>IF(H157="","",VLOOKUP(H157,'DATOS CLIENTES'!B:F,5,FALSE))</f>
        <v/>
      </c>
      <c r="S157" s="67" t="e">
        <f t="shared" si="153"/>
        <v>#REF!</v>
      </c>
      <c r="U157" s="68">
        <f t="shared" si="150"/>
        <v>0</v>
      </c>
      <c r="V157" s="68">
        <f t="shared" si="151"/>
        <v>0</v>
      </c>
      <c r="X157" s="67" t="e">
        <f t="shared" si="152"/>
        <v>#N/A</v>
      </c>
      <c r="Y157" s="67" t="str">
        <f t="shared" si="154"/>
        <v/>
      </c>
      <c r="Z157" s="67" t="str">
        <f t="shared" si="155"/>
        <v/>
      </c>
      <c r="AA157" s="67" t="str">
        <f t="shared" si="156"/>
        <v/>
      </c>
      <c r="AB157" s="219" t="str">
        <f t="shared" si="157"/>
        <v/>
      </c>
      <c r="AC157" s="67" t="str">
        <f t="shared" si="158"/>
        <v/>
      </c>
      <c r="AD157" s="67" t="str">
        <f t="shared" si="159"/>
        <v/>
      </c>
      <c r="AE157" s="67" t="str">
        <f t="shared" si="160"/>
        <v/>
      </c>
      <c r="AF157" s="67" t="str">
        <f t="shared" si="161"/>
        <v/>
      </c>
      <c r="AG157" s="67" t="str">
        <f t="shared" si="162"/>
        <v/>
      </c>
    </row>
    <row r="158" spans="1:33" s="66" customFormat="1">
      <c r="A158" s="18" t="str">
        <f t="shared" si="143"/>
        <v/>
      </c>
      <c r="B158" s="211"/>
      <c r="C158" s="57"/>
      <c r="D158" s="43">
        <f t="shared" si="144"/>
        <v>0</v>
      </c>
      <c r="E158" s="58" t="str">
        <f t="shared" si="145"/>
        <v/>
      </c>
      <c r="F158" s="89" t="str">
        <f t="shared" si="146"/>
        <v/>
      </c>
      <c r="G158" s="184"/>
      <c r="H158" s="196"/>
      <c r="I158" s="185"/>
      <c r="J158" s="41"/>
      <c r="K158" s="38">
        <f>IF(I158="",0,VLOOKUP(I158,'LISTA DE PRECIOS'!A:F,IF(R158="CORO",4,5),FALSE))</f>
        <v>0</v>
      </c>
      <c r="L158" s="199">
        <f t="shared" si="147"/>
        <v>0</v>
      </c>
      <c r="M158" s="209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0</v>
      </c>
      <c r="N158" s="12">
        <f t="shared" si="148"/>
        <v>0</v>
      </c>
      <c r="O158" s="42">
        <f t="shared" si="149"/>
        <v>0</v>
      </c>
      <c r="P158" s="69"/>
      <c r="R158" s="67" t="str">
        <f>IF(H158="","",VLOOKUP(H158,'DATOS CLIENTES'!B:F,5,FALSE))</f>
        <v/>
      </c>
      <c r="S158" s="67" t="e">
        <f t="shared" si="153"/>
        <v>#REF!</v>
      </c>
      <c r="U158" s="68">
        <f t="shared" si="150"/>
        <v>0</v>
      </c>
      <c r="V158" s="68">
        <f t="shared" si="151"/>
        <v>0</v>
      </c>
      <c r="X158" s="67" t="e">
        <f t="shared" si="152"/>
        <v>#N/A</v>
      </c>
      <c r="Y158" s="67" t="str">
        <f t="shared" si="154"/>
        <v/>
      </c>
      <c r="Z158" s="67" t="str">
        <f t="shared" si="155"/>
        <v/>
      </c>
      <c r="AA158" s="67" t="str">
        <f t="shared" si="156"/>
        <v/>
      </c>
      <c r="AB158" s="219" t="str">
        <f t="shared" si="157"/>
        <v/>
      </c>
      <c r="AC158" s="67" t="str">
        <f t="shared" si="158"/>
        <v/>
      </c>
      <c r="AD158" s="67" t="str">
        <f t="shared" si="159"/>
        <v/>
      </c>
      <c r="AE158" s="67" t="str">
        <f t="shared" si="160"/>
        <v/>
      </c>
      <c r="AF158" s="67" t="str">
        <f t="shared" si="161"/>
        <v/>
      </c>
      <c r="AG158" s="67" t="str">
        <f t="shared" si="162"/>
        <v/>
      </c>
    </row>
    <row r="159" spans="1:33" s="66" customFormat="1">
      <c r="A159" s="18" t="str">
        <f t="shared" si="143"/>
        <v/>
      </c>
      <c r="B159" s="211"/>
      <c r="C159" s="57"/>
      <c r="D159" s="43">
        <f t="shared" si="144"/>
        <v>0</v>
      </c>
      <c r="E159" s="58" t="str">
        <f t="shared" si="145"/>
        <v/>
      </c>
      <c r="F159" s="89" t="str">
        <f t="shared" si="146"/>
        <v/>
      </c>
      <c r="G159" s="184"/>
      <c r="H159" s="196"/>
      <c r="I159" s="185"/>
      <c r="J159" s="41"/>
      <c r="K159" s="38">
        <f>IF(I159="",0,VLOOKUP(I159,'LISTA DE PRECIOS'!A:F,IF(R159="CORO",4,5),FALSE))</f>
        <v>0</v>
      </c>
      <c r="L159" s="199">
        <f t="shared" si="147"/>
        <v>0</v>
      </c>
      <c r="M159" s="209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0</v>
      </c>
      <c r="N159" s="12">
        <f t="shared" si="148"/>
        <v>0</v>
      </c>
      <c r="O159" s="42">
        <f t="shared" si="149"/>
        <v>0</v>
      </c>
      <c r="P159" s="69"/>
      <c r="R159" s="67" t="str">
        <f>IF(H159="","",VLOOKUP(H159,'DATOS CLIENTES'!B:F,5,FALSE))</f>
        <v/>
      </c>
      <c r="S159" s="67" t="e">
        <f t="shared" si="153"/>
        <v>#REF!</v>
      </c>
      <c r="U159" s="68">
        <f t="shared" si="150"/>
        <v>0</v>
      </c>
      <c r="V159" s="68">
        <f t="shared" si="151"/>
        <v>0</v>
      </c>
      <c r="X159" s="67" t="e">
        <f t="shared" si="152"/>
        <v>#N/A</v>
      </c>
      <c r="Y159" s="67" t="str">
        <f t="shared" si="154"/>
        <v/>
      </c>
      <c r="Z159" s="67" t="str">
        <f t="shared" si="155"/>
        <v/>
      </c>
      <c r="AA159" s="67" t="str">
        <f t="shared" si="156"/>
        <v/>
      </c>
      <c r="AB159" s="219" t="str">
        <f t="shared" si="157"/>
        <v/>
      </c>
      <c r="AC159" s="67" t="str">
        <f t="shared" si="158"/>
        <v/>
      </c>
      <c r="AD159" s="67" t="str">
        <f t="shared" si="159"/>
        <v/>
      </c>
      <c r="AE159" s="67" t="str">
        <f t="shared" si="160"/>
        <v/>
      </c>
      <c r="AF159" s="67" t="str">
        <f t="shared" si="161"/>
        <v/>
      </c>
      <c r="AG159" s="67" t="str">
        <f t="shared" si="162"/>
        <v/>
      </c>
    </row>
    <row r="160" spans="1:33" s="66" customFormat="1">
      <c r="A160" s="18" t="str">
        <f t="shared" si="143"/>
        <v/>
      </c>
      <c r="B160" s="211"/>
      <c r="C160" s="57"/>
      <c r="D160" s="43">
        <f t="shared" si="144"/>
        <v>0</v>
      </c>
      <c r="E160" s="58" t="str">
        <f t="shared" si="145"/>
        <v/>
      </c>
      <c r="F160" s="89" t="str">
        <f t="shared" si="146"/>
        <v/>
      </c>
      <c r="G160" s="184"/>
      <c r="H160" s="196"/>
      <c r="I160" s="185"/>
      <c r="J160" s="41"/>
      <c r="K160" s="38">
        <f>IF(I160="",0,VLOOKUP(I160,'LISTA DE PRECIOS'!A:F,IF(R160="CORO",4,5),FALSE))</f>
        <v>0</v>
      </c>
      <c r="L160" s="199">
        <f t="shared" si="147"/>
        <v>0</v>
      </c>
      <c r="M160" s="209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0</v>
      </c>
      <c r="N160" s="12">
        <f t="shared" si="148"/>
        <v>0</v>
      </c>
      <c r="O160" s="42">
        <f t="shared" si="149"/>
        <v>0</v>
      </c>
      <c r="P160" s="69"/>
      <c r="R160" s="67" t="str">
        <f>IF(H160="","",VLOOKUP(H160,'DATOS CLIENTES'!B:F,5,FALSE))</f>
        <v/>
      </c>
      <c r="S160" s="67" t="e">
        <f t="shared" si="153"/>
        <v>#REF!</v>
      </c>
      <c r="U160" s="68">
        <f t="shared" si="150"/>
        <v>0</v>
      </c>
      <c r="V160" s="68">
        <f t="shared" si="151"/>
        <v>0</v>
      </c>
      <c r="X160" s="67" t="e">
        <f t="shared" si="152"/>
        <v>#N/A</v>
      </c>
      <c r="Y160" s="67" t="str">
        <f t="shared" si="154"/>
        <v/>
      </c>
      <c r="Z160" s="67" t="str">
        <f t="shared" si="155"/>
        <v/>
      </c>
      <c r="AA160" s="67" t="str">
        <f t="shared" si="156"/>
        <v/>
      </c>
      <c r="AB160" s="219" t="str">
        <f t="shared" si="157"/>
        <v/>
      </c>
      <c r="AC160" s="67" t="str">
        <f t="shared" si="158"/>
        <v/>
      </c>
      <c r="AD160" s="67" t="str">
        <f t="shared" si="159"/>
        <v/>
      </c>
      <c r="AE160" s="67" t="str">
        <f t="shared" si="160"/>
        <v/>
      </c>
      <c r="AF160" s="67" t="str">
        <f t="shared" si="161"/>
        <v/>
      </c>
      <c r="AG160" s="67" t="str">
        <f t="shared" si="162"/>
        <v/>
      </c>
    </row>
    <row r="161" spans="1:33" s="66" customFormat="1">
      <c r="A161" s="18" t="str">
        <f t="shared" si="143"/>
        <v/>
      </c>
      <c r="B161" s="211"/>
      <c r="C161" s="57"/>
      <c r="D161" s="43">
        <f t="shared" si="144"/>
        <v>0</v>
      </c>
      <c r="E161" s="58" t="str">
        <f t="shared" si="145"/>
        <v/>
      </c>
      <c r="F161" s="89" t="str">
        <f t="shared" si="146"/>
        <v/>
      </c>
      <c r="G161" s="184"/>
      <c r="H161" s="196"/>
      <c r="I161" s="185"/>
      <c r="J161" s="41"/>
      <c r="K161" s="38">
        <f>IF(I161="",0,VLOOKUP(I161,'LISTA DE PRECIOS'!A:F,IF(R161="CORO",4,5),FALSE))</f>
        <v>0</v>
      </c>
      <c r="L161" s="199">
        <f t="shared" si="147"/>
        <v>0</v>
      </c>
      <c r="M161" s="209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0</v>
      </c>
      <c r="N161" s="12">
        <f t="shared" si="148"/>
        <v>0</v>
      </c>
      <c r="O161" s="42">
        <f t="shared" si="149"/>
        <v>0</v>
      </c>
      <c r="P161" s="69"/>
      <c r="R161" s="67" t="str">
        <f>IF(H161="","",VLOOKUP(H161,'DATOS CLIENTES'!B:F,5,FALSE))</f>
        <v/>
      </c>
      <c r="S161" s="67" t="e">
        <f t="shared" si="153"/>
        <v>#REF!</v>
      </c>
      <c r="U161" s="68">
        <f t="shared" si="150"/>
        <v>0</v>
      </c>
      <c r="V161" s="68">
        <f t="shared" si="151"/>
        <v>0</v>
      </c>
      <c r="X161" s="67" t="e">
        <f t="shared" si="152"/>
        <v>#N/A</v>
      </c>
      <c r="Y161" s="67" t="str">
        <f t="shared" si="154"/>
        <v/>
      </c>
      <c r="Z161" s="67" t="str">
        <f t="shared" si="155"/>
        <v/>
      </c>
      <c r="AA161" s="67" t="str">
        <f t="shared" si="156"/>
        <v/>
      </c>
      <c r="AB161" s="219" t="str">
        <f t="shared" si="157"/>
        <v/>
      </c>
      <c r="AC161" s="67" t="str">
        <f t="shared" si="158"/>
        <v/>
      </c>
      <c r="AD161" s="67" t="str">
        <f t="shared" si="159"/>
        <v/>
      </c>
      <c r="AE161" s="67" t="str">
        <f t="shared" si="160"/>
        <v/>
      </c>
      <c r="AF161" s="67" t="str">
        <f t="shared" si="161"/>
        <v/>
      </c>
      <c r="AG161" s="67" t="str">
        <f t="shared" si="162"/>
        <v/>
      </c>
    </row>
    <row r="162" spans="1:33" s="66" customFormat="1">
      <c r="A162" s="18" t="str">
        <f t="shared" si="143"/>
        <v/>
      </c>
      <c r="B162" s="211"/>
      <c r="C162" s="57"/>
      <c r="D162" s="43">
        <f t="shared" si="144"/>
        <v>0</v>
      </c>
      <c r="E162" s="58" t="str">
        <f t="shared" si="145"/>
        <v/>
      </c>
      <c r="F162" s="89" t="str">
        <f t="shared" si="146"/>
        <v/>
      </c>
      <c r="G162" s="184"/>
      <c r="H162" s="196"/>
      <c r="I162" s="185"/>
      <c r="J162" s="41"/>
      <c r="K162" s="38">
        <f>IF(I162="",0,VLOOKUP(I162,'LISTA DE PRECIOS'!A:F,IF(R162="CORO",4,5),FALSE))</f>
        <v>0</v>
      </c>
      <c r="L162" s="199">
        <f t="shared" si="147"/>
        <v>0</v>
      </c>
      <c r="M162" s="209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0</v>
      </c>
      <c r="N162" s="12">
        <f t="shared" si="148"/>
        <v>0</v>
      </c>
      <c r="O162" s="42">
        <f t="shared" si="149"/>
        <v>0</v>
      </c>
      <c r="P162" s="69"/>
      <c r="R162" s="67" t="str">
        <f>IF(H162="","",VLOOKUP(H162,'DATOS CLIENTES'!B:F,5,FALSE))</f>
        <v/>
      </c>
      <c r="S162" s="67" t="e">
        <f t="shared" si="153"/>
        <v>#REF!</v>
      </c>
      <c r="U162" s="68">
        <f t="shared" si="150"/>
        <v>0</v>
      </c>
      <c r="V162" s="68">
        <f t="shared" si="151"/>
        <v>0</v>
      </c>
      <c r="X162" s="67" t="e">
        <f t="shared" si="152"/>
        <v>#N/A</v>
      </c>
      <c r="Y162" s="67" t="str">
        <f t="shared" si="154"/>
        <v/>
      </c>
      <c r="Z162" s="67" t="str">
        <f t="shared" si="155"/>
        <v/>
      </c>
      <c r="AA162" s="67" t="str">
        <f t="shared" si="156"/>
        <v/>
      </c>
      <c r="AB162" s="219" t="str">
        <f t="shared" si="157"/>
        <v/>
      </c>
      <c r="AC162" s="67" t="str">
        <f t="shared" si="158"/>
        <v/>
      </c>
      <c r="AD162" s="67" t="str">
        <f t="shared" si="159"/>
        <v/>
      </c>
      <c r="AE162" s="67" t="str">
        <f t="shared" si="160"/>
        <v/>
      </c>
      <c r="AF162" s="67" t="str">
        <f t="shared" si="161"/>
        <v/>
      </c>
      <c r="AG162" s="67" t="str">
        <f t="shared" si="162"/>
        <v/>
      </c>
    </row>
    <row r="163" spans="1:33" s="66" customFormat="1">
      <c r="A163" s="18" t="str">
        <f t="shared" si="143"/>
        <v/>
      </c>
      <c r="B163" s="211"/>
      <c r="C163" s="57"/>
      <c r="D163" s="43">
        <f t="shared" si="144"/>
        <v>0</v>
      </c>
      <c r="E163" s="58" t="str">
        <f t="shared" si="145"/>
        <v/>
      </c>
      <c r="F163" s="89" t="str">
        <f t="shared" si="146"/>
        <v/>
      </c>
      <c r="G163" s="184"/>
      <c r="H163" s="196"/>
      <c r="I163" s="185"/>
      <c r="J163" s="41"/>
      <c r="K163" s="38">
        <f>IF(I163="",0,VLOOKUP(I163,'LISTA DE PRECIOS'!A:F,IF(R163="CORO",4,5),FALSE))</f>
        <v>0</v>
      </c>
      <c r="L163" s="199">
        <f t="shared" si="147"/>
        <v>0</v>
      </c>
      <c r="M163" s="209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0</v>
      </c>
      <c r="N163" s="12">
        <f t="shared" si="148"/>
        <v>0</v>
      </c>
      <c r="O163" s="42">
        <f t="shared" si="149"/>
        <v>0</v>
      </c>
      <c r="P163" s="69"/>
      <c r="R163" s="67" t="str">
        <f>IF(H163="","",VLOOKUP(H163,'DATOS CLIENTES'!B:F,5,FALSE))</f>
        <v/>
      </c>
      <c r="S163" s="67" t="e">
        <f t="shared" si="153"/>
        <v>#REF!</v>
      </c>
      <c r="U163" s="68">
        <f t="shared" si="150"/>
        <v>0</v>
      </c>
      <c r="V163" s="68">
        <f t="shared" si="151"/>
        <v>0</v>
      </c>
      <c r="X163" s="67" t="e">
        <f t="shared" si="152"/>
        <v>#N/A</v>
      </c>
      <c r="Y163" s="67" t="str">
        <f t="shared" si="154"/>
        <v/>
      </c>
      <c r="Z163" s="67" t="str">
        <f t="shared" si="155"/>
        <v/>
      </c>
      <c r="AA163" s="67" t="str">
        <f t="shared" si="156"/>
        <v/>
      </c>
      <c r="AB163" s="219" t="str">
        <f t="shared" si="157"/>
        <v/>
      </c>
      <c r="AC163" s="67" t="str">
        <f t="shared" si="158"/>
        <v/>
      </c>
      <c r="AD163" s="67" t="str">
        <f t="shared" si="159"/>
        <v/>
      </c>
      <c r="AE163" s="67" t="str">
        <f t="shared" si="160"/>
        <v/>
      </c>
      <c r="AF163" s="67" t="str">
        <f t="shared" si="161"/>
        <v/>
      </c>
      <c r="AG163" s="67" t="str">
        <f t="shared" si="162"/>
        <v/>
      </c>
    </row>
    <row r="164" spans="1:33" s="66" customFormat="1">
      <c r="A164" s="18" t="str">
        <f t="shared" si="143"/>
        <v/>
      </c>
      <c r="B164" s="211"/>
      <c r="C164" s="57"/>
      <c r="D164" s="43">
        <f t="shared" si="144"/>
        <v>0</v>
      </c>
      <c r="E164" s="58" t="str">
        <f t="shared" si="145"/>
        <v/>
      </c>
      <c r="F164" s="89" t="str">
        <f t="shared" si="146"/>
        <v/>
      </c>
      <c r="G164" s="184"/>
      <c r="H164" s="196"/>
      <c r="I164" s="185"/>
      <c r="J164" s="41"/>
      <c r="K164" s="38">
        <f>IF(I164="",0,VLOOKUP(I164,'LISTA DE PRECIOS'!A:F,IF(R164="CORO",4,5),FALSE))</f>
        <v>0</v>
      </c>
      <c r="L164" s="199">
        <f t="shared" si="147"/>
        <v>0</v>
      </c>
      <c r="M164" s="209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0</v>
      </c>
      <c r="N164" s="12">
        <f t="shared" si="148"/>
        <v>0</v>
      </c>
      <c r="O164" s="42">
        <f t="shared" si="149"/>
        <v>0</v>
      </c>
      <c r="P164" s="69"/>
      <c r="R164" s="67" t="str">
        <f>IF(H164="","",VLOOKUP(H164,'DATOS CLIENTES'!B:F,5,FALSE))</f>
        <v/>
      </c>
      <c r="S164" s="67" t="e">
        <f t="shared" si="153"/>
        <v>#REF!</v>
      </c>
      <c r="U164" s="68">
        <f t="shared" si="150"/>
        <v>0</v>
      </c>
      <c r="V164" s="68">
        <f t="shared" si="151"/>
        <v>0</v>
      </c>
      <c r="X164" s="67" t="e">
        <f t="shared" si="152"/>
        <v>#N/A</v>
      </c>
      <c r="Y164" s="67" t="str">
        <f t="shared" si="154"/>
        <v/>
      </c>
      <c r="Z164" s="67" t="str">
        <f t="shared" si="155"/>
        <v/>
      </c>
      <c r="AA164" s="67" t="str">
        <f t="shared" si="156"/>
        <v/>
      </c>
      <c r="AB164" s="219" t="str">
        <f t="shared" si="157"/>
        <v/>
      </c>
      <c r="AC164" s="67" t="str">
        <f t="shared" si="158"/>
        <v/>
      </c>
      <c r="AD164" s="67" t="str">
        <f t="shared" si="159"/>
        <v/>
      </c>
      <c r="AE164" s="67" t="str">
        <f t="shared" si="160"/>
        <v/>
      </c>
      <c r="AF164" s="67" t="str">
        <f t="shared" si="161"/>
        <v/>
      </c>
      <c r="AG164" s="67" t="str">
        <f t="shared" si="162"/>
        <v/>
      </c>
    </row>
    <row r="165" spans="1:33" s="66" customFormat="1">
      <c r="A165" s="18" t="str">
        <f t="shared" si="143"/>
        <v/>
      </c>
      <c r="B165" s="211"/>
      <c r="C165" s="57"/>
      <c r="D165" s="43">
        <f t="shared" si="144"/>
        <v>0</v>
      </c>
      <c r="E165" s="58" t="str">
        <f t="shared" si="145"/>
        <v/>
      </c>
      <c r="F165" s="89" t="str">
        <f t="shared" si="146"/>
        <v/>
      </c>
      <c r="G165" s="184"/>
      <c r="H165" s="196"/>
      <c r="I165" s="185"/>
      <c r="J165" s="41"/>
      <c r="K165" s="38">
        <f>IF(I165="",0,VLOOKUP(I165,'LISTA DE PRECIOS'!A:F,IF(R165="CORO",4,5),FALSE))</f>
        <v>0</v>
      </c>
      <c r="L165" s="199">
        <f t="shared" si="147"/>
        <v>0</v>
      </c>
      <c r="M165" s="209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0</v>
      </c>
      <c r="N165" s="12">
        <f t="shared" si="148"/>
        <v>0</v>
      </c>
      <c r="O165" s="42">
        <f t="shared" si="149"/>
        <v>0</v>
      </c>
      <c r="P165" s="69"/>
      <c r="R165" s="67" t="str">
        <f>IF(H165="","",VLOOKUP(H165,'DATOS CLIENTES'!B:F,5,FALSE))</f>
        <v/>
      </c>
      <c r="S165" s="67" t="e">
        <f t="shared" si="153"/>
        <v>#REF!</v>
      </c>
      <c r="U165" s="68">
        <f t="shared" si="150"/>
        <v>0</v>
      </c>
      <c r="V165" s="68">
        <f t="shared" si="151"/>
        <v>0</v>
      </c>
      <c r="X165" s="67" t="e">
        <f t="shared" si="152"/>
        <v>#N/A</v>
      </c>
      <c r="Y165" s="67" t="str">
        <f t="shared" si="154"/>
        <v/>
      </c>
      <c r="Z165" s="67" t="str">
        <f t="shared" si="155"/>
        <v/>
      </c>
      <c r="AA165" s="67" t="str">
        <f t="shared" si="156"/>
        <v/>
      </c>
      <c r="AB165" s="219" t="str">
        <f t="shared" si="157"/>
        <v/>
      </c>
      <c r="AC165" s="67" t="str">
        <f t="shared" si="158"/>
        <v/>
      </c>
      <c r="AD165" s="67" t="str">
        <f t="shared" si="159"/>
        <v/>
      </c>
      <c r="AE165" s="67" t="str">
        <f t="shared" si="160"/>
        <v/>
      </c>
      <c r="AF165" s="67" t="str">
        <f t="shared" si="161"/>
        <v/>
      </c>
      <c r="AG165" s="67" t="str">
        <f t="shared" si="162"/>
        <v/>
      </c>
    </row>
    <row r="166" spans="1:33" s="66" customFormat="1">
      <c r="A166" s="18" t="str">
        <f t="shared" si="143"/>
        <v/>
      </c>
      <c r="B166" s="211"/>
      <c r="C166" s="57"/>
      <c r="D166" s="43">
        <f t="shared" si="144"/>
        <v>0</v>
      </c>
      <c r="E166" s="58" t="str">
        <f t="shared" si="145"/>
        <v/>
      </c>
      <c r="F166" s="89" t="str">
        <f t="shared" si="146"/>
        <v/>
      </c>
      <c r="G166" s="184"/>
      <c r="H166" s="196"/>
      <c r="I166" s="185"/>
      <c r="J166" s="41"/>
      <c r="K166" s="38">
        <f>IF(I166="",0,VLOOKUP(I166,'LISTA DE PRECIOS'!A:F,IF(R166="CORO",4,5),FALSE))</f>
        <v>0</v>
      </c>
      <c r="L166" s="199">
        <f t="shared" si="147"/>
        <v>0</v>
      </c>
      <c r="M166" s="209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0</v>
      </c>
      <c r="N166" s="12">
        <f t="shared" si="148"/>
        <v>0</v>
      </c>
      <c r="O166" s="42">
        <f t="shared" si="149"/>
        <v>0</v>
      </c>
      <c r="P166" s="69"/>
      <c r="R166" s="67" t="str">
        <f>IF(H166="","",VLOOKUP(H166,'DATOS CLIENTES'!B:F,5,FALSE))</f>
        <v/>
      </c>
      <c r="S166" s="67" t="e">
        <f t="shared" si="153"/>
        <v>#REF!</v>
      </c>
      <c r="U166" s="68">
        <f t="shared" si="150"/>
        <v>0</v>
      </c>
      <c r="V166" s="68">
        <f t="shared" si="151"/>
        <v>0</v>
      </c>
      <c r="X166" s="67" t="e">
        <f t="shared" si="152"/>
        <v>#N/A</v>
      </c>
      <c r="Y166" s="67" t="str">
        <f t="shared" si="154"/>
        <v/>
      </c>
      <c r="Z166" s="67" t="str">
        <f t="shared" si="155"/>
        <v/>
      </c>
      <c r="AA166" s="67" t="str">
        <f t="shared" si="156"/>
        <v/>
      </c>
      <c r="AB166" s="219" t="str">
        <f t="shared" si="157"/>
        <v/>
      </c>
      <c r="AC166" s="67" t="str">
        <f t="shared" si="158"/>
        <v/>
      </c>
      <c r="AD166" s="67" t="str">
        <f t="shared" si="159"/>
        <v/>
      </c>
      <c r="AE166" s="67" t="str">
        <f t="shared" si="160"/>
        <v/>
      </c>
      <c r="AF166" s="67" t="str">
        <f t="shared" si="161"/>
        <v/>
      </c>
      <c r="AG166" s="67" t="str">
        <f t="shared" si="162"/>
        <v/>
      </c>
    </row>
    <row r="167" spans="1:33" s="66" customFormat="1">
      <c r="A167" s="18" t="str">
        <f t="shared" si="143"/>
        <v/>
      </c>
      <c r="B167" s="211"/>
      <c r="C167" s="57"/>
      <c r="D167" s="43">
        <f t="shared" si="144"/>
        <v>0</v>
      </c>
      <c r="E167" s="58" t="str">
        <f t="shared" si="145"/>
        <v/>
      </c>
      <c r="F167" s="89" t="str">
        <f t="shared" si="146"/>
        <v/>
      </c>
      <c r="G167" s="184"/>
      <c r="H167" s="196"/>
      <c r="I167" s="185"/>
      <c r="J167" s="41"/>
      <c r="K167" s="38">
        <f>IF(I167="",0,VLOOKUP(I167,'LISTA DE PRECIOS'!A:F,IF(R167="CORO",4,5),FALSE))</f>
        <v>0</v>
      </c>
      <c r="L167" s="199">
        <f t="shared" si="147"/>
        <v>0</v>
      </c>
      <c r="M167" s="209">
        <f>IF(F167="",0,IF(SUMIF('REPORTE GASTOS'!$C$6:$C$208,F167,'REPORTE GASTOS'!$G$6:$G$208)=0,'LISTA DE PRECIOS'!$H$3,SUMIF('REPORTE GASTOS'!$C$6:$C$208,F167,'REPORTE GASTOS'!$I$6:$I$208)/SUMIF('REPORTE GASTOS'!$C$6:$C$208,F167,'REPORTE GASTOS'!$G$6:$G$208)))</f>
        <v>0</v>
      </c>
      <c r="N167" s="12">
        <f t="shared" si="148"/>
        <v>0</v>
      </c>
      <c r="O167" s="42">
        <f t="shared" si="149"/>
        <v>0</v>
      </c>
      <c r="P167" s="69"/>
      <c r="R167" s="67" t="str">
        <f>IF(H167="","",VLOOKUP(H167,'DATOS CLIENTES'!B:F,5,FALSE))</f>
        <v/>
      </c>
      <c r="S167" s="67" t="e">
        <f t="shared" si="153"/>
        <v>#REF!</v>
      </c>
      <c r="U167" s="68">
        <f t="shared" si="150"/>
        <v>0</v>
      </c>
      <c r="V167" s="68">
        <f t="shared" si="151"/>
        <v>0</v>
      </c>
      <c r="X167" s="67" t="e">
        <f t="shared" si="152"/>
        <v>#N/A</v>
      </c>
      <c r="Y167" s="67" t="str">
        <f t="shared" si="154"/>
        <v/>
      </c>
      <c r="Z167" s="67" t="str">
        <f t="shared" si="155"/>
        <v/>
      </c>
      <c r="AA167" s="67" t="str">
        <f t="shared" si="156"/>
        <v/>
      </c>
      <c r="AB167" s="219" t="str">
        <f t="shared" si="157"/>
        <v/>
      </c>
      <c r="AC167" s="67" t="str">
        <f t="shared" si="158"/>
        <v/>
      </c>
      <c r="AD167" s="67" t="str">
        <f t="shared" si="159"/>
        <v/>
      </c>
      <c r="AE167" s="67" t="str">
        <f t="shared" si="160"/>
        <v/>
      </c>
      <c r="AF167" s="67" t="str">
        <f t="shared" si="161"/>
        <v/>
      </c>
      <c r="AG167" s="67" t="str">
        <f t="shared" si="162"/>
        <v/>
      </c>
    </row>
    <row r="168" spans="1:33" s="66" customFormat="1">
      <c r="A168" s="18" t="str">
        <f t="shared" si="143"/>
        <v/>
      </c>
      <c r="B168" s="211"/>
      <c r="C168" s="57"/>
      <c r="D168" s="43">
        <f t="shared" si="144"/>
        <v>0</v>
      </c>
      <c r="E168" s="58" t="str">
        <f t="shared" si="145"/>
        <v/>
      </c>
      <c r="F168" s="89" t="str">
        <f t="shared" si="146"/>
        <v/>
      </c>
      <c r="G168" s="184"/>
      <c r="H168" s="196"/>
      <c r="I168" s="185"/>
      <c r="J168" s="41"/>
      <c r="K168" s="38">
        <f>IF(I168="",0,VLOOKUP(I168,'LISTA DE PRECIOS'!A:F,IF(R168="CORO",4,5),FALSE))</f>
        <v>0</v>
      </c>
      <c r="L168" s="199">
        <f t="shared" si="147"/>
        <v>0</v>
      </c>
      <c r="M168" s="209">
        <f>IF(F168="",0,IF(SUMIF('REPORTE GASTOS'!$C$6:$C$208,F168,'REPORTE GASTOS'!$G$6:$G$208)=0,'LISTA DE PRECIOS'!$H$3,SUMIF('REPORTE GASTOS'!$C$6:$C$208,F168,'REPORTE GASTOS'!$I$6:$I$208)/SUMIF('REPORTE GASTOS'!$C$6:$C$208,F168,'REPORTE GASTOS'!$G$6:$G$208)))</f>
        <v>0</v>
      </c>
      <c r="N168" s="12">
        <f t="shared" si="148"/>
        <v>0</v>
      </c>
      <c r="O168" s="42">
        <f t="shared" si="149"/>
        <v>0</v>
      </c>
      <c r="P168" s="69"/>
      <c r="R168" s="67" t="str">
        <f>IF(H168="","",VLOOKUP(H168,'DATOS CLIENTES'!B:F,5,FALSE))</f>
        <v/>
      </c>
      <c r="S168" s="67" t="e">
        <f t="shared" si="153"/>
        <v>#REF!</v>
      </c>
      <c r="U168" s="68">
        <f t="shared" si="150"/>
        <v>0</v>
      </c>
      <c r="V168" s="68">
        <f t="shared" si="151"/>
        <v>0</v>
      </c>
      <c r="X168" s="67" t="e">
        <f t="shared" si="152"/>
        <v>#N/A</v>
      </c>
      <c r="Y168" s="67" t="str">
        <f t="shared" si="154"/>
        <v/>
      </c>
      <c r="Z168" s="67" t="str">
        <f t="shared" si="155"/>
        <v/>
      </c>
      <c r="AA168" s="67" t="str">
        <f t="shared" si="156"/>
        <v/>
      </c>
      <c r="AB168" s="219" t="str">
        <f t="shared" si="157"/>
        <v/>
      </c>
      <c r="AC168" s="67" t="str">
        <f t="shared" si="158"/>
        <v/>
      </c>
      <c r="AD168" s="67" t="str">
        <f t="shared" si="159"/>
        <v/>
      </c>
      <c r="AE168" s="67" t="str">
        <f t="shared" si="160"/>
        <v/>
      </c>
      <c r="AF168" s="67" t="str">
        <f t="shared" si="161"/>
        <v/>
      </c>
      <c r="AG168" s="67" t="str">
        <f t="shared" si="162"/>
        <v/>
      </c>
    </row>
    <row r="169" spans="1:33" s="66" customFormat="1">
      <c r="A169" s="18" t="str">
        <f t="shared" si="143"/>
        <v/>
      </c>
      <c r="B169" s="211"/>
      <c r="C169" s="57"/>
      <c r="D169" s="43">
        <f t="shared" si="144"/>
        <v>0</v>
      </c>
      <c r="E169" s="58" t="str">
        <f t="shared" si="145"/>
        <v/>
      </c>
      <c r="F169" s="89" t="str">
        <f t="shared" si="146"/>
        <v/>
      </c>
      <c r="G169" s="184"/>
      <c r="H169" s="196"/>
      <c r="I169" s="185"/>
      <c r="J169" s="41"/>
      <c r="K169" s="38">
        <f>IF(I169="",0,VLOOKUP(I169,'LISTA DE PRECIOS'!A:F,IF(R169="CORO",4,5),FALSE))</f>
        <v>0</v>
      </c>
      <c r="L169" s="199">
        <f t="shared" si="147"/>
        <v>0</v>
      </c>
      <c r="M169" s="209">
        <f>IF(F169="",0,IF(SUMIF('REPORTE GASTOS'!$C$6:$C$208,F169,'REPORTE GASTOS'!$G$6:$G$208)=0,'LISTA DE PRECIOS'!$H$3,SUMIF('REPORTE GASTOS'!$C$6:$C$208,F169,'REPORTE GASTOS'!$I$6:$I$208)/SUMIF('REPORTE GASTOS'!$C$6:$C$208,F169,'REPORTE GASTOS'!$G$6:$G$208)))</f>
        <v>0</v>
      </c>
      <c r="N169" s="12">
        <f t="shared" si="148"/>
        <v>0</v>
      </c>
      <c r="O169" s="42">
        <f t="shared" si="149"/>
        <v>0</v>
      </c>
      <c r="P169" s="69"/>
      <c r="R169" s="67" t="str">
        <f>IF(H169="","",VLOOKUP(H169,'DATOS CLIENTES'!B:F,5,FALSE))</f>
        <v/>
      </c>
      <c r="S169" s="67" t="e">
        <f t="shared" si="153"/>
        <v>#REF!</v>
      </c>
      <c r="U169" s="68">
        <f t="shared" si="150"/>
        <v>0</v>
      </c>
      <c r="V169" s="68">
        <f t="shared" si="151"/>
        <v>0</v>
      </c>
      <c r="X169" s="67" t="e">
        <f t="shared" si="152"/>
        <v>#N/A</v>
      </c>
      <c r="Y169" s="67" t="str">
        <f t="shared" si="154"/>
        <v/>
      </c>
      <c r="Z169" s="67" t="str">
        <f t="shared" si="155"/>
        <v/>
      </c>
      <c r="AA169" s="67" t="str">
        <f t="shared" si="156"/>
        <v/>
      </c>
      <c r="AB169" s="219" t="str">
        <f t="shared" si="157"/>
        <v/>
      </c>
      <c r="AC169" s="67" t="str">
        <f t="shared" si="158"/>
        <v/>
      </c>
      <c r="AD169" s="67" t="str">
        <f t="shared" si="159"/>
        <v/>
      </c>
      <c r="AE169" s="67" t="str">
        <f t="shared" si="160"/>
        <v/>
      </c>
      <c r="AF169" s="67" t="str">
        <f t="shared" si="161"/>
        <v/>
      </c>
      <c r="AG169" s="67" t="str">
        <f t="shared" si="162"/>
        <v/>
      </c>
    </row>
    <row r="170" spans="1:33" s="66" customFormat="1">
      <c r="A170" s="18" t="str">
        <f t="shared" si="143"/>
        <v/>
      </c>
      <c r="B170" s="211"/>
      <c r="C170" s="57"/>
      <c r="D170" s="43">
        <f t="shared" si="144"/>
        <v>0</v>
      </c>
      <c r="E170" s="58" t="str">
        <f t="shared" si="145"/>
        <v/>
      </c>
      <c r="F170" s="89" t="str">
        <f t="shared" si="146"/>
        <v/>
      </c>
      <c r="G170" s="184"/>
      <c r="H170" s="196"/>
      <c r="I170" s="185"/>
      <c r="J170" s="41"/>
      <c r="K170" s="38">
        <f>IF(I170="",0,VLOOKUP(I170,'LISTA DE PRECIOS'!A:F,IF(R170="CORO",4,5),FALSE))</f>
        <v>0</v>
      </c>
      <c r="L170" s="199">
        <f t="shared" si="147"/>
        <v>0</v>
      </c>
      <c r="M170" s="209">
        <f>IF(F170="",0,IF(SUMIF('REPORTE GASTOS'!$C$6:$C$208,F170,'REPORTE GASTOS'!$G$6:$G$208)=0,'LISTA DE PRECIOS'!$H$3,SUMIF('REPORTE GASTOS'!$C$6:$C$208,F170,'REPORTE GASTOS'!$I$6:$I$208)/SUMIF('REPORTE GASTOS'!$C$6:$C$208,F170,'REPORTE GASTOS'!$G$6:$G$208)))</f>
        <v>0</v>
      </c>
      <c r="N170" s="12">
        <f t="shared" si="148"/>
        <v>0</v>
      </c>
      <c r="O170" s="42">
        <f t="shared" si="149"/>
        <v>0</v>
      </c>
      <c r="P170" s="69"/>
      <c r="R170" s="67" t="str">
        <f>IF(H170="","",VLOOKUP(H170,'DATOS CLIENTES'!B:F,5,FALSE))</f>
        <v/>
      </c>
      <c r="S170" s="67" t="e">
        <f t="shared" si="153"/>
        <v>#REF!</v>
      </c>
      <c r="U170" s="68">
        <f t="shared" si="150"/>
        <v>0</v>
      </c>
      <c r="V170" s="68">
        <f t="shared" si="151"/>
        <v>0</v>
      </c>
      <c r="X170" s="67" t="e">
        <f t="shared" si="152"/>
        <v>#N/A</v>
      </c>
      <c r="Y170" s="67" t="str">
        <f t="shared" si="154"/>
        <v/>
      </c>
      <c r="Z170" s="67" t="str">
        <f t="shared" si="155"/>
        <v/>
      </c>
      <c r="AA170" s="67" t="str">
        <f t="shared" si="156"/>
        <v/>
      </c>
      <c r="AB170" s="219" t="str">
        <f t="shared" si="157"/>
        <v/>
      </c>
      <c r="AC170" s="67" t="str">
        <f t="shared" si="158"/>
        <v/>
      </c>
      <c r="AD170" s="67" t="str">
        <f t="shared" si="159"/>
        <v/>
      </c>
      <c r="AE170" s="67" t="str">
        <f t="shared" si="160"/>
        <v/>
      </c>
      <c r="AF170" s="67" t="str">
        <f t="shared" si="161"/>
        <v/>
      </c>
      <c r="AG170" s="67" t="str">
        <f t="shared" si="162"/>
        <v/>
      </c>
    </row>
    <row r="171" spans="1:33" s="66" customFormat="1">
      <c r="A171" s="18" t="str">
        <f t="shared" si="143"/>
        <v/>
      </c>
      <c r="B171" s="211"/>
      <c r="C171" s="57"/>
      <c r="D171" s="43">
        <f t="shared" si="144"/>
        <v>0</v>
      </c>
      <c r="E171" s="58" t="str">
        <f t="shared" si="145"/>
        <v/>
      </c>
      <c r="F171" s="89" t="str">
        <f t="shared" si="146"/>
        <v/>
      </c>
      <c r="G171" s="184"/>
      <c r="H171" s="196"/>
      <c r="I171" s="185"/>
      <c r="J171" s="41"/>
      <c r="K171" s="38">
        <f>IF(I171="",0,VLOOKUP(I171,'LISTA DE PRECIOS'!A:F,IF(R171="CORO",4,5),FALSE))</f>
        <v>0</v>
      </c>
      <c r="L171" s="199">
        <f t="shared" si="147"/>
        <v>0</v>
      </c>
      <c r="M171" s="209">
        <f>IF(F171="",0,IF(SUMIF('REPORTE GASTOS'!$C$6:$C$208,F171,'REPORTE GASTOS'!$G$6:$G$208)=0,'LISTA DE PRECIOS'!$H$3,SUMIF('REPORTE GASTOS'!$C$6:$C$208,F171,'REPORTE GASTOS'!$I$6:$I$208)/SUMIF('REPORTE GASTOS'!$C$6:$C$208,F171,'REPORTE GASTOS'!$G$6:$G$208)))</f>
        <v>0</v>
      </c>
      <c r="N171" s="12">
        <f t="shared" si="148"/>
        <v>0</v>
      </c>
      <c r="O171" s="42">
        <f t="shared" si="149"/>
        <v>0</v>
      </c>
      <c r="P171" s="69"/>
      <c r="R171" s="67" t="str">
        <f>IF(H171="","",VLOOKUP(H171,'DATOS CLIENTES'!B:F,5,FALSE))</f>
        <v/>
      </c>
      <c r="S171" s="67" t="e">
        <f t="shared" si="153"/>
        <v>#REF!</v>
      </c>
      <c r="U171" s="68">
        <f t="shared" si="150"/>
        <v>0</v>
      </c>
      <c r="V171" s="68">
        <f t="shared" si="151"/>
        <v>0</v>
      </c>
      <c r="X171" s="67" t="e">
        <f t="shared" si="152"/>
        <v>#N/A</v>
      </c>
      <c r="Y171" s="67" t="str">
        <f t="shared" si="154"/>
        <v/>
      </c>
      <c r="Z171" s="67" t="str">
        <f t="shared" si="155"/>
        <v/>
      </c>
      <c r="AA171" s="67" t="str">
        <f t="shared" si="156"/>
        <v/>
      </c>
      <c r="AB171" s="219" t="str">
        <f t="shared" si="157"/>
        <v/>
      </c>
      <c r="AC171" s="67" t="str">
        <f t="shared" si="158"/>
        <v/>
      </c>
      <c r="AD171" s="67" t="str">
        <f t="shared" si="159"/>
        <v/>
      </c>
      <c r="AE171" s="67" t="str">
        <f t="shared" si="160"/>
        <v/>
      </c>
      <c r="AF171" s="67" t="str">
        <f t="shared" si="161"/>
        <v/>
      </c>
      <c r="AG171" s="67" t="str">
        <f t="shared" si="162"/>
        <v/>
      </c>
    </row>
    <row r="172" spans="1:33" s="66" customFormat="1">
      <c r="A172" s="18" t="str">
        <f t="shared" si="143"/>
        <v/>
      </c>
      <c r="B172" s="211"/>
      <c r="C172" s="57"/>
      <c r="D172" s="43">
        <f t="shared" si="144"/>
        <v>0</v>
      </c>
      <c r="E172" s="58" t="str">
        <f t="shared" si="145"/>
        <v/>
      </c>
      <c r="F172" s="89" t="str">
        <f t="shared" si="146"/>
        <v/>
      </c>
      <c r="G172" s="184"/>
      <c r="H172" s="196"/>
      <c r="I172" s="185"/>
      <c r="J172" s="41"/>
      <c r="K172" s="38">
        <f>IF(I172="",0,VLOOKUP(I172,'LISTA DE PRECIOS'!A:F,IF(R172="CORO",4,5),FALSE))</f>
        <v>0</v>
      </c>
      <c r="L172" s="199">
        <f t="shared" si="147"/>
        <v>0</v>
      </c>
      <c r="M172" s="209">
        <f>IF(F172="",0,IF(SUMIF('REPORTE GASTOS'!$C$6:$C$208,F172,'REPORTE GASTOS'!$G$6:$G$208)=0,'LISTA DE PRECIOS'!$H$3,SUMIF('REPORTE GASTOS'!$C$6:$C$208,F172,'REPORTE GASTOS'!$I$6:$I$208)/SUMIF('REPORTE GASTOS'!$C$6:$C$208,F172,'REPORTE GASTOS'!$G$6:$G$208)))</f>
        <v>0</v>
      </c>
      <c r="N172" s="12">
        <f t="shared" si="148"/>
        <v>0</v>
      </c>
      <c r="O172" s="42">
        <f t="shared" si="149"/>
        <v>0</v>
      </c>
      <c r="P172" s="69"/>
      <c r="R172" s="67" t="str">
        <f>IF(H172="","",VLOOKUP(H172,'DATOS CLIENTES'!B:F,5,FALSE))</f>
        <v/>
      </c>
      <c r="S172" s="67" t="e">
        <f t="shared" si="153"/>
        <v>#REF!</v>
      </c>
      <c r="U172" s="68">
        <f t="shared" si="150"/>
        <v>0</v>
      </c>
      <c r="V172" s="68">
        <f t="shared" si="151"/>
        <v>0</v>
      </c>
      <c r="X172" s="67" t="e">
        <f t="shared" si="152"/>
        <v>#N/A</v>
      </c>
      <c r="Y172" s="67" t="str">
        <f t="shared" si="154"/>
        <v/>
      </c>
      <c r="Z172" s="67" t="str">
        <f t="shared" si="155"/>
        <v/>
      </c>
      <c r="AA172" s="67" t="str">
        <f t="shared" si="156"/>
        <v/>
      </c>
      <c r="AB172" s="219" t="str">
        <f t="shared" si="157"/>
        <v/>
      </c>
      <c r="AC172" s="67" t="str">
        <f t="shared" si="158"/>
        <v/>
      </c>
      <c r="AD172" s="67" t="str">
        <f t="shared" si="159"/>
        <v/>
      </c>
      <c r="AE172" s="67" t="str">
        <f t="shared" si="160"/>
        <v/>
      </c>
      <c r="AF172" s="67" t="str">
        <f t="shared" si="161"/>
        <v/>
      </c>
      <c r="AG172" s="67" t="str">
        <f t="shared" si="162"/>
        <v/>
      </c>
    </row>
    <row r="173" spans="1:33" s="66" customFormat="1">
      <c r="A173" s="18" t="str">
        <f t="shared" si="143"/>
        <v/>
      </c>
      <c r="B173" s="211"/>
      <c r="C173" s="57"/>
      <c r="D173" s="43">
        <f t="shared" si="144"/>
        <v>0</v>
      </c>
      <c r="E173" s="58" t="str">
        <f t="shared" si="145"/>
        <v/>
      </c>
      <c r="F173" s="89" t="str">
        <f t="shared" si="146"/>
        <v/>
      </c>
      <c r="G173" s="184"/>
      <c r="H173" s="196"/>
      <c r="I173" s="185"/>
      <c r="J173" s="41"/>
      <c r="K173" s="38">
        <f>IF(I173="",0,VLOOKUP(I173,'LISTA DE PRECIOS'!A:F,IF(R173="CORO",4,5),FALSE))</f>
        <v>0</v>
      </c>
      <c r="L173" s="199">
        <f t="shared" si="147"/>
        <v>0</v>
      </c>
      <c r="M173" s="209">
        <f>IF(F173="",0,IF(SUMIF('REPORTE GASTOS'!$C$6:$C$208,F173,'REPORTE GASTOS'!$G$6:$G$208)=0,'LISTA DE PRECIOS'!$H$3,SUMIF('REPORTE GASTOS'!$C$6:$C$208,F173,'REPORTE GASTOS'!$I$6:$I$208)/SUMIF('REPORTE GASTOS'!$C$6:$C$208,F173,'REPORTE GASTOS'!$G$6:$G$208)))</f>
        <v>0</v>
      </c>
      <c r="N173" s="12">
        <f t="shared" si="148"/>
        <v>0</v>
      </c>
      <c r="O173" s="42">
        <f t="shared" si="149"/>
        <v>0</v>
      </c>
      <c r="P173" s="69"/>
      <c r="R173" s="67" t="str">
        <f>IF(H173="","",VLOOKUP(H173,'DATOS CLIENTES'!B:F,5,FALSE))</f>
        <v/>
      </c>
      <c r="S173" s="67" t="e">
        <f t="shared" si="153"/>
        <v>#REF!</v>
      </c>
      <c r="U173" s="68">
        <f t="shared" si="150"/>
        <v>0</v>
      </c>
      <c r="V173" s="68">
        <f t="shared" si="151"/>
        <v>0</v>
      </c>
      <c r="X173" s="67" t="e">
        <f t="shared" si="152"/>
        <v>#N/A</v>
      </c>
      <c r="Y173" s="67" t="str">
        <f t="shared" si="154"/>
        <v/>
      </c>
      <c r="Z173" s="67" t="str">
        <f t="shared" si="155"/>
        <v/>
      </c>
      <c r="AA173" s="67" t="str">
        <f t="shared" si="156"/>
        <v/>
      </c>
      <c r="AB173" s="219" t="str">
        <f t="shared" si="157"/>
        <v/>
      </c>
      <c r="AC173" s="67" t="str">
        <f t="shared" si="158"/>
        <v/>
      </c>
      <c r="AD173" s="67" t="str">
        <f t="shared" si="159"/>
        <v/>
      </c>
      <c r="AE173" s="67" t="str">
        <f t="shared" si="160"/>
        <v/>
      </c>
      <c r="AF173" s="67" t="str">
        <f t="shared" si="161"/>
        <v/>
      </c>
      <c r="AG173" s="67" t="str">
        <f t="shared" si="162"/>
        <v/>
      </c>
    </row>
    <row r="174" spans="1:33" s="66" customFormat="1">
      <c r="A174" s="18" t="str">
        <f t="shared" si="143"/>
        <v/>
      </c>
      <c r="B174" s="211"/>
      <c r="C174" s="57"/>
      <c r="D174" s="43">
        <f t="shared" si="144"/>
        <v>0</v>
      </c>
      <c r="E174" s="58" t="str">
        <f t="shared" si="145"/>
        <v/>
      </c>
      <c r="F174" s="89" t="str">
        <f t="shared" si="146"/>
        <v/>
      </c>
      <c r="G174" s="184"/>
      <c r="H174" s="196"/>
      <c r="I174" s="185"/>
      <c r="J174" s="41"/>
      <c r="K174" s="38">
        <f>IF(I174="",0,VLOOKUP(I174,'LISTA DE PRECIOS'!A:F,IF(R174="CORO",4,5),FALSE))</f>
        <v>0</v>
      </c>
      <c r="L174" s="199">
        <f t="shared" si="147"/>
        <v>0</v>
      </c>
      <c r="M174" s="209">
        <f>IF(F174="",0,IF(SUMIF('REPORTE GASTOS'!$C$6:$C$208,F174,'REPORTE GASTOS'!$G$6:$G$208)=0,'LISTA DE PRECIOS'!$H$3,SUMIF('REPORTE GASTOS'!$C$6:$C$208,F174,'REPORTE GASTOS'!$I$6:$I$208)/SUMIF('REPORTE GASTOS'!$C$6:$C$208,F174,'REPORTE GASTOS'!$G$6:$G$208)))</f>
        <v>0</v>
      </c>
      <c r="N174" s="12">
        <f t="shared" si="148"/>
        <v>0</v>
      </c>
      <c r="O174" s="42">
        <f t="shared" si="149"/>
        <v>0</v>
      </c>
      <c r="P174" s="69"/>
      <c r="R174" s="67" t="str">
        <f>IF(H174="","",VLOOKUP(H174,'DATOS CLIENTES'!B:F,5,FALSE))</f>
        <v/>
      </c>
      <c r="S174" s="67" t="e">
        <f t="shared" si="153"/>
        <v>#REF!</v>
      </c>
      <c r="U174" s="68">
        <f t="shared" si="150"/>
        <v>0</v>
      </c>
      <c r="V174" s="68">
        <f t="shared" si="151"/>
        <v>0</v>
      </c>
      <c r="X174" s="67" t="e">
        <f t="shared" si="152"/>
        <v>#N/A</v>
      </c>
      <c r="Y174" s="67" t="str">
        <f t="shared" si="154"/>
        <v/>
      </c>
      <c r="Z174" s="67" t="str">
        <f t="shared" si="155"/>
        <v/>
      </c>
      <c r="AA174" s="67" t="str">
        <f t="shared" si="156"/>
        <v/>
      </c>
      <c r="AB174" s="219" t="str">
        <f t="shared" si="157"/>
        <v/>
      </c>
      <c r="AC174" s="67" t="str">
        <f t="shared" si="158"/>
        <v/>
      </c>
      <c r="AD174" s="67" t="str">
        <f t="shared" si="159"/>
        <v/>
      </c>
      <c r="AE174" s="67" t="str">
        <f t="shared" si="160"/>
        <v/>
      </c>
      <c r="AF174" s="67" t="str">
        <f t="shared" si="161"/>
        <v/>
      </c>
      <c r="AG174" s="67" t="str">
        <f t="shared" si="162"/>
        <v/>
      </c>
    </row>
    <row r="175" spans="1:33" s="66" customFormat="1">
      <c r="A175" s="18" t="str">
        <f t="shared" si="143"/>
        <v/>
      </c>
      <c r="B175" s="211"/>
      <c r="C175" s="57"/>
      <c r="D175" s="43">
        <f t="shared" si="144"/>
        <v>0</v>
      </c>
      <c r="E175" s="58" t="str">
        <f t="shared" si="145"/>
        <v/>
      </c>
      <c r="F175" s="89" t="str">
        <f t="shared" si="146"/>
        <v/>
      </c>
      <c r="G175" s="184"/>
      <c r="H175" s="196"/>
      <c r="I175" s="185"/>
      <c r="J175" s="41"/>
      <c r="K175" s="38">
        <f>IF(I175="",0,VLOOKUP(I175,'LISTA DE PRECIOS'!A:F,IF(R175="CORO",4,5),FALSE))</f>
        <v>0</v>
      </c>
      <c r="L175" s="199">
        <f t="shared" si="147"/>
        <v>0</v>
      </c>
      <c r="M175" s="209">
        <f>IF(F175="",0,IF(SUMIF('REPORTE GASTOS'!$C$6:$C$208,F175,'REPORTE GASTOS'!$G$6:$G$208)=0,'LISTA DE PRECIOS'!$H$3,SUMIF('REPORTE GASTOS'!$C$6:$C$208,F175,'REPORTE GASTOS'!$I$6:$I$208)/SUMIF('REPORTE GASTOS'!$C$6:$C$208,F175,'REPORTE GASTOS'!$G$6:$G$208)))</f>
        <v>0</v>
      </c>
      <c r="N175" s="12">
        <f t="shared" si="148"/>
        <v>0</v>
      </c>
      <c r="O175" s="42">
        <f t="shared" si="149"/>
        <v>0</v>
      </c>
      <c r="P175" s="69"/>
      <c r="R175" s="67" t="str">
        <f>IF(H175="","",VLOOKUP(H175,'DATOS CLIENTES'!B:F,5,FALSE))</f>
        <v/>
      </c>
      <c r="S175" s="67" t="e">
        <f t="shared" si="153"/>
        <v>#REF!</v>
      </c>
      <c r="U175" s="68">
        <f t="shared" si="150"/>
        <v>0</v>
      </c>
      <c r="V175" s="68">
        <f t="shared" si="151"/>
        <v>0</v>
      </c>
      <c r="X175" s="67" t="e">
        <f t="shared" si="152"/>
        <v>#N/A</v>
      </c>
      <c r="Y175" s="67" t="str">
        <f t="shared" si="154"/>
        <v/>
      </c>
      <c r="Z175" s="67" t="str">
        <f t="shared" si="155"/>
        <v/>
      </c>
      <c r="AA175" s="67" t="str">
        <f t="shared" si="156"/>
        <v/>
      </c>
      <c r="AB175" s="219" t="str">
        <f t="shared" si="157"/>
        <v/>
      </c>
      <c r="AC175" s="67" t="str">
        <f t="shared" si="158"/>
        <v/>
      </c>
      <c r="AD175" s="67" t="str">
        <f t="shared" si="159"/>
        <v/>
      </c>
      <c r="AE175" s="67" t="str">
        <f t="shared" si="160"/>
        <v/>
      </c>
      <c r="AF175" s="67" t="str">
        <f t="shared" si="161"/>
        <v/>
      </c>
      <c r="AG175" s="67" t="str">
        <f t="shared" si="162"/>
        <v/>
      </c>
    </row>
    <row r="176" spans="1:33" s="66" customFormat="1">
      <c r="A176" s="18" t="str">
        <f t="shared" si="143"/>
        <v/>
      </c>
      <c r="B176" s="211"/>
      <c r="C176" s="57"/>
      <c r="D176" s="43">
        <f t="shared" si="144"/>
        <v>0</v>
      </c>
      <c r="E176" s="58" t="str">
        <f t="shared" si="145"/>
        <v/>
      </c>
      <c r="F176" s="89" t="str">
        <f t="shared" si="146"/>
        <v/>
      </c>
      <c r="G176" s="184"/>
      <c r="H176" s="196"/>
      <c r="I176" s="185"/>
      <c r="J176" s="41"/>
      <c r="K176" s="38">
        <f>IF(I176="",0,VLOOKUP(I176,'LISTA DE PRECIOS'!A:F,IF(R176="CORO",4,5),FALSE))</f>
        <v>0</v>
      </c>
      <c r="L176" s="199">
        <f t="shared" si="147"/>
        <v>0</v>
      </c>
      <c r="M176" s="209">
        <f>IF(F176="",0,IF(SUMIF('REPORTE GASTOS'!$C$6:$C$208,F176,'REPORTE GASTOS'!$G$6:$G$208)=0,'LISTA DE PRECIOS'!$H$3,SUMIF('REPORTE GASTOS'!$C$6:$C$208,F176,'REPORTE GASTOS'!$I$6:$I$208)/SUMIF('REPORTE GASTOS'!$C$6:$C$208,F176,'REPORTE GASTOS'!$G$6:$G$208)))</f>
        <v>0</v>
      </c>
      <c r="N176" s="12">
        <f t="shared" si="148"/>
        <v>0</v>
      </c>
      <c r="O176" s="42">
        <f t="shared" si="149"/>
        <v>0</v>
      </c>
      <c r="P176" s="69"/>
      <c r="R176" s="67" t="str">
        <f>IF(H176="","",VLOOKUP(H176,'DATOS CLIENTES'!B:F,5,FALSE))</f>
        <v/>
      </c>
      <c r="S176" s="67" t="e">
        <f t="shared" si="153"/>
        <v>#REF!</v>
      </c>
      <c r="U176" s="68">
        <f t="shared" si="150"/>
        <v>0</v>
      </c>
      <c r="V176" s="68">
        <f t="shared" si="151"/>
        <v>0</v>
      </c>
      <c r="X176" s="67" t="e">
        <f t="shared" si="152"/>
        <v>#N/A</v>
      </c>
      <c r="Y176" s="67" t="str">
        <f t="shared" si="154"/>
        <v/>
      </c>
      <c r="Z176" s="67" t="str">
        <f t="shared" si="155"/>
        <v/>
      </c>
      <c r="AA176" s="67" t="str">
        <f t="shared" si="156"/>
        <v/>
      </c>
      <c r="AB176" s="219" t="str">
        <f t="shared" si="157"/>
        <v/>
      </c>
      <c r="AC176" s="67" t="str">
        <f t="shared" si="158"/>
        <v/>
      </c>
      <c r="AD176" s="67" t="str">
        <f t="shared" si="159"/>
        <v/>
      </c>
      <c r="AE176" s="67" t="str">
        <f t="shared" si="160"/>
        <v/>
      </c>
      <c r="AF176" s="67" t="str">
        <f t="shared" si="161"/>
        <v/>
      </c>
      <c r="AG176" s="67" t="str">
        <f t="shared" si="162"/>
        <v/>
      </c>
    </row>
    <row r="177" spans="1:33" s="66" customFormat="1">
      <c r="A177" s="18" t="str">
        <f t="shared" si="143"/>
        <v/>
      </c>
      <c r="B177" s="211"/>
      <c r="C177" s="57"/>
      <c r="D177" s="43">
        <f t="shared" si="144"/>
        <v>0</v>
      </c>
      <c r="E177" s="58" t="str">
        <f t="shared" si="145"/>
        <v/>
      </c>
      <c r="F177" s="89" t="str">
        <f t="shared" si="146"/>
        <v/>
      </c>
      <c r="G177" s="184"/>
      <c r="H177" s="196"/>
      <c r="I177" s="185"/>
      <c r="J177" s="41"/>
      <c r="K177" s="38">
        <f>IF(I177="",0,VLOOKUP(I177,'LISTA DE PRECIOS'!A:F,IF(R177="CORO",4,5),FALSE))</f>
        <v>0</v>
      </c>
      <c r="L177" s="199">
        <f t="shared" si="147"/>
        <v>0</v>
      </c>
      <c r="M177" s="209">
        <f>IF(F177="",0,IF(SUMIF('REPORTE GASTOS'!$C$6:$C$208,F177,'REPORTE GASTOS'!$G$6:$G$208)=0,'LISTA DE PRECIOS'!$H$3,SUMIF('REPORTE GASTOS'!$C$6:$C$208,F177,'REPORTE GASTOS'!$I$6:$I$208)/SUMIF('REPORTE GASTOS'!$C$6:$C$208,F177,'REPORTE GASTOS'!$G$6:$G$208)))</f>
        <v>0</v>
      </c>
      <c r="N177" s="12">
        <f t="shared" si="148"/>
        <v>0</v>
      </c>
      <c r="O177" s="42">
        <f t="shared" si="149"/>
        <v>0</v>
      </c>
      <c r="P177" s="69"/>
      <c r="R177" s="67" t="str">
        <f>IF(H177="","",VLOOKUP(H177,'DATOS CLIENTES'!B:F,5,FALSE))</f>
        <v/>
      </c>
      <c r="S177" s="67" t="e">
        <f t="shared" si="153"/>
        <v>#REF!</v>
      </c>
      <c r="U177" s="68">
        <f t="shared" si="150"/>
        <v>0</v>
      </c>
      <c r="V177" s="68">
        <f t="shared" si="151"/>
        <v>0</v>
      </c>
      <c r="X177" s="67" t="e">
        <f t="shared" si="152"/>
        <v>#N/A</v>
      </c>
      <c r="Y177" s="67" t="str">
        <f t="shared" si="154"/>
        <v/>
      </c>
      <c r="Z177" s="67" t="str">
        <f t="shared" si="155"/>
        <v/>
      </c>
      <c r="AA177" s="67" t="str">
        <f t="shared" si="156"/>
        <v/>
      </c>
      <c r="AB177" s="219" t="str">
        <f t="shared" si="157"/>
        <v/>
      </c>
      <c r="AC177" s="67" t="str">
        <f t="shared" si="158"/>
        <v/>
      </c>
      <c r="AD177" s="67" t="str">
        <f t="shared" si="159"/>
        <v/>
      </c>
      <c r="AE177" s="67" t="str">
        <f t="shared" si="160"/>
        <v/>
      </c>
      <c r="AF177" s="67" t="str">
        <f t="shared" si="161"/>
        <v/>
      </c>
      <c r="AG177" s="67" t="str">
        <f t="shared" si="162"/>
        <v/>
      </c>
    </row>
    <row r="178" spans="1:33" s="66" customFormat="1">
      <c r="A178" s="18" t="str">
        <f t="shared" si="143"/>
        <v/>
      </c>
      <c r="B178" s="211"/>
      <c r="C178" s="57"/>
      <c r="D178" s="43">
        <f t="shared" si="144"/>
        <v>0</v>
      </c>
      <c r="E178" s="58" t="str">
        <f t="shared" si="145"/>
        <v/>
      </c>
      <c r="F178" s="89" t="str">
        <f t="shared" si="146"/>
        <v/>
      </c>
      <c r="G178" s="184"/>
      <c r="H178" s="196"/>
      <c r="I178" s="185"/>
      <c r="J178" s="41"/>
      <c r="K178" s="38">
        <f>IF(I178="",0,VLOOKUP(I178,'LISTA DE PRECIOS'!A:F,IF(R178="CORO",4,5),FALSE))</f>
        <v>0</v>
      </c>
      <c r="L178" s="199">
        <f t="shared" si="147"/>
        <v>0</v>
      </c>
      <c r="M178" s="209">
        <f>IF(F178="",0,IF(SUMIF('REPORTE GASTOS'!$C$6:$C$208,F178,'REPORTE GASTOS'!$G$6:$G$208)=0,'LISTA DE PRECIOS'!$H$3,SUMIF('REPORTE GASTOS'!$C$6:$C$208,F178,'REPORTE GASTOS'!$I$6:$I$208)/SUMIF('REPORTE GASTOS'!$C$6:$C$208,F178,'REPORTE GASTOS'!$G$6:$G$208)))</f>
        <v>0</v>
      </c>
      <c r="N178" s="12">
        <f t="shared" si="148"/>
        <v>0</v>
      </c>
      <c r="O178" s="42">
        <f t="shared" si="149"/>
        <v>0</v>
      </c>
      <c r="P178" s="69"/>
      <c r="R178" s="67" t="str">
        <f>IF(H178="","",VLOOKUP(H178,'DATOS CLIENTES'!B:F,5,FALSE))</f>
        <v/>
      </c>
      <c r="S178" s="67" t="e">
        <f t="shared" si="153"/>
        <v>#REF!</v>
      </c>
      <c r="U178" s="68">
        <f t="shared" si="150"/>
        <v>0</v>
      </c>
      <c r="V178" s="68">
        <f t="shared" si="151"/>
        <v>0</v>
      </c>
      <c r="X178" s="67" t="e">
        <f t="shared" si="152"/>
        <v>#N/A</v>
      </c>
      <c r="Y178" s="67" t="str">
        <f t="shared" si="154"/>
        <v/>
      </c>
      <c r="Z178" s="67" t="str">
        <f t="shared" si="155"/>
        <v/>
      </c>
      <c r="AA178" s="67" t="str">
        <f t="shared" si="156"/>
        <v/>
      </c>
      <c r="AB178" s="219" t="str">
        <f t="shared" si="157"/>
        <v/>
      </c>
      <c r="AC178" s="67" t="str">
        <f t="shared" si="158"/>
        <v/>
      </c>
      <c r="AD178" s="67" t="str">
        <f t="shared" si="159"/>
        <v/>
      </c>
      <c r="AE178" s="67" t="str">
        <f t="shared" si="160"/>
        <v/>
      </c>
      <c r="AF178" s="67" t="str">
        <f t="shared" si="161"/>
        <v/>
      </c>
      <c r="AG178" s="67" t="str">
        <f t="shared" si="162"/>
        <v/>
      </c>
    </row>
    <row r="179" spans="1:33" s="66" customFormat="1">
      <c r="A179" s="18" t="str">
        <f t="shared" si="143"/>
        <v/>
      </c>
      <c r="B179" s="211"/>
      <c r="C179" s="57"/>
      <c r="D179" s="43">
        <f t="shared" si="144"/>
        <v>0</v>
      </c>
      <c r="E179" s="58" t="str">
        <f t="shared" si="145"/>
        <v/>
      </c>
      <c r="F179" s="89" t="str">
        <f t="shared" si="146"/>
        <v/>
      </c>
      <c r="G179" s="184"/>
      <c r="H179" s="196"/>
      <c r="I179" s="185"/>
      <c r="J179" s="41"/>
      <c r="K179" s="38">
        <f>IF(I179="",0,VLOOKUP(I179,'LISTA DE PRECIOS'!A:F,IF(R179="CORO",4,5),FALSE))</f>
        <v>0</v>
      </c>
      <c r="L179" s="199">
        <f t="shared" si="147"/>
        <v>0</v>
      </c>
      <c r="M179" s="209">
        <f>IF(F179="",0,IF(SUMIF('REPORTE GASTOS'!$C$6:$C$208,F179,'REPORTE GASTOS'!$G$6:$G$208)=0,'LISTA DE PRECIOS'!$H$3,SUMIF('REPORTE GASTOS'!$C$6:$C$208,F179,'REPORTE GASTOS'!$I$6:$I$208)/SUMIF('REPORTE GASTOS'!$C$6:$C$208,F179,'REPORTE GASTOS'!$G$6:$G$208)))</f>
        <v>0</v>
      </c>
      <c r="N179" s="12">
        <f t="shared" si="148"/>
        <v>0</v>
      </c>
      <c r="O179" s="42">
        <f t="shared" si="149"/>
        <v>0</v>
      </c>
      <c r="P179" s="69"/>
      <c r="R179" s="67" t="str">
        <f>IF(H179="","",VLOOKUP(H179,'DATOS CLIENTES'!B:F,5,FALSE))</f>
        <v/>
      </c>
      <c r="S179" s="67" t="e">
        <f t="shared" si="153"/>
        <v>#REF!</v>
      </c>
      <c r="U179" s="68">
        <f t="shared" si="150"/>
        <v>0</v>
      </c>
      <c r="V179" s="68">
        <f t="shared" si="151"/>
        <v>0</v>
      </c>
      <c r="X179" s="67" t="e">
        <f t="shared" si="152"/>
        <v>#N/A</v>
      </c>
      <c r="Y179" s="67" t="str">
        <f t="shared" si="154"/>
        <v/>
      </c>
      <c r="Z179" s="67" t="str">
        <f t="shared" si="155"/>
        <v/>
      </c>
      <c r="AA179" s="67" t="str">
        <f t="shared" si="156"/>
        <v/>
      </c>
      <c r="AB179" s="219" t="str">
        <f t="shared" si="157"/>
        <v/>
      </c>
      <c r="AC179" s="67" t="str">
        <f t="shared" si="158"/>
        <v/>
      </c>
      <c r="AD179" s="67" t="str">
        <f t="shared" si="159"/>
        <v/>
      </c>
      <c r="AE179" s="67" t="str">
        <f t="shared" si="160"/>
        <v/>
      </c>
      <c r="AF179" s="67" t="str">
        <f t="shared" si="161"/>
        <v/>
      </c>
      <c r="AG179" s="67" t="str">
        <f t="shared" si="162"/>
        <v/>
      </c>
    </row>
    <row r="180" spans="1:33" s="66" customFormat="1">
      <c r="A180" s="18" t="str">
        <f t="shared" si="143"/>
        <v/>
      </c>
      <c r="B180" s="211"/>
      <c r="C180" s="57"/>
      <c r="D180" s="43">
        <f t="shared" si="144"/>
        <v>0</v>
      </c>
      <c r="E180" s="58" t="str">
        <f t="shared" si="145"/>
        <v/>
      </c>
      <c r="F180" s="89" t="str">
        <f t="shared" si="146"/>
        <v/>
      </c>
      <c r="G180" s="184"/>
      <c r="H180" s="196"/>
      <c r="I180" s="185"/>
      <c r="J180" s="41"/>
      <c r="K180" s="38">
        <f>IF(I180="",0,VLOOKUP(I180,'LISTA DE PRECIOS'!A:F,IF(R180="CORO",4,5),FALSE))</f>
        <v>0</v>
      </c>
      <c r="L180" s="199">
        <f t="shared" si="147"/>
        <v>0</v>
      </c>
      <c r="M180" s="209">
        <f>IF(F180="",0,IF(SUMIF('REPORTE GASTOS'!$C$6:$C$208,F180,'REPORTE GASTOS'!$G$6:$G$208)=0,'LISTA DE PRECIOS'!$H$3,SUMIF('REPORTE GASTOS'!$C$6:$C$208,F180,'REPORTE GASTOS'!$I$6:$I$208)/SUMIF('REPORTE GASTOS'!$C$6:$C$208,F180,'REPORTE GASTOS'!$G$6:$G$208)))</f>
        <v>0</v>
      </c>
      <c r="N180" s="12">
        <f t="shared" si="148"/>
        <v>0</v>
      </c>
      <c r="O180" s="42">
        <f t="shared" si="149"/>
        <v>0</v>
      </c>
      <c r="P180" s="69"/>
      <c r="R180" s="67" t="str">
        <f>IF(H180="","",VLOOKUP(H180,'DATOS CLIENTES'!B:F,5,FALSE))</f>
        <v/>
      </c>
      <c r="S180" s="67" t="e">
        <f t="shared" si="153"/>
        <v>#REF!</v>
      </c>
      <c r="U180" s="68">
        <f t="shared" si="150"/>
        <v>0</v>
      </c>
      <c r="V180" s="68">
        <f t="shared" si="151"/>
        <v>0</v>
      </c>
      <c r="X180" s="67" t="e">
        <f t="shared" si="152"/>
        <v>#N/A</v>
      </c>
      <c r="Y180" s="67" t="str">
        <f t="shared" si="154"/>
        <v/>
      </c>
      <c r="Z180" s="67" t="str">
        <f t="shared" si="155"/>
        <v/>
      </c>
      <c r="AA180" s="67" t="str">
        <f t="shared" si="156"/>
        <v/>
      </c>
      <c r="AB180" s="219" t="str">
        <f t="shared" si="157"/>
        <v/>
      </c>
      <c r="AC180" s="67" t="str">
        <f t="shared" si="158"/>
        <v/>
      </c>
      <c r="AD180" s="67" t="str">
        <f t="shared" si="159"/>
        <v/>
      </c>
      <c r="AE180" s="67" t="str">
        <f t="shared" si="160"/>
        <v/>
      </c>
      <c r="AF180" s="67" t="str">
        <f t="shared" si="161"/>
        <v/>
      </c>
      <c r="AG180" s="67" t="str">
        <f t="shared" si="162"/>
        <v/>
      </c>
    </row>
    <row r="181" spans="1:33" s="66" customFormat="1">
      <c r="A181" s="18" t="str">
        <f t="shared" si="143"/>
        <v/>
      </c>
      <c r="B181" s="211"/>
      <c r="C181" s="57"/>
      <c r="D181" s="43">
        <f t="shared" si="144"/>
        <v>0</v>
      </c>
      <c r="E181" s="58" t="str">
        <f t="shared" si="145"/>
        <v/>
      </c>
      <c r="F181" s="89" t="str">
        <f t="shared" si="146"/>
        <v/>
      </c>
      <c r="G181" s="184"/>
      <c r="H181" s="196"/>
      <c r="I181" s="185"/>
      <c r="J181" s="41"/>
      <c r="K181" s="38">
        <f>IF(I181="",0,VLOOKUP(I181,'LISTA DE PRECIOS'!A:F,IF(R181="CORO",4,5),FALSE))</f>
        <v>0</v>
      </c>
      <c r="L181" s="199">
        <f t="shared" si="147"/>
        <v>0</v>
      </c>
      <c r="M181" s="209">
        <f>IF(F181="",0,IF(SUMIF('REPORTE GASTOS'!$C$6:$C$208,F181,'REPORTE GASTOS'!$G$6:$G$208)=0,'LISTA DE PRECIOS'!$H$3,SUMIF('REPORTE GASTOS'!$C$6:$C$208,F181,'REPORTE GASTOS'!$I$6:$I$208)/SUMIF('REPORTE GASTOS'!$C$6:$C$208,F181,'REPORTE GASTOS'!$G$6:$G$208)))</f>
        <v>0</v>
      </c>
      <c r="N181" s="12">
        <f t="shared" si="148"/>
        <v>0</v>
      </c>
      <c r="O181" s="42">
        <f t="shared" si="149"/>
        <v>0</v>
      </c>
      <c r="P181" s="69"/>
      <c r="R181" s="67" t="str">
        <f>IF(H181="","",VLOOKUP(H181,'DATOS CLIENTES'!B:F,5,FALSE))</f>
        <v/>
      </c>
      <c r="S181" s="67" t="e">
        <f t="shared" si="153"/>
        <v>#REF!</v>
      </c>
      <c r="U181" s="68">
        <f t="shared" si="150"/>
        <v>0</v>
      </c>
      <c r="V181" s="68">
        <f t="shared" si="151"/>
        <v>0</v>
      </c>
      <c r="X181" s="67" t="e">
        <f t="shared" si="152"/>
        <v>#N/A</v>
      </c>
      <c r="Y181" s="67" t="str">
        <f t="shared" si="154"/>
        <v/>
      </c>
      <c r="Z181" s="67" t="str">
        <f t="shared" si="155"/>
        <v/>
      </c>
      <c r="AA181" s="67" t="str">
        <f t="shared" si="156"/>
        <v/>
      </c>
      <c r="AB181" s="219" t="str">
        <f t="shared" si="157"/>
        <v/>
      </c>
      <c r="AC181" s="67" t="str">
        <f t="shared" si="158"/>
        <v/>
      </c>
      <c r="AD181" s="67" t="str">
        <f t="shared" si="159"/>
        <v/>
      </c>
      <c r="AE181" s="67" t="str">
        <f t="shared" si="160"/>
        <v/>
      </c>
      <c r="AF181" s="67" t="str">
        <f t="shared" si="161"/>
        <v/>
      </c>
      <c r="AG181" s="67" t="str">
        <f t="shared" si="162"/>
        <v/>
      </c>
    </row>
    <row r="182" spans="1:33" s="66" customFormat="1">
      <c r="A182" s="18" t="str">
        <f t="shared" si="143"/>
        <v/>
      </c>
      <c r="B182" s="211"/>
      <c r="C182" s="57"/>
      <c r="D182" s="43">
        <f t="shared" si="144"/>
        <v>0</v>
      </c>
      <c r="E182" s="58" t="str">
        <f t="shared" si="145"/>
        <v/>
      </c>
      <c r="F182" s="89" t="str">
        <f t="shared" si="146"/>
        <v/>
      </c>
      <c r="G182" s="184"/>
      <c r="H182" s="196"/>
      <c r="I182" s="185"/>
      <c r="J182" s="41"/>
      <c r="K182" s="38">
        <f>IF(I182="",0,VLOOKUP(I182,'LISTA DE PRECIOS'!A:F,IF(R182="CORO",4,5),FALSE))</f>
        <v>0</v>
      </c>
      <c r="L182" s="199">
        <f t="shared" si="147"/>
        <v>0</v>
      </c>
      <c r="M182" s="209">
        <f>IF(F182="",0,IF(SUMIF('REPORTE GASTOS'!$C$6:$C$208,F182,'REPORTE GASTOS'!$G$6:$G$208)=0,'LISTA DE PRECIOS'!$H$3,SUMIF('REPORTE GASTOS'!$C$6:$C$208,F182,'REPORTE GASTOS'!$I$6:$I$208)/SUMIF('REPORTE GASTOS'!$C$6:$C$208,F182,'REPORTE GASTOS'!$G$6:$G$208)))</f>
        <v>0</v>
      </c>
      <c r="N182" s="12">
        <f t="shared" si="148"/>
        <v>0</v>
      </c>
      <c r="O182" s="42">
        <f t="shared" si="149"/>
        <v>0</v>
      </c>
      <c r="P182" s="69"/>
      <c r="R182" s="67" t="str">
        <f>IF(H182="","",VLOOKUP(H182,'DATOS CLIENTES'!B:F,5,FALSE))</f>
        <v/>
      </c>
      <c r="S182" s="67" t="e">
        <f t="shared" si="153"/>
        <v>#REF!</v>
      </c>
      <c r="U182" s="68">
        <f t="shared" si="150"/>
        <v>0</v>
      </c>
      <c r="V182" s="68">
        <f t="shared" si="151"/>
        <v>0</v>
      </c>
      <c r="X182" s="67" t="e">
        <f t="shared" si="152"/>
        <v>#N/A</v>
      </c>
      <c r="Y182" s="67" t="str">
        <f t="shared" si="154"/>
        <v/>
      </c>
      <c r="Z182" s="67" t="str">
        <f t="shared" si="155"/>
        <v/>
      </c>
      <c r="AA182" s="67" t="str">
        <f t="shared" si="156"/>
        <v/>
      </c>
      <c r="AB182" s="219" t="str">
        <f t="shared" si="157"/>
        <v/>
      </c>
      <c r="AC182" s="67" t="str">
        <f t="shared" si="158"/>
        <v/>
      </c>
      <c r="AD182" s="67" t="str">
        <f t="shared" si="159"/>
        <v/>
      </c>
      <c r="AE182" s="67" t="str">
        <f t="shared" si="160"/>
        <v/>
      </c>
      <c r="AF182" s="67" t="str">
        <f t="shared" si="161"/>
        <v/>
      </c>
      <c r="AG182" s="67" t="str">
        <f t="shared" si="162"/>
        <v/>
      </c>
    </row>
    <row r="183" spans="1:33" s="66" customFormat="1">
      <c r="A183" s="18" t="str">
        <f t="shared" si="143"/>
        <v/>
      </c>
      <c r="B183" s="211"/>
      <c r="C183" s="57"/>
      <c r="D183" s="43">
        <f t="shared" si="144"/>
        <v>0</v>
      </c>
      <c r="E183" s="58" t="str">
        <f t="shared" si="145"/>
        <v/>
      </c>
      <c r="F183" s="89" t="str">
        <f t="shared" si="146"/>
        <v/>
      </c>
      <c r="G183" s="184"/>
      <c r="H183" s="196"/>
      <c r="I183" s="185"/>
      <c r="J183" s="41"/>
      <c r="K183" s="38">
        <f>IF(I183="",0,VLOOKUP(I183,'LISTA DE PRECIOS'!A:F,IF(R183="CORO",4,5),FALSE))</f>
        <v>0</v>
      </c>
      <c r="L183" s="199">
        <f t="shared" si="147"/>
        <v>0</v>
      </c>
      <c r="M183" s="209">
        <f>IF(F183="",0,IF(SUMIF('REPORTE GASTOS'!$C$6:$C$208,F183,'REPORTE GASTOS'!$G$6:$G$208)=0,'LISTA DE PRECIOS'!$H$3,SUMIF('REPORTE GASTOS'!$C$6:$C$208,F183,'REPORTE GASTOS'!$I$6:$I$208)/SUMIF('REPORTE GASTOS'!$C$6:$C$208,F183,'REPORTE GASTOS'!$G$6:$G$208)))</f>
        <v>0</v>
      </c>
      <c r="N183" s="12">
        <f t="shared" si="148"/>
        <v>0</v>
      </c>
      <c r="O183" s="42">
        <f t="shared" si="149"/>
        <v>0</v>
      </c>
      <c r="P183" s="69"/>
      <c r="R183" s="67" t="str">
        <f>IF(H183="","",VLOOKUP(H183,'DATOS CLIENTES'!B:F,5,FALSE))</f>
        <v/>
      </c>
      <c r="S183" s="67" t="e">
        <f t="shared" si="153"/>
        <v>#REF!</v>
      </c>
      <c r="U183" s="68">
        <f t="shared" si="150"/>
        <v>0</v>
      </c>
      <c r="V183" s="68">
        <f t="shared" si="151"/>
        <v>0</v>
      </c>
      <c r="X183" s="67" t="e">
        <f t="shared" si="152"/>
        <v>#N/A</v>
      </c>
      <c r="Y183" s="67" t="str">
        <f t="shared" si="154"/>
        <v/>
      </c>
      <c r="Z183" s="67" t="str">
        <f t="shared" si="155"/>
        <v/>
      </c>
      <c r="AA183" s="67" t="str">
        <f t="shared" si="156"/>
        <v/>
      </c>
      <c r="AB183" s="219" t="str">
        <f t="shared" si="157"/>
        <v/>
      </c>
      <c r="AC183" s="67" t="str">
        <f t="shared" si="158"/>
        <v/>
      </c>
      <c r="AD183" s="67" t="str">
        <f t="shared" si="159"/>
        <v/>
      </c>
      <c r="AE183" s="67" t="str">
        <f t="shared" si="160"/>
        <v/>
      </c>
      <c r="AF183" s="67" t="str">
        <f t="shared" si="161"/>
        <v/>
      </c>
      <c r="AG183" s="67" t="str">
        <f t="shared" si="162"/>
        <v/>
      </c>
    </row>
    <row r="184" spans="1:33" s="66" customFormat="1">
      <c r="A184" s="18" t="str">
        <f t="shared" si="143"/>
        <v/>
      </c>
      <c r="B184" s="211"/>
      <c r="C184" s="57"/>
      <c r="D184" s="43">
        <f t="shared" si="144"/>
        <v>0</v>
      </c>
      <c r="E184" s="58" t="str">
        <f t="shared" si="145"/>
        <v/>
      </c>
      <c r="F184" s="89" t="str">
        <f t="shared" si="146"/>
        <v/>
      </c>
      <c r="G184" s="184"/>
      <c r="H184" s="196"/>
      <c r="I184" s="185"/>
      <c r="J184" s="41"/>
      <c r="K184" s="38">
        <f>IF(I184="",0,VLOOKUP(I184,'LISTA DE PRECIOS'!A:F,IF(R184="CORO",4,5),FALSE))</f>
        <v>0</v>
      </c>
      <c r="L184" s="199">
        <f t="shared" si="147"/>
        <v>0</v>
      </c>
      <c r="M184" s="209">
        <f>IF(F184="",0,IF(SUMIF('REPORTE GASTOS'!$C$6:$C$208,F184,'REPORTE GASTOS'!$G$6:$G$208)=0,'LISTA DE PRECIOS'!$H$3,SUMIF('REPORTE GASTOS'!$C$6:$C$208,F184,'REPORTE GASTOS'!$I$6:$I$208)/SUMIF('REPORTE GASTOS'!$C$6:$C$208,F184,'REPORTE GASTOS'!$G$6:$G$208)))</f>
        <v>0</v>
      </c>
      <c r="N184" s="12">
        <f t="shared" si="148"/>
        <v>0</v>
      </c>
      <c r="O184" s="42">
        <f t="shared" si="149"/>
        <v>0</v>
      </c>
      <c r="P184" s="69"/>
      <c r="R184" s="67" t="str">
        <f>IF(H184="","",VLOOKUP(H184,'DATOS CLIENTES'!B:F,5,FALSE))</f>
        <v/>
      </c>
      <c r="S184" s="67" t="e">
        <f t="shared" si="153"/>
        <v>#REF!</v>
      </c>
      <c r="U184" s="68">
        <f t="shared" si="150"/>
        <v>0</v>
      </c>
      <c r="V184" s="68">
        <f t="shared" si="151"/>
        <v>0</v>
      </c>
      <c r="X184" s="67" t="e">
        <f t="shared" si="152"/>
        <v>#N/A</v>
      </c>
      <c r="Y184" s="67" t="str">
        <f t="shared" si="154"/>
        <v/>
      </c>
      <c r="Z184" s="67" t="str">
        <f t="shared" si="155"/>
        <v/>
      </c>
      <c r="AA184" s="67" t="str">
        <f t="shared" si="156"/>
        <v/>
      </c>
      <c r="AB184" s="219" t="str">
        <f t="shared" si="157"/>
        <v/>
      </c>
      <c r="AC184" s="67" t="str">
        <f t="shared" si="158"/>
        <v/>
      </c>
      <c r="AD184" s="67" t="str">
        <f t="shared" si="159"/>
        <v/>
      </c>
      <c r="AE184" s="67" t="str">
        <f t="shared" si="160"/>
        <v/>
      </c>
      <c r="AF184" s="67" t="str">
        <f t="shared" si="161"/>
        <v/>
      </c>
      <c r="AG184" s="67" t="str">
        <f t="shared" si="162"/>
        <v/>
      </c>
    </row>
    <row r="185" spans="1:33" s="66" customFormat="1">
      <c r="A185" s="18" t="str">
        <f t="shared" si="143"/>
        <v/>
      </c>
      <c r="B185" s="211"/>
      <c r="C185" s="57"/>
      <c r="D185" s="43">
        <f t="shared" si="144"/>
        <v>0</v>
      </c>
      <c r="E185" s="58" t="str">
        <f t="shared" si="145"/>
        <v/>
      </c>
      <c r="F185" s="89" t="str">
        <f t="shared" si="146"/>
        <v/>
      </c>
      <c r="G185" s="184"/>
      <c r="H185" s="196"/>
      <c r="I185" s="185"/>
      <c r="J185" s="41"/>
      <c r="K185" s="38">
        <f>IF(I185="",0,VLOOKUP(I185,'LISTA DE PRECIOS'!A:F,IF(R185="CORO",4,5),FALSE))</f>
        <v>0</v>
      </c>
      <c r="L185" s="199">
        <f t="shared" si="147"/>
        <v>0</v>
      </c>
      <c r="M185" s="209">
        <f>IF(F185="",0,IF(SUMIF('REPORTE GASTOS'!$C$6:$C$208,F185,'REPORTE GASTOS'!$G$6:$G$208)=0,'LISTA DE PRECIOS'!$H$3,SUMIF('REPORTE GASTOS'!$C$6:$C$208,F185,'REPORTE GASTOS'!$I$6:$I$208)/SUMIF('REPORTE GASTOS'!$C$6:$C$208,F185,'REPORTE GASTOS'!$G$6:$G$208)))</f>
        <v>0</v>
      </c>
      <c r="N185" s="12">
        <f t="shared" si="148"/>
        <v>0</v>
      </c>
      <c r="O185" s="42">
        <f t="shared" si="149"/>
        <v>0</v>
      </c>
      <c r="P185" s="69"/>
      <c r="R185" s="67" t="str">
        <f>IF(H185="","",VLOOKUP(H185,'DATOS CLIENTES'!B:F,5,FALSE))</f>
        <v/>
      </c>
      <c r="S185" s="67" t="e">
        <f t="shared" si="153"/>
        <v>#REF!</v>
      </c>
      <c r="U185" s="68">
        <f t="shared" si="150"/>
        <v>0</v>
      </c>
      <c r="V185" s="68">
        <f t="shared" si="151"/>
        <v>0</v>
      </c>
      <c r="X185" s="67" t="e">
        <f t="shared" si="152"/>
        <v>#N/A</v>
      </c>
      <c r="Y185" s="67" t="str">
        <f t="shared" si="154"/>
        <v/>
      </c>
      <c r="Z185" s="67" t="str">
        <f t="shared" si="155"/>
        <v/>
      </c>
      <c r="AA185" s="67" t="str">
        <f t="shared" si="156"/>
        <v/>
      </c>
      <c r="AB185" s="219" t="str">
        <f t="shared" si="157"/>
        <v/>
      </c>
      <c r="AC185" s="67" t="str">
        <f t="shared" si="158"/>
        <v/>
      </c>
      <c r="AD185" s="67" t="str">
        <f t="shared" si="159"/>
        <v/>
      </c>
      <c r="AE185" s="67" t="str">
        <f t="shared" si="160"/>
        <v/>
      </c>
      <c r="AF185" s="67" t="str">
        <f t="shared" si="161"/>
        <v/>
      </c>
      <c r="AG185" s="67" t="str">
        <f t="shared" si="162"/>
        <v/>
      </c>
    </row>
    <row r="186" spans="1:33" s="66" customFormat="1">
      <c r="A186" s="18" t="str">
        <f t="shared" si="143"/>
        <v/>
      </c>
      <c r="B186" s="211"/>
      <c r="C186" s="57"/>
      <c r="D186" s="43">
        <f t="shared" si="144"/>
        <v>0</v>
      </c>
      <c r="E186" s="58" t="str">
        <f t="shared" si="145"/>
        <v/>
      </c>
      <c r="F186" s="89" t="str">
        <f t="shared" si="146"/>
        <v/>
      </c>
      <c r="G186" s="184"/>
      <c r="H186" s="196"/>
      <c r="I186" s="185"/>
      <c r="J186" s="41"/>
      <c r="K186" s="38">
        <f>IF(I186="",0,VLOOKUP(I186,'LISTA DE PRECIOS'!A:F,IF(R186="CORO",4,5),FALSE))</f>
        <v>0</v>
      </c>
      <c r="L186" s="199">
        <f t="shared" si="147"/>
        <v>0</v>
      </c>
      <c r="M186" s="209">
        <f>IF(F186="",0,IF(SUMIF('REPORTE GASTOS'!$C$6:$C$208,F186,'REPORTE GASTOS'!$G$6:$G$208)=0,'LISTA DE PRECIOS'!$H$3,SUMIF('REPORTE GASTOS'!$C$6:$C$208,F186,'REPORTE GASTOS'!$I$6:$I$208)/SUMIF('REPORTE GASTOS'!$C$6:$C$208,F186,'REPORTE GASTOS'!$G$6:$G$208)))</f>
        <v>0</v>
      </c>
      <c r="N186" s="12">
        <f t="shared" si="148"/>
        <v>0</v>
      </c>
      <c r="O186" s="42">
        <f t="shared" si="149"/>
        <v>0</v>
      </c>
      <c r="P186" s="69"/>
      <c r="R186" s="67" t="str">
        <f>IF(H186="","",VLOOKUP(H186,'DATOS CLIENTES'!B:F,5,FALSE))</f>
        <v/>
      </c>
      <c r="S186" s="67" t="e">
        <f t="shared" si="153"/>
        <v>#REF!</v>
      </c>
      <c r="U186" s="68">
        <f t="shared" si="150"/>
        <v>0</v>
      </c>
      <c r="V186" s="68">
        <f t="shared" si="151"/>
        <v>0</v>
      </c>
      <c r="X186" s="67" t="e">
        <f t="shared" si="152"/>
        <v>#N/A</v>
      </c>
      <c r="Y186" s="67" t="str">
        <f t="shared" si="154"/>
        <v/>
      </c>
      <c r="Z186" s="67" t="str">
        <f t="shared" si="155"/>
        <v/>
      </c>
      <c r="AA186" s="67" t="str">
        <f t="shared" si="156"/>
        <v/>
      </c>
      <c r="AB186" s="219" t="str">
        <f t="shared" si="157"/>
        <v/>
      </c>
      <c r="AC186" s="67" t="str">
        <f t="shared" si="158"/>
        <v/>
      </c>
      <c r="AD186" s="67" t="str">
        <f t="shared" si="159"/>
        <v/>
      </c>
      <c r="AE186" s="67" t="str">
        <f t="shared" si="160"/>
        <v/>
      </c>
      <c r="AF186" s="67" t="str">
        <f t="shared" si="161"/>
        <v/>
      </c>
      <c r="AG186" s="67" t="str">
        <f t="shared" si="162"/>
        <v/>
      </c>
    </row>
    <row r="187" spans="1:33" s="66" customFormat="1">
      <c r="A187" s="18" t="str">
        <f t="shared" si="143"/>
        <v/>
      </c>
      <c r="B187" s="211"/>
      <c r="C187" s="57"/>
      <c r="D187" s="43">
        <f t="shared" si="144"/>
        <v>0</v>
      </c>
      <c r="E187" s="58" t="str">
        <f t="shared" si="145"/>
        <v/>
      </c>
      <c r="F187" s="89" t="str">
        <f t="shared" si="146"/>
        <v/>
      </c>
      <c r="G187" s="184"/>
      <c r="H187" s="196"/>
      <c r="I187" s="185"/>
      <c r="J187" s="41"/>
      <c r="K187" s="38">
        <f>IF(I187="",0,VLOOKUP(I187,'LISTA DE PRECIOS'!A:F,IF(R187="CORO",4,5),FALSE))</f>
        <v>0</v>
      </c>
      <c r="L187" s="199">
        <f t="shared" si="147"/>
        <v>0</v>
      </c>
      <c r="M187" s="209">
        <f>IF(F187="",0,IF(SUMIF('REPORTE GASTOS'!$C$6:$C$208,F187,'REPORTE GASTOS'!$G$6:$G$208)=0,'LISTA DE PRECIOS'!$H$3,SUMIF('REPORTE GASTOS'!$C$6:$C$208,F187,'REPORTE GASTOS'!$I$6:$I$208)/SUMIF('REPORTE GASTOS'!$C$6:$C$208,F187,'REPORTE GASTOS'!$G$6:$G$208)))</f>
        <v>0</v>
      </c>
      <c r="N187" s="12">
        <f t="shared" si="148"/>
        <v>0</v>
      </c>
      <c r="O187" s="42">
        <f t="shared" si="149"/>
        <v>0</v>
      </c>
      <c r="P187" s="69"/>
      <c r="R187" s="67" t="str">
        <f>IF(H187="","",VLOOKUP(H187,'DATOS CLIENTES'!B:F,5,FALSE))</f>
        <v/>
      </c>
      <c r="S187" s="67" t="e">
        <f t="shared" si="153"/>
        <v>#REF!</v>
      </c>
      <c r="U187" s="68">
        <f t="shared" si="150"/>
        <v>0</v>
      </c>
      <c r="V187" s="68">
        <f t="shared" si="151"/>
        <v>0</v>
      </c>
      <c r="X187" s="67" t="e">
        <f t="shared" si="152"/>
        <v>#N/A</v>
      </c>
      <c r="Y187" s="67" t="str">
        <f t="shared" si="154"/>
        <v/>
      </c>
      <c r="Z187" s="67" t="str">
        <f t="shared" si="155"/>
        <v/>
      </c>
      <c r="AA187" s="67" t="str">
        <f t="shared" si="156"/>
        <v/>
      </c>
      <c r="AB187" s="219" t="str">
        <f t="shared" si="157"/>
        <v/>
      </c>
      <c r="AC187" s="67" t="str">
        <f t="shared" si="158"/>
        <v/>
      </c>
      <c r="AD187" s="67" t="str">
        <f t="shared" si="159"/>
        <v/>
      </c>
      <c r="AE187" s="67" t="str">
        <f t="shared" si="160"/>
        <v/>
      </c>
      <c r="AF187" s="67" t="str">
        <f t="shared" si="161"/>
        <v/>
      </c>
      <c r="AG187" s="67" t="str">
        <f t="shared" si="162"/>
        <v/>
      </c>
    </row>
    <row r="188" spans="1:33" s="66" customFormat="1">
      <c r="A188" s="18" t="str">
        <f t="shared" si="143"/>
        <v/>
      </c>
      <c r="B188" s="211"/>
      <c r="C188" s="57"/>
      <c r="D188" s="43">
        <f t="shared" si="144"/>
        <v>0</v>
      </c>
      <c r="E188" s="58" t="str">
        <f t="shared" si="145"/>
        <v/>
      </c>
      <c r="F188" s="89" t="str">
        <f t="shared" si="146"/>
        <v/>
      </c>
      <c r="G188" s="184"/>
      <c r="H188" s="196"/>
      <c r="I188" s="185"/>
      <c r="J188" s="41"/>
      <c r="K188" s="38">
        <f>IF(I188="",0,VLOOKUP(I188,'LISTA DE PRECIOS'!A:F,IF(R188="CORO",4,5),FALSE))</f>
        <v>0</v>
      </c>
      <c r="L188" s="199">
        <f t="shared" si="147"/>
        <v>0</v>
      </c>
      <c r="M188" s="209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2">
        <f t="shared" si="148"/>
        <v>0</v>
      </c>
      <c r="O188" s="42">
        <f t="shared" si="149"/>
        <v>0</v>
      </c>
      <c r="P188" s="69"/>
      <c r="R188" s="67" t="str">
        <f>IF(H188="","",VLOOKUP(H188,'DATOS CLIENTES'!B:F,5,FALSE))</f>
        <v/>
      </c>
      <c r="S188" s="67" t="e">
        <f t="shared" si="153"/>
        <v>#REF!</v>
      </c>
      <c r="U188" s="68">
        <f t="shared" si="150"/>
        <v>0</v>
      </c>
      <c r="V188" s="68">
        <f t="shared" si="151"/>
        <v>0</v>
      </c>
      <c r="X188" s="67" t="e">
        <f t="shared" si="152"/>
        <v>#N/A</v>
      </c>
      <c r="Y188" s="67" t="str">
        <f t="shared" si="154"/>
        <v/>
      </c>
      <c r="Z188" s="67" t="str">
        <f t="shared" si="155"/>
        <v/>
      </c>
      <c r="AA188" s="67" t="str">
        <f t="shared" si="156"/>
        <v/>
      </c>
      <c r="AB188" s="219" t="str">
        <f t="shared" si="157"/>
        <v/>
      </c>
      <c r="AC188" s="67" t="str">
        <f t="shared" si="158"/>
        <v/>
      </c>
      <c r="AD188" s="67" t="str">
        <f t="shared" si="159"/>
        <v/>
      </c>
      <c r="AE188" s="67" t="str">
        <f t="shared" si="160"/>
        <v/>
      </c>
      <c r="AF188" s="67" t="str">
        <f t="shared" si="161"/>
        <v/>
      </c>
      <c r="AG188" s="67" t="str">
        <f t="shared" si="162"/>
        <v/>
      </c>
    </row>
    <row r="189" spans="1:33" s="66" customFormat="1">
      <c r="A189" s="18" t="str">
        <f t="shared" si="143"/>
        <v/>
      </c>
      <c r="B189" s="211"/>
      <c r="C189" s="57"/>
      <c r="D189" s="43">
        <f t="shared" si="144"/>
        <v>0</v>
      </c>
      <c r="E189" s="58" t="str">
        <f t="shared" si="145"/>
        <v/>
      </c>
      <c r="F189" s="89" t="str">
        <f t="shared" si="146"/>
        <v/>
      </c>
      <c r="G189" s="184"/>
      <c r="H189" s="196"/>
      <c r="I189" s="185"/>
      <c r="J189" s="41"/>
      <c r="K189" s="38">
        <f>IF(I189="",0,VLOOKUP(I189,'LISTA DE PRECIOS'!A:F,IF(R189="CORO",4,5),FALSE))</f>
        <v>0</v>
      </c>
      <c r="L189" s="199">
        <f t="shared" si="147"/>
        <v>0</v>
      </c>
      <c r="M189" s="209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2">
        <f t="shared" si="148"/>
        <v>0</v>
      </c>
      <c r="O189" s="42">
        <f t="shared" si="149"/>
        <v>0</v>
      </c>
      <c r="P189" s="69"/>
      <c r="R189" s="67" t="str">
        <f>IF(H189="","",VLOOKUP(H189,'DATOS CLIENTES'!B:F,5,FALSE))</f>
        <v/>
      </c>
      <c r="S189" s="67" t="e">
        <f t="shared" si="153"/>
        <v>#REF!</v>
      </c>
      <c r="U189" s="68">
        <f t="shared" si="150"/>
        <v>0</v>
      </c>
      <c r="V189" s="68">
        <f t="shared" si="151"/>
        <v>0</v>
      </c>
      <c r="X189" s="67" t="e">
        <f t="shared" si="152"/>
        <v>#N/A</v>
      </c>
      <c r="Y189" s="67" t="str">
        <f t="shared" si="154"/>
        <v/>
      </c>
      <c r="Z189" s="67" t="str">
        <f t="shared" si="155"/>
        <v/>
      </c>
      <c r="AA189" s="67" t="str">
        <f t="shared" si="156"/>
        <v/>
      </c>
      <c r="AB189" s="219" t="str">
        <f t="shared" si="157"/>
        <v/>
      </c>
      <c r="AC189" s="67" t="str">
        <f t="shared" si="158"/>
        <v/>
      </c>
      <c r="AD189" s="67" t="str">
        <f t="shared" si="159"/>
        <v/>
      </c>
      <c r="AE189" s="67" t="str">
        <f t="shared" si="160"/>
        <v/>
      </c>
      <c r="AF189" s="67" t="str">
        <f t="shared" si="161"/>
        <v/>
      </c>
      <c r="AG189" s="67" t="str">
        <f t="shared" si="162"/>
        <v/>
      </c>
    </row>
    <row r="190" spans="1:33" s="66" customFormat="1">
      <c r="A190" s="18" t="str">
        <f t="shared" si="143"/>
        <v/>
      </c>
      <c r="B190" s="211"/>
      <c r="C190" s="57"/>
      <c r="D190" s="43">
        <f t="shared" si="144"/>
        <v>0</v>
      </c>
      <c r="E190" s="58" t="str">
        <f t="shared" si="145"/>
        <v/>
      </c>
      <c r="F190" s="89" t="str">
        <f t="shared" si="146"/>
        <v/>
      </c>
      <c r="G190" s="184"/>
      <c r="H190" s="196"/>
      <c r="I190" s="185"/>
      <c r="J190" s="41"/>
      <c r="K190" s="38">
        <f>IF(I190="",0,VLOOKUP(I190,'LISTA DE PRECIOS'!A:F,IF(R190="CORO",4,5),FALSE))</f>
        <v>0</v>
      </c>
      <c r="L190" s="199">
        <f t="shared" si="147"/>
        <v>0</v>
      </c>
      <c r="M190" s="209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2">
        <f t="shared" si="148"/>
        <v>0</v>
      </c>
      <c r="O190" s="42">
        <f t="shared" si="149"/>
        <v>0</v>
      </c>
      <c r="P190" s="69"/>
      <c r="R190" s="67" t="str">
        <f>IF(H190="","",VLOOKUP(H190,'DATOS CLIENTES'!B:F,5,FALSE))</f>
        <v/>
      </c>
      <c r="S190" s="67" t="e">
        <f t="shared" si="153"/>
        <v>#REF!</v>
      </c>
      <c r="U190" s="68">
        <f t="shared" si="150"/>
        <v>0</v>
      </c>
      <c r="V190" s="68">
        <f t="shared" si="151"/>
        <v>0</v>
      </c>
      <c r="X190" s="67" t="e">
        <f t="shared" si="152"/>
        <v>#N/A</v>
      </c>
      <c r="Y190" s="67" t="str">
        <f t="shared" si="154"/>
        <v/>
      </c>
      <c r="Z190" s="67" t="str">
        <f t="shared" si="155"/>
        <v/>
      </c>
      <c r="AA190" s="67" t="str">
        <f t="shared" si="156"/>
        <v/>
      </c>
      <c r="AB190" s="219" t="str">
        <f t="shared" si="157"/>
        <v/>
      </c>
      <c r="AC190" s="67" t="str">
        <f t="shared" si="158"/>
        <v/>
      </c>
      <c r="AD190" s="67" t="str">
        <f t="shared" si="159"/>
        <v/>
      </c>
      <c r="AE190" s="67" t="str">
        <f t="shared" si="160"/>
        <v/>
      </c>
      <c r="AF190" s="67" t="str">
        <f t="shared" si="161"/>
        <v/>
      </c>
      <c r="AG190" s="67" t="str">
        <f t="shared" si="162"/>
        <v/>
      </c>
    </row>
    <row r="191" spans="1:33" s="66" customFormat="1">
      <c r="A191" s="18" t="str">
        <f t="shared" si="143"/>
        <v/>
      </c>
      <c r="B191" s="211"/>
      <c r="C191" s="57"/>
      <c r="D191" s="43">
        <f t="shared" si="144"/>
        <v>0</v>
      </c>
      <c r="E191" s="58" t="str">
        <f t="shared" si="145"/>
        <v/>
      </c>
      <c r="F191" s="89" t="str">
        <f t="shared" si="146"/>
        <v/>
      </c>
      <c r="G191" s="184"/>
      <c r="H191" s="196"/>
      <c r="I191" s="185"/>
      <c r="J191" s="41"/>
      <c r="K191" s="38">
        <f>IF(I191="",0,VLOOKUP(I191,'LISTA DE PRECIOS'!A:F,IF(R191="CORO",4,5),FALSE))</f>
        <v>0</v>
      </c>
      <c r="L191" s="199">
        <f t="shared" si="147"/>
        <v>0</v>
      </c>
      <c r="M191" s="209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2">
        <f t="shared" si="148"/>
        <v>0</v>
      </c>
      <c r="O191" s="42">
        <f t="shared" si="149"/>
        <v>0</v>
      </c>
      <c r="P191" s="69"/>
      <c r="R191" s="67" t="str">
        <f>IF(H191="","",VLOOKUP(H191,'DATOS CLIENTES'!B:F,5,FALSE))</f>
        <v/>
      </c>
      <c r="S191" s="67" t="e">
        <f t="shared" si="153"/>
        <v>#REF!</v>
      </c>
      <c r="U191" s="68">
        <f t="shared" si="150"/>
        <v>0</v>
      </c>
      <c r="V191" s="68">
        <f t="shared" si="151"/>
        <v>0</v>
      </c>
      <c r="X191" s="67" t="e">
        <f t="shared" si="152"/>
        <v>#N/A</v>
      </c>
      <c r="Y191" s="67" t="str">
        <f t="shared" si="154"/>
        <v/>
      </c>
      <c r="Z191" s="67" t="str">
        <f t="shared" si="155"/>
        <v/>
      </c>
      <c r="AA191" s="67" t="str">
        <f t="shared" si="156"/>
        <v/>
      </c>
      <c r="AB191" s="219" t="str">
        <f t="shared" si="157"/>
        <v/>
      </c>
      <c r="AC191" s="67" t="str">
        <f t="shared" si="158"/>
        <v/>
      </c>
      <c r="AD191" s="67" t="str">
        <f t="shared" si="159"/>
        <v/>
      </c>
      <c r="AE191" s="67" t="str">
        <f t="shared" si="160"/>
        <v/>
      </c>
      <c r="AF191" s="67" t="str">
        <f t="shared" si="161"/>
        <v/>
      </c>
      <c r="AG191" s="67" t="str">
        <f t="shared" si="162"/>
        <v/>
      </c>
    </row>
    <row r="192" spans="1:33" s="66" customFormat="1">
      <c r="A192" s="18" t="str">
        <f t="shared" si="143"/>
        <v/>
      </c>
      <c r="B192" s="211"/>
      <c r="C192" s="57"/>
      <c r="D192" s="43">
        <f t="shared" si="144"/>
        <v>0</v>
      </c>
      <c r="E192" s="58" t="str">
        <f t="shared" si="145"/>
        <v/>
      </c>
      <c r="F192" s="89" t="str">
        <f t="shared" si="146"/>
        <v/>
      </c>
      <c r="G192" s="184"/>
      <c r="H192" s="196"/>
      <c r="I192" s="185"/>
      <c r="J192" s="41"/>
      <c r="K192" s="38">
        <f>IF(I192="",0,VLOOKUP(I192,'LISTA DE PRECIOS'!A:F,IF(R192="CORO",4,5),FALSE))</f>
        <v>0</v>
      </c>
      <c r="L192" s="199">
        <f t="shared" si="147"/>
        <v>0</v>
      </c>
      <c r="M192" s="209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2">
        <f t="shared" si="148"/>
        <v>0</v>
      </c>
      <c r="O192" s="42">
        <f t="shared" si="149"/>
        <v>0</v>
      </c>
      <c r="P192" s="69"/>
      <c r="R192" s="67" t="str">
        <f>IF(H192="","",VLOOKUP(H192,'DATOS CLIENTES'!B:F,5,FALSE))</f>
        <v/>
      </c>
      <c r="S192" s="67" t="e">
        <f t="shared" si="153"/>
        <v>#REF!</v>
      </c>
      <c r="U192" s="68">
        <f t="shared" si="150"/>
        <v>0</v>
      </c>
      <c r="V192" s="68">
        <f t="shared" si="151"/>
        <v>0</v>
      </c>
      <c r="X192" s="67" t="e">
        <f t="shared" si="152"/>
        <v>#N/A</v>
      </c>
      <c r="Y192" s="67" t="str">
        <f t="shared" si="154"/>
        <v/>
      </c>
      <c r="Z192" s="67" t="str">
        <f t="shared" si="155"/>
        <v/>
      </c>
      <c r="AA192" s="67" t="str">
        <f t="shared" si="156"/>
        <v/>
      </c>
      <c r="AB192" s="219" t="str">
        <f t="shared" si="157"/>
        <v/>
      </c>
      <c r="AC192" s="67" t="str">
        <f t="shared" si="158"/>
        <v/>
      </c>
      <c r="AD192" s="67" t="str">
        <f t="shared" si="159"/>
        <v/>
      </c>
      <c r="AE192" s="67" t="str">
        <f t="shared" si="160"/>
        <v/>
      </c>
      <c r="AF192" s="67" t="str">
        <f t="shared" si="161"/>
        <v/>
      </c>
      <c r="AG192" s="67" t="str">
        <f t="shared" si="162"/>
        <v/>
      </c>
    </row>
    <row r="193" spans="1:33" s="66" customFormat="1">
      <c r="A193" s="18" t="str">
        <f t="shared" si="143"/>
        <v/>
      </c>
      <c r="B193" s="211"/>
      <c r="C193" s="57"/>
      <c r="D193" s="43">
        <f t="shared" si="144"/>
        <v>0</v>
      </c>
      <c r="E193" s="58" t="str">
        <f t="shared" si="145"/>
        <v/>
      </c>
      <c r="F193" s="89" t="str">
        <f t="shared" si="146"/>
        <v/>
      </c>
      <c r="G193" s="184"/>
      <c r="H193" s="196"/>
      <c r="I193" s="185"/>
      <c r="J193" s="41"/>
      <c r="K193" s="38">
        <f>IF(I193="",0,VLOOKUP(I193,'LISTA DE PRECIOS'!A:F,IF(R193="CORO",4,5),FALSE))</f>
        <v>0</v>
      </c>
      <c r="L193" s="199">
        <f t="shared" si="147"/>
        <v>0</v>
      </c>
      <c r="M193" s="209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2">
        <f t="shared" si="148"/>
        <v>0</v>
      </c>
      <c r="O193" s="42">
        <f t="shared" si="149"/>
        <v>0</v>
      </c>
      <c r="P193" s="69"/>
      <c r="R193" s="67" t="str">
        <f>IF(H193="","",VLOOKUP(H193,'DATOS CLIENTES'!B:F,5,FALSE))</f>
        <v/>
      </c>
      <c r="S193" s="67" t="e">
        <f t="shared" si="153"/>
        <v>#REF!</v>
      </c>
      <c r="U193" s="68">
        <f t="shared" si="150"/>
        <v>0</v>
      </c>
      <c r="V193" s="68">
        <f t="shared" si="151"/>
        <v>0</v>
      </c>
      <c r="X193" s="67" t="e">
        <f t="shared" si="152"/>
        <v>#N/A</v>
      </c>
      <c r="Y193" s="67" t="str">
        <f t="shared" si="154"/>
        <v/>
      </c>
      <c r="Z193" s="67" t="str">
        <f t="shared" si="155"/>
        <v/>
      </c>
      <c r="AA193" s="67" t="str">
        <f t="shared" si="156"/>
        <v/>
      </c>
      <c r="AB193" s="219" t="str">
        <f t="shared" si="157"/>
        <v/>
      </c>
      <c r="AC193" s="67" t="str">
        <f t="shared" si="158"/>
        <v/>
      </c>
      <c r="AD193" s="67" t="str">
        <f t="shared" si="159"/>
        <v/>
      </c>
      <c r="AE193" s="67" t="str">
        <f t="shared" si="160"/>
        <v/>
      </c>
      <c r="AF193" s="67" t="str">
        <f t="shared" si="161"/>
        <v/>
      </c>
      <c r="AG193" s="67" t="str">
        <f t="shared" si="162"/>
        <v/>
      </c>
    </row>
    <row r="194" spans="1:33" s="66" customFormat="1">
      <c r="A194" s="18" t="str">
        <f t="shared" si="143"/>
        <v/>
      </c>
      <c r="B194" s="211"/>
      <c r="C194" s="57"/>
      <c r="D194" s="43">
        <f t="shared" si="144"/>
        <v>0</v>
      </c>
      <c r="E194" s="58" t="str">
        <f t="shared" si="145"/>
        <v/>
      </c>
      <c r="F194" s="89" t="str">
        <f t="shared" si="146"/>
        <v/>
      </c>
      <c r="G194" s="184"/>
      <c r="H194" s="196"/>
      <c r="I194" s="185"/>
      <c r="J194" s="41"/>
      <c r="K194" s="38">
        <f>IF(I194="",0,VLOOKUP(I194,'LISTA DE PRECIOS'!A:F,IF(R194="CORO",4,5),FALSE))</f>
        <v>0</v>
      </c>
      <c r="L194" s="199">
        <f t="shared" si="147"/>
        <v>0</v>
      </c>
      <c r="M194" s="209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2">
        <f t="shared" si="148"/>
        <v>0</v>
      </c>
      <c r="O194" s="42">
        <f t="shared" si="149"/>
        <v>0</v>
      </c>
      <c r="P194" s="69"/>
      <c r="R194" s="67" t="str">
        <f>IF(H194="","",VLOOKUP(H194,'DATOS CLIENTES'!B:F,5,FALSE))</f>
        <v/>
      </c>
      <c r="S194" s="67" t="e">
        <f t="shared" si="153"/>
        <v>#REF!</v>
      </c>
      <c r="U194" s="68">
        <f t="shared" si="150"/>
        <v>0</v>
      </c>
      <c r="V194" s="68">
        <f t="shared" si="151"/>
        <v>0</v>
      </c>
      <c r="X194" s="67" t="e">
        <f t="shared" si="152"/>
        <v>#N/A</v>
      </c>
      <c r="Y194" s="67" t="str">
        <f t="shared" si="154"/>
        <v/>
      </c>
      <c r="Z194" s="67" t="str">
        <f t="shared" si="155"/>
        <v/>
      </c>
      <c r="AA194" s="67" t="str">
        <f t="shared" si="156"/>
        <v/>
      </c>
      <c r="AB194" s="219" t="str">
        <f t="shared" si="157"/>
        <v/>
      </c>
      <c r="AC194" s="67" t="str">
        <f t="shared" si="158"/>
        <v/>
      </c>
      <c r="AD194" s="67" t="str">
        <f t="shared" si="159"/>
        <v/>
      </c>
      <c r="AE194" s="67" t="str">
        <f t="shared" si="160"/>
        <v/>
      </c>
      <c r="AF194" s="67" t="str">
        <f t="shared" si="161"/>
        <v/>
      </c>
      <c r="AG194" s="67" t="str">
        <f t="shared" si="162"/>
        <v/>
      </c>
    </row>
    <row r="195" spans="1:33" s="66" customFormat="1">
      <c r="A195" s="18" t="str">
        <f t="shared" si="143"/>
        <v/>
      </c>
      <c r="B195" s="211"/>
      <c r="C195" s="57"/>
      <c r="D195" s="43">
        <f t="shared" si="144"/>
        <v>0</v>
      </c>
      <c r="E195" s="58" t="str">
        <f t="shared" si="145"/>
        <v/>
      </c>
      <c r="F195" s="89" t="str">
        <f t="shared" si="146"/>
        <v/>
      </c>
      <c r="G195" s="184"/>
      <c r="H195" s="196"/>
      <c r="I195" s="185"/>
      <c r="J195" s="41"/>
      <c r="K195" s="38">
        <f>IF(I195="",0,VLOOKUP(I195,'LISTA DE PRECIOS'!A:F,IF(R195="CORO",4,5),FALSE))</f>
        <v>0</v>
      </c>
      <c r="L195" s="199">
        <f t="shared" si="147"/>
        <v>0</v>
      </c>
      <c r="M195" s="209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2">
        <f t="shared" si="148"/>
        <v>0</v>
      </c>
      <c r="O195" s="42">
        <f t="shared" si="149"/>
        <v>0</v>
      </c>
      <c r="P195" s="69"/>
      <c r="R195" s="67" t="str">
        <f>IF(H195="","",VLOOKUP(H195,'DATOS CLIENTES'!B:F,5,FALSE))</f>
        <v/>
      </c>
      <c r="S195" s="67" t="e">
        <f t="shared" si="153"/>
        <v>#REF!</v>
      </c>
      <c r="U195" s="68">
        <f t="shared" si="150"/>
        <v>0</v>
      </c>
      <c r="V195" s="68">
        <f t="shared" si="151"/>
        <v>0</v>
      </c>
      <c r="X195" s="67" t="e">
        <f t="shared" si="152"/>
        <v>#N/A</v>
      </c>
      <c r="Y195" s="67" t="str">
        <f t="shared" si="154"/>
        <v/>
      </c>
      <c r="Z195" s="67" t="str">
        <f t="shared" si="155"/>
        <v/>
      </c>
      <c r="AA195" s="67" t="str">
        <f t="shared" si="156"/>
        <v/>
      </c>
      <c r="AB195" s="219" t="str">
        <f t="shared" si="157"/>
        <v/>
      </c>
      <c r="AC195" s="67" t="str">
        <f t="shared" si="158"/>
        <v/>
      </c>
      <c r="AD195" s="67" t="str">
        <f t="shared" si="159"/>
        <v/>
      </c>
      <c r="AE195" s="67" t="str">
        <f t="shared" si="160"/>
        <v/>
      </c>
      <c r="AF195" s="67" t="str">
        <f t="shared" si="161"/>
        <v/>
      </c>
      <c r="AG195" s="67" t="str">
        <f t="shared" si="162"/>
        <v/>
      </c>
    </row>
    <row r="196" spans="1:33" s="66" customFormat="1">
      <c r="A196" s="18" t="str">
        <f t="shared" si="143"/>
        <v/>
      </c>
      <c r="B196" s="211"/>
      <c r="C196" s="57"/>
      <c r="D196" s="43">
        <f t="shared" si="144"/>
        <v>0</v>
      </c>
      <c r="E196" s="58" t="str">
        <f t="shared" si="145"/>
        <v/>
      </c>
      <c r="F196" s="89" t="str">
        <f t="shared" si="146"/>
        <v/>
      </c>
      <c r="G196" s="184"/>
      <c r="H196" s="196"/>
      <c r="I196" s="185"/>
      <c r="J196" s="41"/>
      <c r="K196" s="38">
        <f>IF(I196="",0,VLOOKUP(I196,'LISTA DE PRECIOS'!A:F,IF(R196="CORO",4,5),FALSE))</f>
        <v>0</v>
      </c>
      <c r="L196" s="199">
        <f t="shared" si="147"/>
        <v>0</v>
      </c>
      <c r="M196" s="209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2">
        <f t="shared" si="148"/>
        <v>0</v>
      </c>
      <c r="O196" s="42">
        <f t="shared" si="149"/>
        <v>0</v>
      </c>
      <c r="P196" s="69"/>
      <c r="R196" s="67" t="str">
        <f>IF(H196="","",VLOOKUP(H196,'DATOS CLIENTES'!B:F,5,FALSE))</f>
        <v/>
      </c>
      <c r="S196" s="67" t="e">
        <f t="shared" si="153"/>
        <v>#REF!</v>
      </c>
      <c r="U196" s="68">
        <f t="shared" si="150"/>
        <v>0</v>
      </c>
      <c r="V196" s="68">
        <f t="shared" si="151"/>
        <v>0</v>
      </c>
      <c r="X196" s="67" t="e">
        <f t="shared" si="152"/>
        <v>#N/A</v>
      </c>
      <c r="Y196" s="67" t="str">
        <f t="shared" si="154"/>
        <v/>
      </c>
      <c r="Z196" s="67" t="str">
        <f t="shared" si="155"/>
        <v/>
      </c>
      <c r="AA196" s="67" t="str">
        <f t="shared" si="156"/>
        <v/>
      </c>
      <c r="AB196" s="219" t="str">
        <f t="shared" si="157"/>
        <v/>
      </c>
      <c r="AC196" s="67" t="str">
        <f t="shared" si="158"/>
        <v/>
      </c>
      <c r="AD196" s="67" t="str">
        <f t="shared" si="159"/>
        <v/>
      </c>
      <c r="AE196" s="67" t="str">
        <f t="shared" si="160"/>
        <v/>
      </c>
      <c r="AF196" s="67" t="str">
        <f t="shared" si="161"/>
        <v/>
      </c>
      <c r="AG196" s="67" t="str">
        <f t="shared" si="162"/>
        <v/>
      </c>
    </row>
    <row r="197" spans="1:33" s="66" customFormat="1">
      <c r="A197" s="18" t="str">
        <f t="shared" si="143"/>
        <v/>
      </c>
      <c r="B197" s="211"/>
      <c r="C197" s="57"/>
      <c r="D197" s="43">
        <f t="shared" si="144"/>
        <v>0</v>
      </c>
      <c r="E197" s="58" t="str">
        <f t="shared" si="145"/>
        <v/>
      </c>
      <c r="F197" s="89" t="str">
        <f t="shared" si="146"/>
        <v/>
      </c>
      <c r="G197" s="184"/>
      <c r="H197" s="196"/>
      <c r="I197" s="185"/>
      <c r="J197" s="41"/>
      <c r="K197" s="38">
        <f>IF(I197="",0,VLOOKUP(I197,'LISTA DE PRECIOS'!A:F,IF(R197="CORO",4,5),FALSE))</f>
        <v>0</v>
      </c>
      <c r="L197" s="199">
        <f t="shared" si="147"/>
        <v>0</v>
      </c>
      <c r="M197" s="209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2">
        <f t="shared" si="148"/>
        <v>0</v>
      </c>
      <c r="O197" s="42">
        <f t="shared" si="149"/>
        <v>0</v>
      </c>
      <c r="P197" s="69"/>
      <c r="R197" s="67" t="str">
        <f>IF(H197="","",VLOOKUP(H197,'DATOS CLIENTES'!B:F,5,FALSE))</f>
        <v/>
      </c>
      <c r="S197" s="67" t="e">
        <f t="shared" si="153"/>
        <v>#REF!</v>
      </c>
      <c r="U197" s="68">
        <f t="shared" si="150"/>
        <v>0</v>
      </c>
      <c r="V197" s="68">
        <f t="shared" si="151"/>
        <v>0</v>
      </c>
      <c r="X197" s="67" t="e">
        <f t="shared" si="152"/>
        <v>#N/A</v>
      </c>
      <c r="Y197" s="67" t="str">
        <f t="shared" si="154"/>
        <v/>
      </c>
      <c r="Z197" s="67" t="str">
        <f t="shared" si="155"/>
        <v/>
      </c>
      <c r="AA197" s="67" t="str">
        <f t="shared" si="156"/>
        <v/>
      </c>
      <c r="AB197" s="219" t="str">
        <f t="shared" si="157"/>
        <v/>
      </c>
      <c r="AC197" s="67" t="str">
        <f t="shared" si="158"/>
        <v/>
      </c>
      <c r="AD197" s="67" t="str">
        <f t="shared" si="159"/>
        <v/>
      </c>
      <c r="AE197" s="67" t="str">
        <f t="shared" si="160"/>
        <v/>
      </c>
      <c r="AF197" s="67" t="str">
        <f t="shared" si="161"/>
        <v/>
      </c>
      <c r="AG197" s="67" t="str">
        <f t="shared" si="162"/>
        <v/>
      </c>
    </row>
    <row r="198" spans="1:33" s="66" customFormat="1">
      <c r="A198" s="18" t="str">
        <f t="shared" ref="A198:A249" si="163">CONCATENATE(E198,F198)</f>
        <v/>
      </c>
      <c r="B198" s="211"/>
      <c r="C198" s="57"/>
      <c r="D198" s="43">
        <f t="shared" si="144"/>
        <v>0</v>
      </c>
      <c r="E198" s="58" t="str">
        <f t="shared" si="145"/>
        <v/>
      </c>
      <c r="F198" s="89" t="str">
        <f t="shared" si="146"/>
        <v/>
      </c>
      <c r="G198" s="184"/>
      <c r="H198" s="196"/>
      <c r="I198" s="185"/>
      <c r="J198" s="41"/>
      <c r="K198" s="38">
        <f>IF(I198="",0,VLOOKUP(I198,'LISTA DE PRECIOS'!A:F,IF(R198="CORO",4,5),FALSE))</f>
        <v>0</v>
      </c>
      <c r="L198" s="199">
        <f t="shared" si="147"/>
        <v>0</v>
      </c>
      <c r="M198" s="209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2">
        <f t="shared" si="148"/>
        <v>0</v>
      </c>
      <c r="O198" s="42">
        <f t="shared" si="149"/>
        <v>0</v>
      </c>
      <c r="P198" s="69"/>
      <c r="R198" s="67" t="str">
        <f>IF(H198="","",VLOOKUP(H198,'DATOS CLIENTES'!B:F,5,FALSE))</f>
        <v/>
      </c>
      <c r="S198" s="67" t="e">
        <f t="shared" si="153"/>
        <v>#REF!</v>
      </c>
      <c r="U198" s="68">
        <f t="shared" si="150"/>
        <v>0</v>
      </c>
      <c r="V198" s="68">
        <f t="shared" si="151"/>
        <v>0</v>
      </c>
      <c r="X198" s="67" t="e">
        <f t="shared" si="152"/>
        <v>#N/A</v>
      </c>
      <c r="Y198" s="67" t="str">
        <f t="shared" si="154"/>
        <v/>
      </c>
      <c r="Z198" s="67" t="str">
        <f t="shared" si="155"/>
        <v/>
      </c>
      <c r="AA198" s="67" t="str">
        <f t="shared" si="156"/>
        <v/>
      </c>
      <c r="AB198" s="219" t="str">
        <f t="shared" si="157"/>
        <v/>
      </c>
      <c r="AC198" s="67" t="str">
        <f t="shared" si="158"/>
        <v/>
      </c>
      <c r="AD198" s="67" t="str">
        <f t="shared" si="159"/>
        <v/>
      </c>
      <c r="AE198" s="67" t="str">
        <f t="shared" si="160"/>
        <v/>
      </c>
      <c r="AF198" s="67" t="str">
        <f t="shared" si="161"/>
        <v/>
      </c>
      <c r="AG198" s="67" t="str">
        <f t="shared" si="162"/>
        <v/>
      </c>
    </row>
    <row r="199" spans="1:33" s="66" customFormat="1">
      <c r="A199" s="18" t="str">
        <f t="shared" si="163"/>
        <v/>
      </c>
      <c r="B199" s="211"/>
      <c r="C199" s="57"/>
      <c r="D199" s="43">
        <f t="shared" ref="D199:D250" si="164">IF(OR(H199="",AND(H199=H198,G199=G198)),D198,D198+1)</f>
        <v>0</v>
      </c>
      <c r="E199" s="58" t="str">
        <f t="shared" ref="E199:E250" si="165">IF(F199="","",IF(OR(F199=0,F199=F198),E198+1,1))</f>
        <v/>
      </c>
      <c r="F199" s="89" t="str">
        <f t="shared" ref="F199:F250" si="166">IF(G199="","",CONCATENATE("SFC-",IF(LEN(MONTH($G$4))=1,CONCATENATE("0",MONTH($G$4)),MONTH($G$4)),RIGHT(YEAR($G$4),2),"-",S199))</f>
        <v/>
      </c>
      <c r="G199" s="184"/>
      <c r="H199" s="196"/>
      <c r="I199" s="185"/>
      <c r="J199" s="41"/>
      <c r="K199" s="38">
        <f>IF(I199="",0,VLOOKUP(I199,'LISTA DE PRECIOS'!A:F,IF(R199="CORO",4,5),FALSE))</f>
        <v>0</v>
      </c>
      <c r="L199" s="199">
        <f t="shared" ref="L199:L250" si="167">ROUND(K199*J199,2)</f>
        <v>0</v>
      </c>
      <c r="M199" s="209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2">
        <f t="shared" ref="N199:N250" si="168">M199*K199</f>
        <v>0</v>
      </c>
      <c r="O199" s="42">
        <f t="shared" ref="O199:O250" si="169">N199*J199</f>
        <v>0</v>
      </c>
      <c r="P199" s="69"/>
      <c r="R199" s="67" t="str">
        <f>IF(H199="","",VLOOKUP(H199,'DATOS CLIENTES'!B:F,5,FALSE))</f>
        <v/>
      </c>
      <c r="S199" s="67" t="e">
        <f t="shared" si="153"/>
        <v>#REF!</v>
      </c>
      <c r="U199" s="68">
        <f t="shared" ref="U199:U250" si="170">IF(R199="PUNTO FIJO",0,SUMIF($F$7:$F$250,F199,$L$7:$L$250))</f>
        <v>0</v>
      </c>
      <c r="V199" s="68">
        <f t="shared" ref="V199:V250" si="171">IF(R199="PUNTO FIJO",0,SUMIF($F$7:$F$250,F199,$O$7:$O$250))</f>
        <v>0</v>
      </c>
      <c r="X199" s="67" t="e">
        <f t="shared" si="152"/>
        <v>#N/A</v>
      </c>
      <c r="Y199" s="67" t="str">
        <f t="shared" si="154"/>
        <v/>
      </c>
      <c r="Z199" s="67" t="str">
        <f t="shared" si="155"/>
        <v/>
      </c>
      <c r="AA199" s="67" t="str">
        <f t="shared" si="156"/>
        <v/>
      </c>
      <c r="AB199" s="219" t="str">
        <f t="shared" si="157"/>
        <v/>
      </c>
      <c r="AC199" s="67" t="str">
        <f t="shared" si="158"/>
        <v/>
      </c>
      <c r="AD199" s="67" t="str">
        <f t="shared" si="159"/>
        <v/>
      </c>
      <c r="AE199" s="67" t="str">
        <f t="shared" si="160"/>
        <v/>
      </c>
      <c r="AF199" s="67" t="str">
        <f t="shared" si="161"/>
        <v/>
      </c>
      <c r="AG199" s="67" t="str">
        <f t="shared" si="162"/>
        <v/>
      </c>
    </row>
    <row r="200" spans="1:33" s="66" customFormat="1">
      <c r="A200" s="18" t="str">
        <f t="shared" si="163"/>
        <v/>
      </c>
      <c r="B200" s="211"/>
      <c r="C200" s="57"/>
      <c r="D200" s="43">
        <f t="shared" si="164"/>
        <v>0</v>
      </c>
      <c r="E200" s="58" t="str">
        <f t="shared" si="165"/>
        <v/>
      </c>
      <c r="F200" s="89" t="str">
        <f t="shared" si="166"/>
        <v/>
      </c>
      <c r="G200" s="184"/>
      <c r="H200" s="196"/>
      <c r="I200" s="185"/>
      <c r="J200" s="41"/>
      <c r="K200" s="38">
        <f>IF(I200="",0,VLOOKUP(I200,'LISTA DE PRECIOS'!A:F,IF(R200="CORO",4,5),FALSE))</f>
        <v>0</v>
      </c>
      <c r="L200" s="199">
        <f t="shared" si="167"/>
        <v>0</v>
      </c>
      <c r="M200" s="209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2">
        <f t="shared" si="168"/>
        <v>0</v>
      </c>
      <c r="O200" s="42">
        <f t="shared" si="169"/>
        <v>0</v>
      </c>
      <c r="P200" s="69"/>
      <c r="R200" s="67" t="str">
        <f>IF(H200="","",VLOOKUP(H200,'DATOS CLIENTES'!B:F,5,FALSE))</f>
        <v/>
      </c>
      <c r="S200" s="67" t="e">
        <f t="shared" si="153"/>
        <v>#REF!</v>
      </c>
      <c r="U200" s="68">
        <f t="shared" si="170"/>
        <v>0</v>
      </c>
      <c r="V200" s="68">
        <f t="shared" si="171"/>
        <v>0</v>
      </c>
      <c r="X200" s="67" t="e">
        <f t="shared" ref="X200:X250" si="172">IF(Y200="",X199,X199+1)</f>
        <v>#N/A</v>
      </c>
      <c r="Y200" s="67" t="str">
        <f t="shared" si="154"/>
        <v/>
      </c>
      <c r="Z200" s="67" t="str">
        <f t="shared" si="155"/>
        <v/>
      </c>
      <c r="AA200" s="67" t="str">
        <f t="shared" si="156"/>
        <v/>
      </c>
      <c r="AB200" s="219" t="str">
        <f t="shared" si="157"/>
        <v/>
      </c>
      <c r="AC200" s="67" t="str">
        <f t="shared" si="158"/>
        <v/>
      </c>
      <c r="AD200" s="67" t="str">
        <f t="shared" si="159"/>
        <v/>
      </c>
      <c r="AE200" s="67" t="str">
        <f t="shared" si="160"/>
        <v/>
      </c>
      <c r="AF200" s="67" t="str">
        <f t="shared" si="161"/>
        <v/>
      </c>
      <c r="AG200" s="67" t="str">
        <f t="shared" si="162"/>
        <v/>
      </c>
    </row>
    <row r="201" spans="1:33" s="66" customFormat="1">
      <c r="A201" s="18" t="str">
        <f t="shared" si="163"/>
        <v/>
      </c>
      <c r="B201" s="211"/>
      <c r="C201" s="57"/>
      <c r="D201" s="43">
        <f t="shared" si="164"/>
        <v>0</v>
      </c>
      <c r="E201" s="58" t="str">
        <f t="shared" si="165"/>
        <v/>
      </c>
      <c r="F201" s="89" t="str">
        <f t="shared" si="166"/>
        <v/>
      </c>
      <c r="G201" s="184"/>
      <c r="H201" s="196"/>
      <c r="I201" s="185"/>
      <c r="J201" s="41"/>
      <c r="K201" s="38">
        <f>IF(I201="",0,VLOOKUP(I201,'LISTA DE PRECIOS'!A:F,IF(R201="CORO",4,5),FALSE))</f>
        <v>0</v>
      </c>
      <c r="L201" s="199">
        <f t="shared" si="167"/>
        <v>0</v>
      </c>
      <c r="M201" s="209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2">
        <f t="shared" si="168"/>
        <v>0</v>
      </c>
      <c r="O201" s="42">
        <f t="shared" si="169"/>
        <v>0</v>
      </c>
      <c r="P201" s="69"/>
      <c r="R201" s="67" t="str">
        <f>IF(H201="","",VLOOKUP(H201,'DATOS CLIENTES'!B:F,5,FALSE))</f>
        <v/>
      </c>
      <c r="S201" s="67" t="e">
        <f t="shared" ref="S201:S250" si="173">IF(B201="CHS",S200,IF(D201=D200,S200,IF(S200+1-1&lt;9,CONCATENATE("00",S200+1),IF(S200+1-1&lt;99,CONCATENATE("0",S200+1),S200+1))))</f>
        <v>#REF!</v>
      </c>
      <c r="U201" s="68">
        <f t="shared" si="170"/>
        <v>0</v>
      </c>
      <c r="V201" s="68">
        <f t="shared" si="171"/>
        <v>0</v>
      </c>
      <c r="X201" s="67" t="e">
        <f t="shared" si="172"/>
        <v>#N/A</v>
      </c>
      <c r="Y201" s="67" t="str">
        <f t="shared" ref="Y201:Y250" si="174">IF(AND($R201&lt;&gt;"PUNTO FIJO",$R201&lt;&gt;""),B201,"")</f>
        <v/>
      </c>
      <c r="Z201" s="67" t="str">
        <f t="shared" ref="Z201:Z250" si="175">IF(AND($R201&lt;&gt;"PUNTO FIJO",$R201&lt;&gt;""),C201,"")</f>
        <v/>
      </c>
      <c r="AA201" s="67" t="str">
        <f t="shared" ref="AA201:AA250" si="176">IF(AND($R201&lt;&gt;"PUNTO FIJO",$R201&lt;&gt;""),F201,"")</f>
        <v/>
      </c>
      <c r="AB201" s="219" t="str">
        <f t="shared" ref="AB201:AB250" si="177">IF(AND($R201&lt;&gt;"PUNTO FIJO",$R201&lt;&gt;""),G201,"")</f>
        <v/>
      </c>
      <c r="AC201" s="67" t="str">
        <f t="shared" ref="AC201:AC250" si="178">IF(AND($R201&lt;&gt;"PUNTO FIJO",$R201&lt;&gt;""),H201,"")</f>
        <v/>
      </c>
      <c r="AD201" s="67" t="str">
        <f t="shared" ref="AD201:AD250" si="179">IF(AND($R201&lt;&gt;"PUNTO FIJO",$R201&lt;&gt;""),I201,"")</f>
        <v/>
      </c>
      <c r="AE201" s="67" t="str">
        <f t="shared" ref="AE201:AE250" si="180">IF(AND($R201&lt;&gt;"PUNTO FIJO",$R201&lt;&gt;""),J201,"")</f>
        <v/>
      </c>
      <c r="AF201" s="67" t="str">
        <f t="shared" ref="AF201:AF250" si="181">IF(AND($R201&lt;&gt;"PUNTO FIJO",$R201&lt;&gt;""),K201,"")</f>
        <v/>
      </c>
      <c r="AG201" s="67" t="str">
        <f t="shared" ref="AG201:AG250" si="182">IF(AND($R201&lt;&gt;"PUNTO FIJO",$R201&lt;&gt;""),M201,"")</f>
        <v/>
      </c>
    </row>
    <row r="202" spans="1:33" s="66" customFormat="1">
      <c r="A202" s="18" t="str">
        <f t="shared" si="163"/>
        <v/>
      </c>
      <c r="B202" s="211"/>
      <c r="C202" s="57"/>
      <c r="D202" s="43">
        <f t="shared" si="164"/>
        <v>0</v>
      </c>
      <c r="E202" s="58" t="str">
        <f t="shared" si="165"/>
        <v/>
      </c>
      <c r="F202" s="89" t="str">
        <f t="shared" si="166"/>
        <v/>
      </c>
      <c r="G202" s="184"/>
      <c r="H202" s="196"/>
      <c r="I202" s="185"/>
      <c r="J202" s="41"/>
      <c r="K202" s="38">
        <f>IF(I202="",0,VLOOKUP(I202,'LISTA DE PRECIOS'!A:F,IF(R202="CORO",4,5),FALSE))</f>
        <v>0</v>
      </c>
      <c r="L202" s="199">
        <f t="shared" si="167"/>
        <v>0</v>
      </c>
      <c r="M202" s="209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2">
        <f t="shared" si="168"/>
        <v>0</v>
      </c>
      <c r="O202" s="42">
        <f t="shared" si="169"/>
        <v>0</v>
      </c>
      <c r="P202" s="69"/>
      <c r="R202" s="67" t="str">
        <f>IF(H202="","",VLOOKUP(H202,'DATOS CLIENTES'!B:F,5,FALSE))</f>
        <v/>
      </c>
      <c r="S202" s="67" t="e">
        <f t="shared" si="173"/>
        <v>#REF!</v>
      </c>
      <c r="U202" s="68">
        <f t="shared" si="170"/>
        <v>0</v>
      </c>
      <c r="V202" s="68">
        <f t="shared" si="171"/>
        <v>0</v>
      </c>
      <c r="X202" s="67" t="e">
        <f t="shared" si="172"/>
        <v>#N/A</v>
      </c>
      <c r="Y202" s="67" t="str">
        <f t="shared" si="174"/>
        <v/>
      </c>
      <c r="Z202" s="67" t="str">
        <f t="shared" si="175"/>
        <v/>
      </c>
      <c r="AA202" s="67" t="str">
        <f t="shared" si="176"/>
        <v/>
      </c>
      <c r="AB202" s="219" t="str">
        <f t="shared" si="177"/>
        <v/>
      </c>
      <c r="AC202" s="67" t="str">
        <f t="shared" si="178"/>
        <v/>
      </c>
      <c r="AD202" s="67" t="str">
        <f t="shared" si="179"/>
        <v/>
      </c>
      <c r="AE202" s="67" t="str">
        <f t="shared" si="180"/>
        <v/>
      </c>
      <c r="AF202" s="67" t="str">
        <f t="shared" si="181"/>
        <v/>
      </c>
      <c r="AG202" s="67" t="str">
        <f t="shared" si="182"/>
        <v/>
      </c>
    </row>
    <row r="203" spans="1:33" s="66" customFormat="1">
      <c r="A203" s="18" t="str">
        <f t="shared" si="163"/>
        <v/>
      </c>
      <c r="B203" s="211"/>
      <c r="C203" s="57"/>
      <c r="D203" s="43">
        <f t="shared" si="164"/>
        <v>0</v>
      </c>
      <c r="E203" s="58" t="str">
        <f t="shared" si="165"/>
        <v/>
      </c>
      <c r="F203" s="89" t="str">
        <f t="shared" si="166"/>
        <v/>
      </c>
      <c r="G203" s="184"/>
      <c r="H203" s="196"/>
      <c r="I203" s="185"/>
      <c r="J203" s="41"/>
      <c r="K203" s="38">
        <f>IF(I203="",0,VLOOKUP(I203,'LISTA DE PRECIOS'!A:F,IF(R203="CORO",4,5),FALSE))</f>
        <v>0</v>
      </c>
      <c r="L203" s="199">
        <f t="shared" si="167"/>
        <v>0</v>
      </c>
      <c r="M203" s="209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2">
        <f t="shared" si="168"/>
        <v>0</v>
      </c>
      <c r="O203" s="42">
        <f t="shared" si="169"/>
        <v>0</v>
      </c>
      <c r="P203" s="69"/>
      <c r="R203" s="67" t="str">
        <f>IF(H203="","",VLOOKUP(H203,'DATOS CLIENTES'!B:F,5,FALSE))</f>
        <v/>
      </c>
      <c r="S203" s="67" t="e">
        <f t="shared" si="173"/>
        <v>#REF!</v>
      </c>
      <c r="U203" s="68">
        <f t="shared" si="170"/>
        <v>0</v>
      </c>
      <c r="V203" s="68">
        <f t="shared" si="171"/>
        <v>0</v>
      </c>
      <c r="X203" s="67" t="e">
        <f t="shared" si="172"/>
        <v>#N/A</v>
      </c>
      <c r="Y203" s="67" t="str">
        <f t="shared" si="174"/>
        <v/>
      </c>
      <c r="Z203" s="67" t="str">
        <f t="shared" si="175"/>
        <v/>
      </c>
      <c r="AA203" s="67" t="str">
        <f t="shared" si="176"/>
        <v/>
      </c>
      <c r="AB203" s="219" t="str">
        <f t="shared" si="177"/>
        <v/>
      </c>
      <c r="AC203" s="67" t="str">
        <f t="shared" si="178"/>
        <v/>
      </c>
      <c r="AD203" s="67" t="str">
        <f t="shared" si="179"/>
        <v/>
      </c>
      <c r="AE203" s="67" t="str">
        <f t="shared" si="180"/>
        <v/>
      </c>
      <c r="AF203" s="67" t="str">
        <f t="shared" si="181"/>
        <v/>
      </c>
      <c r="AG203" s="67" t="str">
        <f t="shared" si="182"/>
        <v/>
      </c>
    </row>
    <row r="204" spans="1:33" s="66" customFormat="1">
      <c r="A204" s="18" t="str">
        <f t="shared" si="163"/>
        <v/>
      </c>
      <c r="B204" s="211"/>
      <c r="C204" s="57"/>
      <c r="D204" s="43">
        <f t="shared" si="164"/>
        <v>0</v>
      </c>
      <c r="E204" s="58" t="str">
        <f t="shared" si="165"/>
        <v/>
      </c>
      <c r="F204" s="89" t="str">
        <f t="shared" si="166"/>
        <v/>
      </c>
      <c r="G204" s="184"/>
      <c r="H204" s="196"/>
      <c r="I204" s="185"/>
      <c r="J204" s="41"/>
      <c r="K204" s="38">
        <f>IF(I204="",0,VLOOKUP(I204,'LISTA DE PRECIOS'!A:F,IF(R204="CORO",4,5),FALSE))</f>
        <v>0</v>
      </c>
      <c r="L204" s="199">
        <f t="shared" si="167"/>
        <v>0</v>
      </c>
      <c r="M204" s="209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2">
        <f t="shared" si="168"/>
        <v>0</v>
      </c>
      <c r="O204" s="42">
        <f t="shared" si="169"/>
        <v>0</v>
      </c>
      <c r="P204" s="69"/>
      <c r="R204" s="67" t="str">
        <f>IF(H204="","",VLOOKUP(H204,'DATOS CLIENTES'!B:F,5,FALSE))</f>
        <v/>
      </c>
      <c r="S204" s="67" t="e">
        <f t="shared" si="173"/>
        <v>#REF!</v>
      </c>
      <c r="U204" s="68">
        <f t="shared" si="170"/>
        <v>0</v>
      </c>
      <c r="V204" s="68">
        <f t="shared" si="171"/>
        <v>0</v>
      </c>
      <c r="X204" s="67" t="e">
        <f t="shared" si="172"/>
        <v>#N/A</v>
      </c>
      <c r="Y204" s="67" t="str">
        <f t="shared" si="174"/>
        <v/>
      </c>
      <c r="Z204" s="67" t="str">
        <f t="shared" si="175"/>
        <v/>
      </c>
      <c r="AA204" s="67" t="str">
        <f t="shared" si="176"/>
        <v/>
      </c>
      <c r="AB204" s="219" t="str">
        <f t="shared" si="177"/>
        <v/>
      </c>
      <c r="AC204" s="67" t="str">
        <f t="shared" si="178"/>
        <v/>
      </c>
      <c r="AD204" s="67" t="str">
        <f t="shared" si="179"/>
        <v/>
      </c>
      <c r="AE204" s="67" t="str">
        <f t="shared" si="180"/>
        <v/>
      </c>
      <c r="AF204" s="67" t="str">
        <f t="shared" si="181"/>
        <v/>
      </c>
      <c r="AG204" s="67" t="str">
        <f t="shared" si="182"/>
        <v/>
      </c>
    </row>
    <row r="205" spans="1:33" s="66" customFormat="1">
      <c r="A205" s="18" t="str">
        <f t="shared" si="163"/>
        <v/>
      </c>
      <c r="B205" s="211"/>
      <c r="C205" s="57"/>
      <c r="D205" s="43">
        <f t="shared" si="164"/>
        <v>0</v>
      </c>
      <c r="E205" s="58" t="str">
        <f t="shared" si="165"/>
        <v/>
      </c>
      <c r="F205" s="89" t="str">
        <f t="shared" si="166"/>
        <v/>
      </c>
      <c r="G205" s="184"/>
      <c r="H205" s="196"/>
      <c r="I205" s="185"/>
      <c r="J205" s="41"/>
      <c r="K205" s="38">
        <f>IF(I205="",0,VLOOKUP(I205,'LISTA DE PRECIOS'!A:F,IF(R205="CORO",4,5),FALSE))</f>
        <v>0</v>
      </c>
      <c r="L205" s="199">
        <f t="shared" si="167"/>
        <v>0</v>
      </c>
      <c r="M205" s="209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2">
        <f t="shared" si="168"/>
        <v>0</v>
      </c>
      <c r="O205" s="42">
        <f t="shared" si="169"/>
        <v>0</v>
      </c>
      <c r="P205" s="69"/>
      <c r="R205" s="67" t="str">
        <f>IF(H205="","",VLOOKUP(H205,'DATOS CLIENTES'!B:F,5,FALSE))</f>
        <v/>
      </c>
      <c r="S205" s="67" t="e">
        <f t="shared" si="173"/>
        <v>#REF!</v>
      </c>
      <c r="U205" s="68">
        <f t="shared" si="170"/>
        <v>0</v>
      </c>
      <c r="V205" s="68">
        <f t="shared" si="171"/>
        <v>0</v>
      </c>
      <c r="X205" s="67" t="e">
        <f t="shared" si="172"/>
        <v>#N/A</v>
      </c>
      <c r="Y205" s="67" t="str">
        <f t="shared" si="174"/>
        <v/>
      </c>
      <c r="Z205" s="67" t="str">
        <f t="shared" si="175"/>
        <v/>
      </c>
      <c r="AA205" s="67" t="str">
        <f t="shared" si="176"/>
        <v/>
      </c>
      <c r="AB205" s="219" t="str">
        <f t="shared" si="177"/>
        <v/>
      </c>
      <c r="AC205" s="67" t="str">
        <f t="shared" si="178"/>
        <v/>
      </c>
      <c r="AD205" s="67" t="str">
        <f t="shared" si="179"/>
        <v/>
      </c>
      <c r="AE205" s="67" t="str">
        <f t="shared" si="180"/>
        <v/>
      </c>
      <c r="AF205" s="67" t="str">
        <f t="shared" si="181"/>
        <v/>
      </c>
      <c r="AG205" s="67" t="str">
        <f t="shared" si="182"/>
        <v/>
      </c>
    </row>
    <row r="206" spans="1:33" s="66" customFormat="1">
      <c r="A206" s="18" t="str">
        <f t="shared" si="163"/>
        <v/>
      </c>
      <c r="B206" s="211"/>
      <c r="C206" s="57"/>
      <c r="D206" s="43">
        <f t="shared" si="164"/>
        <v>0</v>
      </c>
      <c r="E206" s="58" t="str">
        <f t="shared" si="165"/>
        <v/>
      </c>
      <c r="F206" s="89" t="str">
        <f t="shared" si="166"/>
        <v/>
      </c>
      <c r="G206" s="184"/>
      <c r="H206" s="196"/>
      <c r="I206" s="185"/>
      <c r="J206" s="41"/>
      <c r="K206" s="38">
        <f>IF(I206="",0,VLOOKUP(I206,'LISTA DE PRECIOS'!A:F,IF(R206="CORO",4,5),FALSE))</f>
        <v>0</v>
      </c>
      <c r="L206" s="199">
        <f t="shared" si="167"/>
        <v>0</v>
      </c>
      <c r="M206" s="209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2">
        <f t="shared" si="168"/>
        <v>0</v>
      </c>
      <c r="O206" s="42">
        <f t="shared" si="169"/>
        <v>0</v>
      </c>
      <c r="P206" s="69"/>
      <c r="R206" s="67" t="str">
        <f>IF(H206="","",VLOOKUP(H206,'DATOS CLIENTES'!B:F,5,FALSE))</f>
        <v/>
      </c>
      <c r="S206" s="67" t="e">
        <f t="shared" si="173"/>
        <v>#REF!</v>
      </c>
      <c r="U206" s="68">
        <f t="shared" si="170"/>
        <v>0</v>
      </c>
      <c r="V206" s="68">
        <f t="shared" si="171"/>
        <v>0</v>
      </c>
      <c r="X206" s="67" t="e">
        <f t="shared" si="172"/>
        <v>#N/A</v>
      </c>
      <c r="Y206" s="67" t="str">
        <f t="shared" si="174"/>
        <v/>
      </c>
      <c r="Z206" s="67" t="str">
        <f t="shared" si="175"/>
        <v/>
      </c>
      <c r="AA206" s="67" t="str">
        <f t="shared" si="176"/>
        <v/>
      </c>
      <c r="AB206" s="219" t="str">
        <f t="shared" si="177"/>
        <v/>
      </c>
      <c r="AC206" s="67" t="str">
        <f t="shared" si="178"/>
        <v/>
      </c>
      <c r="AD206" s="67" t="str">
        <f t="shared" si="179"/>
        <v/>
      </c>
      <c r="AE206" s="67" t="str">
        <f t="shared" si="180"/>
        <v/>
      </c>
      <c r="AF206" s="67" t="str">
        <f t="shared" si="181"/>
        <v/>
      </c>
      <c r="AG206" s="67" t="str">
        <f t="shared" si="182"/>
        <v/>
      </c>
    </row>
    <row r="207" spans="1:33" s="66" customFormat="1">
      <c r="A207" s="18" t="str">
        <f t="shared" si="163"/>
        <v/>
      </c>
      <c r="B207" s="211"/>
      <c r="C207" s="57"/>
      <c r="D207" s="43">
        <f t="shared" si="164"/>
        <v>0</v>
      </c>
      <c r="E207" s="58" t="str">
        <f t="shared" si="165"/>
        <v/>
      </c>
      <c r="F207" s="89" t="str">
        <f t="shared" si="166"/>
        <v/>
      </c>
      <c r="G207" s="184"/>
      <c r="H207" s="196"/>
      <c r="I207" s="185"/>
      <c r="J207" s="41"/>
      <c r="K207" s="38">
        <f>IF(I207="",0,VLOOKUP(I207,'LISTA DE PRECIOS'!A:F,IF(R207="CORO",4,5),FALSE))</f>
        <v>0</v>
      </c>
      <c r="L207" s="199">
        <f t="shared" si="167"/>
        <v>0</v>
      </c>
      <c r="M207" s="209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2">
        <f t="shared" si="168"/>
        <v>0</v>
      </c>
      <c r="O207" s="42">
        <f t="shared" si="169"/>
        <v>0</v>
      </c>
      <c r="P207" s="69"/>
      <c r="R207" s="67" t="str">
        <f>IF(H207="","",VLOOKUP(H207,'DATOS CLIENTES'!B:F,5,FALSE))</f>
        <v/>
      </c>
      <c r="S207" s="67" t="e">
        <f t="shared" si="173"/>
        <v>#REF!</v>
      </c>
      <c r="U207" s="68">
        <f t="shared" si="170"/>
        <v>0</v>
      </c>
      <c r="V207" s="68">
        <f t="shared" si="171"/>
        <v>0</v>
      </c>
      <c r="X207" s="67" t="e">
        <f t="shared" si="172"/>
        <v>#N/A</v>
      </c>
      <c r="Y207" s="67" t="str">
        <f t="shared" si="174"/>
        <v/>
      </c>
      <c r="Z207" s="67" t="str">
        <f t="shared" si="175"/>
        <v/>
      </c>
      <c r="AA207" s="67" t="str">
        <f t="shared" si="176"/>
        <v/>
      </c>
      <c r="AB207" s="219" t="str">
        <f t="shared" si="177"/>
        <v/>
      </c>
      <c r="AC207" s="67" t="str">
        <f t="shared" si="178"/>
        <v/>
      </c>
      <c r="AD207" s="67" t="str">
        <f t="shared" si="179"/>
        <v/>
      </c>
      <c r="AE207" s="67" t="str">
        <f t="shared" si="180"/>
        <v/>
      </c>
      <c r="AF207" s="67" t="str">
        <f t="shared" si="181"/>
        <v/>
      </c>
      <c r="AG207" s="67" t="str">
        <f t="shared" si="182"/>
        <v/>
      </c>
    </row>
    <row r="208" spans="1:33" s="66" customFormat="1">
      <c r="A208" s="18" t="str">
        <f t="shared" si="163"/>
        <v/>
      </c>
      <c r="B208" s="211"/>
      <c r="C208" s="57"/>
      <c r="D208" s="43">
        <f t="shared" si="164"/>
        <v>0</v>
      </c>
      <c r="E208" s="58" t="str">
        <f t="shared" si="165"/>
        <v/>
      </c>
      <c r="F208" s="89" t="str">
        <f t="shared" si="166"/>
        <v/>
      </c>
      <c r="G208" s="184"/>
      <c r="H208" s="196"/>
      <c r="I208" s="185"/>
      <c r="J208" s="41"/>
      <c r="K208" s="38">
        <f>IF(I208="",0,VLOOKUP(I208,'LISTA DE PRECIOS'!A:F,IF(R208="CORO",4,5),FALSE))</f>
        <v>0</v>
      </c>
      <c r="L208" s="199">
        <f t="shared" si="167"/>
        <v>0</v>
      </c>
      <c r="M208" s="209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2">
        <f t="shared" si="168"/>
        <v>0</v>
      </c>
      <c r="O208" s="42">
        <f t="shared" si="169"/>
        <v>0</v>
      </c>
      <c r="P208" s="69"/>
      <c r="R208" s="67" t="str">
        <f>IF(H208="","",VLOOKUP(H208,'DATOS CLIENTES'!B:F,5,FALSE))</f>
        <v/>
      </c>
      <c r="S208" s="67" t="e">
        <f t="shared" si="173"/>
        <v>#REF!</v>
      </c>
      <c r="U208" s="68">
        <f t="shared" si="170"/>
        <v>0</v>
      </c>
      <c r="V208" s="68">
        <f t="shared" si="171"/>
        <v>0</v>
      </c>
      <c r="X208" s="67" t="e">
        <f t="shared" si="172"/>
        <v>#N/A</v>
      </c>
      <c r="Y208" s="67" t="str">
        <f t="shared" si="174"/>
        <v/>
      </c>
      <c r="Z208" s="67" t="str">
        <f t="shared" si="175"/>
        <v/>
      </c>
      <c r="AA208" s="67" t="str">
        <f t="shared" si="176"/>
        <v/>
      </c>
      <c r="AB208" s="219" t="str">
        <f t="shared" si="177"/>
        <v/>
      </c>
      <c r="AC208" s="67" t="str">
        <f t="shared" si="178"/>
        <v/>
      </c>
      <c r="AD208" s="67" t="str">
        <f t="shared" si="179"/>
        <v/>
      </c>
      <c r="AE208" s="67" t="str">
        <f t="shared" si="180"/>
        <v/>
      </c>
      <c r="AF208" s="67" t="str">
        <f t="shared" si="181"/>
        <v/>
      </c>
      <c r="AG208" s="67" t="str">
        <f t="shared" si="182"/>
        <v/>
      </c>
    </row>
    <row r="209" spans="1:33" s="66" customFormat="1">
      <c r="A209" s="18" t="str">
        <f t="shared" si="163"/>
        <v/>
      </c>
      <c r="B209" s="211"/>
      <c r="C209" s="57"/>
      <c r="D209" s="43">
        <f t="shared" si="164"/>
        <v>0</v>
      </c>
      <c r="E209" s="58" t="str">
        <f t="shared" si="165"/>
        <v/>
      </c>
      <c r="F209" s="89" t="str">
        <f t="shared" si="166"/>
        <v/>
      </c>
      <c r="G209" s="184"/>
      <c r="H209" s="196"/>
      <c r="I209" s="185"/>
      <c r="J209" s="41"/>
      <c r="K209" s="38">
        <f>IF(I209="",0,VLOOKUP(I209,'LISTA DE PRECIOS'!A:F,IF(R209="CORO",4,5),FALSE))</f>
        <v>0</v>
      </c>
      <c r="L209" s="199">
        <f t="shared" si="167"/>
        <v>0</v>
      </c>
      <c r="M209" s="209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2">
        <f t="shared" si="168"/>
        <v>0</v>
      </c>
      <c r="O209" s="42">
        <f t="shared" si="169"/>
        <v>0</v>
      </c>
      <c r="P209" s="69"/>
      <c r="R209" s="67" t="str">
        <f>IF(H209="","",VLOOKUP(H209,'DATOS CLIENTES'!B:F,5,FALSE))</f>
        <v/>
      </c>
      <c r="S209" s="67" t="e">
        <f t="shared" si="173"/>
        <v>#REF!</v>
      </c>
      <c r="U209" s="68">
        <f t="shared" si="170"/>
        <v>0</v>
      </c>
      <c r="V209" s="68">
        <f t="shared" si="171"/>
        <v>0</v>
      </c>
      <c r="X209" s="67" t="e">
        <f t="shared" si="172"/>
        <v>#N/A</v>
      </c>
      <c r="Y209" s="67" t="str">
        <f t="shared" si="174"/>
        <v/>
      </c>
      <c r="Z209" s="67" t="str">
        <f t="shared" si="175"/>
        <v/>
      </c>
      <c r="AA209" s="67" t="str">
        <f t="shared" si="176"/>
        <v/>
      </c>
      <c r="AB209" s="219" t="str">
        <f t="shared" si="177"/>
        <v/>
      </c>
      <c r="AC209" s="67" t="str">
        <f t="shared" si="178"/>
        <v/>
      </c>
      <c r="AD209" s="67" t="str">
        <f t="shared" si="179"/>
        <v/>
      </c>
      <c r="AE209" s="67" t="str">
        <f t="shared" si="180"/>
        <v/>
      </c>
      <c r="AF209" s="67" t="str">
        <f t="shared" si="181"/>
        <v/>
      </c>
      <c r="AG209" s="67" t="str">
        <f t="shared" si="182"/>
        <v/>
      </c>
    </row>
    <row r="210" spans="1:33" s="66" customFormat="1">
      <c r="A210" s="18" t="str">
        <f t="shared" si="163"/>
        <v/>
      </c>
      <c r="B210" s="211"/>
      <c r="C210" s="57"/>
      <c r="D210" s="43">
        <f t="shared" si="164"/>
        <v>0</v>
      </c>
      <c r="E210" s="58" t="str">
        <f t="shared" si="165"/>
        <v/>
      </c>
      <c r="F210" s="89" t="str">
        <f t="shared" si="166"/>
        <v/>
      </c>
      <c r="G210" s="184"/>
      <c r="H210" s="196"/>
      <c r="I210" s="185"/>
      <c r="J210" s="41"/>
      <c r="K210" s="38">
        <f>IF(I210="",0,VLOOKUP(I210,'LISTA DE PRECIOS'!A:F,IF(R210="CORO",4,5),FALSE))</f>
        <v>0</v>
      </c>
      <c r="L210" s="199">
        <f t="shared" si="167"/>
        <v>0</v>
      </c>
      <c r="M210" s="209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2">
        <f t="shared" si="168"/>
        <v>0</v>
      </c>
      <c r="O210" s="42">
        <f t="shared" si="169"/>
        <v>0</v>
      </c>
      <c r="P210" s="69"/>
      <c r="R210" s="67" t="str">
        <f>IF(H210="","",VLOOKUP(H210,'DATOS CLIENTES'!B:F,5,FALSE))</f>
        <v/>
      </c>
      <c r="S210" s="67" t="e">
        <f t="shared" si="173"/>
        <v>#REF!</v>
      </c>
      <c r="U210" s="68">
        <f t="shared" si="170"/>
        <v>0</v>
      </c>
      <c r="V210" s="68">
        <f t="shared" si="171"/>
        <v>0</v>
      </c>
      <c r="X210" s="67" t="e">
        <f t="shared" si="172"/>
        <v>#N/A</v>
      </c>
      <c r="Y210" s="67" t="str">
        <f t="shared" si="174"/>
        <v/>
      </c>
      <c r="Z210" s="67" t="str">
        <f t="shared" si="175"/>
        <v/>
      </c>
      <c r="AA210" s="67" t="str">
        <f t="shared" si="176"/>
        <v/>
      </c>
      <c r="AB210" s="219" t="str">
        <f t="shared" si="177"/>
        <v/>
      </c>
      <c r="AC210" s="67" t="str">
        <f t="shared" si="178"/>
        <v/>
      </c>
      <c r="AD210" s="67" t="str">
        <f t="shared" si="179"/>
        <v/>
      </c>
      <c r="AE210" s="67" t="str">
        <f t="shared" si="180"/>
        <v/>
      </c>
      <c r="AF210" s="67" t="str">
        <f t="shared" si="181"/>
        <v/>
      </c>
      <c r="AG210" s="67" t="str">
        <f t="shared" si="182"/>
        <v/>
      </c>
    </row>
    <row r="211" spans="1:33" s="66" customFormat="1">
      <c r="A211" s="18" t="str">
        <f t="shared" si="163"/>
        <v/>
      </c>
      <c r="B211" s="211"/>
      <c r="C211" s="57"/>
      <c r="D211" s="43">
        <f t="shared" si="164"/>
        <v>0</v>
      </c>
      <c r="E211" s="58" t="str">
        <f t="shared" si="165"/>
        <v/>
      </c>
      <c r="F211" s="89" t="str">
        <f t="shared" si="166"/>
        <v/>
      </c>
      <c r="G211" s="184"/>
      <c r="H211" s="196"/>
      <c r="I211" s="185"/>
      <c r="J211" s="41"/>
      <c r="K211" s="38">
        <f>IF(I211="",0,VLOOKUP(I211,'LISTA DE PRECIOS'!A:F,IF(R211="CORO",4,5),FALSE))</f>
        <v>0</v>
      </c>
      <c r="L211" s="199">
        <f t="shared" si="167"/>
        <v>0</v>
      </c>
      <c r="M211" s="209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2">
        <f t="shared" si="168"/>
        <v>0</v>
      </c>
      <c r="O211" s="42">
        <f t="shared" si="169"/>
        <v>0</v>
      </c>
      <c r="P211" s="69"/>
      <c r="R211" s="67" t="str">
        <f>IF(H211="","",VLOOKUP(H211,'DATOS CLIENTES'!B:F,5,FALSE))</f>
        <v/>
      </c>
      <c r="S211" s="67" t="e">
        <f t="shared" si="173"/>
        <v>#REF!</v>
      </c>
      <c r="U211" s="68">
        <f t="shared" si="170"/>
        <v>0</v>
      </c>
      <c r="V211" s="68">
        <f t="shared" si="171"/>
        <v>0</v>
      </c>
      <c r="X211" s="67" t="e">
        <f t="shared" si="172"/>
        <v>#N/A</v>
      </c>
      <c r="Y211" s="67" t="str">
        <f t="shared" si="174"/>
        <v/>
      </c>
      <c r="Z211" s="67" t="str">
        <f t="shared" si="175"/>
        <v/>
      </c>
      <c r="AA211" s="67" t="str">
        <f t="shared" si="176"/>
        <v/>
      </c>
      <c r="AB211" s="219" t="str">
        <f t="shared" si="177"/>
        <v/>
      </c>
      <c r="AC211" s="67" t="str">
        <f t="shared" si="178"/>
        <v/>
      </c>
      <c r="AD211" s="67" t="str">
        <f t="shared" si="179"/>
        <v/>
      </c>
      <c r="AE211" s="67" t="str">
        <f t="shared" si="180"/>
        <v/>
      </c>
      <c r="AF211" s="67" t="str">
        <f t="shared" si="181"/>
        <v/>
      </c>
      <c r="AG211" s="67" t="str">
        <f t="shared" si="182"/>
        <v/>
      </c>
    </row>
    <row r="212" spans="1:33" s="66" customFormat="1">
      <c r="A212" s="18" t="str">
        <f t="shared" si="163"/>
        <v/>
      </c>
      <c r="B212" s="211"/>
      <c r="C212" s="57"/>
      <c r="D212" s="43">
        <f t="shared" si="164"/>
        <v>0</v>
      </c>
      <c r="E212" s="58" t="str">
        <f t="shared" si="165"/>
        <v/>
      </c>
      <c r="F212" s="89" t="str">
        <f t="shared" si="166"/>
        <v/>
      </c>
      <c r="G212" s="184"/>
      <c r="H212" s="196"/>
      <c r="I212" s="185"/>
      <c r="J212" s="41"/>
      <c r="K212" s="38">
        <f>IF(I212="",0,VLOOKUP(I212,'LISTA DE PRECIOS'!A:F,IF(R212="CORO",4,5),FALSE))</f>
        <v>0</v>
      </c>
      <c r="L212" s="199">
        <f t="shared" si="167"/>
        <v>0</v>
      </c>
      <c r="M212" s="209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2">
        <f t="shared" si="168"/>
        <v>0</v>
      </c>
      <c r="O212" s="42">
        <f t="shared" si="169"/>
        <v>0</v>
      </c>
      <c r="P212" s="69"/>
      <c r="R212" s="67" t="str">
        <f>IF(H212="","",VLOOKUP(H212,'DATOS CLIENTES'!B:F,5,FALSE))</f>
        <v/>
      </c>
      <c r="S212" s="67" t="e">
        <f t="shared" si="173"/>
        <v>#REF!</v>
      </c>
      <c r="U212" s="68">
        <f t="shared" si="170"/>
        <v>0</v>
      </c>
      <c r="V212" s="68">
        <f t="shared" si="171"/>
        <v>0</v>
      </c>
      <c r="X212" s="67" t="e">
        <f t="shared" si="172"/>
        <v>#N/A</v>
      </c>
      <c r="Y212" s="67" t="str">
        <f t="shared" si="174"/>
        <v/>
      </c>
      <c r="Z212" s="67" t="str">
        <f t="shared" si="175"/>
        <v/>
      </c>
      <c r="AA212" s="67" t="str">
        <f t="shared" si="176"/>
        <v/>
      </c>
      <c r="AB212" s="219" t="str">
        <f t="shared" si="177"/>
        <v/>
      </c>
      <c r="AC212" s="67" t="str">
        <f t="shared" si="178"/>
        <v/>
      </c>
      <c r="AD212" s="67" t="str">
        <f t="shared" si="179"/>
        <v/>
      </c>
      <c r="AE212" s="67" t="str">
        <f t="shared" si="180"/>
        <v/>
      </c>
      <c r="AF212" s="67" t="str">
        <f t="shared" si="181"/>
        <v/>
      </c>
      <c r="AG212" s="67" t="str">
        <f t="shared" si="182"/>
        <v/>
      </c>
    </row>
    <row r="213" spans="1:33" s="66" customFormat="1">
      <c r="A213" s="18" t="str">
        <f t="shared" si="163"/>
        <v/>
      </c>
      <c r="B213" s="211"/>
      <c r="C213" s="57"/>
      <c r="D213" s="43">
        <f t="shared" si="164"/>
        <v>0</v>
      </c>
      <c r="E213" s="58" t="str">
        <f t="shared" si="165"/>
        <v/>
      </c>
      <c r="F213" s="89" t="str">
        <f t="shared" si="166"/>
        <v/>
      </c>
      <c r="G213" s="184"/>
      <c r="H213" s="196"/>
      <c r="I213" s="185"/>
      <c r="J213" s="41"/>
      <c r="K213" s="38">
        <f>IF(I213="",0,VLOOKUP(I213,'LISTA DE PRECIOS'!A:F,IF(R213="CORO",4,5),FALSE))</f>
        <v>0</v>
      </c>
      <c r="L213" s="199">
        <f t="shared" si="167"/>
        <v>0</v>
      </c>
      <c r="M213" s="209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2">
        <f t="shared" si="168"/>
        <v>0</v>
      </c>
      <c r="O213" s="42">
        <f t="shared" si="169"/>
        <v>0</v>
      </c>
      <c r="P213" s="69"/>
      <c r="R213" s="67" t="str">
        <f>IF(H213="","",VLOOKUP(H213,'DATOS CLIENTES'!B:F,5,FALSE))</f>
        <v/>
      </c>
      <c r="S213" s="67" t="e">
        <f t="shared" si="173"/>
        <v>#REF!</v>
      </c>
      <c r="U213" s="68">
        <f t="shared" si="170"/>
        <v>0</v>
      </c>
      <c r="V213" s="68">
        <f t="shared" si="171"/>
        <v>0</v>
      </c>
      <c r="X213" s="67" t="e">
        <f t="shared" si="172"/>
        <v>#N/A</v>
      </c>
      <c r="Y213" s="67" t="str">
        <f t="shared" si="174"/>
        <v/>
      </c>
      <c r="Z213" s="67" t="str">
        <f t="shared" si="175"/>
        <v/>
      </c>
      <c r="AA213" s="67" t="str">
        <f t="shared" si="176"/>
        <v/>
      </c>
      <c r="AB213" s="219" t="str">
        <f t="shared" si="177"/>
        <v/>
      </c>
      <c r="AC213" s="67" t="str">
        <f t="shared" si="178"/>
        <v/>
      </c>
      <c r="AD213" s="67" t="str">
        <f t="shared" si="179"/>
        <v/>
      </c>
      <c r="AE213" s="67" t="str">
        <f t="shared" si="180"/>
        <v/>
      </c>
      <c r="AF213" s="67" t="str">
        <f t="shared" si="181"/>
        <v/>
      </c>
      <c r="AG213" s="67" t="str">
        <f t="shared" si="182"/>
        <v/>
      </c>
    </row>
    <row r="214" spans="1:33" s="66" customFormat="1">
      <c r="A214" s="18" t="str">
        <f t="shared" si="163"/>
        <v/>
      </c>
      <c r="B214" s="211"/>
      <c r="C214" s="57"/>
      <c r="D214" s="43">
        <f t="shared" si="164"/>
        <v>0</v>
      </c>
      <c r="E214" s="58" t="str">
        <f t="shared" si="165"/>
        <v/>
      </c>
      <c r="F214" s="89" t="str">
        <f t="shared" si="166"/>
        <v/>
      </c>
      <c r="G214" s="184"/>
      <c r="H214" s="196"/>
      <c r="I214" s="185"/>
      <c r="J214" s="41"/>
      <c r="K214" s="38">
        <f>IF(I214="",0,VLOOKUP(I214,'LISTA DE PRECIOS'!A:F,IF(R214="CORO",4,5),FALSE))</f>
        <v>0</v>
      </c>
      <c r="L214" s="199">
        <f t="shared" si="167"/>
        <v>0</v>
      </c>
      <c r="M214" s="209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2">
        <f t="shared" si="168"/>
        <v>0</v>
      </c>
      <c r="O214" s="42">
        <f t="shared" si="169"/>
        <v>0</v>
      </c>
      <c r="P214" s="69"/>
      <c r="R214" s="67" t="str">
        <f>IF(H214="","",VLOOKUP(H214,'DATOS CLIENTES'!B:F,5,FALSE))</f>
        <v/>
      </c>
      <c r="S214" s="67" t="e">
        <f t="shared" si="173"/>
        <v>#REF!</v>
      </c>
      <c r="U214" s="68">
        <f t="shared" si="170"/>
        <v>0</v>
      </c>
      <c r="V214" s="68">
        <f t="shared" si="171"/>
        <v>0</v>
      </c>
      <c r="X214" s="67" t="e">
        <f t="shared" si="172"/>
        <v>#N/A</v>
      </c>
      <c r="Y214" s="67" t="str">
        <f t="shared" si="174"/>
        <v/>
      </c>
      <c r="Z214" s="67" t="str">
        <f t="shared" si="175"/>
        <v/>
      </c>
      <c r="AA214" s="67" t="str">
        <f t="shared" si="176"/>
        <v/>
      </c>
      <c r="AB214" s="219" t="str">
        <f t="shared" si="177"/>
        <v/>
      </c>
      <c r="AC214" s="67" t="str">
        <f t="shared" si="178"/>
        <v/>
      </c>
      <c r="AD214" s="67" t="str">
        <f t="shared" si="179"/>
        <v/>
      </c>
      <c r="AE214" s="67" t="str">
        <f t="shared" si="180"/>
        <v/>
      </c>
      <c r="AF214" s="67" t="str">
        <f t="shared" si="181"/>
        <v/>
      </c>
      <c r="AG214" s="67" t="str">
        <f t="shared" si="182"/>
        <v/>
      </c>
    </row>
    <row r="215" spans="1:33" s="66" customFormat="1">
      <c r="A215" s="18" t="str">
        <f t="shared" si="163"/>
        <v/>
      </c>
      <c r="B215" s="211"/>
      <c r="C215" s="57"/>
      <c r="D215" s="43">
        <f t="shared" si="164"/>
        <v>0</v>
      </c>
      <c r="E215" s="58" t="str">
        <f t="shared" si="165"/>
        <v/>
      </c>
      <c r="F215" s="89" t="str">
        <f t="shared" si="166"/>
        <v/>
      </c>
      <c r="G215" s="184"/>
      <c r="H215" s="196"/>
      <c r="I215" s="185"/>
      <c r="J215" s="41"/>
      <c r="K215" s="38">
        <f>IF(I215="",0,VLOOKUP(I215,'LISTA DE PRECIOS'!A:F,IF(R215="CORO",4,5),FALSE))</f>
        <v>0</v>
      </c>
      <c r="L215" s="199">
        <f t="shared" si="167"/>
        <v>0</v>
      </c>
      <c r="M215" s="209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2">
        <f t="shared" si="168"/>
        <v>0</v>
      </c>
      <c r="O215" s="42">
        <f t="shared" si="169"/>
        <v>0</v>
      </c>
      <c r="P215" s="69"/>
      <c r="R215" s="67" t="str">
        <f>IF(H215="","",VLOOKUP(H215,'DATOS CLIENTES'!B:F,5,FALSE))</f>
        <v/>
      </c>
      <c r="S215" s="67" t="e">
        <f t="shared" si="173"/>
        <v>#REF!</v>
      </c>
      <c r="U215" s="68">
        <f t="shared" si="170"/>
        <v>0</v>
      </c>
      <c r="V215" s="68">
        <f t="shared" si="171"/>
        <v>0</v>
      </c>
      <c r="X215" s="67" t="e">
        <f t="shared" si="172"/>
        <v>#N/A</v>
      </c>
      <c r="Y215" s="67" t="str">
        <f t="shared" si="174"/>
        <v/>
      </c>
      <c r="Z215" s="67" t="str">
        <f t="shared" si="175"/>
        <v/>
      </c>
      <c r="AA215" s="67" t="str">
        <f t="shared" si="176"/>
        <v/>
      </c>
      <c r="AB215" s="219" t="str">
        <f t="shared" si="177"/>
        <v/>
      </c>
      <c r="AC215" s="67" t="str">
        <f t="shared" si="178"/>
        <v/>
      </c>
      <c r="AD215" s="67" t="str">
        <f t="shared" si="179"/>
        <v/>
      </c>
      <c r="AE215" s="67" t="str">
        <f t="shared" si="180"/>
        <v/>
      </c>
      <c r="AF215" s="67" t="str">
        <f t="shared" si="181"/>
        <v/>
      </c>
      <c r="AG215" s="67" t="str">
        <f t="shared" si="182"/>
        <v/>
      </c>
    </row>
    <row r="216" spans="1:33" s="66" customFormat="1">
      <c r="A216" s="18" t="str">
        <f t="shared" si="163"/>
        <v/>
      </c>
      <c r="B216" s="211"/>
      <c r="C216" s="57"/>
      <c r="D216" s="43">
        <f t="shared" si="164"/>
        <v>0</v>
      </c>
      <c r="E216" s="58" t="str">
        <f t="shared" si="165"/>
        <v/>
      </c>
      <c r="F216" s="89" t="str">
        <f t="shared" si="166"/>
        <v/>
      </c>
      <c r="G216" s="184"/>
      <c r="H216" s="196"/>
      <c r="I216" s="185"/>
      <c r="J216" s="41"/>
      <c r="K216" s="38">
        <f>IF(I216="",0,VLOOKUP(I216,'LISTA DE PRECIOS'!A:F,IF(R216="CORO",4,5),FALSE))</f>
        <v>0</v>
      </c>
      <c r="L216" s="199">
        <f t="shared" si="167"/>
        <v>0</v>
      </c>
      <c r="M216" s="209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2">
        <f t="shared" si="168"/>
        <v>0</v>
      </c>
      <c r="O216" s="42">
        <f t="shared" si="169"/>
        <v>0</v>
      </c>
      <c r="P216" s="69"/>
      <c r="R216" s="67" t="str">
        <f>IF(H216="","",VLOOKUP(H216,'DATOS CLIENTES'!B:F,5,FALSE))</f>
        <v/>
      </c>
      <c r="S216" s="67" t="e">
        <f t="shared" si="173"/>
        <v>#REF!</v>
      </c>
      <c r="U216" s="68">
        <f t="shared" si="170"/>
        <v>0</v>
      </c>
      <c r="V216" s="68">
        <f t="shared" si="171"/>
        <v>0</v>
      </c>
      <c r="X216" s="67" t="e">
        <f t="shared" si="172"/>
        <v>#N/A</v>
      </c>
      <c r="Y216" s="67" t="str">
        <f t="shared" si="174"/>
        <v/>
      </c>
      <c r="Z216" s="67" t="str">
        <f t="shared" si="175"/>
        <v/>
      </c>
      <c r="AA216" s="67" t="str">
        <f t="shared" si="176"/>
        <v/>
      </c>
      <c r="AB216" s="219" t="str">
        <f t="shared" si="177"/>
        <v/>
      </c>
      <c r="AC216" s="67" t="str">
        <f t="shared" si="178"/>
        <v/>
      </c>
      <c r="AD216" s="67" t="str">
        <f t="shared" si="179"/>
        <v/>
      </c>
      <c r="AE216" s="67" t="str">
        <f t="shared" si="180"/>
        <v/>
      </c>
      <c r="AF216" s="67" t="str">
        <f t="shared" si="181"/>
        <v/>
      </c>
      <c r="AG216" s="67" t="str">
        <f t="shared" si="182"/>
        <v/>
      </c>
    </row>
    <row r="217" spans="1:33" s="66" customFormat="1">
      <c r="A217" s="18" t="str">
        <f t="shared" si="163"/>
        <v/>
      </c>
      <c r="B217" s="211"/>
      <c r="C217" s="57"/>
      <c r="D217" s="43">
        <f t="shared" si="164"/>
        <v>0</v>
      </c>
      <c r="E217" s="58" t="str">
        <f t="shared" si="165"/>
        <v/>
      </c>
      <c r="F217" s="89" t="str">
        <f t="shared" si="166"/>
        <v/>
      </c>
      <c r="G217" s="184"/>
      <c r="H217" s="196"/>
      <c r="I217" s="185"/>
      <c r="J217" s="41"/>
      <c r="K217" s="38">
        <f>IF(I217="",0,VLOOKUP(I217,'LISTA DE PRECIOS'!A:F,IF(R217="CORO",4,5),FALSE))</f>
        <v>0</v>
      </c>
      <c r="L217" s="199">
        <f t="shared" si="167"/>
        <v>0</v>
      </c>
      <c r="M217" s="209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2">
        <f t="shared" si="168"/>
        <v>0</v>
      </c>
      <c r="O217" s="42">
        <f t="shared" si="169"/>
        <v>0</v>
      </c>
      <c r="P217" s="69"/>
      <c r="R217" s="67" t="str">
        <f>IF(H217="","",VLOOKUP(H217,'DATOS CLIENTES'!B:F,5,FALSE))</f>
        <v/>
      </c>
      <c r="S217" s="67" t="e">
        <f t="shared" si="173"/>
        <v>#REF!</v>
      </c>
      <c r="U217" s="68">
        <f t="shared" si="170"/>
        <v>0</v>
      </c>
      <c r="V217" s="68">
        <f t="shared" si="171"/>
        <v>0</v>
      </c>
      <c r="X217" s="67" t="e">
        <f t="shared" si="172"/>
        <v>#N/A</v>
      </c>
      <c r="Y217" s="67" t="str">
        <f t="shared" si="174"/>
        <v/>
      </c>
      <c r="Z217" s="67" t="str">
        <f t="shared" si="175"/>
        <v/>
      </c>
      <c r="AA217" s="67" t="str">
        <f t="shared" si="176"/>
        <v/>
      </c>
      <c r="AB217" s="219" t="str">
        <f t="shared" si="177"/>
        <v/>
      </c>
      <c r="AC217" s="67" t="str">
        <f t="shared" si="178"/>
        <v/>
      </c>
      <c r="AD217" s="67" t="str">
        <f t="shared" si="179"/>
        <v/>
      </c>
      <c r="AE217" s="67" t="str">
        <f t="shared" si="180"/>
        <v/>
      </c>
      <c r="AF217" s="67" t="str">
        <f t="shared" si="181"/>
        <v/>
      </c>
      <c r="AG217" s="67" t="str">
        <f t="shared" si="182"/>
        <v/>
      </c>
    </row>
    <row r="218" spans="1:33" s="66" customFormat="1">
      <c r="A218" s="18" t="str">
        <f t="shared" si="163"/>
        <v/>
      </c>
      <c r="B218" s="211"/>
      <c r="C218" s="57"/>
      <c r="D218" s="43">
        <f t="shared" si="164"/>
        <v>0</v>
      </c>
      <c r="E218" s="58" t="str">
        <f t="shared" si="165"/>
        <v/>
      </c>
      <c r="F218" s="89" t="str">
        <f t="shared" si="166"/>
        <v/>
      </c>
      <c r="G218" s="184"/>
      <c r="H218" s="196"/>
      <c r="I218" s="185"/>
      <c r="J218" s="41"/>
      <c r="K218" s="38">
        <f>IF(I218="",0,VLOOKUP(I218,'LISTA DE PRECIOS'!A:F,IF(R218="CORO",4,5),FALSE))</f>
        <v>0</v>
      </c>
      <c r="L218" s="199">
        <f t="shared" si="167"/>
        <v>0</v>
      </c>
      <c r="M218" s="209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2">
        <f t="shared" si="168"/>
        <v>0</v>
      </c>
      <c r="O218" s="42">
        <f t="shared" si="169"/>
        <v>0</v>
      </c>
      <c r="P218" s="69"/>
      <c r="R218" s="67" t="str">
        <f>IF(H218="","",VLOOKUP(H218,'DATOS CLIENTES'!B:F,5,FALSE))</f>
        <v/>
      </c>
      <c r="S218" s="67" t="e">
        <f t="shared" si="173"/>
        <v>#REF!</v>
      </c>
      <c r="U218" s="68">
        <f t="shared" si="170"/>
        <v>0</v>
      </c>
      <c r="V218" s="68">
        <f t="shared" si="171"/>
        <v>0</v>
      </c>
      <c r="X218" s="67" t="e">
        <f t="shared" si="172"/>
        <v>#N/A</v>
      </c>
      <c r="Y218" s="67" t="str">
        <f t="shared" si="174"/>
        <v/>
      </c>
      <c r="Z218" s="67" t="str">
        <f t="shared" si="175"/>
        <v/>
      </c>
      <c r="AA218" s="67" t="str">
        <f t="shared" si="176"/>
        <v/>
      </c>
      <c r="AB218" s="219" t="str">
        <f t="shared" si="177"/>
        <v/>
      </c>
      <c r="AC218" s="67" t="str">
        <f t="shared" si="178"/>
        <v/>
      </c>
      <c r="AD218" s="67" t="str">
        <f t="shared" si="179"/>
        <v/>
      </c>
      <c r="AE218" s="67" t="str">
        <f t="shared" si="180"/>
        <v/>
      </c>
      <c r="AF218" s="67" t="str">
        <f t="shared" si="181"/>
        <v/>
      </c>
      <c r="AG218" s="67" t="str">
        <f t="shared" si="182"/>
        <v/>
      </c>
    </row>
    <row r="219" spans="1:33" s="66" customFormat="1">
      <c r="A219" s="18" t="str">
        <f t="shared" si="163"/>
        <v/>
      </c>
      <c r="B219" s="211"/>
      <c r="C219" s="57"/>
      <c r="D219" s="43">
        <f t="shared" si="164"/>
        <v>0</v>
      </c>
      <c r="E219" s="58" t="str">
        <f t="shared" si="165"/>
        <v/>
      </c>
      <c r="F219" s="89" t="str">
        <f t="shared" si="166"/>
        <v/>
      </c>
      <c r="G219" s="184"/>
      <c r="H219" s="196"/>
      <c r="I219" s="185"/>
      <c r="J219" s="41"/>
      <c r="K219" s="38">
        <f>IF(I219="",0,VLOOKUP(I219,'LISTA DE PRECIOS'!A:F,IF(R219="CORO",4,5),FALSE))</f>
        <v>0</v>
      </c>
      <c r="L219" s="199">
        <f t="shared" si="167"/>
        <v>0</v>
      </c>
      <c r="M219" s="209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2">
        <f t="shared" si="168"/>
        <v>0</v>
      </c>
      <c r="O219" s="42">
        <f t="shared" si="169"/>
        <v>0</v>
      </c>
      <c r="P219" s="69"/>
      <c r="R219" s="67" t="str">
        <f>IF(H219="","",VLOOKUP(H219,'DATOS CLIENTES'!B:F,5,FALSE))</f>
        <v/>
      </c>
      <c r="S219" s="67" t="e">
        <f t="shared" si="173"/>
        <v>#REF!</v>
      </c>
      <c r="U219" s="68">
        <f t="shared" si="170"/>
        <v>0</v>
      </c>
      <c r="V219" s="68">
        <f t="shared" si="171"/>
        <v>0</v>
      </c>
      <c r="X219" s="67" t="e">
        <f t="shared" si="172"/>
        <v>#N/A</v>
      </c>
      <c r="Y219" s="67" t="str">
        <f t="shared" si="174"/>
        <v/>
      </c>
      <c r="Z219" s="67" t="str">
        <f t="shared" si="175"/>
        <v/>
      </c>
      <c r="AA219" s="67" t="str">
        <f t="shared" si="176"/>
        <v/>
      </c>
      <c r="AB219" s="219" t="str">
        <f t="shared" si="177"/>
        <v/>
      </c>
      <c r="AC219" s="67" t="str">
        <f t="shared" si="178"/>
        <v/>
      </c>
      <c r="AD219" s="67" t="str">
        <f t="shared" si="179"/>
        <v/>
      </c>
      <c r="AE219" s="67" t="str">
        <f t="shared" si="180"/>
        <v/>
      </c>
      <c r="AF219" s="67" t="str">
        <f t="shared" si="181"/>
        <v/>
      </c>
      <c r="AG219" s="67" t="str">
        <f t="shared" si="182"/>
        <v/>
      </c>
    </row>
    <row r="220" spans="1:33" s="66" customFormat="1">
      <c r="A220" s="18" t="str">
        <f t="shared" si="163"/>
        <v/>
      </c>
      <c r="B220" s="211"/>
      <c r="C220" s="57"/>
      <c r="D220" s="43">
        <f t="shared" si="164"/>
        <v>0</v>
      </c>
      <c r="E220" s="58" t="str">
        <f t="shared" si="165"/>
        <v/>
      </c>
      <c r="F220" s="89" t="str">
        <f t="shared" si="166"/>
        <v/>
      </c>
      <c r="G220" s="184"/>
      <c r="H220" s="196"/>
      <c r="I220" s="185"/>
      <c r="J220" s="41"/>
      <c r="K220" s="38">
        <f>IF(I220="",0,VLOOKUP(I220,'LISTA DE PRECIOS'!A:F,IF(R220="CORO",4,5),FALSE))</f>
        <v>0</v>
      </c>
      <c r="L220" s="199">
        <f t="shared" si="167"/>
        <v>0</v>
      </c>
      <c r="M220" s="209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2">
        <f t="shared" si="168"/>
        <v>0</v>
      </c>
      <c r="O220" s="42">
        <f t="shared" si="169"/>
        <v>0</v>
      </c>
      <c r="P220" s="69"/>
      <c r="R220" s="67" t="str">
        <f>IF(H220="","",VLOOKUP(H220,'DATOS CLIENTES'!B:F,5,FALSE))</f>
        <v/>
      </c>
      <c r="S220" s="67" t="e">
        <f t="shared" si="173"/>
        <v>#REF!</v>
      </c>
      <c r="U220" s="68">
        <f t="shared" si="170"/>
        <v>0</v>
      </c>
      <c r="V220" s="68">
        <f t="shared" si="171"/>
        <v>0</v>
      </c>
      <c r="X220" s="67" t="e">
        <f t="shared" si="172"/>
        <v>#N/A</v>
      </c>
      <c r="Y220" s="67" t="str">
        <f t="shared" si="174"/>
        <v/>
      </c>
      <c r="Z220" s="67" t="str">
        <f t="shared" si="175"/>
        <v/>
      </c>
      <c r="AA220" s="67" t="str">
        <f t="shared" si="176"/>
        <v/>
      </c>
      <c r="AB220" s="219" t="str">
        <f t="shared" si="177"/>
        <v/>
      </c>
      <c r="AC220" s="67" t="str">
        <f t="shared" si="178"/>
        <v/>
      </c>
      <c r="AD220" s="67" t="str">
        <f t="shared" si="179"/>
        <v/>
      </c>
      <c r="AE220" s="67" t="str">
        <f t="shared" si="180"/>
        <v/>
      </c>
      <c r="AF220" s="67" t="str">
        <f t="shared" si="181"/>
        <v/>
      </c>
      <c r="AG220" s="67" t="str">
        <f t="shared" si="182"/>
        <v/>
      </c>
    </row>
    <row r="221" spans="1:33" s="66" customFormat="1">
      <c r="A221" s="18" t="str">
        <f t="shared" si="163"/>
        <v/>
      </c>
      <c r="B221" s="211"/>
      <c r="C221" s="57"/>
      <c r="D221" s="43">
        <f t="shared" si="164"/>
        <v>0</v>
      </c>
      <c r="E221" s="58" t="str">
        <f t="shared" si="165"/>
        <v/>
      </c>
      <c r="F221" s="89" t="str">
        <f t="shared" si="166"/>
        <v/>
      </c>
      <c r="G221" s="184"/>
      <c r="H221" s="196"/>
      <c r="I221" s="185"/>
      <c r="J221" s="41"/>
      <c r="K221" s="38">
        <f>IF(I221="",0,VLOOKUP(I221,'LISTA DE PRECIOS'!A:F,IF(R221="CORO",4,5),FALSE))</f>
        <v>0</v>
      </c>
      <c r="L221" s="199">
        <f t="shared" si="167"/>
        <v>0</v>
      </c>
      <c r="M221" s="209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2">
        <f t="shared" si="168"/>
        <v>0</v>
      </c>
      <c r="O221" s="42">
        <f t="shared" si="169"/>
        <v>0</v>
      </c>
      <c r="P221" s="69"/>
      <c r="R221" s="67" t="str">
        <f>IF(H221="","",VLOOKUP(H221,'DATOS CLIENTES'!B:F,5,FALSE))</f>
        <v/>
      </c>
      <c r="S221" s="67" t="e">
        <f t="shared" si="173"/>
        <v>#REF!</v>
      </c>
      <c r="U221" s="68">
        <f t="shared" si="170"/>
        <v>0</v>
      </c>
      <c r="V221" s="68">
        <f t="shared" si="171"/>
        <v>0</v>
      </c>
      <c r="X221" s="67" t="e">
        <f t="shared" si="172"/>
        <v>#N/A</v>
      </c>
      <c r="Y221" s="67" t="str">
        <f t="shared" si="174"/>
        <v/>
      </c>
      <c r="Z221" s="67" t="str">
        <f t="shared" si="175"/>
        <v/>
      </c>
      <c r="AA221" s="67" t="str">
        <f t="shared" si="176"/>
        <v/>
      </c>
      <c r="AB221" s="219" t="str">
        <f t="shared" si="177"/>
        <v/>
      </c>
      <c r="AC221" s="67" t="str">
        <f t="shared" si="178"/>
        <v/>
      </c>
      <c r="AD221" s="67" t="str">
        <f t="shared" si="179"/>
        <v/>
      </c>
      <c r="AE221" s="67" t="str">
        <f t="shared" si="180"/>
        <v/>
      </c>
      <c r="AF221" s="67" t="str">
        <f t="shared" si="181"/>
        <v/>
      </c>
      <c r="AG221" s="67" t="str">
        <f t="shared" si="182"/>
        <v/>
      </c>
    </row>
    <row r="222" spans="1:33" s="66" customFormat="1">
      <c r="A222" s="18" t="str">
        <f t="shared" si="163"/>
        <v/>
      </c>
      <c r="B222" s="211"/>
      <c r="C222" s="57"/>
      <c r="D222" s="43">
        <f t="shared" si="164"/>
        <v>0</v>
      </c>
      <c r="E222" s="58" t="str">
        <f t="shared" si="165"/>
        <v/>
      </c>
      <c r="F222" s="89" t="str">
        <f t="shared" si="166"/>
        <v/>
      </c>
      <c r="G222" s="184"/>
      <c r="H222" s="196"/>
      <c r="I222" s="185"/>
      <c r="J222" s="41"/>
      <c r="K222" s="38">
        <f>IF(I222="",0,VLOOKUP(I222,'LISTA DE PRECIOS'!A:F,IF(R222="CORO",4,5),FALSE))</f>
        <v>0</v>
      </c>
      <c r="L222" s="199">
        <f t="shared" si="167"/>
        <v>0</v>
      </c>
      <c r="M222" s="209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2">
        <f t="shared" si="168"/>
        <v>0</v>
      </c>
      <c r="O222" s="42">
        <f t="shared" si="169"/>
        <v>0</v>
      </c>
      <c r="P222" s="69"/>
      <c r="R222" s="67" t="str">
        <f>IF(H222="","",VLOOKUP(H222,'DATOS CLIENTES'!B:F,5,FALSE))</f>
        <v/>
      </c>
      <c r="S222" s="67" t="e">
        <f t="shared" si="173"/>
        <v>#REF!</v>
      </c>
      <c r="U222" s="68">
        <f t="shared" si="170"/>
        <v>0</v>
      </c>
      <c r="V222" s="68">
        <f t="shared" si="171"/>
        <v>0</v>
      </c>
      <c r="X222" s="67" t="e">
        <f t="shared" si="172"/>
        <v>#N/A</v>
      </c>
      <c r="Y222" s="67" t="str">
        <f t="shared" si="174"/>
        <v/>
      </c>
      <c r="Z222" s="67" t="str">
        <f t="shared" si="175"/>
        <v/>
      </c>
      <c r="AA222" s="67" t="str">
        <f t="shared" si="176"/>
        <v/>
      </c>
      <c r="AB222" s="219" t="str">
        <f t="shared" si="177"/>
        <v/>
      </c>
      <c r="AC222" s="67" t="str">
        <f t="shared" si="178"/>
        <v/>
      </c>
      <c r="AD222" s="67" t="str">
        <f t="shared" si="179"/>
        <v/>
      </c>
      <c r="AE222" s="67" t="str">
        <f t="shared" si="180"/>
        <v/>
      </c>
      <c r="AF222" s="67" t="str">
        <f t="shared" si="181"/>
        <v/>
      </c>
      <c r="AG222" s="67" t="str">
        <f t="shared" si="182"/>
        <v/>
      </c>
    </row>
    <row r="223" spans="1:33" s="66" customFormat="1">
      <c r="A223" s="18" t="str">
        <f t="shared" si="163"/>
        <v/>
      </c>
      <c r="B223" s="211"/>
      <c r="C223" s="57"/>
      <c r="D223" s="43">
        <f t="shared" si="164"/>
        <v>0</v>
      </c>
      <c r="E223" s="58" t="str">
        <f t="shared" si="165"/>
        <v/>
      </c>
      <c r="F223" s="89" t="str">
        <f t="shared" si="166"/>
        <v/>
      </c>
      <c r="G223" s="184"/>
      <c r="H223" s="196"/>
      <c r="I223" s="185"/>
      <c r="J223" s="41"/>
      <c r="K223" s="38">
        <f>IF(I223="",0,VLOOKUP(I223,'LISTA DE PRECIOS'!A:F,IF(R223="CORO",4,5),FALSE))</f>
        <v>0</v>
      </c>
      <c r="L223" s="199">
        <f t="shared" si="167"/>
        <v>0</v>
      </c>
      <c r="M223" s="209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2">
        <f t="shared" si="168"/>
        <v>0</v>
      </c>
      <c r="O223" s="42">
        <f t="shared" si="169"/>
        <v>0</v>
      </c>
      <c r="P223" s="69"/>
      <c r="R223" s="67" t="str">
        <f>IF(H223="","",VLOOKUP(H223,'DATOS CLIENTES'!B:F,5,FALSE))</f>
        <v/>
      </c>
      <c r="S223" s="67" t="e">
        <f t="shared" si="173"/>
        <v>#REF!</v>
      </c>
      <c r="U223" s="68">
        <f t="shared" si="170"/>
        <v>0</v>
      </c>
      <c r="V223" s="68">
        <f t="shared" si="171"/>
        <v>0</v>
      </c>
      <c r="X223" s="67" t="e">
        <f t="shared" si="172"/>
        <v>#N/A</v>
      </c>
      <c r="Y223" s="67" t="str">
        <f t="shared" si="174"/>
        <v/>
      </c>
      <c r="Z223" s="67" t="str">
        <f t="shared" si="175"/>
        <v/>
      </c>
      <c r="AA223" s="67" t="str">
        <f t="shared" si="176"/>
        <v/>
      </c>
      <c r="AB223" s="219" t="str">
        <f t="shared" si="177"/>
        <v/>
      </c>
      <c r="AC223" s="67" t="str">
        <f t="shared" si="178"/>
        <v/>
      </c>
      <c r="AD223" s="67" t="str">
        <f t="shared" si="179"/>
        <v/>
      </c>
      <c r="AE223" s="67" t="str">
        <f t="shared" si="180"/>
        <v/>
      </c>
      <c r="AF223" s="67" t="str">
        <f t="shared" si="181"/>
        <v/>
      </c>
      <c r="AG223" s="67" t="str">
        <f t="shared" si="182"/>
        <v/>
      </c>
    </row>
    <row r="224" spans="1:33" s="66" customFormat="1">
      <c r="A224" s="18" t="str">
        <f t="shared" si="163"/>
        <v/>
      </c>
      <c r="B224" s="211"/>
      <c r="C224" s="57"/>
      <c r="D224" s="43">
        <f t="shared" si="164"/>
        <v>0</v>
      </c>
      <c r="E224" s="58" t="str">
        <f t="shared" si="165"/>
        <v/>
      </c>
      <c r="F224" s="89" t="str">
        <f t="shared" si="166"/>
        <v/>
      </c>
      <c r="G224" s="184"/>
      <c r="H224" s="196"/>
      <c r="I224" s="185"/>
      <c r="J224" s="41"/>
      <c r="K224" s="38">
        <f>IF(I224="",0,VLOOKUP(I224,'LISTA DE PRECIOS'!A:F,IF(R224="CORO",4,5),FALSE))</f>
        <v>0</v>
      </c>
      <c r="L224" s="199">
        <f t="shared" si="167"/>
        <v>0</v>
      </c>
      <c r="M224" s="209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2">
        <f t="shared" si="168"/>
        <v>0</v>
      </c>
      <c r="O224" s="42">
        <f t="shared" si="169"/>
        <v>0</v>
      </c>
      <c r="P224" s="69"/>
      <c r="R224" s="67" t="str">
        <f>IF(H224="","",VLOOKUP(H224,'DATOS CLIENTES'!B:F,5,FALSE))</f>
        <v/>
      </c>
      <c r="S224" s="67" t="e">
        <f t="shared" si="173"/>
        <v>#REF!</v>
      </c>
      <c r="U224" s="68">
        <f t="shared" si="170"/>
        <v>0</v>
      </c>
      <c r="V224" s="68">
        <f t="shared" si="171"/>
        <v>0</v>
      </c>
      <c r="X224" s="67" t="e">
        <f t="shared" si="172"/>
        <v>#N/A</v>
      </c>
      <c r="Y224" s="67" t="str">
        <f t="shared" si="174"/>
        <v/>
      </c>
      <c r="Z224" s="67" t="str">
        <f t="shared" si="175"/>
        <v/>
      </c>
      <c r="AA224" s="67" t="str">
        <f t="shared" si="176"/>
        <v/>
      </c>
      <c r="AB224" s="219" t="str">
        <f t="shared" si="177"/>
        <v/>
      </c>
      <c r="AC224" s="67" t="str">
        <f t="shared" si="178"/>
        <v/>
      </c>
      <c r="AD224" s="67" t="str">
        <f t="shared" si="179"/>
        <v/>
      </c>
      <c r="AE224" s="67" t="str">
        <f t="shared" si="180"/>
        <v/>
      </c>
      <c r="AF224" s="67" t="str">
        <f t="shared" si="181"/>
        <v/>
      </c>
      <c r="AG224" s="67" t="str">
        <f t="shared" si="182"/>
        <v/>
      </c>
    </row>
    <row r="225" spans="1:33" s="66" customFormat="1">
      <c r="A225" s="18" t="str">
        <f t="shared" si="163"/>
        <v/>
      </c>
      <c r="B225" s="211"/>
      <c r="C225" s="57"/>
      <c r="D225" s="43">
        <f t="shared" si="164"/>
        <v>0</v>
      </c>
      <c r="E225" s="58" t="str">
        <f t="shared" si="165"/>
        <v/>
      </c>
      <c r="F225" s="89" t="str">
        <f t="shared" si="166"/>
        <v/>
      </c>
      <c r="G225" s="184"/>
      <c r="H225" s="196"/>
      <c r="I225" s="185"/>
      <c r="J225" s="41"/>
      <c r="K225" s="38">
        <f>IF(I225="",0,VLOOKUP(I225,'LISTA DE PRECIOS'!A:F,IF(R225="CORO",4,5),FALSE))</f>
        <v>0</v>
      </c>
      <c r="L225" s="199">
        <f t="shared" si="167"/>
        <v>0</v>
      </c>
      <c r="M225" s="209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2">
        <f t="shared" si="168"/>
        <v>0</v>
      </c>
      <c r="O225" s="42">
        <f t="shared" si="169"/>
        <v>0</v>
      </c>
      <c r="P225" s="69"/>
      <c r="R225" s="67" t="str">
        <f>IF(H225="","",VLOOKUP(H225,'DATOS CLIENTES'!B:F,5,FALSE))</f>
        <v/>
      </c>
      <c r="S225" s="67" t="e">
        <f t="shared" si="173"/>
        <v>#REF!</v>
      </c>
      <c r="U225" s="68">
        <f t="shared" si="170"/>
        <v>0</v>
      </c>
      <c r="V225" s="68">
        <f t="shared" si="171"/>
        <v>0</v>
      </c>
      <c r="X225" s="67" t="e">
        <f t="shared" si="172"/>
        <v>#N/A</v>
      </c>
      <c r="Y225" s="67" t="str">
        <f t="shared" si="174"/>
        <v/>
      </c>
      <c r="Z225" s="67" t="str">
        <f t="shared" si="175"/>
        <v/>
      </c>
      <c r="AA225" s="67" t="str">
        <f t="shared" si="176"/>
        <v/>
      </c>
      <c r="AB225" s="219" t="str">
        <f t="shared" si="177"/>
        <v/>
      </c>
      <c r="AC225" s="67" t="str">
        <f t="shared" si="178"/>
        <v/>
      </c>
      <c r="AD225" s="67" t="str">
        <f t="shared" si="179"/>
        <v/>
      </c>
      <c r="AE225" s="67" t="str">
        <f t="shared" si="180"/>
        <v/>
      </c>
      <c r="AF225" s="67" t="str">
        <f t="shared" si="181"/>
        <v/>
      </c>
      <c r="AG225" s="67" t="str">
        <f t="shared" si="182"/>
        <v/>
      </c>
    </row>
    <row r="226" spans="1:33" s="66" customFormat="1">
      <c r="A226" s="18" t="str">
        <f t="shared" si="163"/>
        <v/>
      </c>
      <c r="B226" s="211"/>
      <c r="C226" s="57"/>
      <c r="D226" s="43">
        <f t="shared" si="164"/>
        <v>0</v>
      </c>
      <c r="E226" s="58" t="str">
        <f t="shared" si="165"/>
        <v/>
      </c>
      <c r="F226" s="89" t="str">
        <f t="shared" si="166"/>
        <v/>
      </c>
      <c r="G226" s="184"/>
      <c r="H226" s="196"/>
      <c r="I226" s="185"/>
      <c r="J226" s="41"/>
      <c r="K226" s="38">
        <f>IF(I226="",0,VLOOKUP(I226,'LISTA DE PRECIOS'!A:F,IF(R226="CORO",4,5),FALSE))</f>
        <v>0</v>
      </c>
      <c r="L226" s="199">
        <f t="shared" si="167"/>
        <v>0</v>
      </c>
      <c r="M226" s="209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2">
        <f t="shared" si="168"/>
        <v>0</v>
      </c>
      <c r="O226" s="42">
        <f t="shared" si="169"/>
        <v>0</v>
      </c>
      <c r="P226" s="69"/>
      <c r="R226" s="67" t="str">
        <f>IF(H226="","",VLOOKUP(H226,'DATOS CLIENTES'!B:F,5,FALSE))</f>
        <v/>
      </c>
      <c r="S226" s="67" t="e">
        <f t="shared" si="173"/>
        <v>#REF!</v>
      </c>
      <c r="U226" s="68">
        <f t="shared" si="170"/>
        <v>0</v>
      </c>
      <c r="V226" s="68">
        <f t="shared" si="171"/>
        <v>0</v>
      </c>
      <c r="X226" s="67" t="e">
        <f t="shared" si="172"/>
        <v>#N/A</v>
      </c>
      <c r="Y226" s="67" t="str">
        <f t="shared" si="174"/>
        <v/>
      </c>
      <c r="Z226" s="67" t="str">
        <f t="shared" si="175"/>
        <v/>
      </c>
      <c r="AA226" s="67" t="str">
        <f t="shared" si="176"/>
        <v/>
      </c>
      <c r="AB226" s="219" t="str">
        <f t="shared" si="177"/>
        <v/>
      </c>
      <c r="AC226" s="67" t="str">
        <f t="shared" si="178"/>
        <v/>
      </c>
      <c r="AD226" s="67" t="str">
        <f t="shared" si="179"/>
        <v/>
      </c>
      <c r="AE226" s="67" t="str">
        <f t="shared" si="180"/>
        <v/>
      </c>
      <c r="AF226" s="67" t="str">
        <f t="shared" si="181"/>
        <v/>
      </c>
      <c r="AG226" s="67" t="str">
        <f t="shared" si="182"/>
        <v/>
      </c>
    </row>
    <row r="227" spans="1:33" s="66" customFormat="1">
      <c r="A227" s="18" t="str">
        <f t="shared" si="163"/>
        <v/>
      </c>
      <c r="B227" s="211"/>
      <c r="C227" s="57"/>
      <c r="D227" s="43">
        <f t="shared" si="164"/>
        <v>0</v>
      </c>
      <c r="E227" s="58" t="str">
        <f t="shared" si="165"/>
        <v/>
      </c>
      <c r="F227" s="89" t="str">
        <f t="shared" si="166"/>
        <v/>
      </c>
      <c r="G227" s="184"/>
      <c r="H227" s="196"/>
      <c r="I227" s="185"/>
      <c r="J227" s="41"/>
      <c r="K227" s="38">
        <f>IF(I227="",0,VLOOKUP(I227,'LISTA DE PRECIOS'!A:F,IF(R227="CORO",4,5),FALSE))</f>
        <v>0</v>
      </c>
      <c r="L227" s="199">
        <f t="shared" si="167"/>
        <v>0</v>
      </c>
      <c r="M227" s="209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2">
        <f t="shared" si="168"/>
        <v>0</v>
      </c>
      <c r="O227" s="42">
        <f t="shared" si="169"/>
        <v>0</v>
      </c>
      <c r="P227" s="69"/>
      <c r="R227" s="67" t="str">
        <f>IF(H227="","",VLOOKUP(H227,'DATOS CLIENTES'!B:F,5,FALSE))</f>
        <v/>
      </c>
      <c r="S227" s="67" t="e">
        <f t="shared" si="173"/>
        <v>#REF!</v>
      </c>
      <c r="U227" s="68">
        <f t="shared" si="170"/>
        <v>0</v>
      </c>
      <c r="V227" s="68">
        <f t="shared" si="171"/>
        <v>0</v>
      </c>
      <c r="X227" s="67" t="e">
        <f t="shared" si="172"/>
        <v>#N/A</v>
      </c>
      <c r="Y227" s="67" t="str">
        <f t="shared" si="174"/>
        <v/>
      </c>
      <c r="Z227" s="67" t="str">
        <f t="shared" si="175"/>
        <v/>
      </c>
      <c r="AA227" s="67" t="str">
        <f t="shared" si="176"/>
        <v/>
      </c>
      <c r="AB227" s="219" t="str">
        <f t="shared" si="177"/>
        <v/>
      </c>
      <c r="AC227" s="67" t="str">
        <f t="shared" si="178"/>
        <v/>
      </c>
      <c r="AD227" s="67" t="str">
        <f t="shared" si="179"/>
        <v/>
      </c>
      <c r="AE227" s="67" t="str">
        <f t="shared" si="180"/>
        <v/>
      </c>
      <c r="AF227" s="67" t="str">
        <f t="shared" si="181"/>
        <v/>
      </c>
      <c r="AG227" s="67" t="str">
        <f t="shared" si="182"/>
        <v/>
      </c>
    </row>
    <row r="228" spans="1:33" s="66" customFormat="1">
      <c r="A228" s="18" t="str">
        <f t="shared" si="163"/>
        <v/>
      </c>
      <c r="B228" s="211"/>
      <c r="C228" s="57"/>
      <c r="D228" s="43">
        <f t="shared" si="164"/>
        <v>0</v>
      </c>
      <c r="E228" s="58" t="str">
        <f t="shared" si="165"/>
        <v/>
      </c>
      <c r="F228" s="89" t="str">
        <f t="shared" si="166"/>
        <v/>
      </c>
      <c r="G228" s="184"/>
      <c r="H228" s="196"/>
      <c r="I228" s="185"/>
      <c r="J228" s="41"/>
      <c r="K228" s="38">
        <f>IF(I228="",0,VLOOKUP(I228,'LISTA DE PRECIOS'!A:F,IF(R228="CORO",4,5),FALSE))</f>
        <v>0</v>
      </c>
      <c r="L228" s="199">
        <f t="shared" si="167"/>
        <v>0</v>
      </c>
      <c r="M228" s="209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2">
        <f t="shared" si="168"/>
        <v>0</v>
      </c>
      <c r="O228" s="42">
        <f t="shared" si="169"/>
        <v>0</v>
      </c>
      <c r="P228" s="69"/>
      <c r="R228" s="67" t="str">
        <f>IF(H228="","",VLOOKUP(H228,'DATOS CLIENTES'!B:F,5,FALSE))</f>
        <v/>
      </c>
      <c r="S228" s="67" t="e">
        <f t="shared" si="173"/>
        <v>#REF!</v>
      </c>
      <c r="U228" s="68">
        <f t="shared" si="170"/>
        <v>0</v>
      </c>
      <c r="V228" s="68">
        <f t="shared" si="171"/>
        <v>0</v>
      </c>
      <c r="X228" s="67" t="e">
        <f t="shared" si="172"/>
        <v>#N/A</v>
      </c>
      <c r="Y228" s="67" t="str">
        <f t="shared" si="174"/>
        <v/>
      </c>
      <c r="Z228" s="67" t="str">
        <f t="shared" si="175"/>
        <v/>
      </c>
      <c r="AA228" s="67" t="str">
        <f t="shared" si="176"/>
        <v/>
      </c>
      <c r="AB228" s="219" t="str">
        <f t="shared" si="177"/>
        <v/>
      </c>
      <c r="AC228" s="67" t="str">
        <f t="shared" si="178"/>
        <v/>
      </c>
      <c r="AD228" s="67" t="str">
        <f t="shared" si="179"/>
        <v/>
      </c>
      <c r="AE228" s="67" t="str">
        <f t="shared" si="180"/>
        <v/>
      </c>
      <c r="AF228" s="67" t="str">
        <f t="shared" si="181"/>
        <v/>
      </c>
      <c r="AG228" s="67" t="str">
        <f t="shared" si="182"/>
        <v/>
      </c>
    </row>
    <row r="229" spans="1:33" s="66" customFormat="1">
      <c r="A229" s="18" t="str">
        <f t="shared" si="163"/>
        <v/>
      </c>
      <c r="B229" s="211"/>
      <c r="C229" s="57"/>
      <c r="D229" s="43">
        <f t="shared" si="164"/>
        <v>0</v>
      </c>
      <c r="E229" s="58" t="str">
        <f t="shared" si="165"/>
        <v/>
      </c>
      <c r="F229" s="89" t="str">
        <f t="shared" si="166"/>
        <v/>
      </c>
      <c r="G229" s="184"/>
      <c r="H229" s="196"/>
      <c r="I229" s="185"/>
      <c r="J229" s="41"/>
      <c r="K229" s="38">
        <f>IF(I229="",0,VLOOKUP(I229,'LISTA DE PRECIOS'!A:F,IF(R229="CORO",4,5),FALSE))</f>
        <v>0</v>
      </c>
      <c r="L229" s="199">
        <f t="shared" si="167"/>
        <v>0</v>
      </c>
      <c r="M229" s="209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2">
        <f t="shared" si="168"/>
        <v>0</v>
      </c>
      <c r="O229" s="42">
        <f t="shared" si="169"/>
        <v>0</v>
      </c>
      <c r="P229" s="69"/>
      <c r="R229" s="67" t="str">
        <f>IF(H229="","",VLOOKUP(H229,'DATOS CLIENTES'!B:F,5,FALSE))</f>
        <v/>
      </c>
      <c r="S229" s="67" t="e">
        <f t="shared" si="173"/>
        <v>#REF!</v>
      </c>
      <c r="U229" s="68">
        <f t="shared" si="170"/>
        <v>0</v>
      </c>
      <c r="V229" s="68">
        <f t="shared" si="171"/>
        <v>0</v>
      </c>
      <c r="X229" s="67" t="e">
        <f t="shared" si="172"/>
        <v>#N/A</v>
      </c>
      <c r="Y229" s="67" t="str">
        <f t="shared" si="174"/>
        <v/>
      </c>
      <c r="Z229" s="67" t="str">
        <f t="shared" si="175"/>
        <v/>
      </c>
      <c r="AA229" s="67" t="str">
        <f t="shared" si="176"/>
        <v/>
      </c>
      <c r="AB229" s="219" t="str">
        <f t="shared" si="177"/>
        <v/>
      </c>
      <c r="AC229" s="67" t="str">
        <f t="shared" si="178"/>
        <v/>
      </c>
      <c r="AD229" s="67" t="str">
        <f t="shared" si="179"/>
        <v/>
      </c>
      <c r="AE229" s="67" t="str">
        <f t="shared" si="180"/>
        <v/>
      </c>
      <c r="AF229" s="67" t="str">
        <f t="shared" si="181"/>
        <v/>
      </c>
      <c r="AG229" s="67" t="str">
        <f t="shared" si="182"/>
        <v/>
      </c>
    </row>
    <row r="230" spans="1:33" s="66" customFormat="1">
      <c r="A230" s="18" t="str">
        <f t="shared" si="163"/>
        <v/>
      </c>
      <c r="B230" s="211"/>
      <c r="C230" s="57"/>
      <c r="D230" s="43">
        <f t="shared" si="164"/>
        <v>0</v>
      </c>
      <c r="E230" s="58" t="str">
        <f t="shared" si="165"/>
        <v/>
      </c>
      <c r="F230" s="89" t="str">
        <f t="shared" si="166"/>
        <v/>
      </c>
      <c r="G230" s="184"/>
      <c r="H230" s="196"/>
      <c r="I230" s="185"/>
      <c r="J230" s="41"/>
      <c r="K230" s="38">
        <f>IF(I230="",0,VLOOKUP(I230,'LISTA DE PRECIOS'!A:F,IF(R230="CORO",4,5),FALSE))</f>
        <v>0</v>
      </c>
      <c r="L230" s="199">
        <f t="shared" si="167"/>
        <v>0</v>
      </c>
      <c r="M230" s="209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2">
        <f t="shared" si="168"/>
        <v>0</v>
      </c>
      <c r="O230" s="42">
        <f t="shared" si="169"/>
        <v>0</v>
      </c>
      <c r="P230" s="69"/>
      <c r="R230" s="67" t="str">
        <f>IF(H230="","",VLOOKUP(H230,'DATOS CLIENTES'!B:F,5,FALSE))</f>
        <v/>
      </c>
      <c r="S230" s="67" t="e">
        <f t="shared" si="173"/>
        <v>#REF!</v>
      </c>
      <c r="U230" s="68">
        <f t="shared" si="170"/>
        <v>0</v>
      </c>
      <c r="V230" s="68">
        <f t="shared" si="171"/>
        <v>0</v>
      </c>
      <c r="X230" s="67" t="e">
        <f t="shared" si="172"/>
        <v>#N/A</v>
      </c>
      <c r="Y230" s="67" t="str">
        <f t="shared" si="174"/>
        <v/>
      </c>
      <c r="Z230" s="67" t="str">
        <f t="shared" si="175"/>
        <v/>
      </c>
      <c r="AA230" s="67" t="str">
        <f t="shared" si="176"/>
        <v/>
      </c>
      <c r="AB230" s="219" t="str">
        <f t="shared" si="177"/>
        <v/>
      </c>
      <c r="AC230" s="67" t="str">
        <f t="shared" si="178"/>
        <v/>
      </c>
      <c r="AD230" s="67" t="str">
        <f t="shared" si="179"/>
        <v/>
      </c>
      <c r="AE230" s="67" t="str">
        <f t="shared" si="180"/>
        <v/>
      </c>
      <c r="AF230" s="67" t="str">
        <f t="shared" si="181"/>
        <v/>
      </c>
      <c r="AG230" s="67" t="str">
        <f t="shared" si="182"/>
        <v/>
      </c>
    </row>
    <row r="231" spans="1:33" s="66" customFormat="1">
      <c r="A231" s="18" t="str">
        <f t="shared" si="163"/>
        <v/>
      </c>
      <c r="B231" s="211"/>
      <c r="C231" s="57"/>
      <c r="D231" s="43">
        <f t="shared" si="164"/>
        <v>0</v>
      </c>
      <c r="E231" s="58" t="str">
        <f t="shared" si="165"/>
        <v/>
      </c>
      <c r="F231" s="89" t="str">
        <f t="shared" si="166"/>
        <v/>
      </c>
      <c r="G231" s="184"/>
      <c r="H231" s="196"/>
      <c r="I231" s="185"/>
      <c r="J231" s="41"/>
      <c r="K231" s="38">
        <f>IF(I231="",0,VLOOKUP(I231,'LISTA DE PRECIOS'!A:F,IF(R231="CORO",4,5),FALSE))</f>
        <v>0</v>
      </c>
      <c r="L231" s="199">
        <f t="shared" si="167"/>
        <v>0</v>
      </c>
      <c r="M231" s="209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2">
        <f t="shared" si="168"/>
        <v>0</v>
      </c>
      <c r="O231" s="42">
        <f t="shared" si="169"/>
        <v>0</v>
      </c>
      <c r="P231" s="69"/>
      <c r="R231" s="67" t="str">
        <f>IF(H231="","",VLOOKUP(H231,'DATOS CLIENTES'!B:F,5,FALSE))</f>
        <v/>
      </c>
      <c r="S231" s="67" t="e">
        <f t="shared" si="173"/>
        <v>#REF!</v>
      </c>
      <c r="U231" s="68">
        <f t="shared" si="170"/>
        <v>0</v>
      </c>
      <c r="V231" s="68">
        <f t="shared" si="171"/>
        <v>0</v>
      </c>
      <c r="X231" s="67" t="e">
        <f t="shared" si="172"/>
        <v>#N/A</v>
      </c>
      <c r="Y231" s="67" t="str">
        <f t="shared" si="174"/>
        <v/>
      </c>
      <c r="Z231" s="67" t="str">
        <f t="shared" si="175"/>
        <v/>
      </c>
      <c r="AA231" s="67" t="str">
        <f t="shared" si="176"/>
        <v/>
      </c>
      <c r="AB231" s="219" t="str">
        <f t="shared" si="177"/>
        <v/>
      </c>
      <c r="AC231" s="67" t="str">
        <f t="shared" si="178"/>
        <v/>
      </c>
      <c r="AD231" s="67" t="str">
        <f t="shared" si="179"/>
        <v/>
      </c>
      <c r="AE231" s="67" t="str">
        <f t="shared" si="180"/>
        <v/>
      </c>
      <c r="AF231" s="67" t="str">
        <f t="shared" si="181"/>
        <v/>
      </c>
      <c r="AG231" s="67" t="str">
        <f t="shared" si="182"/>
        <v/>
      </c>
    </row>
    <row r="232" spans="1:33" s="66" customFormat="1">
      <c r="A232" s="18" t="str">
        <f t="shared" si="163"/>
        <v/>
      </c>
      <c r="B232" s="211"/>
      <c r="C232" s="57"/>
      <c r="D232" s="43">
        <f t="shared" si="164"/>
        <v>0</v>
      </c>
      <c r="E232" s="58" t="str">
        <f t="shared" si="165"/>
        <v/>
      </c>
      <c r="F232" s="89" t="str">
        <f t="shared" si="166"/>
        <v/>
      </c>
      <c r="G232" s="184"/>
      <c r="H232" s="196"/>
      <c r="I232" s="185"/>
      <c r="J232" s="41"/>
      <c r="K232" s="38">
        <f>IF(I232="",0,VLOOKUP(I232,'LISTA DE PRECIOS'!A:F,IF(R232="CORO",4,5),FALSE))</f>
        <v>0</v>
      </c>
      <c r="L232" s="199">
        <f t="shared" si="167"/>
        <v>0</v>
      </c>
      <c r="M232" s="209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2">
        <f t="shared" si="168"/>
        <v>0</v>
      </c>
      <c r="O232" s="42">
        <f t="shared" si="169"/>
        <v>0</v>
      </c>
      <c r="P232" s="69"/>
      <c r="R232" s="67" t="str">
        <f>IF(H232="","",VLOOKUP(H232,'DATOS CLIENTES'!B:F,5,FALSE))</f>
        <v/>
      </c>
      <c r="S232" s="67" t="e">
        <f t="shared" si="173"/>
        <v>#REF!</v>
      </c>
      <c r="U232" s="68">
        <f t="shared" si="170"/>
        <v>0</v>
      </c>
      <c r="V232" s="68">
        <f t="shared" si="171"/>
        <v>0</v>
      </c>
      <c r="X232" s="67" t="e">
        <f t="shared" si="172"/>
        <v>#N/A</v>
      </c>
      <c r="Y232" s="67" t="str">
        <f t="shared" si="174"/>
        <v/>
      </c>
      <c r="Z232" s="67" t="str">
        <f t="shared" si="175"/>
        <v/>
      </c>
      <c r="AA232" s="67" t="str">
        <f t="shared" si="176"/>
        <v/>
      </c>
      <c r="AB232" s="219" t="str">
        <f t="shared" si="177"/>
        <v/>
      </c>
      <c r="AC232" s="67" t="str">
        <f t="shared" si="178"/>
        <v/>
      </c>
      <c r="AD232" s="67" t="str">
        <f t="shared" si="179"/>
        <v/>
      </c>
      <c r="AE232" s="67" t="str">
        <f t="shared" si="180"/>
        <v/>
      </c>
      <c r="AF232" s="67" t="str">
        <f t="shared" si="181"/>
        <v/>
      </c>
      <c r="AG232" s="67" t="str">
        <f t="shared" si="182"/>
        <v/>
      </c>
    </row>
    <row r="233" spans="1:33" s="66" customFormat="1">
      <c r="A233" s="18" t="str">
        <f t="shared" si="163"/>
        <v/>
      </c>
      <c r="B233" s="211"/>
      <c r="C233" s="57"/>
      <c r="D233" s="43">
        <f t="shared" si="164"/>
        <v>0</v>
      </c>
      <c r="E233" s="58" t="str">
        <f t="shared" si="165"/>
        <v/>
      </c>
      <c r="F233" s="89" t="str">
        <f t="shared" si="166"/>
        <v/>
      </c>
      <c r="G233" s="184"/>
      <c r="H233" s="196"/>
      <c r="I233" s="185"/>
      <c r="J233" s="41"/>
      <c r="K233" s="38">
        <f>IF(I233="",0,VLOOKUP(I233,'LISTA DE PRECIOS'!A:F,IF(R233="CORO",4,5),FALSE))</f>
        <v>0</v>
      </c>
      <c r="L233" s="199">
        <f t="shared" si="167"/>
        <v>0</v>
      </c>
      <c r="M233" s="209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2">
        <f t="shared" si="168"/>
        <v>0</v>
      </c>
      <c r="O233" s="42">
        <f t="shared" si="169"/>
        <v>0</v>
      </c>
      <c r="P233" s="69"/>
      <c r="R233" s="67" t="str">
        <f>IF(H233="","",VLOOKUP(H233,'DATOS CLIENTES'!B:F,5,FALSE))</f>
        <v/>
      </c>
      <c r="S233" s="67" t="e">
        <f t="shared" si="173"/>
        <v>#REF!</v>
      </c>
      <c r="U233" s="68">
        <f t="shared" si="170"/>
        <v>0</v>
      </c>
      <c r="V233" s="68">
        <f t="shared" si="171"/>
        <v>0</v>
      </c>
      <c r="X233" s="67" t="e">
        <f t="shared" si="172"/>
        <v>#N/A</v>
      </c>
      <c r="Y233" s="67" t="str">
        <f t="shared" si="174"/>
        <v/>
      </c>
      <c r="Z233" s="67" t="str">
        <f t="shared" si="175"/>
        <v/>
      </c>
      <c r="AA233" s="67" t="str">
        <f t="shared" si="176"/>
        <v/>
      </c>
      <c r="AB233" s="219" t="str">
        <f t="shared" si="177"/>
        <v/>
      </c>
      <c r="AC233" s="67" t="str">
        <f t="shared" si="178"/>
        <v/>
      </c>
      <c r="AD233" s="67" t="str">
        <f t="shared" si="179"/>
        <v/>
      </c>
      <c r="AE233" s="67" t="str">
        <f t="shared" si="180"/>
        <v/>
      </c>
      <c r="AF233" s="67" t="str">
        <f t="shared" si="181"/>
        <v/>
      </c>
      <c r="AG233" s="67" t="str">
        <f t="shared" si="182"/>
        <v/>
      </c>
    </row>
    <row r="234" spans="1:33" s="66" customFormat="1">
      <c r="A234" s="18" t="str">
        <f t="shared" si="163"/>
        <v/>
      </c>
      <c r="B234" s="211"/>
      <c r="C234" s="57"/>
      <c r="D234" s="43">
        <f t="shared" si="164"/>
        <v>0</v>
      </c>
      <c r="E234" s="58" t="str">
        <f t="shared" si="165"/>
        <v/>
      </c>
      <c r="F234" s="89" t="str">
        <f t="shared" si="166"/>
        <v/>
      </c>
      <c r="G234" s="184"/>
      <c r="H234" s="196"/>
      <c r="I234" s="185"/>
      <c r="J234" s="41"/>
      <c r="K234" s="38">
        <f>IF(I234="",0,VLOOKUP(I234,'LISTA DE PRECIOS'!A:F,IF(R234="CORO",4,5),FALSE))</f>
        <v>0</v>
      </c>
      <c r="L234" s="199">
        <f t="shared" si="167"/>
        <v>0</v>
      </c>
      <c r="M234" s="209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2">
        <f t="shared" si="168"/>
        <v>0</v>
      </c>
      <c r="O234" s="42">
        <f t="shared" si="169"/>
        <v>0</v>
      </c>
      <c r="P234" s="69"/>
      <c r="R234" s="67" t="str">
        <f>IF(H234="","",VLOOKUP(H234,'DATOS CLIENTES'!B:F,5,FALSE))</f>
        <v/>
      </c>
      <c r="S234" s="67" t="e">
        <f t="shared" si="173"/>
        <v>#REF!</v>
      </c>
      <c r="U234" s="68">
        <f t="shared" si="170"/>
        <v>0</v>
      </c>
      <c r="V234" s="68">
        <f t="shared" si="171"/>
        <v>0</v>
      </c>
      <c r="X234" s="67" t="e">
        <f t="shared" si="172"/>
        <v>#N/A</v>
      </c>
      <c r="Y234" s="67" t="str">
        <f t="shared" si="174"/>
        <v/>
      </c>
      <c r="Z234" s="67" t="str">
        <f t="shared" si="175"/>
        <v/>
      </c>
      <c r="AA234" s="67" t="str">
        <f t="shared" si="176"/>
        <v/>
      </c>
      <c r="AB234" s="219" t="str">
        <f t="shared" si="177"/>
        <v/>
      </c>
      <c r="AC234" s="67" t="str">
        <f t="shared" si="178"/>
        <v/>
      </c>
      <c r="AD234" s="67" t="str">
        <f t="shared" si="179"/>
        <v/>
      </c>
      <c r="AE234" s="67" t="str">
        <f t="shared" si="180"/>
        <v/>
      </c>
      <c r="AF234" s="67" t="str">
        <f t="shared" si="181"/>
        <v/>
      </c>
      <c r="AG234" s="67" t="str">
        <f t="shared" si="182"/>
        <v/>
      </c>
    </row>
    <row r="235" spans="1:33" s="66" customFormat="1">
      <c r="A235" s="18" t="str">
        <f t="shared" si="163"/>
        <v/>
      </c>
      <c r="B235" s="211"/>
      <c r="C235" s="57"/>
      <c r="D235" s="43">
        <f t="shared" si="164"/>
        <v>0</v>
      </c>
      <c r="E235" s="58" t="str">
        <f t="shared" si="165"/>
        <v/>
      </c>
      <c r="F235" s="89" t="str">
        <f t="shared" si="166"/>
        <v/>
      </c>
      <c r="G235" s="184"/>
      <c r="H235" s="196"/>
      <c r="I235" s="185"/>
      <c r="J235" s="41"/>
      <c r="K235" s="38">
        <f>IF(I235="",0,VLOOKUP(I235,'LISTA DE PRECIOS'!A:F,IF(R235="CORO",4,5),FALSE))</f>
        <v>0</v>
      </c>
      <c r="L235" s="199">
        <f t="shared" si="167"/>
        <v>0</v>
      </c>
      <c r="M235" s="209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2">
        <f t="shared" si="168"/>
        <v>0</v>
      </c>
      <c r="O235" s="42">
        <f t="shared" si="169"/>
        <v>0</v>
      </c>
      <c r="P235" s="69"/>
      <c r="R235" s="67" t="str">
        <f>IF(H235="","",VLOOKUP(H235,'DATOS CLIENTES'!B:F,5,FALSE))</f>
        <v/>
      </c>
      <c r="S235" s="67" t="e">
        <f t="shared" si="173"/>
        <v>#REF!</v>
      </c>
      <c r="U235" s="68">
        <f t="shared" si="170"/>
        <v>0</v>
      </c>
      <c r="V235" s="68">
        <f t="shared" si="171"/>
        <v>0</v>
      </c>
      <c r="X235" s="67" t="e">
        <f t="shared" si="172"/>
        <v>#N/A</v>
      </c>
      <c r="Y235" s="67" t="str">
        <f t="shared" si="174"/>
        <v/>
      </c>
      <c r="Z235" s="67" t="str">
        <f t="shared" si="175"/>
        <v/>
      </c>
      <c r="AA235" s="67" t="str">
        <f t="shared" si="176"/>
        <v/>
      </c>
      <c r="AB235" s="219" t="str">
        <f t="shared" si="177"/>
        <v/>
      </c>
      <c r="AC235" s="67" t="str">
        <f t="shared" si="178"/>
        <v/>
      </c>
      <c r="AD235" s="67" t="str">
        <f t="shared" si="179"/>
        <v/>
      </c>
      <c r="AE235" s="67" t="str">
        <f t="shared" si="180"/>
        <v/>
      </c>
      <c r="AF235" s="67" t="str">
        <f t="shared" si="181"/>
        <v/>
      </c>
      <c r="AG235" s="67" t="str">
        <f t="shared" si="182"/>
        <v/>
      </c>
    </row>
    <row r="236" spans="1:33" s="66" customFormat="1">
      <c r="A236" s="18" t="str">
        <f t="shared" si="163"/>
        <v/>
      </c>
      <c r="B236" s="211"/>
      <c r="C236" s="57"/>
      <c r="D236" s="43">
        <f t="shared" si="164"/>
        <v>0</v>
      </c>
      <c r="E236" s="58" t="str">
        <f t="shared" si="165"/>
        <v/>
      </c>
      <c r="F236" s="89" t="str">
        <f t="shared" si="166"/>
        <v/>
      </c>
      <c r="G236" s="184"/>
      <c r="H236" s="196"/>
      <c r="I236" s="185"/>
      <c r="J236" s="41"/>
      <c r="K236" s="38">
        <f>IF(I236="",0,VLOOKUP(I236,'LISTA DE PRECIOS'!A:F,IF(R236="CORO",4,5),FALSE))</f>
        <v>0</v>
      </c>
      <c r="L236" s="199">
        <f t="shared" si="167"/>
        <v>0</v>
      </c>
      <c r="M236" s="209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2">
        <f t="shared" si="168"/>
        <v>0</v>
      </c>
      <c r="O236" s="42">
        <f t="shared" si="169"/>
        <v>0</v>
      </c>
      <c r="P236" s="69"/>
      <c r="R236" s="67" t="str">
        <f>IF(H236="","",VLOOKUP(H236,'DATOS CLIENTES'!B:F,5,FALSE))</f>
        <v/>
      </c>
      <c r="S236" s="67" t="e">
        <f t="shared" si="173"/>
        <v>#REF!</v>
      </c>
      <c r="U236" s="68">
        <f t="shared" si="170"/>
        <v>0</v>
      </c>
      <c r="V236" s="68">
        <f t="shared" si="171"/>
        <v>0</v>
      </c>
      <c r="X236" s="67" t="e">
        <f t="shared" si="172"/>
        <v>#N/A</v>
      </c>
      <c r="Y236" s="67" t="str">
        <f t="shared" si="174"/>
        <v/>
      </c>
      <c r="Z236" s="67" t="str">
        <f t="shared" si="175"/>
        <v/>
      </c>
      <c r="AA236" s="67" t="str">
        <f t="shared" si="176"/>
        <v/>
      </c>
      <c r="AB236" s="219" t="str">
        <f t="shared" si="177"/>
        <v/>
      </c>
      <c r="AC236" s="67" t="str">
        <f t="shared" si="178"/>
        <v/>
      </c>
      <c r="AD236" s="67" t="str">
        <f t="shared" si="179"/>
        <v/>
      </c>
      <c r="AE236" s="67" t="str">
        <f t="shared" si="180"/>
        <v/>
      </c>
      <c r="AF236" s="67" t="str">
        <f t="shared" si="181"/>
        <v/>
      </c>
      <c r="AG236" s="67" t="str">
        <f t="shared" si="182"/>
        <v/>
      </c>
    </row>
    <row r="237" spans="1:33" s="66" customFormat="1">
      <c r="A237" s="18" t="str">
        <f t="shared" si="163"/>
        <v/>
      </c>
      <c r="B237" s="211"/>
      <c r="C237" s="57"/>
      <c r="D237" s="43">
        <f t="shared" si="164"/>
        <v>0</v>
      </c>
      <c r="E237" s="58" t="str">
        <f t="shared" si="165"/>
        <v/>
      </c>
      <c r="F237" s="89" t="str">
        <f t="shared" si="166"/>
        <v/>
      </c>
      <c r="G237" s="184"/>
      <c r="H237" s="196"/>
      <c r="I237" s="185"/>
      <c r="J237" s="41"/>
      <c r="K237" s="38">
        <f>IF(I237="",0,VLOOKUP(I237,'LISTA DE PRECIOS'!A:F,IF(R237="CORO",4,5),FALSE))</f>
        <v>0</v>
      </c>
      <c r="L237" s="199">
        <f t="shared" si="167"/>
        <v>0</v>
      </c>
      <c r="M237" s="209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2">
        <f t="shared" si="168"/>
        <v>0</v>
      </c>
      <c r="O237" s="42">
        <f t="shared" si="169"/>
        <v>0</v>
      </c>
      <c r="P237" s="69"/>
      <c r="R237" s="67" t="str">
        <f>IF(H237="","",VLOOKUP(H237,'DATOS CLIENTES'!B:F,5,FALSE))</f>
        <v/>
      </c>
      <c r="S237" s="67" t="e">
        <f t="shared" si="173"/>
        <v>#REF!</v>
      </c>
      <c r="U237" s="68">
        <f t="shared" si="170"/>
        <v>0</v>
      </c>
      <c r="V237" s="68">
        <f t="shared" si="171"/>
        <v>0</v>
      </c>
      <c r="X237" s="67" t="e">
        <f t="shared" si="172"/>
        <v>#N/A</v>
      </c>
      <c r="Y237" s="67" t="str">
        <f t="shared" si="174"/>
        <v/>
      </c>
      <c r="Z237" s="67" t="str">
        <f t="shared" si="175"/>
        <v/>
      </c>
      <c r="AA237" s="67" t="str">
        <f t="shared" si="176"/>
        <v/>
      </c>
      <c r="AB237" s="219" t="str">
        <f t="shared" si="177"/>
        <v/>
      </c>
      <c r="AC237" s="67" t="str">
        <f t="shared" si="178"/>
        <v/>
      </c>
      <c r="AD237" s="67" t="str">
        <f t="shared" si="179"/>
        <v/>
      </c>
      <c r="AE237" s="67" t="str">
        <f t="shared" si="180"/>
        <v/>
      </c>
      <c r="AF237" s="67" t="str">
        <f t="shared" si="181"/>
        <v/>
      </c>
      <c r="AG237" s="67" t="str">
        <f t="shared" si="182"/>
        <v/>
      </c>
    </row>
    <row r="238" spans="1:33" s="66" customFormat="1">
      <c r="A238" s="18" t="str">
        <f t="shared" si="163"/>
        <v/>
      </c>
      <c r="B238" s="211"/>
      <c r="C238" s="57"/>
      <c r="D238" s="43">
        <f t="shared" si="164"/>
        <v>0</v>
      </c>
      <c r="E238" s="58" t="str">
        <f t="shared" si="165"/>
        <v/>
      </c>
      <c r="F238" s="89" t="str">
        <f t="shared" si="166"/>
        <v/>
      </c>
      <c r="G238" s="184"/>
      <c r="H238" s="196"/>
      <c r="I238" s="185"/>
      <c r="J238" s="41"/>
      <c r="K238" s="38">
        <f>IF(I238="",0,VLOOKUP(I238,'LISTA DE PRECIOS'!A:F,IF(R238="CORO",4,5),FALSE))</f>
        <v>0</v>
      </c>
      <c r="L238" s="199">
        <f t="shared" si="167"/>
        <v>0</v>
      </c>
      <c r="M238" s="209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2">
        <f t="shared" si="168"/>
        <v>0</v>
      </c>
      <c r="O238" s="42">
        <f t="shared" si="169"/>
        <v>0</v>
      </c>
      <c r="P238" s="69"/>
      <c r="R238" s="67" t="str">
        <f>IF(H238="","",VLOOKUP(H238,'DATOS CLIENTES'!B:F,5,FALSE))</f>
        <v/>
      </c>
      <c r="S238" s="67" t="e">
        <f t="shared" si="173"/>
        <v>#REF!</v>
      </c>
      <c r="U238" s="68">
        <f t="shared" si="170"/>
        <v>0</v>
      </c>
      <c r="V238" s="68">
        <f t="shared" si="171"/>
        <v>0</v>
      </c>
      <c r="X238" s="67" t="e">
        <f t="shared" si="172"/>
        <v>#N/A</v>
      </c>
      <c r="Y238" s="67" t="str">
        <f t="shared" si="174"/>
        <v/>
      </c>
      <c r="Z238" s="67" t="str">
        <f t="shared" si="175"/>
        <v/>
      </c>
      <c r="AA238" s="67" t="str">
        <f t="shared" si="176"/>
        <v/>
      </c>
      <c r="AB238" s="219" t="str">
        <f t="shared" si="177"/>
        <v/>
      </c>
      <c r="AC238" s="67" t="str">
        <f t="shared" si="178"/>
        <v/>
      </c>
      <c r="AD238" s="67" t="str">
        <f t="shared" si="179"/>
        <v/>
      </c>
      <c r="AE238" s="67" t="str">
        <f t="shared" si="180"/>
        <v/>
      </c>
      <c r="AF238" s="67" t="str">
        <f t="shared" si="181"/>
        <v/>
      </c>
      <c r="AG238" s="67" t="str">
        <f t="shared" si="182"/>
        <v/>
      </c>
    </row>
    <row r="239" spans="1:33" s="66" customFormat="1">
      <c r="A239" s="18" t="str">
        <f t="shared" si="163"/>
        <v/>
      </c>
      <c r="B239" s="211"/>
      <c r="C239" s="57"/>
      <c r="D239" s="43">
        <f t="shared" si="164"/>
        <v>0</v>
      </c>
      <c r="E239" s="58" t="str">
        <f t="shared" si="165"/>
        <v/>
      </c>
      <c r="F239" s="89" t="str">
        <f t="shared" si="166"/>
        <v/>
      </c>
      <c r="G239" s="184"/>
      <c r="H239" s="196"/>
      <c r="I239" s="185"/>
      <c r="J239" s="41"/>
      <c r="K239" s="38">
        <f>IF(I239="",0,VLOOKUP(I239,'LISTA DE PRECIOS'!A:F,IF(R239="CORO",4,5),FALSE))</f>
        <v>0</v>
      </c>
      <c r="L239" s="199">
        <f t="shared" si="167"/>
        <v>0</v>
      </c>
      <c r="M239" s="209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2">
        <f t="shared" si="168"/>
        <v>0</v>
      </c>
      <c r="O239" s="42">
        <f t="shared" si="169"/>
        <v>0</v>
      </c>
      <c r="P239" s="69"/>
      <c r="R239" s="67" t="str">
        <f>IF(H239="","",VLOOKUP(H239,'DATOS CLIENTES'!B:F,5,FALSE))</f>
        <v/>
      </c>
      <c r="S239" s="67" t="e">
        <f t="shared" si="173"/>
        <v>#REF!</v>
      </c>
      <c r="U239" s="68">
        <f t="shared" si="170"/>
        <v>0</v>
      </c>
      <c r="V239" s="68">
        <f t="shared" si="171"/>
        <v>0</v>
      </c>
      <c r="X239" s="67" t="e">
        <f t="shared" si="172"/>
        <v>#N/A</v>
      </c>
      <c r="Y239" s="67" t="str">
        <f t="shared" si="174"/>
        <v/>
      </c>
      <c r="Z239" s="67" t="str">
        <f t="shared" si="175"/>
        <v/>
      </c>
      <c r="AA239" s="67" t="str">
        <f t="shared" si="176"/>
        <v/>
      </c>
      <c r="AB239" s="219" t="str">
        <f t="shared" si="177"/>
        <v/>
      </c>
      <c r="AC239" s="67" t="str">
        <f t="shared" si="178"/>
        <v/>
      </c>
      <c r="AD239" s="67" t="str">
        <f t="shared" si="179"/>
        <v/>
      </c>
      <c r="AE239" s="67" t="str">
        <f t="shared" si="180"/>
        <v/>
      </c>
      <c r="AF239" s="67" t="str">
        <f t="shared" si="181"/>
        <v/>
      </c>
      <c r="AG239" s="67" t="str">
        <f t="shared" si="182"/>
        <v/>
      </c>
    </row>
    <row r="240" spans="1:33" s="66" customFormat="1">
      <c r="A240" s="18" t="str">
        <f t="shared" si="163"/>
        <v/>
      </c>
      <c r="B240" s="211"/>
      <c r="C240" s="57"/>
      <c r="D240" s="43">
        <f t="shared" si="164"/>
        <v>0</v>
      </c>
      <c r="E240" s="58" t="str">
        <f t="shared" si="165"/>
        <v/>
      </c>
      <c r="F240" s="89" t="str">
        <f t="shared" si="166"/>
        <v/>
      </c>
      <c r="G240" s="184"/>
      <c r="H240" s="196"/>
      <c r="I240" s="185"/>
      <c r="J240" s="41"/>
      <c r="K240" s="38">
        <f>IF(I240="",0,VLOOKUP(I240,'LISTA DE PRECIOS'!A:F,IF(R240="CORO",4,5),FALSE))</f>
        <v>0</v>
      </c>
      <c r="L240" s="199">
        <f t="shared" si="167"/>
        <v>0</v>
      </c>
      <c r="M240" s="209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2">
        <f t="shared" si="168"/>
        <v>0</v>
      </c>
      <c r="O240" s="42">
        <f t="shared" si="169"/>
        <v>0</v>
      </c>
      <c r="P240" s="69"/>
      <c r="R240" s="67" t="str">
        <f>IF(H240="","",VLOOKUP(H240,'DATOS CLIENTES'!B:F,5,FALSE))</f>
        <v/>
      </c>
      <c r="S240" s="67" t="e">
        <f t="shared" si="173"/>
        <v>#REF!</v>
      </c>
      <c r="U240" s="68">
        <f t="shared" si="170"/>
        <v>0</v>
      </c>
      <c r="V240" s="68">
        <f t="shared" si="171"/>
        <v>0</v>
      </c>
      <c r="X240" s="67" t="e">
        <f t="shared" si="172"/>
        <v>#N/A</v>
      </c>
      <c r="Y240" s="67" t="str">
        <f t="shared" si="174"/>
        <v/>
      </c>
      <c r="Z240" s="67" t="str">
        <f t="shared" si="175"/>
        <v/>
      </c>
      <c r="AA240" s="67" t="str">
        <f t="shared" si="176"/>
        <v/>
      </c>
      <c r="AB240" s="219" t="str">
        <f t="shared" si="177"/>
        <v/>
      </c>
      <c r="AC240" s="67" t="str">
        <f t="shared" si="178"/>
        <v/>
      </c>
      <c r="AD240" s="67" t="str">
        <f t="shared" si="179"/>
        <v/>
      </c>
      <c r="AE240" s="67" t="str">
        <f t="shared" si="180"/>
        <v/>
      </c>
      <c r="AF240" s="67" t="str">
        <f t="shared" si="181"/>
        <v/>
      </c>
      <c r="AG240" s="67" t="str">
        <f t="shared" si="182"/>
        <v/>
      </c>
    </row>
    <row r="241" spans="1:33" s="66" customFormat="1">
      <c r="A241" s="18" t="str">
        <f t="shared" si="163"/>
        <v/>
      </c>
      <c r="B241" s="211"/>
      <c r="C241" s="57"/>
      <c r="D241" s="43">
        <f t="shared" si="164"/>
        <v>0</v>
      </c>
      <c r="E241" s="58" t="str">
        <f t="shared" si="165"/>
        <v/>
      </c>
      <c r="F241" s="89" t="str">
        <f t="shared" si="166"/>
        <v/>
      </c>
      <c r="G241" s="184"/>
      <c r="H241" s="196"/>
      <c r="I241" s="185"/>
      <c r="J241" s="41"/>
      <c r="K241" s="38">
        <f>IF(I241="",0,VLOOKUP(I241,'LISTA DE PRECIOS'!A:F,IF(R241="CORO",4,5),FALSE))</f>
        <v>0</v>
      </c>
      <c r="L241" s="199">
        <f t="shared" si="167"/>
        <v>0</v>
      </c>
      <c r="M241" s="209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2">
        <f t="shared" si="168"/>
        <v>0</v>
      </c>
      <c r="O241" s="42">
        <f t="shared" si="169"/>
        <v>0</v>
      </c>
      <c r="P241" s="69"/>
      <c r="R241" s="67" t="str">
        <f>IF(H241="","",VLOOKUP(H241,'DATOS CLIENTES'!B:F,5,FALSE))</f>
        <v/>
      </c>
      <c r="S241" s="67" t="e">
        <f t="shared" si="173"/>
        <v>#REF!</v>
      </c>
      <c r="U241" s="68">
        <f t="shared" si="170"/>
        <v>0</v>
      </c>
      <c r="V241" s="68">
        <f t="shared" si="171"/>
        <v>0</v>
      </c>
      <c r="X241" s="67" t="e">
        <f t="shared" si="172"/>
        <v>#N/A</v>
      </c>
      <c r="Y241" s="67" t="str">
        <f t="shared" si="174"/>
        <v/>
      </c>
      <c r="Z241" s="67" t="str">
        <f t="shared" si="175"/>
        <v/>
      </c>
      <c r="AA241" s="67" t="str">
        <f t="shared" si="176"/>
        <v/>
      </c>
      <c r="AB241" s="219" t="str">
        <f t="shared" si="177"/>
        <v/>
      </c>
      <c r="AC241" s="67" t="str">
        <f t="shared" si="178"/>
        <v/>
      </c>
      <c r="AD241" s="67" t="str">
        <f t="shared" si="179"/>
        <v/>
      </c>
      <c r="AE241" s="67" t="str">
        <f t="shared" si="180"/>
        <v/>
      </c>
      <c r="AF241" s="67" t="str">
        <f t="shared" si="181"/>
        <v/>
      </c>
      <c r="AG241" s="67" t="str">
        <f t="shared" si="182"/>
        <v/>
      </c>
    </row>
    <row r="242" spans="1:33" s="66" customFormat="1">
      <c r="A242" s="18" t="str">
        <f t="shared" si="163"/>
        <v/>
      </c>
      <c r="B242" s="211"/>
      <c r="C242" s="57"/>
      <c r="D242" s="43">
        <f t="shared" si="164"/>
        <v>0</v>
      </c>
      <c r="E242" s="58" t="str">
        <f t="shared" si="165"/>
        <v/>
      </c>
      <c r="F242" s="89" t="str">
        <f t="shared" si="166"/>
        <v/>
      </c>
      <c r="G242" s="184"/>
      <c r="H242" s="196"/>
      <c r="I242" s="185"/>
      <c r="J242" s="41"/>
      <c r="K242" s="38">
        <f>IF(I242="",0,VLOOKUP(I242,'LISTA DE PRECIOS'!A:F,IF(R242="CORO",4,5),FALSE))</f>
        <v>0</v>
      </c>
      <c r="L242" s="199">
        <f t="shared" si="167"/>
        <v>0</v>
      </c>
      <c r="M242" s="209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2">
        <f t="shared" si="168"/>
        <v>0</v>
      </c>
      <c r="O242" s="42">
        <f t="shared" si="169"/>
        <v>0</v>
      </c>
      <c r="P242" s="69"/>
      <c r="R242" s="67" t="str">
        <f>IF(H242="","",VLOOKUP(H242,'DATOS CLIENTES'!B:F,5,FALSE))</f>
        <v/>
      </c>
      <c r="S242" s="67" t="e">
        <f t="shared" si="173"/>
        <v>#REF!</v>
      </c>
      <c r="U242" s="68">
        <f t="shared" si="170"/>
        <v>0</v>
      </c>
      <c r="V242" s="68">
        <f t="shared" si="171"/>
        <v>0</v>
      </c>
      <c r="X242" s="67" t="e">
        <f t="shared" si="172"/>
        <v>#N/A</v>
      </c>
      <c r="Y242" s="67" t="str">
        <f t="shared" si="174"/>
        <v/>
      </c>
      <c r="Z242" s="67" t="str">
        <f t="shared" si="175"/>
        <v/>
      </c>
      <c r="AA242" s="67" t="str">
        <f t="shared" si="176"/>
        <v/>
      </c>
      <c r="AB242" s="219" t="str">
        <f t="shared" si="177"/>
        <v/>
      </c>
      <c r="AC242" s="67" t="str">
        <f t="shared" si="178"/>
        <v/>
      </c>
      <c r="AD242" s="67" t="str">
        <f t="shared" si="179"/>
        <v/>
      </c>
      <c r="AE242" s="67" t="str">
        <f t="shared" si="180"/>
        <v/>
      </c>
      <c r="AF242" s="67" t="str">
        <f t="shared" si="181"/>
        <v/>
      </c>
      <c r="AG242" s="67" t="str">
        <f t="shared" si="182"/>
        <v/>
      </c>
    </row>
    <row r="243" spans="1:33" s="66" customFormat="1">
      <c r="A243" s="18" t="str">
        <f t="shared" si="163"/>
        <v/>
      </c>
      <c r="B243" s="211"/>
      <c r="C243" s="57"/>
      <c r="D243" s="43">
        <f t="shared" si="164"/>
        <v>0</v>
      </c>
      <c r="E243" s="58" t="str">
        <f t="shared" si="165"/>
        <v/>
      </c>
      <c r="F243" s="89" t="str">
        <f t="shared" si="166"/>
        <v/>
      </c>
      <c r="G243" s="184"/>
      <c r="H243" s="196"/>
      <c r="I243" s="185"/>
      <c r="J243" s="41"/>
      <c r="K243" s="38">
        <f>IF(I243="",0,VLOOKUP(I243,'LISTA DE PRECIOS'!A:F,IF(R243="CORO",4,5),FALSE))</f>
        <v>0</v>
      </c>
      <c r="L243" s="199">
        <f t="shared" si="167"/>
        <v>0</v>
      </c>
      <c r="M243" s="209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2">
        <f t="shared" si="168"/>
        <v>0</v>
      </c>
      <c r="O243" s="42">
        <f t="shared" si="169"/>
        <v>0</v>
      </c>
      <c r="P243" s="69"/>
      <c r="R243" s="67" t="str">
        <f>IF(H243="","",VLOOKUP(H243,'DATOS CLIENTES'!B:F,5,FALSE))</f>
        <v/>
      </c>
      <c r="S243" s="67" t="e">
        <f t="shared" si="173"/>
        <v>#REF!</v>
      </c>
      <c r="U243" s="68">
        <f t="shared" si="170"/>
        <v>0</v>
      </c>
      <c r="V243" s="68">
        <f t="shared" si="171"/>
        <v>0</v>
      </c>
      <c r="X243" s="67" t="e">
        <f t="shared" si="172"/>
        <v>#N/A</v>
      </c>
      <c r="Y243" s="67" t="str">
        <f t="shared" si="174"/>
        <v/>
      </c>
      <c r="Z243" s="67" t="str">
        <f t="shared" si="175"/>
        <v/>
      </c>
      <c r="AA243" s="67" t="str">
        <f t="shared" si="176"/>
        <v/>
      </c>
      <c r="AB243" s="219" t="str">
        <f t="shared" si="177"/>
        <v/>
      </c>
      <c r="AC243" s="67" t="str">
        <f t="shared" si="178"/>
        <v/>
      </c>
      <c r="AD243" s="67" t="str">
        <f t="shared" si="179"/>
        <v/>
      </c>
      <c r="AE243" s="67" t="str">
        <f t="shared" si="180"/>
        <v/>
      </c>
      <c r="AF243" s="67" t="str">
        <f t="shared" si="181"/>
        <v/>
      </c>
      <c r="AG243" s="67" t="str">
        <f t="shared" si="182"/>
        <v/>
      </c>
    </row>
    <row r="244" spans="1:33" s="66" customFormat="1">
      <c r="A244" s="18" t="str">
        <f t="shared" si="163"/>
        <v/>
      </c>
      <c r="B244" s="211"/>
      <c r="C244" s="57"/>
      <c r="D244" s="43">
        <f t="shared" si="164"/>
        <v>0</v>
      </c>
      <c r="E244" s="58" t="str">
        <f t="shared" si="165"/>
        <v/>
      </c>
      <c r="F244" s="89" t="str">
        <f t="shared" si="166"/>
        <v/>
      </c>
      <c r="G244" s="184"/>
      <c r="H244" s="196"/>
      <c r="I244" s="185"/>
      <c r="J244" s="41"/>
      <c r="K244" s="38">
        <f>IF(I244="",0,VLOOKUP(I244,'LISTA DE PRECIOS'!A:F,IF(R244="CORO",4,5),FALSE))</f>
        <v>0</v>
      </c>
      <c r="L244" s="199">
        <f t="shared" si="167"/>
        <v>0</v>
      </c>
      <c r="M244" s="209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2">
        <f t="shared" si="168"/>
        <v>0</v>
      </c>
      <c r="O244" s="42">
        <f t="shared" si="169"/>
        <v>0</v>
      </c>
      <c r="P244" s="69"/>
      <c r="R244" s="67" t="str">
        <f>IF(H244="","",VLOOKUP(H244,'DATOS CLIENTES'!B:F,5,FALSE))</f>
        <v/>
      </c>
      <c r="S244" s="67" t="e">
        <f t="shared" si="173"/>
        <v>#REF!</v>
      </c>
      <c r="U244" s="68">
        <f t="shared" si="170"/>
        <v>0</v>
      </c>
      <c r="V244" s="68">
        <f t="shared" si="171"/>
        <v>0</v>
      </c>
      <c r="X244" s="67" t="e">
        <f t="shared" si="172"/>
        <v>#N/A</v>
      </c>
      <c r="Y244" s="67" t="str">
        <f t="shared" si="174"/>
        <v/>
      </c>
      <c r="Z244" s="67" t="str">
        <f t="shared" si="175"/>
        <v/>
      </c>
      <c r="AA244" s="67" t="str">
        <f t="shared" si="176"/>
        <v/>
      </c>
      <c r="AB244" s="219" t="str">
        <f t="shared" si="177"/>
        <v/>
      </c>
      <c r="AC244" s="67" t="str">
        <f t="shared" si="178"/>
        <v/>
      </c>
      <c r="AD244" s="67" t="str">
        <f t="shared" si="179"/>
        <v/>
      </c>
      <c r="AE244" s="67" t="str">
        <f t="shared" si="180"/>
        <v/>
      </c>
      <c r="AF244" s="67" t="str">
        <f t="shared" si="181"/>
        <v/>
      </c>
      <c r="AG244" s="67" t="str">
        <f t="shared" si="182"/>
        <v/>
      </c>
    </row>
    <row r="245" spans="1:33" s="66" customFormat="1">
      <c r="A245" s="18" t="str">
        <f t="shared" si="163"/>
        <v/>
      </c>
      <c r="B245" s="211"/>
      <c r="C245" s="57"/>
      <c r="D245" s="43">
        <f t="shared" si="164"/>
        <v>0</v>
      </c>
      <c r="E245" s="58" t="str">
        <f t="shared" si="165"/>
        <v/>
      </c>
      <c r="F245" s="89" t="str">
        <f t="shared" si="166"/>
        <v/>
      </c>
      <c r="G245" s="184"/>
      <c r="H245" s="196"/>
      <c r="I245" s="185"/>
      <c r="J245" s="41"/>
      <c r="K245" s="38">
        <f>IF(I245="",0,VLOOKUP(I245,'LISTA DE PRECIOS'!A:F,IF(R245="CORO",4,5),FALSE))</f>
        <v>0</v>
      </c>
      <c r="L245" s="199">
        <f t="shared" si="167"/>
        <v>0</v>
      </c>
      <c r="M245" s="209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2">
        <f t="shared" si="168"/>
        <v>0</v>
      </c>
      <c r="O245" s="42">
        <f t="shared" si="169"/>
        <v>0</v>
      </c>
      <c r="P245" s="69"/>
      <c r="R245" s="67" t="str">
        <f>IF(H245="","",VLOOKUP(H245,'DATOS CLIENTES'!B:F,5,FALSE))</f>
        <v/>
      </c>
      <c r="S245" s="67" t="e">
        <f t="shared" si="173"/>
        <v>#REF!</v>
      </c>
      <c r="U245" s="68">
        <f t="shared" si="170"/>
        <v>0</v>
      </c>
      <c r="V245" s="68">
        <f t="shared" si="171"/>
        <v>0</v>
      </c>
      <c r="X245" s="67" t="e">
        <f t="shared" si="172"/>
        <v>#N/A</v>
      </c>
      <c r="Y245" s="67" t="str">
        <f t="shared" si="174"/>
        <v/>
      </c>
      <c r="Z245" s="67" t="str">
        <f t="shared" si="175"/>
        <v/>
      </c>
      <c r="AA245" s="67" t="str">
        <f t="shared" si="176"/>
        <v/>
      </c>
      <c r="AB245" s="219" t="str">
        <f t="shared" si="177"/>
        <v/>
      </c>
      <c r="AC245" s="67" t="str">
        <f t="shared" si="178"/>
        <v/>
      </c>
      <c r="AD245" s="67" t="str">
        <f t="shared" si="179"/>
        <v/>
      </c>
      <c r="AE245" s="67" t="str">
        <f t="shared" si="180"/>
        <v/>
      </c>
      <c r="AF245" s="67" t="str">
        <f t="shared" si="181"/>
        <v/>
      </c>
      <c r="AG245" s="67" t="str">
        <f t="shared" si="182"/>
        <v/>
      </c>
    </row>
    <row r="246" spans="1:33" s="66" customFormat="1">
      <c r="A246" s="18" t="str">
        <f t="shared" si="163"/>
        <v/>
      </c>
      <c r="B246" s="211"/>
      <c r="C246" s="57"/>
      <c r="D246" s="43">
        <f t="shared" si="164"/>
        <v>0</v>
      </c>
      <c r="E246" s="58" t="str">
        <f t="shared" si="165"/>
        <v/>
      </c>
      <c r="F246" s="89" t="str">
        <f t="shared" si="166"/>
        <v/>
      </c>
      <c r="G246" s="184"/>
      <c r="H246" s="196"/>
      <c r="I246" s="185"/>
      <c r="J246" s="41"/>
      <c r="K246" s="38">
        <f>IF(I246="",0,VLOOKUP(I246,'LISTA DE PRECIOS'!A:F,IF(R246="CORO",4,5),FALSE))</f>
        <v>0</v>
      </c>
      <c r="L246" s="199">
        <f t="shared" si="167"/>
        <v>0</v>
      </c>
      <c r="M246" s="209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2">
        <f t="shared" si="168"/>
        <v>0</v>
      </c>
      <c r="O246" s="42">
        <f t="shared" si="169"/>
        <v>0</v>
      </c>
      <c r="P246" s="69"/>
      <c r="R246" s="67" t="str">
        <f>IF(H246="","",VLOOKUP(H246,'DATOS CLIENTES'!B:F,5,FALSE))</f>
        <v/>
      </c>
      <c r="S246" s="67" t="e">
        <f t="shared" si="173"/>
        <v>#REF!</v>
      </c>
      <c r="U246" s="68">
        <f t="shared" si="170"/>
        <v>0</v>
      </c>
      <c r="V246" s="68">
        <f t="shared" si="171"/>
        <v>0</v>
      </c>
      <c r="X246" s="67" t="e">
        <f t="shared" si="172"/>
        <v>#N/A</v>
      </c>
      <c r="Y246" s="67" t="str">
        <f t="shared" si="174"/>
        <v/>
      </c>
      <c r="Z246" s="67" t="str">
        <f t="shared" si="175"/>
        <v/>
      </c>
      <c r="AA246" s="67" t="str">
        <f t="shared" si="176"/>
        <v/>
      </c>
      <c r="AB246" s="219" t="str">
        <f t="shared" si="177"/>
        <v/>
      </c>
      <c r="AC246" s="67" t="str">
        <f t="shared" si="178"/>
        <v/>
      </c>
      <c r="AD246" s="67" t="str">
        <f t="shared" si="179"/>
        <v/>
      </c>
      <c r="AE246" s="67" t="str">
        <f t="shared" si="180"/>
        <v/>
      </c>
      <c r="AF246" s="67" t="str">
        <f t="shared" si="181"/>
        <v/>
      </c>
      <c r="AG246" s="67" t="str">
        <f t="shared" si="182"/>
        <v/>
      </c>
    </row>
    <row r="247" spans="1:33" s="66" customFormat="1">
      <c r="A247" s="18" t="str">
        <f t="shared" si="163"/>
        <v/>
      </c>
      <c r="B247" s="211"/>
      <c r="C247" s="57"/>
      <c r="D247" s="43">
        <f t="shared" si="164"/>
        <v>0</v>
      </c>
      <c r="E247" s="58" t="str">
        <f t="shared" si="165"/>
        <v/>
      </c>
      <c r="F247" s="89" t="str">
        <f t="shared" si="166"/>
        <v/>
      </c>
      <c r="G247" s="184"/>
      <c r="H247" s="196"/>
      <c r="I247" s="185"/>
      <c r="J247" s="41"/>
      <c r="K247" s="38">
        <f>IF(I247="",0,VLOOKUP(I247,'LISTA DE PRECIOS'!A:F,IF(R247="CORO",4,5),FALSE))</f>
        <v>0</v>
      </c>
      <c r="L247" s="199">
        <f t="shared" si="167"/>
        <v>0</v>
      </c>
      <c r="M247" s="209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2">
        <f t="shared" si="168"/>
        <v>0</v>
      </c>
      <c r="O247" s="42">
        <f t="shared" si="169"/>
        <v>0</v>
      </c>
      <c r="P247" s="69"/>
      <c r="R247" s="67" t="str">
        <f>IF(H247="","",VLOOKUP(H247,'DATOS CLIENTES'!B:F,5,FALSE))</f>
        <v/>
      </c>
      <c r="S247" s="67" t="e">
        <f t="shared" si="173"/>
        <v>#REF!</v>
      </c>
      <c r="U247" s="68">
        <f t="shared" si="170"/>
        <v>0</v>
      </c>
      <c r="V247" s="68">
        <f t="shared" si="171"/>
        <v>0</v>
      </c>
      <c r="X247" s="67" t="e">
        <f t="shared" si="172"/>
        <v>#N/A</v>
      </c>
      <c r="Y247" s="67" t="str">
        <f t="shared" si="174"/>
        <v/>
      </c>
      <c r="Z247" s="67" t="str">
        <f t="shared" si="175"/>
        <v/>
      </c>
      <c r="AA247" s="67" t="str">
        <f t="shared" si="176"/>
        <v/>
      </c>
      <c r="AB247" s="219" t="str">
        <f t="shared" si="177"/>
        <v/>
      </c>
      <c r="AC247" s="67" t="str">
        <f t="shared" si="178"/>
        <v/>
      </c>
      <c r="AD247" s="67" t="str">
        <f t="shared" si="179"/>
        <v/>
      </c>
      <c r="AE247" s="67" t="str">
        <f t="shared" si="180"/>
        <v/>
      </c>
      <c r="AF247" s="67" t="str">
        <f t="shared" si="181"/>
        <v/>
      </c>
      <c r="AG247" s="67" t="str">
        <f t="shared" si="182"/>
        <v/>
      </c>
    </row>
    <row r="248" spans="1:33" s="66" customFormat="1">
      <c r="A248" s="18" t="str">
        <f t="shared" si="163"/>
        <v/>
      </c>
      <c r="B248" s="211"/>
      <c r="C248" s="57"/>
      <c r="D248" s="43">
        <f t="shared" si="164"/>
        <v>0</v>
      </c>
      <c r="E248" s="58" t="str">
        <f t="shared" si="165"/>
        <v/>
      </c>
      <c r="F248" s="89" t="str">
        <f t="shared" si="166"/>
        <v/>
      </c>
      <c r="G248" s="184"/>
      <c r="H248" s="196"/>
      <c r="I248" s="185"/>
      <c r="J248" s="41"/>
      <c r="K248" s="38">
        <f>IF(I248="",0,VLOOKUP(I248,'LISTA DE PRECIOS'!A:F,IF(R248="CORO",4,5),FALSE))</f>
        <v>0</v>
      </c>
      <c r="L248" s="199">
        <f t="shared" si="167"/>
        <v>0</v>
      </c>
      <c r="M248" s="209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2">
        <f t="shared" si="168"/>
        <v>0</v>
      </c>
      <c r="O248" s="42">
        <f t="shared" si="169"/>
        <v>0</v>
      </c>
      <c r="P248" s="69"/>
      <c r="R248" s="67" t="str">
        <f>IF(H248="","",VLOOKUP(H248,'DATOS CLIENTES'!B:F,5,FALSE))</f>
        <v/>
      </c>
      <c r="S248" s="67" t="e">
        <f t="shared" si="173"/>
        <v>#REF!</v>
      </c>
      <c r="U248" s="68">
        <f t="shared" si="170"/>
        <v>0</v>
      </c>
      <c r="V248" s="68">
        <f t="shared" si="171"/>
        <v>0</v>
      </c>
      <c r="X248" s="67" t="e">
        <f t="shared" si="172"/>
        <v>#N/A</v>
      </c>
      <c r="Y248" s="67" t="str">
        <f t="shared" si="174"/>
        <v/>
      </c>
      <c r="Z248" s="67" t="str">
        <f t="shared" si="175"/>
        <v/>
      </c>
      <c r="AA248" s="67" t="str">
        <f t="shared" si="176"/>
        <v/>
      </c>
      <c r="AB248" s="219" t="str">
        <f t="shared" si="177"/>
        <v/>
      </c>
      <c r="AC248" s="67" t="str">
        <f t="shared" si="178"/>
        <v/>
      </c>
      <c r="AD248" s="67" t="str">
        <f t="shared" si="179"/>
        <v/>
      </c>
      <c r="AE248" s="67" t="str">
        <f t="shared" si="180"/>
        <v/>
      </c>
      <c r="AF248" s="67" t="str">
        <f t="shared" si="181"/>
        <v/>
      </c>
      <c r="AG248" s="67" t="str">
        <f t="shared" si="182"/>
        <v/>
      </c>
    </row>
    <row r="249" spans="1:33" s="66" customFormat="1">
      <c r="A249" s="18" t="str">
        <f t="shared" si="163"/>
        <v/>
      </c>
      <c r="B249" s="211"/>
      <c r="C249" s="57"/>
      <c r="D249" s="43">
        <f t="shared" si="164"/>
        <v>0</v>
      </c>
      <c r="E249" s="58" t="str">
        <f t="shared" si="165"/>
        <v/>
      </c>
      <c r="F249" s="89" t="str">
        <f t="shared" si="166"/>
        <v/>
      </c>
      <c r="G249" s="184"/>
      <c r="H249" s="196"/>
      <c r="I249" s="185"/>
      <c r="J249" s="41"/>
      <c r="K249" s="38">
        <f>IF(I249="",0,VLOOKUP(I249,'LISTA DE PRECIOS'!A:F,IF(R249="CORO",4,5),FALSE))</f>
        <v>0</v>
      </c>
      <c r="L249" s="199">
        <f t="shared" si="167"/>
        <v>0</v>
      </c>
      <c r="M249" s="209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2">
        <f t="shared" si="168"/>
        <v>0</v>
      </c>
      <c r="O249" s="42">
        <f t="shared" si="169"/>
        <v>0</v>
      </c>
      <c r="P249" s="69"/>
      <c r="R249" s="67" t="str">
        <f>IF(H249="","",VLOOKUP(H249,'DATOS CLIENTES'!B:F,5,FALSE))</f>
        <v/>
      </c>
      <c r="S249" s="67" t="e">
        <f t="shared" si="173"/>
        <v>#REF!</v>
      </c>
      <c r="U249" s="68">
        <f t="shared" si="170"/>
        <v>0</v>
      </c>
      <c r="V249" s="68">
        <f t="shared" si="171"/>
        <v>0</v>
      </c>
      <c r="X249" s="67" t="e">
        <f t="shared" si="172"/>
        <v>#N/A</v>
      </c>
      <c r="Y249" s="67" t="str">
        <f t="shared" si="174"/>
        <v/>
      </c>
      <c r="Z249" s="67" t="str">
        <f t="shared" si="175"/>
        <v/>
      </c>
      <c r="AA249" s="67" t="str">
        <f t="shared" si="176"/>
        <v/>
      </c>
      <c r="AB249" s="219" t="str">
        <f t="shared" si="177"/>
        <v/>
      </c>
      <c r="AC249" s="67" t="str">
        <f t="shared" si="178"/>
        <v/>
      </c>
      <c r="AD249" s="67" t="str">
        <f t="shared" si="179"/>
        <v/>
      </c>
      <c r="AE249" s="67" t="str">
        <f t="shared" si="180"/>
        <v/>
      </c>
      <c r="AF249" s="67" t="str">
        <f t="shared" si="181"/>
        <v/>
      </c>
      <c r="AG249" s="67" t="str">
        <f t="shared" si="182"/>
        <v/>
      </c>
    </row>
    <row r="250" spans="1:33" s="85" customFormat="1">
      <c r="A250" s="18" t="str">
        <f>CONCATENATE(E250,F250)</f>
        <v/>
      </c>
      <c r="B250" s="211"/>
      <c r="C250" s="57"/>
      <c r="D250" s="43">
        <f t="shared" si="164"/>
        <v>0</v>
      </c>
      <c r="E250" s="58" t="str">
        <f t="shared" si="165"/>
        <v/>
      </c>
      <c r="F250" s="89" t="str">
        <f t="shared" si="166"/>
        <v/>
      </c>
      <c r="G250" s="184"/>
      <c r="H250" s="196"/>
      <c r="I250" s="185"/>
      <c r="J250" s="41"/>
      <c r="K250" s="38">
        <f>IF(I250="",0,VLOOKUP(I250,'LISTA DE PRECIOS'!A:F,IF(R250="CORO",4,5),FALSE))</f>
        <v>0</v>
      </c>
      <c r="L250" s="199">
        <f t="shared" si="167"/>
        <v>0</v>
      </c>
      <c r="M250" s="209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2">
        <f t="shared" si="168"/>
        <v>0</v>
      </c>
      <c r="O250" s="42">
        <f t="shared" si="169"/>
        <v>0</v>
      </c>
      <c r="P250" s="69"/>
      <c r="R250" s="67" t="str">
        <f>IF(H250="","",VLOOKUP(H250,'DATOS CLIENTES'!B:F,5,FALSE))</f>
        <v/>
      </c>
      <c r="S250" s="67" t="e">
        <f t="shared" si="173"/>
        <v>#REF!</v>
      </c>
      <c r="U250" s="68">
        <f t="shared" si="170"/>
        <v>0</v>
      </c>
      <c r="V250" s="68">
        <f t="shared" si="171"/>
        <v>0</v>
      </c>
      <c r="X250" s="67" t="e">
        <f t="shared" si="172"/>
        <v>#N/A</v>
      </c>
      <c r="Y250" s="67" t="str">
        <f t="shared" si="174"/>
        <v/>
      </c>
      <c r="Z250" s="67" t="str">
        <f t="shared" si="175"/>
        <v/>
      </c>
      <c r="AA250" s="67" t="str">
        <f t="shared" si="176"/>
        <v/>
      </c>
      <c r="AB250" s="219" t="str">
        <f t="shared" si="177"/>
        <v/>
      </c>
      <c r="AC250" s="67" t="str">
        <f t="shared" si="178"/>
        <v/>
      </c>
      <c r="AD250" s="67" t="str">
        <f t="shared" si="179"/>
        <v/>
      </c>
      <c r="AE250" s="67" t="str">
        <f t="shared" si="180"/>
        <v/>
      </c>
      <c r="AF250" s="67" t="str">
        <f t="shared" si="181"/>
        <v/>
      </c>
      <c r="AG250" s="67" t="str">
        <f t="shared" si="182"/>
        <v/>
      </c>
    </row>
    <row r="251" spans="1:33">
      <c r="B251" s="59"/>
      <c r="C251" s="59"/>
      <c r="D251" s="59"/>
      <c r="E251" s="59"/>
      <c r="F251" s="60"/>
      <c r="G251" s="60"/>
      <c r="H251" s="60"/>
      <c r="I251" s="60"/>
      <c r="J251" s="60"/>
      <c r="K251" s="60"/>
      <c r="L251" s="61">
        <f>SUM(L7:L250)</f>
        <v>5243.6200000000008</v>
      </c>
      <c r="M251" s="85"/>
      <c r="N251" s="85"/>
      <c r="O251" s="61">
        <f>SUM(O7:O250)</f>
        <v>60060.150300000001</v>
      </c>
    </row>
    <row r="253" spans="1:33">
      <c r="A253" s="73" t="str">
        <f>CONCATENATE(E253,F253)</f>
        <v/>
      </c>
      <c r="D253" s="73">
        <f>IF(OR(H253="",AND(H253=H252,G253=G252)),D252,D252+1)</f>
        <v>0</v>
      </c>
      <c r="E253" s="73" t="str">
        <f>IF(F253="","",IF(OR(F253=0,F253=F252),E252+1,1))</f>
        <v/>
      </c>
      <c r="F253" s="73" t="str">
        <f>IF(G253="","",CONCATENATE("SFC-",IF(LEN(MONTH($G$4))=1,CONCATENATE("0",MONTH($G$4)),MONTH($G$4)),RIGHT(YEAR($G$4),2),"-",S253))</f>
        <v/>
      </c>
      <c r="G253" s="73"/>
      <c r="H253" s="73"/>
      <c r="I253" s="73"/>
      <c r="J253" s="73"/>
      <c r="K253" s="73">
        <f>IF(I253="",0,VLOOKUP(I253,'LISTA DE PRECIOS'!A:F,IF(R253="CORO",4,5),FALSE))</f>
        <v>0</v>
      </c>
      <c r="L253" s="73">
        <f>ROUND(K253*J253,2)</f>
        <v>0</v>
      </c>
      <c r="M253" s="73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73">
        <f>M253*K253</f>
        <v>0</v>
      </c>
      <c r="O253" s="73">
        <f>N253*J253</f>
        <v>0</v>
      </c>
    </row>
    <row r="1048576" spans="2:3">
      <c r="B1048576" s="85"/>
      <c r="C1048576" s="85"/>
    </row>
  </sheetData>
  <autoFilter ref="B6:O251"/>
  <sortState ref="B7:O80">
    <sortCondition ref="F7:F80"/>
  </sortState>
  <customSheetViews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1"/>
      <autoFilter ref="A6:T102"/>
    </customSheetView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FACTURAS!$N$4:$N$100</xm:f>
          </x14:formula1>
          <xm:sqref>I7:I56 I61:I250</xm:sqref>
        </x14:dataValidation>
        <x14:dataValidation type="list" allowBlank="1" showInputMessage="1" showErrorMessage="1">
          <x14:formula1>
            <xm:f>'DATOS CLIENTES'!$B$5:$B$304</xm:f>
          </x14:formula1>
          <xm:sqref>H7:H56 H61:H250</xm:sqref>
        </x14:dataValidation>
        <x14:dataValidation type="list" allowBlank="1" showInputMessage="1" showErrorMessage="1">
          <x14:formula1>
            <xm:f>'[R_FACTURAS_FREDDY CHIRINO-NOVIEMBRE-2022.xlsm]DATOS CLIENTES'!#REF!</xm:f>
          </x14:formula1>
          <xm:sqref>H57:H60</xm:sqref>
        </x14:dataValidation>
        <x14:dataValidation type="list" allowBlank="1" showInputMessage="1" showErrorMessage="1">
          <x14:formula1>
            <xm:f>'[R_FACTURAS_FREDDY CHIRINO-NOVIEMBRE-2022.xlsm]FACTURAS'!#REF!</xm:f>
          </x14:formula1>
          <xm:sqref>I57:I60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F0"/>
  </sheetPr>
  <dimension ref="A1:O203"/>
  <sheetViews>
    <sheetView showGridLines="0" zoomScale="80" zoomScaleNormal="80" workbookViewId="0">
      <pane ySplit="6" topLeftCell="A7" activePane="bottomLeft" state="frozen"/>
      <selection activeCell="B5" sqref="B5"/>
      <selection pane="bottomLeft" activeCell="B40" sqref="B40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2" ht="80.099999999999994" customHeight="1">
      <c r="B1" s="48"/>
      <c r="C1" s="48"/>
      <c r="D1" s="48"/>
      <c r="E1" s="48"/>
      <c r="F1" s="48"/>
      <c r="G1" s="48"/>
      <c r="H1" s="48"/>
      <c r="I1" s="48"/>
      <c r="J1" s="48"/>
    </row>
    <row r="2" spans="1:12" ht="24.95" customHeight="1">
      <c r="B2" s="64" t="s">
        <v>462</v>
      </c>
      <c r="C2" s="64"/>
      <c r="D2" s="64"/>
      <c r="E2" s="64"/>
      <c r="F2" s="64"/>
      <c r="G2" s="64"/>
      <c r="H2" s="64"/>
      <c r="I2" s="64"/>
      <c r="J2" s="64"/>
    </row>
    <row r="3" spans="1:12" ht="24.95" customHeight="1">
      <c r="J3" s="260"/>
    </row>
    <row r="4" spans="1:12" ht="18.75">
      <c r="B4" s="33" t="s">
        <v>457</v>
      </c>
      <c r="C4" s="34">
        <f>'RELACION VTAS - CHS'!G4</f>
        <v>44774</v>
      </c>
      <c r="E4" s="22"/>
      <c r="F4" s="22"/>
      <c r="G4" s="24" t="s">
        <v>1053</v>
      </c>
      <c r="H4" s="66"/>
      <c r="J4" s="260"/>
    </row>
    <row r="5" spans="1:12" ht="24.95" customHeight="1">
      <c r="F5" s="11"/>
      <c r="G5" s="11">
        <f>SUM(G7:G201)</f>
        <v>1013.6999999999999</v>
      </c>
      <c r="H5" s="260"/>
    </row>
    <row r="6" spans="1:12" ht="30">
      <c r="B6" s="35" t="s">
        <v>454</v>
      </c>
      <c r="C6" s="35" t="s">
        <v>452</v>
      </c>
      <c r="D6" s="35" t="s">
        <v>417</v>
      </c>
      <c r="E6" s="31" t="s">
        <v>938</v>
      </c>
      <c r="F6" s="31" t="s">
        <v>940</v>
      </c>
      <c r="G6" s="35" t="s">
        <v>941</v>
      </c>
      <c r="H6" s="31" t="s">
        <v>939</v>
      </c>
      <c r="I6" s="31" t="s">
        <v>942</v>
      </c>
      <c r="J6" s="35" t="s">
        <v>943</v>
      </c>
      <c r="K6" t="s">
        <v>418</v>
      </c>
    </row>
    <row r="7" spans="1:12">
      <c r="A7" s="40"/>
      <c r="B7" s="234" t="s">
        <v>1207</v>
      </c>
      <c r="C7" s="235" t="s">
        <v>1150</v>
      </c>
      <c r="D7" s="236">
        <v>44706</v>
      </c>
      <c r="E7" s="227">
        <v>55.9</v>
      </c>
      <c r="F7" s="228">
        <f>SUMIF('REPORTE GASTOS'!C:C,COBRANZA!B7,'REPORTE GASTOS'!G:G)</f>
        <v>0</v>
      </c>
      <c r="G7" s="216">
        <f t="shared" ref="G7:G12" si="0">E7-F7</f>
        <v>55.9</v>
      </c>
      <c r="H7" s="229">
        <v>285.08999999999997</v>
      </c>
      <c r="I7" s="230">
        <f>SUMIF('REPORTE GASTOS'!C:C,COBRANZA!B7,'REPORTE GASTOS'!I:I)</f>
        <v>0</v>
      </c>
      <c r="J7" s="216">
        <f t="shared" ref="J7:J12" si="1">H7-I7</f>
        <v>285.08999999999997</v>
      </c>
      <c r="K7" s="65"/>
    </row>
    <row r="8" spans="1:12">
      <c r="A8" s="40"/>
      <c r="B8" s="237" t="s">
        <v>1299</v>
      </c>
      <c r="C8" s="235" t="s">
        <v>301</v>
      </c>
      <c r="D8" s="236">
        <v>44734</v>
      </c>
      <c r="E8" s="227">
        <v>77.900000000000006</v>
      </c>
      <c r="F8" s="228">
        <f>SUMIF('REPORTE GASTOS'!C:C,COBRANZA!B8,'REPORTE GASTOS'!G:G)</f>
        <v>77.900000000000006</v>
      </c>
      <c r="G8" s="216">
        <f t="shared" si="0"/>
        <v>0</v>
      </c>
      <c r="H8" s="229">
        <v>322.28999999999974</v>
      </c>
      <c r="I8" s="230">
        <f>SUMIF('REPORTE GASTOS'!C:C,COBRANZA!B8,'REPORTE GASTOS'!I:I)</f>
        <v>463.50500000000005</v>
      </c>
      <c r="J8" s="216">
        <f t="shared" si="1"/>
        <v>-141.21500000000032</v>
      </c>
      <c r="K8" s="65"/>
      <c r="L8" s="85"/>
    </row>
    <row r="9" spans="1:12">
      <c r="A9" s="40"/>
      <c r="B9" s="237" t="s">
        <v>1406</v>
      </c>
      <c r="C9" s="235" t="s">
        <v>1015</v>
      </c>
      <c r="D9" s="236">
        <v>44750</v>
      </c>
      <c r="E9" s="227">
        <v>39.96</v>
      </c>
      <c r="F9" s="228">
        <f>SUMIF('REPORTE GASTOS'!C:C,COBRANZA!B9,'REPORTE GASTOS'!G:G)</f>
        <v>39.96</v>
      </c>
      <c r="G9" s="216">
        <f t="shared" si="0"/>
        <v>0</v>
      </c>
      <c r="H9" s="229">
        <v>234.1655999999999</v>
      </c>
      <c r="I9" s="230">
        <f>SUMIF('REPORTE GASTOS'!C:C,COBRANZA!B9,'REPORTE GASTOS'!I:I)</f>
        <v>313.28640000000001</v>
      </c>
      <c r="J9" s="216">
        <f t="shared" si="1"/>
        <v>-79.120800000000116</v>
      </c>
      <c r="K9" s="65"/>
      <c r="L9" s="85"/>
    </row>
    <row r="10" spans="1:12" ht="30">
      <c r="A10" s="40"/>
      <c r="B10" s="238" t="s">
        <v>1404</v>
      </c>
      <c r="C10" s="235" t="s">
        <v>1065</v>
      </c>
      <c r="D10" s="236">
        <v>44753</v>
      </c>
      <c r="E10" s="227">
        <v>53</v>
      </c>
      <c r="F10" s="228">
        <f>SUMIF('REPORTE GASTOS'!C:C,COBRANZA!B10,'REPORTE GASTOS'!G:G)</f>
        <v>53</v>
      </c>
      <c r="G10" s="216">
        <f t="shared" si="0"/>
        <v>0</v>
      </c>
      <c r="H10" s="229">
        <v>310.58000000000004</v>
      </c>
      <c r="I10" s="230">
        <f>SUMIF('REPORTE GASTOS'!C:C,COBRANZA!B10,'REPORTE GASTOS'!I:I)</f>
        <v>316.40999999999997</v>
      </c>
      <c r="J10" s="216">
        <f t="shared" si="1"/>
        <v>-5.8299999999999272</v>
      </c>
      <c r="K10" s="65"/>
      <c r="L10" s="85"/>
    </row>
    <row r="11" spans="1:12">
      <c r="A11" s="40"/>
      <c r="B11" s="238" t="s">
        <v>1453</v>
      </c>
      <c r="C11" s="235" t="s">
        <v>1096</v>
      </c>
      <c r="D11" s="236">
        <v>44755</v>
      </c>
      <c r="E11" s="227">
        <v>36.06</v>
      </c>
      <c r="F11" s="228">
        <f>SUMIF('REPORTE GASTOS'!C:C,COBRANZA!B11,'REPORTE GASTOS'!G:G)</f>
        <v>36.06</v>
      </c>
      <c r="G11" s="216">
        <f t="shared" si="0"/>
        <v>0</v>
      </c>
      <c r="H11" s="229">
        <v>183.90599999999998</v>
      </c>
      <c r="I11" s="230">
        <f>SUMIF('REPORTE GASTOS'!C:C,COBRANZA!B11,'REPORTE GASTOS'!I:I)</f>
        <v>282.71039999999999</v>
      </c>
      <c r="J11" s="216">
        <f t="shared" si="1"/>
        <v>-98.804400000000015</v>
      </c>
      <c r="K11" s="65"/>
      <c r="L11" s="85"/>
    </row>
    <row r="12" spans="1:12">
      <c r="A12" s="40"/>
      <c r="B12" s="238" t="s">
        <v>1457</v>
      </c>
      <c r="C12" s="235" t="s">
        <v>959</v>
      </c>
      <c r="D12" s="236">
        <v>44756</v>
      </c>
      <c r="E12" s="227">
        <v>95.4</v>
      </c>
      <c r="F12" s="228">
        <f>SUMIF('REPORTE GASTOS'!C:C,COBRANZA!B12,'REPORTE GASTOS'!G:G)</f>
        <v>95.4</v>
      </c>
      <c r="G12" s="216">
        <f t="shared" si="0"/>
        <v>0</v>
      </c>
      <c r="H12" s="229">
        <v>486.53999999999996</v>
      </c>
      <c r="I12" s="230">
        <f>SUMIF('REPORTE GASTOS'!C:C,COBRANZA!B12,'REPORTE GASTOS'!I:I)</f>
        <v>567.63</v>
      </c>
      <c r="J12" s="216">
        <f t="shared" si="1"/>
        <v>-81.090000000000032</v>
      </c>
      <c r="K12" s="65"/>
      <c r="L12" s="85"/>
    </row>
    <row r="13" spans="1:12">
      <c r="A13" s="40"/>
      <c r="B13" s="234" t="s">
        <v>1396</v>
      </c>
      <c r="C13" s="235" t="s">
        <v>1038</v>
      </c>
      <c r="D13" s="236">
        <v>44762</v>
      </c>
      <c r="E13" s="227">
        <v>98.79</v>
      </c>
      <c r="F13" s="228">
        <f>SUMIF('REPORTE GASTOS'!C:C,COBRANZA!B13,'REPORTE GASTOS'!G:G)</f>
        <v>98.789999999999992</v>
      </c>
      <c r="G13" s="216">
        <f>E13-F13</f>
        <v>0</v>
      </c>
      <c r="H13" s="229">
        <v>503.82900000000001</v>
      </c>
      <c r="I13" s="230">
        <f>SUMIF('REPORTE GASTOS'!C:C,COBRANZA!B13,'REPORTE GASTOS'!I:I)</f>
        <v>589.77629999999999</v>
      </c>
      <c r="J13" s="216">
        <f>H13-I13</f>
        <v>-85.947299999999984</v>
      </c>
      <c r="K13" s="65"/>
      <c r="L13" s="85"/>
    </row>
    <row r="14" spans="1:12">
      <c r="A14" s="40"/>
      <c r="B14" s="237" t="s">
        <v>1468</v>
      </c>
      <c r="C14" s="235" t="s">
        <v>1024</v>
      </c>
      <c r="D14" s="236">
        <v>44762</v>
      </c>
      <c r="E14" s="227">
        <v>129.80999999999997</v>
      </c>
      <c r="F14" s="228">
        <f>SUMIF('REPORTE GASTOS'!C:C,COBRANZA!B14,'REPORTE GASTOS'!G:G)</f>
        <v>129.81</v>
      </c>
      <c r="G14" s="216">
        <f t="shared" ref="G14:G77" si="2">E14-F14</f>
        <v>0</v>
      </c>
      <c r="H14" s="229">
        <v>739.91700000000014</v>
      </c>
      <c r="I14" s="230">
        <f>SUMIF('REPORTE GASTOS'!C:C,COBRANZA!B14,'REPORTE GASTOS'!I:I)</f>
        <v>783.84100000000001</v>
      </c>
      <c r="J14" s="216">
        <f t="shared" ref="J14:J77" si="3">H14-I14</f>
        <v>-43.923999999999864</v>
      </c>
      <c r="K14" s="65"/>
      <c r="L14" s="85"/>
    </row>
    <row r="15" spans="1:12" ht="30">
      <c r="A15" s="40"/>
      <c r="B15" s="237" t="s">
        <v>1474</v>
      </c>
      <c r="C15" s="235" t="s">
        <v>1065</v>
      </c>
      <c r="D15" s="236">
        <v>44762</v>
      </c>
      <c r="E15" s="227">
        <v>161.25</v>
      </c>
      <c r="F15" s="228">
        <f>SUMIF('REPORTE GASTOS'!C:C,COBRANZA!B15,'REPORTE GASTOS'!G:G)</f>
        <v>161.25</v>
      </c>
      <c r="G15" s="216">
        <f t="shared" si="2"/>
        <v>0</v>
      </c>
      <c r="H15" s="229">
        <v>858.97499999999991</v>
      </c>
      <c r="I15" s="230">
        <f>SUMIF('REPORTE GASTOS'!C:C,COBRANZA!B15,'REPORTE GASTOS'!I:I)</f>
        <v>962.66249999999991</v>
      </c>
      <c r="J15" s="216">
        <f t="shared" si="3"/>
        <v>-103.6875</v>
      </c>
      <c r="K15" s="65"/>
      <c r="L15" s="85"/>
    </row>
    <row r="16" spans="1:12" ht="30">
      <c r="A16" s="40"/>
      <c r="B16" s="238" t="s">
        <v>1405</v>
      </c>
      <c r="C16" s="235" t="s">
        <v>1065</v>
      </c>
      <c r="D16" s="236">
        <v>44764</v>
      </c>
      <c r="E16" s="227">
        <v>83.85</v>
      </c>
      <c r="F16" s="228">
        <f>SUMIF('REPORTE GASTOS'!C:C,COBRANZA!B16,'REPORTE GASTOS'!G:G)</f>
        <v>83.85</v>
      </c>
      <c r="G16" s="216">
        <f t="shared" si="2"/>
        <v>0</v>
      </c>
      <c r="H16" s="229">
        <v>427.63499999999993</v>
      </c>
      <c r="I16" s="230">
        <f>SUMIF('REPORTE GASTOS'!C:C,COBRANZA!B16,'REPORTE GASTOS'!I:I)</f>
        <v>503.1</v>
      </c>
      <c r="J16" s="216">
        <f t="shared" si="3"/>
        <v>-75.465000000000089</v>
      </c>
      <c r="K16" s="65"/>
    </row>
    <row r="17" spans="1:12">
      <c r="A17" s="40"/>
      <c r="B17" s="238" t="s">
        <v>1485</v>
      </c>
      <c r="C17" s="235" t="s">
        <v>839</v>
      </c>
      <c r="D17" s="236">
        <v>44764</v>
      </c>
      <c r="E17" s="227">
        <v>248.65</v>
      </c>
      <c r="F17" s="228">
        <f>SUMIF('REPORTE GASTOS'!C:C,COBRANZA!B17,'REPORTE GASTOS'!G:G)</f>
        <v>0</v>
      </c>
      <c r="G17" s="216">
        <f t="shared" si="2"/>
        <v>248.65</v>
      </c>
      <c r="H17" s="229">
        <v>1422.278</v>
      </c>
      <c r="I17" s="230">
        <f>SUMIF('REPORTE GASTOS'!C:C,COBRANZA!B17,'REPORTE GASTOS'!I:I)</f>
        <v>0</v>
      </c>
      <c r="J17" s="216">
        <f t="shared" si="3"/>
        <v>1422.278</v>
      </c>
      <c r="K17" s="65"/>
    </row>
    <row r="18" spans="1:12">
      <c r="A18" s="40"/>
      <c r="B18" s="238" t="s">
        <v>1410</v>
      </c>
      <c r="C18" s="235" t="s">
        <v>1110</v>
      </c>
      <c r="D18" s="236">
        <v>44769</v>
      </c>
      <c r="E18" s="227">
        <v>48.2</v>
      </c>
      <c r="F18" s="228">
        <f>SUMIF('REPORTE GASTOS'!C:C,COBRANZA!B18,'REPORTE GASTOS'!G:G)</f>
        <v>48.2</v>
      </c>
      <c r="G18" s="216">
        <f t="shared" si="2"/>
        <v>0</v>
      </c>
      <c r="H18" s="229">
        <v>276.66800000000001</v>
      </c>
      <c r="I18" s="230">
        <f>SUMIF('REPORTE GASTOS'!C:C,COBRANZA!B18,'REPORTE GASTOS'!I:I)</f>
        <v>290.43</v>
      </c>
      <c r="J18" s="216">
        <f t="shared" si="3"/>
        <v>-13.762</v>
      </c>
      <c r="K18" s="65"/>
    </row>
    <row r="19" spans="1:12" ht="30">
      <c r="A19" s="40"/>
      <c r="B19" s="238" t="s">
        <v>1413</v>
      </c>
      <c r="C19" s="235" t="s">
        <v>1065</v>
      </c>
      <c r="D19" s="236">
        <v>44770</v>
      </c>
      <c r="E19" s="227">
        <v>201.73000000000002</v>
      </c>
      <c r="F19" s="228">
        <f>SUMIF('REPORTE GASTOS'!C:C,COBRANZA!B19,'REPORTE GASTOS'!G:G)</f>
        <v>101.73</v>
      </c>
      <c r="G19" s="216">
        <f t="shared" si="2"/>
        <v>100.00000000000001</v>
      </c>
      <c r="H19" s="229">
        <v>1106.9029999999998</v>
      </c>
      <c r="I19" s="230">
        <f>SUMIF('REPORTE GASTOS'!C:C,COBRANZA!B19,'REPORTE GASTOS'!I:I)</f>
        <v>620.38</v>
      </c>
      <c r="J19" s="216">
        <f t="shared" si="3"/>
        <v>486.5229999999998</v>
      </c>
      <c r="K19" s="65"/>
    </row>
    <row r="20" spans="1:12">
      <c r="A20" s="40"/>
      <c r="B20" s="238" t="s">
        <v>1430</v>
      </c>
      <c r="C20" s="235" t="s">
        <v>1109</v>
      </c>
      <c r="D20" s="236">
        <v>44770</v>
      </c>
      <c r="E20" s="227">
        <v>114.37999999999998</v>
      </c>
      <c r="F20" s="228">
        <f>SUMIF('REPORTE GASTOS'!C:C,COBRANZA!B20,'REPORTE GASTOS'!G:G)</f>
        <v>0</v>
      </c>
      <c r="G20" s="216">
        <f t="shared" si="2"/>
        <v>114.37999999999998</v>
      </c>
      <c r="H20" s="229">
        <v>583.33799999999997</v>
      </c>
      <c r="I20" s="209">
        <f>SUMIF('REPORTE GASTOS'!C:C,COBRANZA!B20,'REPORTE GASTOS'!I:I)</f>
        <v>0</v>
      </c>
      <c r="J20" s="216">
        <f t="shared" si="3"/>
        <v>583.33799999999997</v>
      </c>
      <c r="K20" s="65"/>
    </row>
    <row r="21" spans="1:12">
      <c r="A21" s="40">
        <v>1</v>
      </c>
      <c r="B21" s="277" t="str">
        <f>IF(ISERROR(VLOOKUP(A21,'RELACION VTAS - CHS'!D:F,3,FALSE))=FALSE,VLOOKUP(A21,'RELACION VTAS - CHS'!D:F,3,FALSE),"")</f>
        <v>`00001877</v>
      </c>
      <c r="C21" s="196" t="str">
        <f>IF(B21="","",VLOOKUP(B21,'RELACION VTAS - CHS'!F:H,3,FALSE))</f>
        <v>FERRETERIA MONTE ALTO F.E., C.A.</v>
      </c>
      <c r="D21" s="278">
        <f>IF(B21="","",VLOOKUP(B21,'RELACION VTAS - CHS'!F:H,2,FALSE))</f>
        <v>44803</v>
      </c>
      <c r="E21" s="215">
        <f>IF(ISERROR(VLOOKUP($B21,'RELACION VTAS - CHS'!$F$7:$V$250,16,FALSE))=FALSE,VLOOKUP($B21,'RELACION VTAS - CHS'!$F$7:$V$250,16,FALSE),0)</f>
        <v>64.400000000000006</v>
      </c>
      <c r="F21" s="215">
        <f>SUMIF('REPORTE GASTOS'!C:C,COBRANZA!B21,'REPORTE GASTOS'!G:G)</f>
        <v>0</v>
      </c>
      <c r="G21" s="216">
        <f t="shared" si="2"/>
        <v>64.400000000000006</v>
      </c>
      <c r="H21" s="214">
        <f>IF(ISERROR(VLOOKUP($B21,'RELACION VTAS - CHS'!$F$7:$V$250,16,FALSE))=FALSE,VLOOKUP($B21,'RELACION VTAS - CHS'!$F$7:$V$250,17,FALSE),0)</f>
        <v>503.60800000000006</v>
      </c>
      <c r="I21" s="209">
        <f>SUMIF('REPORTE GASTOS'!C:C,COBRANZA!B21,'REPORTE GASTOS'!I:I)</f>
        <v>0</v>
      </c>
      <c r="J21" s="216">
        <f t="shared" si="3"/>
        <v>503.60800000000006</v>
      </c>
      <c r="K21" s="65"/>
    </row>
    <row r="22" spans="1:12">
      <c r="A22" s="40">
        <v>2</v>
      </c>
      <c r="B22" s="277" t="str">
        <f>IF(ISERROR(VLOOKUP(A22,'RELACION VTAS - CHS'!D:F,3,FALSE))=FALSE,VLOOKUP(A22,'RELACION VTAS - CHS'!D:F,3,FALSE),"")</f>
        <v>`00001880</v>
      </c>
      <c r="C22" s="196" t="str">
        <f>IF(B22="","",VLOOKUP(B22,'RELACION VTAS - CHS'!F:H,3,FALSE))</f>
        <v>FERRETERIA MONTE ALTO F.E., C.A.</v>
      </c>
      <c r="D22" s="278">
        <f>IF(B22="","",VLOOKUP(B22,'RELACION VTAS - CHS'!F:H,2,FALSE))</f>
        <v>44813</v>
      </c>
      <c r="E22" s="215">
        <f>IF(ISERROR(VLOOKUP($B22,'RELACION VTAS - CHS'!$F$7:$V$250,16,FALSE))=FALSE,VLOOKUP($B22,'RELACION VTAS - CHS'!$F$7:$V$250,16,FALSE),0)</f>
        <v>58.24</v>
      </c>
      <c r="F22" s="215">
        <f>SUMIF('REPORTE GASTOS'!C:C,COBRANZA!B22,'REPORTE GASTOS'!G:G)</f>
        <v>0</v>
      </c>
      <c r="G22" s="216">
        <f t="shared" ref="G22:G27" si="4">E22-F22</f>
        <v>58.24</v>
      </c>
      <c r="H22" s="214">
        <f>IF(ISERROR(VLOOKUP($B22,'RELACION VTAS - CHS'!$F$7:$V$250,16,FALSE))=FALSE,VLOOKUP($B22,'RELACION VTAS - CHS'!$F$7:$V$250,17,FALSE),0)</f>
        <v>465.92</v>
      </c>
      <c r="I22" s="209">
        <f>SUMIF('REPORTE GASTOS'!C:C,COBRANZA!B22,'REPORTE GASTOS'!I:I)</f>
        <v>0</v>
      </c>
      <c r="J22" s="216">
        <f t="shared" ref="J22:J27" si="5">H22-I22</f>
        <v>465.92</v>
      </c>
      <c r="K22" s="65"/>
    </row>
    <row r="23" spans="1:12">
      <c r="A23" s="40">
        <v>3</v>
      </c>
      <c r="B23" s="277" t="str">
        <f>IF(ISERROR(VLOOKUP(A23,'RELACION VTAS - CHS'!D:F,3,FALSE))=FALSE,VLOOKUP(A23,'RELACION VTAS - CHS'!D:F,3,FALSE),"")</f>
        <v>`00001881</v>
      </c>
      <c r="C23" s="196" t="str">
        <f>IF(B23="","",VLOOKUP(B23,'RELACION VTAS - CHS'!F:H,3,FALSE))</f>
        <v>COSEIMPA, C. A.</v>
      </c>
      <c r="D23" s="278">
        <f>IF(B23="","",VLOOKUP(B23,'RELACION VTAS - CHS'!F:H,2,FALSE))</f>
        <v>44818</v>
      </c>
      <c r="E23" s="215">
        <f>IF(ISERROR(VLOOKUP($B23,'RELACION VTAS - CHS'!$F$7:$V$250,16,FALSE))=FALSE,VLOOKUP($B23,'RELACION VTAS - CHS'!$F$7:$V$250,16,FALSE),0)</f>
        <v>0</v>
      </c>
      <c r="F23" s="215">
        <f>SUMIF('REPORTE GASTOS'!C:C,COBRANZA!B23,'REPORTE GASTOS'!G:G)</f>
        <v>0</v>
      </c>
      <c r="G23" s="216">
        <f t="shared" si="4"/>
        <v>0</v>
      </c>
      <c r="H23" s="214">
        <f>IF(ISERROR(VLOOKUP($B23,'RELACION VTAS - CHS'!$F$7:$V$250,16,FALSE))=FALSE,VLOOKUP($B23,'RELACION VTAS - CHS'!$F$7:$V$250,17,FALSE),0)</f>
        <v>0</v>
      </c>
      <c r="I23" s="209">
        <f>SUMIF('REPORTE GASTOS'!C:C,COBRANZA!B23,'REPORTE GASTOS'!I:I)</f>
        <v>0</v>
      </c>
      <c r="J23" s="216">
        <f t="shared" si="5"/>
        <v>0</v>
      </c>
      <c r="K23" s="65"/>
    </row>
    <row r="24" spans="1:12">
      <c r="A24" s="40">
        <v>4</v>
      </c>
      <c r="B24" s="277" t="str">
        <f>IF(ISERROR(VLOOKUP(A24,'RELACION VTAS - CHS'!D:F,3,FALSE))=FALSE,VLOOKUP(A24,'RELACION VTAS - CHS'!D:F,3,FALSE),"")</f>
        <v>`00001882</v>
      </c>
      <c r="C24" s="196" t="str">
        <f>IF(B24="","",VLOOKUP(B24,'RELACION VTAS - CHS'!F:H,3,FALSE))</f>
        <v>FERRETERIA EL ANCLA, S.A.</v>
      </c>
      <c r="D24" s="278">
        <f>IF(B24="","",VLOOKUP(B24,'RELACION VTAS - CHS'!F:H,2,FALSE))</f>
        <v>44818</v>
      </c>
      <c r="E24" s="215">
        <f>IF(ISERROR(VLOOKUP($B24,'RELACION VTAS - CHS'!$F$7:$V$250,16,FALSE))=FALSE,VLOOKUP($B24,'RELACION VTAS - CHS'!$F$7:$V$250,16,FALSE),0)</f>
        <v>0</v>
      </c>
      <c r="F24" s="215">
        <f>SUMIF('REPORTE GASTOS'!C:C,COBRANZA!B24,'REPORTE GASTOS'!G:G)</f>
        <v>0</v>
      </c>
      <c r="G24" s="216">
        <f t="shared" si="4"/>
        <v>0</v>
      </c>
      <c r="H24" s="214">
        <f>IF(ISERROR(VLOOKUP($B24,'RELACION VTAS - CHS'!$F$7:$V$250,16,FALSE))=FALSE,VLOOKUP($B24,'RELACION VTAS - CHS'!$F$7:$V$250,17,FALSE),0)</f>
        <v>0</v>
      </c>
      <c r="I24" s="209">
        <f>SUMIF('REPORTE GASTOS'!C:C,COBRANZA!B24,'REPORTE GASTOS'!I:I)</f>
        <v>0</v>
      </c>
      <c r="J24" s="216">
        <f t="shared" si="5"/>
        <v>0</v>
      </c>
      <c r="K24" s="65"/>
    </row>
    <row r="25" spans="1:12">
      <c r="A25" s="40">
        <v>5</v>
      </c>
      <c r="B25" s="277" t="str">
        <f>IF(ISERROR(VLOOKUP(A25,'RELACION VTAS - CHS'!D:F,3,FALSE))=FALSE,VLOOKUP(A25,'RELACION VTAS - CHS'!D:F,3,FALSE),"")</f>
        <v>`00001886</v>
      </c>
      <c r="C25" s="196" t="str">
        <f>IF(B25="","",VLOOKUP(B25,'RELACION VTAS - CHS'!F:H,3,FALSE))</f>
        <v>FERRETERIA EL ANCLA, S.A.</v>
      </c>
      <c r="D25" s="278">
        <f>IF(B25="","",VLOOKUP(B25,'RELACION VTAS - CHS'!F:H,2,FALSE))</f>
        <v>44845</v>
      </c>
      <c r="E25" s="215">
        <f>IF(ISERROR(VLOOKUP($B25,'RELACION VTAS - CHS'!$F$7:$V$250,16,FALSE))=FALSE,VLOOKUP($B25,'RELACION VTAS - CHS'!$F$7:$V$250,16,FALSE),0)</f>
        <v>0</v>
      </c>
      <c r="F25" s="215">
        <f>SUMIF('REPORTE GASTOS'!C:C,COBRANZA!B25,'REPORTE GASTOS'!G:G)</f>
        <v>0</v>
      </c>
      <c r="G25" s="216">
        <f t="shared" si="4"/>
        <v>0</v>
      </c>
      <c r="H25" s="214">
        <f>IF(ISERROR(VLOOKUP($B25,'RELACION VTAS - CHS'!$F$7:$V$250,16,FALSE))=FALSE,VLOOKUP($B25,'RELACION VTAS - CHS'!$F$7:$V$250,17,FALSE),0)</f>
        <v>0</v>
      </c>
      <c r="I25" s="209">
        <f>SUMIF('REPORTE GASTOS'!C:C,COBRANZA!B25,'REPORTE GASTOS'!I:I)</f>
        <v>0</v>
      </c>
      <c r="J25" s="216">
        <f t="shared" si="5"/>
        <v>0</v>
      </c>
      <c r="K25" s="65"/>
    </row>
    <row r="26" spans="1:12">
      <c r="A26" s="40">
        <v>6</v>
      </c>
      <c r="B26" s="277" t="str">
        <f>IF(ISERROR(VLOOKUP(A26,'RELACION VTAS - CHS'!D:F,3,FALSE))=FALSE,VLOOKUP(A26,'RELACION VTAS - CHS'!D:F,3,FALSE),"")</f>
        <v>`00001887</v>
      </c>
      <c r="C26" s="196" t="str">
        <f>IF(B26="","",VLOOKUP(B26,'RELACION VTAS - CHS'!F:H,3,FALSE))</f>
        <v>COSEIMPA, C. A.</v>
      </c>
      <c r="D26" s="278">
        <f>IF(B26="","",VLOOKUP(B26,'RELACION VTAS - CHS'!F:H,2,FALSE))</f>
        <v>44846</v>
      </c>
      <c r="E26" s="215">
        <f>IF(ISERROR(VLOOKUP($B26,'RELACION VTAS - CHS'!$F$7:$V$250,16,FALSE))=FALSE,VLOOKUP($B26,'RELACION VTAS - CHS'!$F$7:$V$250,16,FALSE),0)</f>
        <v>0</v>
      </c>
      <c r="F26" s="215">
        <f>SUMIF('REPORTE GASTOS'!C:C,COBRANZA!B26,'REPORTE GASTOS'!G:G)</f>
        <v>0</v>
      </c>
      <c r="G26" s="216">
        <f t="shared" si="4"/>
        <v>0</v>
      </c>
      <c r="H26" s="214">
        <f>IF(ISERROR(VLOOKUP($B26,'RELACION VTAS - CHS'!$F$7:$V$250,16,FALSE))=FALSE,VLOOKUP($B26,'RELACION VTAS - CHS'!$F$7:$V$250,17,FALSE),0)</f>
        <v>0</v>
      </c>
      <c r="I26" s="209">
        <f>SUMIF('REPORTE GASTOS'!C:C,COBRANZA!B26,'REPORTE GASTOS'!I:I)</f>
        <v>0</v>
      </c>
      <c r="J26" s="216">
        <f t="shared" si="5"/>
        <v>0</v>
      </c>
      <c r="K26" s="65"/>
    </row>
    <row r="27" spans="1:12">
      <c r="A27" s="40">
        <v>7</v>
      </c>
      <c r="B27" s="277" t="str">
        <f>IF(ISERROR(VLOOKUP(A27,'RELACION VTAS - CHS'!D:F,3,FALSE))=FALSE,VLOOKUP(A27,'RELACION VTAS - CHS'!D:F,3,FALSE),"")</f>
        <v>`00001891</v>
      </c>
      <c r="C27" s="196" t="str">
        <f>IF(B27="","",VLOOKUP(B27,'RELACION VTAS - CHS'!F:H,3,FALSE))</f>
        <v>COSEIMPA, C. A.</v>
      </c>
      <c r="D27" s="278">
        <f>IF(B27="","",VLOOKUP(B27,'RELACION VTAS - CHS'!F:H,2,FALSE))</f>
        <v>44876</v>
      </c>
      <c r="E27" s="215">
        <f>IF(ISERROR(VLOOKUP($B27,'RELACION VTAS - CHS'!$F$7:$V$250,16,FALSE))=FALSE,VLOOKUP($B27,'RELACION VTAS - CHS'!$F$7:$V$250,16,FALSE),0)</f>
        <v>0</v>
      </c>
      <c r="F27" s="215">
        <f>SUMIF('REPORTE GASTOS'!C:C,COBRANZA!B27,'REPORTE GASTOS'!G:G)</f>
        <v>0</v>
      </c>
      <c r="G27" s="216">
        <f t="shared" si="4"/>
        <v>0</v>
      </c>
      <c r="H27" s="214">
        <f>IF(ISERROR(VLOOKUP($B27,'RELACION VTAS - CHS'!$F$7:$V$250,16,FALSE))=FALSE,VLOOKUP($B27,'RELACION VTAS - CHS'!$F$7:$V$250,17,FALSE),0)</f>
        <v>0</v>
      </c>
      <c r="I27" s="209">
        <f>SUMIF('REPORTE GASTOS'!C:C,COBRANZA!B27,'REPORTE GASTOS'!I:I)</f>
        <v>0</v>
      </c>
      <c r="J27" s="216">
        <f t="shared" si="5"/>
        <v>0</v>
      </c>
      <c r="K27" s="65"/>
    </row>
    <row r="28" spans="1:12">
      <c r="A28" s="40">
        <v>8</v>
      </c>
      <c r="B28" s="277" t="str">
        <f>IF(ISERROR(VLOOKUP(A28,'RELACION VTAS - CHS'!D:F,3,FALSE))=FALSE,VLOOKUP(A28,'RELACION VTAS - CHS'!D:F,3,FALSE),"")</f>
        <v>`00001892</v>
      </c>
      <c r="C28" s="196" t="str">
        <f>IF(B28="","",VLOOKUP(B28,'RELACION VTAS - CHS'!F:H,3,FALSE))</f>
        <v>E-CERAMIC, C.A.</v>
      </c>
      <c r="D28" s="278">
        <f>IF(B28="","",VLOOKUP(B28,'RELACION VTAS - CHS'!F:H,2,FALSE))</f>
        <v>44876</v>
      </c>
      <c r="E28" s="215">
        <f>IF(ISERROR(VLOOKUP($B28,'RELACION VTAS - CHS'!$F$7:$V$250,16,FALSE))=FALSE,VLOOKUP($B28,'RELACION VTAS - CHS'!$F$7:$V$250,16,FALSE),0)</f>
        <v>0</v>
      </c>
      <c r="F28" s="215">
        <f>SUMIF('REPORTE GASTOS'!C:C,COBRANZA!B28,'REPORTE GASTOS'!G:G)</f>
        <v>0</v>
      </c>
      <c r="G28" s="216">
        <f t="shared" ref="G28" si="6">E28-F28</f>
        <v>0</v>
      </c>
      <c r="H28" s="214">
        <f>IF(ISERROR(VLOOKUP($B28,'RELACION VTAS - CHS'!$F$7:$V$250,16,FALSE))=FALSE,VLOOKUP($B28,'RELACION VTAS - CHS'!$F$7:$V$250,17,FALSE),0)</f>
        <v>0</v>
      </c>
      <c r="I28" s="209">
        <f>SUMIF('REPORTE GASTOS'!C:C,COBRANZA!B28,'REPORTE GASTOS'!I:I)</f>
        <v>0</v>
      </c>
      <c r="J28" s="216">
        <f t="shared" ref="J28" si="7">H28-I28</f>
        <v>0</v>
      </c>
      <c r="K28" s="65"/>
      <c r="L28" s="260"/>
    </row>
    <row r="29" spans="1:12">
      <c r="A29" s="40">
        <v>9</v>
      </c>
      <c r="B29" s="277" t="str">
        <f>IF(ISERROR(VLOOKUP(A29,'RELACION VTAS - CHS'!D:F,3,FALSE))=FALSE,VLOOKUP(A29,'RELACION VTAS - CHS'!D:F,3,FALSE),"")</f>
        <v>`00001893</v>
      </c>
      <c r="C29" s="196" t="str">
        <f>IF(B29="","",VLOOKUP(B29,'RELACION VTAS - CHS'!F:H,3,FALSE))</f>
        <v>INVERSIONES FERREMADEIRA JE, C.A.</v>
      </c>
      <c r="D29" s="278">
        <f>IF(B29="","",VLOOKUP(B29,'RELACION VTAS - CHS'!F:H,2,FALSE))</f>
        <v>44876</v>
      </c>
      <c r="E29" s="215">
        <f>IF(ISERROR(VLOOKUP($B29,'RELACION VTAS - CHS'!$F$7:$V$250,16,FALSE))=FALSE,VLOOKUP($B29,'RELACION VTAS - CHS'!$F$7:$V$250,16,FALSE),0)</f>
        <v>72.179999999999993</v>
      </c>
      <c r="F29" s="215">
        <f>SUMIF('REPORTE GASTOS'!C:C,COBRANZA!B29,'REPORTE GASTOS'!G:G)</f>
        <v>0</v>
      </c>
      <c r="G29" s="216">
        <f t="shared" si="2"/>
        <v>72.179999999999993</v>
      </c>
      <c r="H29" s="214">
        <f>IF(ISERROR(VLOOKUP($B29,'RELACION VTAS - CHS'!$F$7:$V$250,16,FALSE))=FALSE,VLOOKUP($B29,'RELACION VTAS - CHS'!$F$7:$V$250,17,FALSE),0)</f>
        <v>650.34180000000003</v>
      </c>
      <c r="I29" s="209">
        <f>SUMIF('REPORTE GASTOS'!C:C,COBRANZA!B29,'REPORTE GASTOS'!I:I)</f>
        <v>0</v>
      </c>
      <c r="J29" s="216">
        <f t="shared" si="3"/>
        <v>650.34180000000003</v>
      </c>
      <c r="K29" s="65"/>
    </row>
    <row r="30" spans="1:12">
      <c r="A30" s="40">
        <v>10</v>
      </c>
      <c r="B30" s="277" t="str">
        <f>IF(ISERROR(VLOOKUP(A30,'RELACION VTAS - CHS'!D:F,3,FALSE))=FALSE,VLOOKUP(A30,'RELACION VTAS - CHS'!D:F,3,FALSE),"")</f>
        <v>`00001895</v>
      </c>
      <c r="C30" s="196" t="str">
        <f>IF(B30="","",VLOOKUP(B30,'RELACION VTAS - CHS'!F:H,3,FALSE))</f>
        <v>FERRETERIA MONTE ALTO F.E., C.A.</v>
      </c>
      <c r="D30" s="278">
        <f>IF(B30="","",VLOOKUP(B30,'RELACION VTAS - CHS'!F:H,2,FALSE))</f>
        <v>44882</v>
      </c>
      <c r="E30" s="215">
        <f>IF(ISERROR(VLOOKUP($B30,'RELACION VTAS - CHS'!$F$7:$V$250,16,FALSE))=FALSE,VLOOKUP($B30,'RELACION VTAS - CHS'!$F$7:$V$250,16,FALSE),0)</f>
        <v>60.099999999999994</v>
      </c>
      <c r="F30" s="215">
        <f>SUMIF('REPORTE GASTOS'!C:C,COBRANZA!B30,'REPORTE GASTOS'!G:G)</f>
        <v>0</v>
      </c>
      <c r="G30" s="216">
        <f t="shared" si="2"/>
        <v>60.099999999999994</v>
      </c>
      <c r="H30" s="214">
        <f>IF(ISERROR(VLOOKUP($B30,'RELACION VTAS - CHS'!$F$7:$V$250,16,FALSE))=FALSE,VLOOKUP($B30,'RELACION VTAS - CHS'!$F$7:$V$250,17,FALSE),0)</f>
        <v>574.55600000000004</v>
      </c>
      <c r="I30" s="209">
        <f>SUMIF('REPORTE GASTOS'!C:C,COBRANZA!B30,'REPORTE GASTOS'!I:I)</f>
        <v>0</v>
      </c>
      <c r="J30" s="216">
        <f t="shared" si="3"/>
        <v>574.55600000000004</v>
      </c>
      <c r="K30" s="65"/>
    </row>
    <row r="31" spans="1:12">
      <c r="A31" s="40">
        <v>11</v>
      </c>
      <c r="B31" s="277" t="str">
        <f>IF(ISERROR(VLOOKUP(A31,'RELACION VTAS - CHS'!D:F,3,FALSE))=FALSE,VLOOKUP(A31,'RELACION VTAS - CHS'!D:F,3,FALSE),"")</f>
        <v/>
      </c>
      <c r="C31" s="196" t="str">
        <f>IF(B31="","",VLOOKUP(B31,'RELACION VTAS - CHS'!F:H,3,FALSE))</f>
        <v/>
      </c>
      <c r="D31" s="278" t="str">
        <f>IF(B31="","",VLOOKUP(B31,'RELACION VTAS - CHS'!F:H,2,FALSE))</f>
        <v/>
      </c>
      <c r="E31" s="215">
        <f>IF(ISERROR(VLOOKUP($B31,'RELACION VTAS - CHS'!$F$7:$V$250,16,FALSE))=FALSE,VLOOKUP($B31,'RELACION VTAS - CHS'!$F$7:$V$250,16,FALSE),0)</f>
        <v>0</v>
      </c>
      <c r="F31" s="215">
        <f>SUMIF('REPORTE GASTOS'!C:C,COBRANZA!B31,'REPORTE GASTOS'!G:G)</f>
        <v>0</v>
      </c>
      <c r="G31" s="216">
        <f t="shared" si="2"/>
        <v>0</v>
      </c>
      <c r="H31" s="214">
        <f>IF(ISERROR(VLOOKUP($B31,'RELACION VTAS - CHS'!$F$7:$V$250,16,FALSE))=FALSE,VLOOKUP($B31,'RELACION VTAS - CHS'!$F$7:$V$250,17,FALSE),0)</f>
        <v>0</v>
      </c>
      <c r="I31" s="209">
        <f>SUMIF('REPORTE GASTOS'!C:C,COBRANZA!B31,'REPORTE GASTOS'!I:I)</f>
        <v>0</v>
      </c>
      <c r="J31" s="216">
        <f t="shared" si="3"/>
        <v>0</v>
      </c>
      <c r="K31" s="65"/>
    </row>
    <row r="32" spans="1:12">
      <c r="A32" s="40">
        <v>12</v>
      </c>
      <c r="B32" s="277" t="str">
        <f>IF(ISERROR(VLOOKUP(A32,'RELACION VTAS - CHS'!D:F,3,FALSE))=FALSE,VLOOKUP(A32,'RELACION VTAS - CHS'!D:F,3,FALSE),"")</f>
        <v/>
      </c>
      <c r="C32" s="196" t="str">
        <f>IF(B32="","",VLOOKUP(B32,'RELACION VTAS - CHS'!F:H,3,FALSE))</f>
        <v/>
      </c>
      <c r="D32" s="278" t="str">
        <f>IF(B32="","",VLOOKUP(B32,'RELACION VTAS - CHS'!F:H,2,FALSE))</f>
        <v/>
      </c>
      <c r="E32" s="215">
        <f>IF(ISERROR(VLOOKUP($B32,'RELACION VTAS - CHS'!$F$7:$V$250,16,FALSE))=FALSE,VLOOKUP($B32,'RELACION VTAS - CHS'!$F$7:$V$250,16,FALSE),0)</f>
        <v>0</v>
      </c>
      <c r="F32" s="215">
        <f>SUMIF('REPORTE GASTOS'!C:C,COBRANZA!B32,'REPORTE GASTOS'!G:G)</f>
        <v>0</v>
      </c>
      <c r="G32" s="216">
        <f t="shared" si="2"/>
        <v>0</v>
      </c>
      <c r="H32" s="214">
        <f>IF(ISERROR(VLOOKUP($B32,'RELACION VTAS - CHS'!$F$7:$V$250,16,FALSE))=FALSE,VLOOKUP($B32,'RELACION VTAS - CHS'!$F$7:$V$250,17,FALSE),0)</f>
        <v>0</v>
      </c>
      <c r="I32" s="209">
        <f>SUMIF('REPORTE GASTOS'!C:C,COBRANZA!B32,'REPORTE GASTOS'!I:I)</f>
        <v>0</v>
      </c>
      <c r="J32" s="216">
        <f t="shared" si="3"/>
        <v>0</v>
      </c>
      <c r="K32" s="65"/>
      <c r="L32" s="265"/>
    </row>
    <row r="33" spans="1:15" ht="15" customHeight="1">
      <c r="A33" s="40">
        <v>13</v>
      </c>
      <c r="B33" s="277" t="str">
        <f>IF(ISERROR(VLOOKUP(A33,'RELACION VTAS - CHS'!D:F,3,FALSE))=FALSE,VLOOKUP(A33,'RELACION VTAS - CHS'!D:F,3,FALSE),"")</f>
        <v/>
      </c>
      <c r="C33" s="196" t="str">
        <f>IF(B33="","",VLOOKUP(B33,'RELACION VTAS - CHS'!F:H,3,FALSE))</f>
        <v/>
      </c>
      <c r="D33" s="278" t="str">
        <f>IF(B33="","",VLOOKUP(B33,'RELACION VTAS - CHS'!F:H,2,FALSE))</f>
        <v/>
      </c>
      <c r="E33" s="215">
        <f>IF(ISERROR(VLOOKUP($B33,'RELACION VTAS - CHS'!$F$7:$V$250,16,FALSE))=FALSE,VLOOKUP($B33,'RELACION VTAS - CHS'!$F$7:$V$250,16,FALSE),0)</f>
        <v>0</v>
      </c>
      <c r="F33" s="215">
        <f>SUMIF('REPORTE GASTOS'!C:C,COBRANZA!B33,'REPORTE GASTOS'!G:G)</f>
        <v>0</v>
      </c>
      <c r="G33" s="216">
        <f t="shared" si="2"/>
        <v>0</v>
      </c>
      <c r="H33" s="214">
        <f>IF(ISERROR(VLOOKUP($B33,'RELACION VTAS - CHS'!$F$7:$V$250,16,FALSE))=FALSE,VLOOKUP($B33,'RELACION VTAS - CHS'!$F$7:$V$250,17,FALSE),0)</f>
        <v>0</v>
      </c>
      <c r="I33" s="209">
        <f>SUMIF('REPORTE GASTOS'!C:C,COBRANZA!B33,'REPORTE GASTOS'!I:I)</f>
        <v>0</v>
      </c>
      <c r="J33" s="216">
        <f t="shared" si="3"/>
        <v>0</v>
      </c>
      <c r="K33" s="65"/>
    </row>
    <row r="34" spans="1:15">
      <c r="A34" s="40">
        <v>14</v>
      </c>
      <c r="B34" s="277" t="str">
        <f>IF(ISERROR(VLOOKUP(A34,'RELACION VTAS - CHS'!D:F,3,FALSE))=FALSE,VLOOKUP(A34,'RELACION VTAS - CHS'!D:F,3,FALSE),"")</f>
        <v/>
      </c>
      <c r="C34" s="196" t="str">
        <f>IF(B34="","",VLOOKUP(B34,'RELACION VTAS - CHS'!F:H,3,FALSE))</f>
        <v/>
      </c>
      <c r="D34" s="278" t="str">
        <f>IF(B34="","",VLOOKUP(B34,'RELACION VTAS - CHS'!F:H,2,FALSE))</f>
        <v/>
      </c>
      <c r="E34" s="215">
        <f>IF(ISERROR(VLOOKUP($B34,'RELACION VTAS - CHS'!$F$7:$V$250,16,FALSE))=FALSE,VLOOKUP($B34,'RELACION VTAS - CHS'!$F$7:$V$250,16,FALSE),0)</f>
        <v>0</v>
      </c>
      <c r="F34" s="215">
        <f>SUMIF('REPORTE GASTOS'!C:C,COBRANZA!B34,'REPORTE GASTOS'!G:G)</f>
        <v>0</v>
      </c>
      <c r="G34" s="216">
        <f t="shared" si="2"/>
        <v>0</v>
      </c>
      <c r="H34" s="214">
        <f>IF(ISERROR(VLOOKUP($B34,'RELACION VTAS - CHS'!$F$7:$V$250,16,FALSE))=FALSE,VLOOKUP($B34,'RELACION VTAS - CHS'!$F$7:$V$250,17,FALSE),0)</f>
        <v>0</v>
      </c>
      <c r="I34" s="209">
        <f>SUMIF('REPORTE GASTOS'!C:C,COBRANZA!B34,'REPORTE GASTOS'!I:I)</f>
        <v>0</v>
      </c>
      <c r="J34" s="216">
        <f t="shared" si="3"/>
        <v>0</v>
      </c>
      <c r="K34" s="65"/>
    </row>
    <row r="35" spans="1:15">
      <c r="A35" s="40">
        <v>15</v>
      </c>
      <c r="B35" s="277" t="str">
        <f>IF(ISERROR(VLOOKUP(A35,'RELACION VTAS - CHS'!D:F,3,FALSE))=FALSE,VLOOKUP(A35,'RELACION VTAS - CHS'!D:F,3,FALSE),"")</f>
        <v/>
      </c>
      <c r="C35" s="196" t="str">
        <f>IF(B35="","",VLOOKUP(B35,'RELACION VTAS - CHS'!F:H,3,FALSE))</f>
        <v/>
      </c>
      <c r="D35" s="278" t="str">
        <f>IF(B35="","",VLOOKUP(B35,'RELACION VTAS - CHS'!F:H,2,FALSE))</f>
        <v/>
      </c>
      <c r="E35" s="215">
        <f>IF(ISERROR(VLOOKUP($B35,'RELACION VTAS - CHS'!$F$7:$V$250,16,FALSE))=FALSE,VLOOKUP($B35,'RELACION VTAS - CHS'!$F$7:$V$250,16,FALSE),0)</f>
        <v>0</v>
      </c>
      <c r="F35" s="215">
        <f>SUMIF('REPORTE GASTOS'!C:C,COBRANZA!B35,'REPORTE GASTOS'!G:G)</f>
        <v>0</v>
      </c>
      <c r="G35" s="216">
        <f t="shared" si="2"/>
        <v>0</v>
      </c>
      <c r="H35" s="214">
        <f>IF(ISERROR(VLOOKUP($B35,'RELACION VTAS - CHS'!$F$7:$V$250,16,FALSE))=FALSE,VLOOKUP($B35,'RELACION VTAS - CHS'!$F$7:$V$250,17,FALSE),0)</f>
        <v>0</v>
      </c>
      <c r="I35" s="209">
        <f>SUMIF('REPORTE GASTOS'!C:C,COBRANZA!B35,'REPORTE GASTOS'!I:I)</f>
        <v>0</v>
      </c>
      <c r="J35" s="216">
        <f t="shared" si="3"/>
        <v>0</v>
      </c>
      <c r="K35" s="65"/>
      <c r="L35" s="260"/>
    </row>
    <row r="36" spans="1:15">
      <c r="A36" s="40">
        <v>16</v>
      </c>
      <c r="B36" s="277" t="str">
        <f>IF(ISERROR(VLOOKUP(A36,'RELACION VTAS - CHS'!D:F,3,FALSE))=FALSE,VLOOKUP(A36,'RELACION VTAS - CHS'!D:F,3,FALSE),"")</f>
        <v/>
      </c>
      <c r="C36" s="196" t="str">
        <f>IF(B36="","",VLOOKUP(B36,'RELACION VTAS - CHS'!F:H,3,FALSE))</f>
        <v/>
      </c>
      <c r="D36" s="278" t="str">
        <f>IF(B36="","",VLOOKUP(B36,'RELACION VTAS - CHS'!F:H,2,FALSE))</f>
        <v/>
      </c>
      <c r="E36" s="215">
        <f>IF(ISERROR(VLOOKUP($B36,'RELACION VTAS - CHS'!$F$7:$V$250,16,FALSE))=FALSE,VLOOKUP($B36,'RELACION VTAS - CHS'!$F$7:$V$250,16,FALSE),0)</f>
        <v>0</v>
      </c>
      <c r="F36" s="215">
        <f>SUMIF('REPORTE GASTOS'!C:C,COBRANZA!B36,'REPORTE GASTOS'!G:G)</f>
        <v>0</v>
      </c>
      <c r="G36" s="216">
        <f t="shared" si="2"/>
        <v>0</v>
      </c>
      <c r="H36" s="214">
        <f>IF(ISERROR(VLOOKUP($B36,'RELACION VTAS - CHS'!$F$7:$V$250,16,FALSE))=FALSE,VLOOKUP($B36,'RELACION VTAS - CHS'!$F$7:$V$250,17,FALSE),0)</f>
        <v>0</v>
      </c>
      <c r="I36" s="209">
        <f>SUMIF('REPORTE GASTOS'!C:C,COBRANZA!B36,'REPORTE GASTOS'!I:I)</f>
        <v>0</v>
      </c>
      <c r="J36" s="216">
        <f t="shared" si="3"/>
        <v>0</v>
      </c>
      <c r="K36" s="65"/>
      <c r="L36" s="260"/>
    </row>
    <row r="37" spans="1:15">
      <c r="A37" s="40">
        <v>17</v>
      </c>
      <c r="B37" s="277" t="str">
        <f>IF(ISERROR(VLOOKUP(A37,'RELACION VTAS - CHS'!D:F,3,FALSE))=FALSE,VLOOKUP(A37,'RELACION VTAS - CHS'!D:F,3,FALSE),"")</f>
        <v/>
      </c>
      <c r="C37" s="196" t="str">
        <f>IF(B37="","",VLOOKUP(B37,'RELACION VTAS - CHS'!F:H,3,FALSE))</f>
        <v/>
      </c>
      <c r="D37" s="278" t="str">
        <f>IF(B37="","",VLOOKUP(B37,'RELACION VTAS - CHS'!F:H,2,FALSE))</f>
        <v/>
      </c>
      <c r="E37" s="215">
        <f>IF(ISERROR(VLOOKUP($B37,'RELACION VTAS - CHS'!$F$7:$V$250,16,FALSE))=FALSE,VLOOKUP($B37,'RELACION VTAS - CHS'!$F$7:$V$250,16,FALSE),0)</f>
        <v>0</v>
      </c>
      <c r="F37" s="215">
        <f>SUMIF('REPORTE GASTOS'!C:C,COBRANZA!B37,'REPORTE GASTOS'!G:G)</f>
        <v>0</v>
      </c>
      <c r="G37" s="216">
        <f t="shared" si="2"/>
        <v>0</v>
      </c>
      <c r="H37" s="214">
        <f>IF(ISERROR(VLOOKUP($B37,'RELACION VTAS - CHS'!$F$7:$V$250,16,FALSE))=FALSE,VLOOKUP($B37,'RELACION VTAS - CHS'!$F$7:$V$250,17,FALSE),0)</f>
        <v>0</v>
      </c>
      <c r="I37" s="209">
        <f>SUMIF('REPORTE GASTOS'!C:C,COBRANZA!B37,'REPORTE GASTOS'!I:I)</f>
        <v>0</v>
      </c>
      <c r="J37" s="216">
        <f t="shared" si="3"/>
        <v>0</v>
      </c>
      <c r="K37" s="65"/>
    </row>
    <row r="38" spans="1:15">
      <c r="A38" s="40">
        <v>18</v>
      </c>
      <c r="B38" s="279" t="str">
        <f>IF(ISERROR(VLOOKUP(A38,'RELACION VTAS - CHS'!D:F,3,FALSE))=FALSE,VLOOKUP(A38,'RELACION VTAS - CHS'!D:F,3,FALSE),"")</f>
        <v/>
      </c>
      <c r="C38" s="185" t="str">
        <f>IF(B38="","",VLOOKUP(B38,'RELACION VTAS - CHS'!F:H,3,FALSE))</f>
        <v/>
      </c>
      <c r="D38" s="278" t="str">
        <f>IF(B38="","",VLOOKUP(B38,'RELACION VTAS - CHS'!F:H,2,FALSE))</f>
        <v/>
      </c>
      <c r="E38" s="215">
        <f>IF(ISERROR(VLOOKUP($B38,'RELACION VTAS - CHS'!$F$7:$V$250,16,FALSE))=FALSE,VLOOKUP($B38,'RELACION VTAS - CHS'!$F$7:$V$250,16,FALSE),0)</f>
        <v>0</v>
      </c>
      <c r="F38" s="215">
        <f>SUMIF('REPORTE GASTOS'!C:C,COBRANZA!B38,'REPORTE GASTOS'!G:G)</f>
        <v>0</v>
      </c>
      <c r="G38" s="216">
        <f t="shared" si="2"/>
        <v>0</v>
      </c>
      <c r="H38" s="214">
        <f>IF(ISERROR(VLOOKUP($B38,'RELACION VTAS - CHS'!$F$7:$V$250,16,FALSE))=FALSE,VLOOKUP($B38,'RELACION VTAS - CHS'!$F$7:$V$250,17,FALSE),0)</f>
        <v>0</v>
      </c>
      <c r="I38" s="209">
        <f>SUMIF('REPORTE GASTOS'!C:C,COBRANZA!B38,'REPORTE GASTOS'!I:I)</f>
        <v>0</v>
      </c>
      <c r="J38" s="216">
        <f t="shared" si="3"/>
        <v>0</v>
      </c>
      <c r="K38" s="65"/>
    </row>
    <row r="39" spans="1:15">
      <c r="A39" s="40">
        <v>19</v>
      </c>
      <c r="B39" s="279" t="str">
        <f>IF(ISERROR(VLOOKUP(A39,'RELACION VTAS - CHS'!D:F,3,FALSE))=FALSE,VLOOKUP(A39,'RELACION VTAS - CHS'!D:F,3,FALSE),"")</f>
        <v/>
      </c>
      <c r="C39" s="185" t="str">
        <f>IF(B39="","",VLOOKUP(B39,'RELACION VTAS - CHS'!F:H,3,FALSE))</f>
        <v/>
      </c>
      <c r="D39" s="278" t="str">
        <f>IF(B39="","",VLOOKUP(B39,'RELACION VTAS - CHS'!F:H,2,FALSE))</f>
        <v/>
      </c>
      <c r="E39" s="215">
        <f>IF(ISERROR(VLOOKUP($B39,'RELACION VTAS - CHS'!$F$7:$V$250,16,FALSE))=FALSE,VLOOKUP($B39,'RELACION VTAS - CHS'!$F$7:$V$250,16,FALSE),0)</f>
        <v>0</v>
      </c>
      <c r="F39" s="215">
        <f>SUMIF('REPORTE GASTOS'!C:C,COBRANZA!B39,'REPORTE GASTOS'!G:G)</f>
        <v>0</v>
      </c>
      <c r="G39" s="216">
        <f t="shared" si="2"/>
        <v>0</v>
      </c>
      <c r="H39" s="214">
        <f>IF(ISERROR(VLOOKUP($B39,'RELACION VTAS - CHS'!$F$7:$V$250,16,FALSE))=FALSE,VLOOKUP($B39,'RELACION VTAS - CHS'!$F$7:$V$250,17,FALSE),0)</f>
        <v>0</v>
      </c>
      <c r="I39" s="209">
        <f>SUMIF('REPORTE GASTOS'!C:C,COBRANZA!B39,'REPORTE GASTOS'!I:I)</f>
        <v>0</v>
      </c>
      <c r="J39" s="216">
        <f t="shared" si="3"/>
        <v>0</v>
      </c>
      <c r="K39" s="65"/>
    </row>
    <row r="40" spans="1:15">
      <c r="A40" s="40">
        <v>20</v>
      </c>
      <c r="B40" s="279" t="str">
        <f>IF(ISERROR(VLOOKUP(A40,'RELACION VTAS - CHS'!D:F,3,FALSE))=FALSE,VLOOKUP(A40,'RELACION VTAS - CHS'!D:F,3,FALSE),"")</f>
        <v/>
      </c>
      <c r="C40" s="185" t="str">
        <f>IF(B40="","",VLOOKUP(B40,'RELACION VTAS - CHS'!F:H,3,FALSE))</f>
        <v/>
      </c>
      <c r="D40" s="278" t="str">
        <f>IF(B40="","",VLOOKUP(B40,'RELACION VTAS - CHS'!F:H,2,FALSE))</f>
        <v/>
      </c>
      <c r="E40" s="215">
        <f>IF(ISERROR(VLOOKUP($B40,'RELACION VTAS - CHS'!$F$7:$V$250,16,FALSE))=FALSE,VLOOKUP($B40,'RELACION VTAS - CHS'!$F$7:$V$250,16,FALSE),0)</f>
        <v>0</v>
      </c>
      <c r="F40" s="215">
        <f>SUMIF('REPORTE GASTOS'!C:C,COBRANZA!B40,'REPORTE GASTOS'!G:G)</f>
        <v>0</v>
      </c>
      <c r="G40" s="216">
        <f t="shared" si="2"/>
        <v>0</v>
      </c>
      <c r="H40" s="214">
        <f>IF(ISERROR(VLOOKUP($B40,'RELACION VTAS - CHS'!$F$7:$V$250,16,FALSE))=FALSE,VLOOKUP($B40,'RELACION VTAS - CHS'!$F$7:$V$250,17,FALSE),0)</f>
        <v>0</v>
      </c>
      <c r="I40" s="209">
        <f>SUMIF('REPORTE GASTOS'!C:C,COBRANZA!B40,'REPORTE GASTOS'!I:I)</f>
        <v>0</v>
      </c>
      <c r="J40" s="216">
        <f t="shared" si="3"/>
        <v>0</v>
      </c>
      <c r="K40" s="65"/>
      <c r="L40" s="260"/>
    </row>
    <row r="41" spans="1:15">
      <c r="A41" s="40">
        <v>21</v>
      </c>
      <c r="B41" s="279" t="str">
        <f>IF(ISERROR(VLOOKUP(A41,'RELACION VTAS - CHS'!D:F,3,FALSE))=FALSE,VLOOKUP(A41,'RELACION VTAS - CHS'!D:F,3,FALSE),"")</f>
        <v/>
      </c>
      <c r="C41" s="185" t="str">
        <f>IF(B41="","",VLOOKUP(B41,'RELACION VTAS - CHS'!F:H,3,FALSE))</f>
        <v/>
      </c>
      <c r="D41" s="278" t="str">
        <f>IF(B41="","",VLOOKUP(B41,'RELACION VTAS - CHS'!F:H,2,FALSE))</f>
        <v/>
      </c>
      <c r="E41" s="215">
        <f>IF(ISERROR(VLOOKUP($B41,'RELACION VTAS - CHS'!$F$7:$V$250,16,FALSE))=FALSE,VLOOKUP($B41,'RELACION VTAS - CHS'!$F$7:$V$250,16,FALSE),0)</f>
        <v>0</v>
      </c>
      <c r="F41" s="215">
        <f>SUMIF('REPORTE GASTOS'!C:C,COBRANZA!B41,'REPORTE GASTOS'!G:G)</f>
        <v>0</v>
      </c>
      <c r="G41" s="216">
        <f t="shared" si="2"/>
        <v>0</v>
      </c>
      <c r="H41" s="214">
        <f>IF(ISERROR(VLOOKUP($B41,'RELACION VTAS - CHS'!$F$7:$V$250,16,FALSE))=FALSE,VLOOKUP($B41,'RELACION VTAS - CHS'!$F$7:$V$250,17,FALSE),0)</f>
        <v>0</v>
      </c>
      <c r="I41" s="209">
        <f>SUMIF('REPORTE GASTOS'!C:C,COBRANZA!B41,'REPORTE GASTOS'!I:I)</f>
        <v>0</v>
      </c>
      <c r="J41" s="216">
        <f t="shared" si="3"/>
        <v>0</v>
      </c>
      <c r="K41" s="65"/>
      <c r="O41" s="260"/>
    </row>
    <row r="42" spans="1:15" ht="13.5" customHeight="1">
      <c r="A42" s="40">
        <v>22</v>
      </c>
      <c r="B42" s="279" t="str">
        <f>IF(ISERROR(VLOOKUP(A42,'RELACION VTAS - CHS'!D:F,3,FALSE))=FALSE,VLOOKUP(A42,'RELACION VTAS - CHS'!D:F,3,FALSE),"")</f>
        <v/>
      </c>
      <c r="C42" s="185" t="str">
        <f>IF(B42="","",VLOOKUP(B42,'RELACION VTAS - CHS'!F:H,3,FALSE))</f>
        <v/>
      </c>
      <c r="D42" s="278" t="str">
        <f>IF(B42="","",VLOOKUP(B42,'RELACION VTAS - CHS'!F:H,2,FALSE))</f>
        <v/>
      </c>
      <c r="E42" s="215">
        <f>IF(ISERROR(VLOOKUP($B42,'RELACION VTAS - CHS'!$F$7:$V$250,16,FALSE))=FALSE,VLOOKUP($B42,'RELACION VTAS - CHS'!$F$7:$V$250,16,FALSE),0)</f>
        <v>0</v>
      </c>
      <c r="F42" s="215">
        <f>SUMIF('REPORTE GASTOS'!C:C,COBRANZA!B42,'REPORTE GASTOS'!G:G)</f>
        <v>0</v>
      </c>
      <c r="G42" s="216">
        <f t="shared" si="2"/>
        <v>0</v>
      </c>
      <c r="H42" s="214">
        <f>IF(ISERROR(VLOOKUP($B42,'RELACION VTAS - CHS'!$F$7:$V$250,16,FALSE))=FALSE,VLOOKUP($B42,'RELACION VTAS - CHS'!$F$7:$V$250,17,FALSE),0)</f>
        <v>0</v>
      </c>
      <c r="I42" s="209">
        <f>SUMIF('REPORTE GASTOS'!C:C,COBRANZA!B42,'REPORTE GASTOS'!I:I)</f>
        <v>0</v>
      </c>
      <c r="J42" s="216">
        <f t="shared" si="3"/>
        <v>0</v>
      </c>
      <c r="K42" s="65"/>
    </row>
    <row r="43" spans="1:15">
      <c r="A43" s="40">
        <v>23</v>
      </c>
      <c r="B43" s="279" t="str">
        <f>IF(ISERROR(VLOOKUP(A43,'RELACION VTAS - CHS'!D:F,3,FALSE))=FALSE,VLOOKUP(A43,'RELACION VTAS - CHS'!D:F,3,FALSE),"")</f>
        <v/>
      </c>
      <c r="C43" s="185" t="str">
        <f>IF(B43="","",VLOOKUP(B43,'RELACION VTAS - CHS'!F:H,3,FALSE))</f>
        <v/>
      </c>
      <c r="D43" s="278" t="str">
        <f>IF(B43="","",VLOOKUP(B43,'RELACION VTAS - CHS'!F:H,2,FALSE))</f>
        <v/>
      </c>
      <c r="E43" s="215">
        <f>IF(ISERROR(VLOOKUP($B43,'RELACION VTAS - CHS'!$F$7:$V$250,16,FALSE))=FALSE,VLOOKUP($B43,'RELACION VTAS - CHS'!$F$7:$V$250,16,FALSE),0)</f>
        <v>0</v>
      </c>
      <c r="F43" s="215">
        <f>SUMIF('REPORTE GASTOS'!C:C,COBRANZA!B43,'REPORTE GASTOS'!G:G)</f>
        <v>0</v>
      </c>
      <c r="G43" s="216">
        <f t="shared" si="2"/>
        <v>0</v>
      </c>
      <c r="H43" s="214">
        <f>IF(ISERROR(VLOOKUP($B43,'RELACION VTAS - CHS'!$F$7:$V$250,16,FALSE))=FALSE,VLOOKUP($B43,'RELACION VTAS - CHS'!$F$7:$V$250,17,FALSE),0)</f>
        <v>0</v>
      </c>
      <c r="I43" s="209">
        <f>SUMIF('REPORTE GASTOS'!C:C,COBRANZA!B43,'REPORTE GASTOS'!I:I)</f>
        <v>0</v>
      </c>
      <c r="J43" s="216">
        <f t="shared" si="3"/>
        <v>0</v>
      </c>
      <c r="K43" s="65"/>
    </row>
    <row r="44" spans="1:15">
      <c r="A44" s="40">
        <v>24</v>
      </c>
      <c r="B44" s="279" t="str">
        <f>IF(ISERROR(VLOOKUP(A44,'RELACION VTAS - CHS'!D:F,3,FALSE))=FALSE,VLOOKUP(A44,'RELACION VTAS - CHS'!D:F,3,FALSE),"")</f>
        <v/>
      </c>
      <c r="C44" s="185" t="str">
        <f>IF(B44="","",VLOOKUP(B44,'RELACION VTAS - CHS'!F:H,3,FALSE))</f>
        <v/>
      </c>
      <c r="D44" s="278" t="str">
        <f>IF(B44="","",VLOOKUP(B44,'RELACION VTAS - CHS'!F:H,2,FALSE))</f>
        <v/>
      </c>
      <c r="E44" s="215">
        <f>IF(ISERROR(VLOOKUP($B44,'RELACION VTAS - CHS'!$F$7:$V$250,16,FALSE))=FALSE,VLOOKUP($B44,'RELACION VTAS - CHS'!$F$7:$V$250,16,FALSE),0)</f>
        <v>0</v>
      </c>
      <c r="F44" s="215">
        <f>SUMIF('REPORTE GASTOS'!C:C,COBRANZA!B44,'REPORTE GASTOS'!G:G)</f>
        <v>0</v>
      </c>
      <c r="G44" s="216">
        <f t="shared" si="2"/>
        <v>0</v>
      </c>
      <c r="H44" s="214">
        <f>IF(ISERROR(VLOOKUP($B44,'RELACION VTAS - CHS'!$F$7:$V$250,16,FALSE))=FALSE,VLOOKUP($B44,'RELACION VTAS - CHS'!$F$7:$V$250,17,FALSE),0)</f>
        <v>0</v>
      </c>
      <c r="I44" s="209">
        <f>SUMIF('REPORTE GASTOS'!C:C,COBRANZA!B44,'REPORTE GASTOS'!I:I)</f>
        <v>0</v>
      </c>
      <c r="J44" s="216">
        <f t="shared" si="3"/>
        <v>0</v>
      </c>
      <c r="K44" s="65"/>
    </row>
    <row r="45" spans="1:15">
      <c r="A45" s="40">
        <v>25</v>
      </c>
      <c r="B45" s="279" t="str">
        <f>IF(ISERROR(VLOOKUP(A45,'RELACION VTAS - CHS'!D:F,3,FALSE))=FALSE,VLOOKUP(A45,'RELACION VTAS - CHS'!D:F,3,FALSE),"")</f>
        <v/>
      </c>
      <c r="C45" s="185" t="str">
        <f>IF(B45="","",VLOOKUP(B45,'RELACION VTAS - CHS'!F:H,3,FALSE))</f>
        <v/>
      </c>
      <c r="D45" s="278" t="str">
        <f>IF(B45="","",VLOOKUP(B45,'RELACION VTAS - CHS'!F:H,2,FALSE))</f>
        <v/>
      </c>
      <c r="E45" s="215">
        <f>IF(ISERROR(VLOOKUP($B45,'RELACION VTAS - CHS'!$F$7:$V$250,16,FALSE))=FALSE,VLOOKUP($B45,'RELACION VTAS - CHS'!$F$7:$V$250,16,FALSE),0)</f>
        <v>0</v>
      </c>
      <c r="F45" s="215">
        <f>SUMIF('REPORTE GASTOS'!C:C,COBRANZA!B45,'REPORTE GASTOS'!G:G)</f>
        <v>0</v>
      </c>
      <c r="G45" s="216">
        <f t="shared" si="2"/>
        <v>0</v>
      </c>
      <c r="H45" s="214">
        <f>IF(ISERROR(VLOOKUP($B45,'RELACION VTAS - CHS'!$F$7:$V$250,16,FALSE))=FALSE,VLOOKUP($B45,'RELACION VTAS - CHS'!$F$7:$V$250,17,FALSE),0)</f>
        <v>0</v>
      </c>
      <c r="I45" s="209">
        <f>SUMIF('REPORTE GASTOS'!C:C,COBRANZA!B45,'REPORTE GASTOS'!I:I)</f>
        <v>0</v>
      </c>
      <c r="J45" s="216">
        <f t="shared" si="3"/>
        <v>0</v>
      </c>
      <c r="K45" s="65"/>
    </row>
    <row r="46" spans="1:15">
      <c r="A46" s="40">
        <v>26</v>
      </c>
      <c r="B46" s="279" t="str">
        <f>IF(ISERROR(VLOOKUP(A46,'RELACION VTAS - CHS'!D:F,3,FALSE))=FALSE,VLOOKUP(A46,'RELACION VTAS - CHS'!D:F,3,FALSE),"")</f>
        <v/>
      </c>
      <c r="C46" s="185" t="str">
        <f>IF(B46="","",VLOOKUP(B46,'RELACION VTAS - CHS'!F:H,3,FALSE))</f>
        <v/>
      </c>
      <c r="D46" s="278" t="str">
        <f>IF(B46="","",VLOOKUP(B46,'RELACION VTAS - CHS'!F:H,2,FALSE))</f>
        <v/>
      </c>
      <c r="E46" s="215">
        <f>IF(ISERROR(VLOOKUP($B46,'RELACION VTAS - CHS'!$F$7:$V$250,16,FALSE))=FALSE,VLOOKUP($B46,'RELACION VTAS - CHS'!$F$7:$V$250,16,FALSE),0)</f>
        <v>0</v>
      </c>
      <c r="F46" s="215">
        <f>SUMIF('REPORTE GASTOS'!C:C,COBRANZA!B46,'REPORTE GASTOS'!G:G)</f>
        <v>0</v>
      </c>
      <c r="G46" s="216">
        <f t="shared" si="2"/>
        <v>0</v>
      </c>
      <c r="H46" s="214">
        <f>IF(ISERROR(VLOOKUP($B46,'RELACION VTAS - CHS'!$F$7:$V$250,16,FALSE))=FALSE,VLOOKUP($B46,'RELACION VTAS - CHS'!$F$7:$V$250,17,FALSE),0)</f>
        <v>0</v>
      </c>
      <c r="I46" s="209">
        <f>SUMIF('REPORTE GASTOS'!C:C,COBRANZA!B46,'REPORTE GASTOS'!I:I)</f>
        <v>0</v>
      </c>
      <c r="J46" s="216">
        <f t="shared" si="3"/>
        <v>0</v>
      </c>
      <c r="K46" s="65"/>
    </row>
    <row r="47" spans="1:15">
      <c r="A47" s="40">
        <v>27</v>
      </c>
      <c r="B47" s="279" t="str">
        <f>IF(ISERROR(VLOOKUP(A47,'RELACION VTAS - CHS'!D:F,3,FALSE))=FALSE,VLOOKUP(A47,'RELACION VTAS - CHS'!D:F,3,FALSE),"")</f>
        <v/>
      </c>
      <c r="C47" s="185" t="str">
        <f>IF(B47="","",VLOOKUP(B47,'RELACION VTAS - CHS'!F:H,3,FALSE))</f>
        <v/>
      </c>
      <c r="D47" s="278" t="str">
        <f>IF(B47="","",VLOOKUP(B47,'RELACION VTAS - CHS'!F:H,2,FALSE))</f>
        <v/>
      </c>
      <c r="E47" s="215">
        <f>IF(ISERROR(VLOOKUP($B47,'RELACION VTAS - CHS'!$F$7:$V$250,16,FALSE))=FALSE,VLOOKUP($B47,'RELACION VTAS - CHS'!$F$7:$V$250,16,FALSE),0)</f>
        <v>0</v>
      </c>
      <c r="F47" s="215">
        <f>SUMIF('REPORTE GASTOS'!C:C,COBRANZA!B47,'REPORTE GASTOS'!G:G)</f>
        <v>0</v>
      </c>
      <c r="G47" s="216">
        <f t="shared" si="2"/>
        <v>0</v>
      </c>
      <c r="H47" s="214">
        <f>IF(ISERROR(VLOOKUP($B47,'RELACION VTAS - CHS'!$F$7:$V$250,16,FALSE))=FALSE,VLOOKUP($B47,'RELACION VTAS - CHS'!$F$7:$V$250,17,FALSE),0)</f>
        <v>0</v>
      </c>
      <c r="I47" s="209">
        <f>SUMIF('REPORTE GASTOS'!C:C,COBRANZA!B47,'REPORTE GASTOS'!I:I)</f>
        <v>0</v>
      </c>
      <c r="J47" s="216">
        <f t="shared" si="3"/>
        <v>0</v>
      </c>
      <c r="K47" s="65"/>
    </row>
    <row r="48" spans="1:15">
      <c r="A48" s="40">
        <v>28</v>
      </c>
      <c r="B48" s="280" t="str">
        <f>IF(ISERROR(VLOOKUP(A48,'RELACION VTAS - CHS'!D:F,3,FALSE))=FALSE,VLOOKUP(A48,'RELACION VTAS - CHS'!D:F,3,FALSE),"")</f>
        <v/>
      </c>
      <c r="C48" s="185" t="str">
        <f>IF(B48="","",VLOOKUP(B48,'RELACION VTAS - CHS'!F:H,3,FALSE))</f>
        <v/>
      </c>
      <c r="D48" s="278" t="str">
        <f>IF(B48="","",VLOOKUP(B48,'RELACION VTAS - CHS'!F:H,2,FALSE))</f>
        <v/>
      </c>
      <c r="E48" s="215">
        <f>IF(ISERROR(VLOOKUP($B48,'RELACION VTAS - CHS'!$F$7:$V$250,16,FALSE))=FALSE,VLOOKUP($B48,'RELACION VTAS - CHS'!$F$7:$V$250,16,FALSE),0)</f>
        <v>0</v>
      </c>
      <c r="F48" s="215">
        <f>SUMIF('REPORTE GASTOS'!C:C,COBRANZA!B48,'REPORTE GASTOS'!G:G)</f>
        <v>0</v>
      </c>
      <c r="G48" s="216">
        <f t="shared" si="2"/>
        <v>0</v>
      </c>
      <c r="H48" s="214">
        <f>IF(ISERROR(VLOOKUP($B48,'RELACION VTAS - CHS'!$F$7:$V$250,16,FALSE))=FALSE,VLOOKUP($B48,'RELACION VTAS - CHS'!$F$7:$V$250,17,FALSE),0)</f>
        <v>0</v>
      </c>
      <c r="I48" s="209">
        <f>SUMIF('REPORTE GASTOS'!C:C,COBRANZA!B48,'REPORTE GASTOS'!I:I)</f>
        <v>0</v>
      </c>
      <c r="J48" s="216">
        <f t="shared" si="3"/>
        <v>0</v>
      </c>
      <c r="K48" s="65"/>
    </row>
    <row r="49" spans="1:11">
      <c r="A49" s="40">
        <v>29</v>
      </c>
      <c r="B49" s="280" t="str">
        <f>IF(ISERROR(VLOOKUP(A49,'RELACION VTAS - CHS'!D:F,3,FALSE))=FALSE,VLOOKUP(A49,'RELACION VTAS - CHS'!D:F,3,FALSE),"")</f>
        <v/>
      </c>
      <c r="C49" s="185" t="str">
        <f>IF(B49="","",VLOOKUP(B49,'RELACION VTAS - CHS'!F:H,3,FALSE))</f>
        <v/>
      </c>
      <c r="D49" s="278" t="str">
        <f>IF(B49="","",VLOOKUP(B49,'RELACION VTAS - CHS'!F:H,2,FALSE))</f>
        <v/>
      </c>
      <c r="E49" s="215">
        <f>IF(ISERROR(VLOOKUP($B49,'RELACION VTAS - CHS'!$F$7:$V$250,16,FALSE))=FALSE,VLOOKUP($B49,'RELACION VTAS - CHS'!$F$7:$V$250,16,FALSE),0)</f>
        <v>0</v>
      </c>
      <c r="F49" s="215">
        <f>SUMIF('REPORTE GASTOS'!C:C,COBRANZA!B49,'REPORTE GASTOS'!G:G)</f>
        <v>0</v>
      </c>
      <c r="G49" s="216">
        <f t="shared" si="2"/>
        <v>0</v>
      </c>
      <c r="H49" s="214">
        <f>IF(ISERROR(VLOOKUP($B49,'RELACION VTAS - CHS'!$F$7:$V$250,16,FALSE))=FALSE,VLOOKUP($B49,'RELACION VTAS - CHS'!$F$7:$V$250,17,FALSE),0)</f>
        <v>0</v>
      </c>
      <c r="I49" s="209">
        <f>SUMIF('REPORTE GASTOS'!C:C,COBRANZA!B49,'REPORTE GASTOS'!I:I)</f>
        <v>0</v>
      </c>
      <c r="J49" s="216">
        <f t="shared" si="3"/>
        <v>0</v>
      </c>
      <c r="K49" s="65"/>
    </row>
    <row r="50" spans="1:11">
      <c r="A50" s="40">
        <v>30</v>
      </c>
      <c r="B50" s="280" t="str">
        <f>IF(ISERROR(VLOOKUP(A50,'RELACION VTAS - CHS'!D:F,3,FALSE))=FALSE,VLOOKUP(A50,'RELACION VTAS - CHS'!D:F,3,FALSE),"")</f>
        <v/>
      </c>
      <c r="C50" s="185" t="str">
        <f>IF(B50="","",VLOOKUP(B50,'RELACION VTAS - CHS'!F:H,3,FALSE))</f>
        <v/>
      </c>
      <c r="D50" s="278" t="str">
        <f>IF(B50="","",VLOOKUP(B50,'RELACION VTAS - CHS'!F:H,2,FALSE))</f>
        <v/>
      </c>
      <c r="E50" s="215">
        <f>IF(ISERROR(VLOOKUP($B50,'RELACION VTAS - CHS'!$F$7:$V$250,16,FALSE))=FALSE,VLOOKUP($B50,'RELACION VTAS - CHS'!$F$7:$V$250,16,FALSE),0)</f>
        <v>0</v>
      </c>
      <c r="F50" s="215">
        <f>SUMIF('REPORTE GASTOS'!C:C,COBRANZA!B50,'REPORTE GASTOS'!G:G)</f>
        <v>0</v>
      </c>
      <c r="G50" s="216">
        <f t="shared" si="2"/>
        <v>0</v>
      </c>
      <c r="H50" s="214">
        <f>IF(ISERROR(VLOOKUP($B50,'RELACION VTAS - CHS'!$F$7:$V$250,16,FALSE))=FALSE,VLOOKUP($B50,'RELACION VTAS - CHS'!$F$7:$V$250,17,FALSE),0)</f>
        <v>0</v>
      </c>
      <c r="I50" s="209">
        <f>SUMIF('REPORTE GASTOS'!C:C,COBRANZA!B50,'REPORTE GASTOS'!I:I)</f>
        <v>0</v>
      </c>
      <c r="J50" s="216">
        <f t="shared" si="3"/>
        <v>0</v>
      </c>
      <c r="K50" s="65"/>
    </row>
    <row r="51" spans="1:11">
      <c r="A51" s="40">
        <v>31</v>
      </c>
      <c r="B51" s="280" t="str">
        <f>IF(ISERROR(VLOOKUP(A51,'RELACION VTAS - CHS'!D:F,3,FALSE))=FALSE,VLOOKUP(A51,'RELACION VTAS - CHS'!D:F,3,FALSE),"")</f>
        <v/>
      </c>
      <c r="C51" s="185" t="str">
        <f>IF(B51="","",VLOOKUP(B51,'RELACION VTAS - CHS'!F:H,3,FALSE))</f>
        <v/>
      </c>
      <c r="D51" s="278" t="str">
        <f>IF(B51="","",VLOOKUP(B51,'RELACION VTAS - CHS'!F:H,2,FALSE))</f>
        <v/>
      </c>
      <c r="E51" s="215">
        <f>IF(ISERROR(VLOOKUP($B51,'RELACION VTAS - CHS'!$F$7:$V$250,16,FALSE))=FALSE,VLOOKUP($B51,'RELACION VTAS - CHS'!$F$7:$V$250,16,FALSE),0)</f>
        <v>0</v>
      </c>
      <c r="F51" s="215">
        <f>SUMIF('REPORTE GASTOS'!C:C,COBRANZA!B51,'REPORTE GASTOS'!G:G)</f>
        <v>0</v>
      </c>
      <c r="G51" s="216">
        <f t="shared" si="2"/>
        <v>0</v>
      </c>
      <c r="H51" s="214">
        <f>IF(ISERROR(VLOOKUP($B51,'RELACION VTAS - CHS'!$F$7:$V$250,16,FALSE))=FALSE,VLOOKUP($B51,'RELACION VTAS - CHS'!$F$7:$V$250,17,FALSE),0)</f>
        <v>0</v>
      </c>
      <c r="I51" s="209">
        <f>SUMIF('REPORTE GASTOS'!C:C,COBRANZA!B51,'REPORTE GASTOS'!I:I)</f>
        <v>0</v>
      </c>
      <c r="J51" s="216">
        <f t="shared" si="3"/>
        <v>0</v>
      </c>
      <c r="K51" s="65"/>
    </row>
    <row r="52" spans="1:11">
      <c r="A52" s="40">
        <v>32</v>
      </c>
      <c r="B52" s="280" t="str">
        <f>IF(ISERROR(VLOOKUP(A52,'RELACION VTAS - CHS'!D:F,3,FALSE))=FALSE,VLOOKUP(A52,'RELACION VTAS - CHS'!D:F,3,FALSE),"")</f>
        <v/>
      </c>
      <c r="C52" s="185" t="str">
        <f>IF(B52="","",VLOOKUP(B52,'RELACION VTAS - CHS'!F:H,3,FALSE))</f>
        <v/>
      </c>
      <c r="D52" s="278" t="str">
        <f>IF(B52="","",VLOOKUP(B52,'RELACION VTAS - CHS'!F:H,2,FALSE))</f>
        <v/>
      </c>
      <c r="E52" s="215">
        <f>IF(ISERROR(VLOOKUP($B52,'RELACION VTAS - CHS'!$F$7:$V$250,16,FALSE))=FALSE,VLOOKUP($B52,'RELACION VTAS - CHS'!$F$7:$V$250,16,FALSE),0)</f>
        <v>0</v>
      </c>
      <c r="F52" s="215">
        <f>SUMIF('REPORTE GASTOS'!C:C,COBRANZA!B52,'REPORTE GASTOS'!G:G)</f>
        <v>0</v>
      </c>
      <c r="G52" s="216">
        <f t="shared" si="2"/>
        <v>0</v>
      </c>
      <c r="H52" s="214">
        <f>IF(ISERROR(VLOOKUP($B52,'RELACION VTAS - CHS'!$F$7:$V$250,16,FALSE))=FALSE,VLOOKUP($B52,'RELACION VTAS - CHS'!$F$7:$V$250,17,FALSE),0)</f>
        <v>0</v>
      </c>
      <c r="I52" s="209">
        <f>SUMIF('REPORTE GASTOS'!C:C,COBRANZA!B52,'REPORTE GASTOS'!I:I)</f>
        <v>0</v>
      </c>
      <c r="J52" s="216">
        <f t="shared" si="3"/>
        <v>0</v>
      </c>
      <c r="K52" s="65"/>
    </row>
    <row r="53" spans="1:11">
      <c r="A53" s="40">
        <v>33</v>
      </c>
      <c r="B53" s="280" t="str">
        <f>IF(ISERROR(VLOOKUP(A53,'RELACION VTAS - CHS'!D:F,3,FALSE))=FALSE,VLOOKUP(A53,'RELACION VTAS - CHS'!D:F,3,FALSE),"")</f>
        <v/>
      </c>
      <c r="C53" s="185" t="str">
        <f>IF(B53="","",VLOOKUP(B53,'RELACION VTAS - CHS'!F:H,3,FALSE))</f>
        <v/>
      </c>
      <c r="D53" s="278" t="str">
        <f>IF(B53="","",VLOOKUP(B53,'RELACION VTAS - CHS'!F:H,2,FALSE))</f>
        <v/>
      </c>
      <c r="E53" s="215">
        <f>IF(ISERROR(VLOOKUP($B53,'RELACION VTAS - CHS'!$F$7:$V$250,16,FALSE))=FALSE,VLOOKUP($B53,'RELACION VTAS - CHS'!$F$7:$V$250,16,FALSE),0)</f>
        <v>0</v>
      </c>
      <c r="F53" s="215">
        <f>SUMIF('REPORTE GASTOS'!C:C,COBRANZA!B53,'REPORTE GASTOS'!G:G)</f>
        <v>0</v>
      </c>
      <c r="G53" s="216">
        <f t="shared" si="2"/>
        <v>0</v>
      </c>
      <c r="H53" s="214">
        <f>IF(ISERROR(VLOOKUP($B53,'RELACION VTAS - CHS'!$F$7:$V$250,16,FALSE))=FALSE,VLOOKUP($B53,'RELACION VTAS - CHS'!$F$7:$V$250,17,FALSE),0)</f>
        <v>0</v>
      </c>
      <c r="I53" s="209">
        <f>SUMIF('REPORTE GASTOS'!C:C,COBRANZA!B53,'REPORTE GASTOS'!I:I)</f>
        <v>0</v>
      </c>
      <c r="J53" s="216">
        <f t="shared" si="3"/>
        <v>0</v>
      </c>
      <c r="K53" s="65"/>
    </row>
    <row r="54" spans="1:11">
      <c r="A54" s="40">
        <v>34</v>
      </c>
      <c r="B54" s="280" t="str">
        <f>IF(ISERROR(VLOOKUP(A54,'RELACION VTAS - CHS'!D:F,3,FALSE))=FALSE,VLOOKUP(A54,'RELACION VTAS - CHS'!D:F,3,FALSE),"")</f>
        <v/>
      </c>
      <c r="C54" s="185" t="str">
        <f>IF(B54="","",VLOOKUP(B54,'RELACION VTAS - CHS'!F:H,3,FALSE))</f>
        <v/>
      </c>
      <c r="D54" s="278" t="str">
        <f>IF(B54="","",VLOOKUP(B54,'RELACION VTAS - CHS'!F:H,2,FALSE))</f>
        <v/>
      </c>
      <c r="E54" s="215">
        <f>IF(ISERROR(VLOOKUP($B54,'RELACION VTAS - CHS'!$F$7:$V$250,16,FALSE))=FALSE,VLOOKUP($B54,'RELACION VTAS - CHS'!$F$7:$V$250,16,FALSE),0)</f>
        <v>0</v>
      </c>
      <c r="F54" s="215">
        <f>SUMIF('REPORTE GASTOS'!C:C,COBRANZA!B54,'REPORTE GASTOS'!G:G)</f>
        <v>0</v>
      </c>
      <c r="G54" s="216">
        <f t="shared" si="2"/>
        <v>0</v>
      </c>
      <c r="H54" s="214">
        <f>IF(ISERROR(VLOOKUP($B54,'RELACION VTAS - CHS'!$F$7:$V$250,16,FALSE))=FALSE,VLOOKUP($B54,'RELACION VTAS - CHS'!$F$7:$V$250,17,FALSE),0)</f>
        <v>0</v>
      </c>
      <c r="I54" s="209">
        <f>SUMIF('REPORTE GASTOS'!C:C,COBRANZA!B54,'REPORTE GASTOS'!I:I)</f>
        <v>0</v>
      </c>
      <c r="J54" s="216">
        <f t="shared" si="3"/>
        <v>0</v>
      </c>
      <c r="K54" s="65"/>
    </row>
    <row r="55" spans="1:11">
      <c r="A55" s="40">
        <v>35</v>
      </c>
      <c r="B55" s="280" t="str">
        <f>IF(ISERROR(VLOOKUP(A55,'RELACION VTAS - CHS'!D:F,3,FALSE))=FALSE,VLOOKUP(A55,'RELACION VTAS - CHS'!D:F,3,FALSE),"")</f>
        <v/>
      </c>
      <c r="C55" s="185" t="str">
        <f>IF(B55="","",VLOOKUP(B55,'RELACION VTAS - CHS'!F:H,3,FALSE))</f>
        <v/>
      </c>
      <c r="D55" s="278" t="str">
        <f>IF(B55="","",VLOOKUP(B55,'RELACION VTAS - CHS'!F:H,2,FALSE))</f>
        <v/>
      </c>
      <c r="E55" s="215">
        <f>IF(ISERROR(VLOOKUP($B55,'RELACION VTAS - CHS'!$F$7:$V$250,16,FALSE))=FALSE,VLOOKUP($B55,'RELACION VTAS - CHS'!$F$7:$V$250,16,FALSE),0)</f>
        <v>0</v>
      </c>
      <c r="F55" s="215">
        <f>SUMIF('REPORTE GASTOS'!C:C,COBRANZA!B55,'REPORTE GASTOS'!G:G)</f>
        <v>0</v>
      </c>
      <c r="G55" s="216">
        <f t="shared" si="2"/>
        <v>0</v>
      </c>
      <c r="H55" s="214">
        <f>IF(ISERROR(VLOOKUP($B55,'RELACION VTAS - CHS'!$F$7:$V$250,16,FALSE))=FALSE,VLOOKUP($B55,'RELACION VTAS - CHS'!$F$7:$V$250,17,FALSE),0)</f>
        <v>0</v>
      </c>
      <c r="I55" s="209">
        <f>SUMIF('REPORTE GASTOS'!C:C,COBRANZA!B55,'REPORTE GASTOS'!I:I)</f>
        <v>0</v>
      </c>
      <c r="J55" s="216">
        <f t="shared" si="3"/>
        <v>0</v>
      </c>
      <c r="K55" s="65"/>
    </row>
    <row r="56" spans="1:11">
      <c r="A56" s="40">
        <v>36</v>
      </c>
      <c r="B56" s="281" t="str">
        <f>IF(ISERROR(VLOOKUP(A56,'RELACION VTAS - CHS'!D:F,3,FALSE))=FALSE,VLOOKUP(A56,'RELACION VTAS - CHS'!D:F,3,FALSE),"")</f>
        <v/>
      </c>
      <c r="C56" s="185" t="str">
        <f>IF(B56="","",VLOOKUP(B56,'RELACION VTAS - CHS'!F:H,3,FALSE))</f>
        <v/>
      </c>
      <c r="D56" s="55" t="str">
        <f>IF(B56="","",VLOOKUP(B56,'RELACION VTAS - CHS'!F:H,2,FALSE))</f>
        <v/>
      </c>
      <c r="E56" s="215">
        <f>IF(ISERROR(VLOOKUP($B56,'RELACION VTAS - CHS'!$F$7:$V$250,16,FALSE))=FALSE,VLOOKUP($B56,'RELACION VTAS - CHS'!$F$7:$V$250,16,FALSE),0)</f>
        <v>0</v>
      </c>
      <c r="F56" s="215">
        <f>SUMIF('REPORTE GASTOS'!C:C,COBRANZA!B56,'REPORTE GASTOS'!G:G)</f>
        <v>0</v>
      </c>
      <c r="G56" s="216">
        <f t="shared" si="2"/>
        <v>0</v>
      </c>
      <c r="H56" s="214">
        <f>IF(ISERROR(VLOOKUP($B56,'RELACION VTAS - CHS'!$F$7:$V$250,16,FALSE))=FALSE,VLOOKUP($B56,'RELACION VTAS - CHS'!$F$7:$V$250,17,FALSE),0)</f>
        <v>0</v>
      </c>
      <c r="I56" s="209">
        <f>SUMIF('REPORTE GASTOS'!C:C,COBRANZA!B56,'REPORTE GASTOS'!I:I)</f>
        <v>0</v>
      </c>
      <c r="J56" s="216">
        <f t="shared" si="3"/>
        <v>0</v>
      </c>
      <c r="K56" s="65"/>
    </row>
    <row r="57" spans="1:11">
      <c r="A57" s="40">
        <v>37</v>
      </c>
      <c r="B57" s="281" t="str">
        <f>IF(ISERROR(VLOOKUP(A57,'RELACION VTAS - CHS'!D:F,3,FALSE))=FALSE,VLOOKUP(A57,'RELACION VTAS - CHS'!D:F,3,FALSE),"")</f>
        <v/>
      </c>
      <c r="C57" s="185" t="str">
        <f>IF(B57="","",VLOOKUP(B57,'RELACION VTAS - CHS'!F:H,3,FALSE))</f>
        <v/>
      </c>
      <c r="D57" s="55" t="str">
        <f>IF(B57="","",VLOOKUP(B57,'RELACION VTAS - CHS'!F:H,2,FALSE))</f>
        <v/>
      </c>
      <c r="E57" s="215">
        <f>IF(ISERROR(VLOOKUP($B57,'RELACION VTAS - CHS'!$F$7:$V$250,16,FALSE))=FALSE,VLOOKUP($B57,'RELACION VTAS - CHS'!$F$7:$V$250,16,FALSE),0)</f>
        <v>0</v>
      </c>
      <c r="F57" s="215">
        <f>SUMIF('REPORTE GASTOS'!C:C,COBRANZA!B57,'REPORTE GASTOS'!G:G)</f>
        <v>0</v>
      </c>
      <c r="G57" s="216">
        <f t="shared" si="2"/>
        <v>0</v>
      </c>
      <c r="H57" s="214">
        <f>IF(ISERROR(VLOOKUP($B57,'RELACION VTAS - CHS'!$F$7:$V$250,16,FALSE))=FALSE,VLOOKUP($B57,'RELACION VTAS - CHS'!$F$7:$V$250,17,FALSE),0)</f>
        <v>0</v>
      </c>
      <c r="I57" s="209">
        <f>SUMIF('REPORTE GASTOS'!C:C,COBRANZA!B57,'REPORTE GASTOS'!I:I)</f>
        <v>0</v>
      </c>
      <c r="J57" s="216">
        <f t="shared" si="3"/>
        <v>0</v>
      </c>
      <c r="K57" s="65"/>
    </row>
    <row r="58" spans="1:11">
      <c r="A58" s="40">
        <v>38</v>
      </c>
      <c r="B58" s="281" t="str">
        <f>IF(ISERROR(VLOOKUP(A58,'RELACION VTAS - CHS'!D:F,3,FALSE))=FALSE,VLOOKUP(A58,'RELACION VTAS - CHS'!D:F,3,FALSE),"")</f>
        <v/>
      </c>
      <c r="C58" s="185" t="str">
        <f>IF(B58="","",VLOOKUP(B58,'RELACION VTAS - CHS'!F:H,3,FALSE))</f>
        <v/>
      </c>
      <c r="D58" s="55" t="str">
        <f>IF(B58="","",VLOOKUP(B58,'RELACION VTAS - CHS'!F:H,2,FALSE))</f>
        <v/>
      </c>
      <c r="E58" s="215">
        <f>IF(ISERROR(VLOOKUP($B58,'RELACION VTAS - CHS'!$F$7:$V$250,16,FALSE))=FALSE,VLOOKUP($B58,'RELACION VTAS - CHS'!$F$7:$V$250,16,FALSE),0)</f>
        <v>0</v>
      </c>
      <c r="F58" s="215">
        <f>SUMIF('REPORTE GASTOS'!C:C,COBRANZA!B58,'REPORTE GASTOS'!G:G)</f>
        <v>0</v>
      </c>
      <c r="G58" s="216">
        <f t="shared" si="2"/>
        <v>0</v>
      </c>
      <c r="H58" s="214">
        <f>IF(ISERROR(VLOOKUP($B58,'RELACION VTAS - CHS'!$F$7:$V$250,16,FALSE))=FALSE,VLOOKUP($B58,'RELACION VTAS - CHS'!$F$7:$V$250,17,FALSE),0)</f>
        <v>0</v>
      </c>
      <c r="I58" s="209">
        <f>SUMIF('REPORTE GASTOS'!C:C,COBRANZA!B58,'REPORTE GASTOS'!I:I)</f>
        <v>0</v>
      </c>
      <c r="J58" s="216">
        <f t="shared" si="3"/>
        <v>0</v>
      </c>
      <c r="K58" s="65"/>
    </row>
    <row r="59" spans="1:11">
      <c r="A59" s="40">
        <v>39</v>
      </c>
      <c r="B59" s="281" t="str">
        <f>IF(ISERROR(VLOOKUP(A59,'RELACION VTAS - CHS'!D:F,3,FALSE))=FALSE,VLOOKUP(A59,'RELACION VTAS - CHS'!D:F,3,FALSE),"")</f>
        <v/>
      </c>
      <c r="C59" s="282" t="str">
        <f>IF(B59="","",VLOOKUP(B59,'RELACION VTAS - CHS'!F:H,3,FALSE))</f>
        <v/>
      </c>
      <c r="D59" s="55" t="str">
        <f>IF(B59="","",VLOOKUP(B59,'RELACION VTAS - CHS'!F:H,2,FALSE))</f>
        <v/>
      </c>
      <c r="E59" s="215">
        <f>IF(ISERROR(VLOOKUP($B59,'RELACION VTAS - CHS'!$F$7:$V$250,16,FALSE))=FALSE,VLOOKUP($B59,'RELACION VTAS - CHS'!$F$7:$V$250,16,FALSE),0)</f>
        <v>0</v>
      </c>
      <c r="F59" s="215">
        <f>SUMIF('REPORTE GASTOS'!C:C,COBRANZA!B59,'REPORTE GASTOS'!G:G)</f>
        <v>0</v>
      </c>
      <c r="G59" s="216">
        <f t="shared" si="2"/>
        <v>0</v>
      </c>
      <c r="H59" s="214">
        <f>IF(ISERROR(VLOOKUP($B59,'RELACION VTAS - CHS'!$F$7:$V$250,16,FALSE))=FALSE,VLOOKUP($B59,'RELACION VTAS - CHS'!$F$7:$V$250,17,FALSE),0)</f>
        <v>0</v>
      </c>
      <c r="I59" s="209">
        <f>SUMIF('REPORTE GASTOS'!C:C,COBRANZA!B59,'REPORTE GASTOS'!I:I)</f>
        <v>0</v>
      </c>
      <c r="J59" s="216">
        <f t="shared" si="3"/>
        <v>0</v>
      </c>
      <c r="K59" s="65"/>
    </row>
    <row r="60" spans="1:11">
      <c r="A60" s="40">
        <v>40</v>
      </c>
      <c r="B60" s="281" t="str">
        <f>IF(ISERROR(VLOOKUP(A60,'RELACION VTAS - CHS'!D:F,3,FALSE))=FALSE,VLOOKUP(A60,'RELACION VTAS - CHS'!D:F,3,FALSE),"")</f>
        <v/>
      </c>
      <c r="C60" s="282" t="str">
        <f>IF(B60="","",VLOOKUP(B60,'RELACION VTAS - CHS'!F:H,3,FALSE))</f>
        <v/>
      </c>
      <c r="D60" s="55" t="str">
        <f>IF(B60="","",VLOOKUP(B60,'RELACION VTAS - CHS'!F:H,2,FALSE))</f>
        <v/>
      </c>
      <c r="E60" s="215">
        <f>IF(ISERROR(VLOOKUP($B60,'RELACION VTAS - CHS'!$F$7:$V$250,16,FALSE))=FALSE,VLOOKUP($B60,'RELACION VTAS - CHS'!$F$7:$V$250,16,FALSE),0)</f>
        <v>0</v>
      </c>
      <c r="F60" s="215">
        <f>SUMIF('REPORTE GASTOS'!C:C,COBRANZA!B60,'REPORTE GASTOS'!G:G)</f>
        <v>0</v>
      </c>
      <c r="G60" s="216">
        <f t="shared" si="2"/>
        <v>0</v>
      </c>
      <c r="H60" s="214">
        <f>IF(ISERROR(VLOOKUP($B60,'RELACION VTAS - CHS'!$F$7:$V$250,16,FALSE))=FALSE,VLOOKUP($B60,'RELACION VTAS - CHS'!$F$7:$V$250,17,FALSE),0)</f>
        <v>0</v>
      </c>
      <c r="I60" s="209">
        <f>SUMIF('REPORTE GASTOS'!C:C,COBRANZA!B60,'REPORTE GASTOS'!I:I)</f>
        <v>0</v>
      </c>
      <c r="J60" s="216">
        <f t="shared" si="3"/>
        <v>0</v>
      </c>
      <c r="K60" s="65"/>
    </row>
    <row r="61" spans="1:11">
      <c r="A61" s="40">
        <v>41</v>
      </c>
      <c r="B61" s="281" t="str">
        <f>IF(ISERROR(VLOOKUP(A61,'RELACION VTAS - CHS'!D:F,3,FALSE))=FALSE,VLOOKUP(A61,'RELACION VTAS - CHS'!D:F,3,FALSE),"")</f>
        <v/>
      </c>
      <c r="C61" s="282" t="str">
        <f>IF(B61="","",VLOOKUP(B61,'RELACION VTAS - CHS'!F:H,3,FALSE))</f>
        <v/>
      </c>
      <c r="D61" s="55" t="str">
        <f>IF(B61="","",VLOOKUP(B61,'RELACION VTAS - CHS'!F:H,2,FALSE))</f>
        <v/>
      </c>
      <c r="E61" s="215">
        <f>IF(ISERROR(VLOOKUP($B61,'RELACION VTAS - CHS'!$F$7:$V$250,16,FALSE))=FALSE,VLOOKUP($B61,'RELACION VTAS - CHS'!$F$7:$V$250,16,FALSE),0)</f>
        <v>0</v>
      </c>
      <c r="F61" s="215">
        <f>SUMIF('REPORTE GASTOS'!C:C,COBRANZA!B61,'REPORTE GASTOS'!G:G)</f>
        <v>0</v>
      </c>
      <c r="G61" s="216">
        <f t="shared" si="2"/>
        <v>0</v>
      </c>
      <c r="H61" s="214">
        <f>IF(ISERROR(VLOOKUP($B61,'RELACION VTAS - CHS'!$F$7:$V$250,16,FALSE))=FALSE,VLOOKUP($B61,'RELACION VTAS - CHS'!$F$7:$V$250,17,FALSE),0)</f>
        <v>0</v>
      </c>
      <c r="I61" s="209">
        <f>SUMIF('REPORTE GASTOS'!C:C,COBRANZA!B61,'REPORTE GASTOS'!I:I)</f>
        <v>0</v>
      </c>
      <c r="J61" s="216">
        <f t="shared" si="3"/>
        <v>0</v>
      </c>
      <c r="K61" s="65"/>
    </row>
    <row r="62" spans="1:11">
      <c r="A62" s="40">
        <v>42</v>
      </c>
      <c r="B62" s="281" t="str">
        <f>IF(ISERROR(VLOOKUP(A62,'RELACION VTAS - CHS'!D:F,3,FALSE))=FALSE,VLOOKUP(A62,'RELACION VTAS - CHS'!D:F,3,FALSE),"")</f>
        <v/>
      </c>
      <c r="C62" s="282" t="str">
        <f>IF(B62="","",VLOOKUP(B62,'RELACION VTAS - CHS'!F:H,3,FALSE))</f>
        <v/>
      </c>
      <c r="D62" s="55" t="str">
        <f>IF(B62="","",VLOOKUP(B62,'RELACION VTAS - CHS'!F:H,2,FALSE))</f>
        <v/>
      </c>
      <c r="E62" s="215">
        <f>IF(ISERROR(VLOOKUP($B62,'RELACION VTAS - CHS'!$F$7:$V$250,16,FALSE))=FALSE,VLOOKUP($B62,'RELACION VTAS - CHS'!$F$7:$V$250,16,FALSE),0)</f>
        <v>0</v>
      </c>
      <c r="F62" s="215">
        <f>SUMIF('REPORTE GASTOS'!C:C,COBRANZA!B62,'REPORTE GASTOS'!G:G)</f>
        <v>0</v>
      </c>
      <c r="G62" s="216">
        <f t="shared" si="2"/>
        <v>0</v>
      </c>
      <c r="H62" s="214">
        <f>IF(ISERROR(VLOOKUP($B62,'RELACION VTAS - CHS'!$F$7:$V$250,16,FALSE))=FALSE,VLOOKUP($B62,'RELACION VTAS - CHS'!$F$7:$V$250,17,FALSE),0)</f>
        <v>0</v>
      </c>
      <c r="I62" s="209">
        <f>SUMIF('REPORTE GASTOS'!C:C,COBRANZA!B62,'REPORTE GASTOS'!I:I)</f>
        <v>0</v>
      </c>
      <c r="J62" s="216">
        <f t="shared" si="3"/>
        <v>0</v>
      </c>
      <c r="K62" s="65"/>
    </row>
    <row r="63" spans="1:11">
      <c r="A63" s="40">
        <v>43</v>
      </c>
      <c r="B63" s="76" t="str">
        <f>IF(ISERROR(VLOOKUP(A63,'RELACION VTAS - CHS'!D:F,3,FALSE))=FALSE,VLOOKUP(A63,'RELACION VTAS - CHS'!D:F,3,FALSE),"")</f>
        <v/>
      </c>
      <c r="C63" s="233" t="str">
        <f>IF(B63="","",VLOOKUP(B63,'RELACION VTAS - CHS'!F:H,3,FALSE))</f>
        <v/>
      </c>
      <c r="D63" s="55" t="str">
        <f>IF(B63="","",VLOOKUP(B63,'RELACION VTAS - CHS'!F:H,2,FALSE))</f>
        <v/>
      </c>
      <c r="E63" s="215">
        <f>IF(ISERROR(VLOOKUP($B63,'RELACION VTAS - CHS'!$F$7:$V$250,16,FALSE))=FALSE,VLOOKUP($B63,'RELACION VTAS - CHS'!$F$7:$V$250,16,FALSE),0)</f>
        <v>0</v>
      </c>
      <c r="F63" s="215">
        <f>SUMIF('REPORTE GASTOS'!C:C,COBRANZA!B63,'REPORTE GASTOS'!G:G)</f>
        <v>0</v>
      </c>
      <c r="G63" s="216">
        <f t="shared" si="2"/>
        <v>0</v>
      </c>
      <c r="H63" s="214">
        <f>IF(ISERROR(VLOOKUP($B63,'RELACION VTAS - CHS'!$F$7:$V$250,16,FALSE))=FALSE,VLOOKUP($B63,'RELACION VTAS - CHS'!$F$7:$V$250,17,FALSE),0)</f>
        <v>0</v>
      </c>
      <c r="I63" s="209">
        <f>SUMIF('REPORTE GASTOS'!C:C,COBRANZA!B63,'REPORTE GASTOS'!I:I)</f>
        <v>0</v>
      </c>
      <c r="J63" s="216">
        <f t="shared" si="3"/>
        <v>0</v>
      </c>
      <c r="K63" s="65"/>
    </row>
    <row r="64" spans="1:11">
      <c r="A64" s="40">
        <v>44</v>
      </c>
      <c r="B64" s="76" t="str">
        <f>IF(ISERROR(VLOOKUP(A64,'RELACION VTAS - CHS'!D:F,3,FALSE))=FALSE,VLOOKUP(A64,'RELACION VTAS - CHS'!D:F,3,FALSE),"")</f>
        <v/>
      </c>
      <c r="C64" s="233" t="str">
        <f>IF(B64="","",VLOOKUP(B64,'RELACION VTAS - CHS'!F:H,3,FALSE))</f>
        <v/>
      </c>
      <c r="D64" s="55" t="str">
        <f>IF(B64="","",VLOOKUP(B64,'RELACION VTAS - CHS'!F:H,2,FALSE))</f>
        <v/>
      </c>
      <c r="E64" s="215">
        <f>IF(ISERROR(VLOOKUP($B64,'RELACION VTAS - CHS'!$F$7:$V$250,16,FALSE))=FALSE,VLOOKUP($B64,'RELACION VTAS - CHS'!$F$7:$V$250,16,FALSE),0)</f>
        <v>0</v>
      </c>
      <c r="F64" s="215">
        <f>SUMIF('REPORTE GASTOS'!C:C,COBRANZA!B64,'REPORTE GASTOS'!G:G)</f>
        <v>0</v>
      </c>
      <c r="G64" s="216">
        <f t="shared" si="2"/>
        <v>0</v>
      </c>
      <c r="H64" s="214">
        <f>IF(ISERROR(VLOOKUP($B64,'RELACION VTAS - CHS'!$F$7:$V$250,16,FALSE))=FALSE,VLOOKUP($B64,'RELACION VTAS - CHS'!$F$7:$V$250,17,FALSE),0)</f>
        <v>0</v>
      </c>
      <c r="I64" s="209">
        <f>SUMIF('REPORTE GASTOS'!C:C,COBRANZA!B64,'REPORTE GASTOS'!I:I)</f>
        <v>0</v>
      </c>
      <c r="J64" s="216">
        <f t="shared" si="3"/>
        <v>0</v>
      </c>
      <c r="K64" s="65"/>
    </row>
    <row r="65" spans="1:11">
      <c r="A65" s="40">
        <v>45</v>
      </c>
      <c r="B65" s="76" t="str">
        <f>IF(ISERROR(VLOOKUP(A65,'RELACION VTAS - CHS'!D:F,3,FALSE))=FALSE,VLOOKUP(A65,'RELACION VTAS - CHS'!D:F,3,FALSE),"")</f>
        <v/>
      </c>
      <c r="C65" s="233" t="str">
        <f>IF(B65="","",VLOOKUP(B65,'RELACION VTAS - CHS'!F:H,3,FALSE))</f>
        <v/>
      </c>
      <c r="D65" s="55" t="str">
        <f>IF(B65="","",VLOOKUP(B65,'RELACION VTAS - CHS'!F:H,2,FALSE))</f>
        <v/>
      </c>
      <c r="E65" s="215">
        <f>IF(ISERROR(VLOOKUP($B65,'RELACION VTAS - CHS'!$F$7:$V$250,16,FALSE))=FALSE,VLOOKUP($B65,'RELACION VTAS - CHS'!$F$7:$V$250,16,FALSE),0)</f>
        <v>0</v>
      </c>
      <c r="F65" s="215">
        <f>SUMIF('REPORTE GASTOS'!C:C,COBRANZA!B65,'REPORTE GASTOS'!G:G)</f>
        <v>0</v>
      </c>
      <c r="G65" s="216">
        <f t="shared" si="2"/>
        <v>0</v>
      </c>
      <c r="H65" s="214">
        <f>IF(ISERROR(VLOOKUP($B65,'RELACION VTAS - CHS'!$F$7:$V$250,16,FALSE))=FALSE,VLOOKUP($B65,'RELACION VTAS - CHS'!$F$7:$V$250,17,FALSE),0)</f>
        <v>0</v>
      </c>
      <c r="I65" s="209">
        <f>SUMIF('REPORTE GASTOS'!C:C,COBRANZA!B65,'REPORTE GASTOS'!I:I)</f>
        <v>0</v>
      </c>
      <c r="J65" s="216">
        <f t="shared" si="3"/>
        <v>0</v>
      </c>
      <c r="K65" s="65"/>
    </row>
    <row r="66" spans="1:11">
      <c r="A66" s="40">
        <v>46</v>
      </c>
      <c r="B66" s="76" t="str">
        <f>IF(ISERROR(VLOOKUP(A66,'RELACION VTAS - CHS'!D:F,3,FALSE))=FALSE,VLOOKUP(A66,'RELACION VTAS - CHS'!D:F,3,FALSE),"")</f>
        <v/>
      </c>
      <c r="C66" s="233" t="str">
        <f>IF(B66="","",VLOOKUP(B66,'RELACION VTAS - CHS'!F:H,3,FALSE))</f>
        <v/>
      </c>
      <c r="D66" s="55" t="str">
        <f>IF(B66="","",VLOOKUP(B66,'RELACION VTAS - CHS'!F:H,2,FALSE))</f>
        <v/>
      </c>
      <c r="E66" s="215">
        <f>IF(ISERROR(VLOOKUP($B66,'RELACION VTAS - CHS'!$F$7:$V$250,16,FALSE))=FALSE,VLOOKUP($B66,'RELACION VTAS - CHS'!$F$7:$V$250,16,FALSE),0)</f>
        <v>0</v>
      </c>
      <c r="F66" s="215">
        <f>SUMIF('REPORTE GASTOS'!C:C,COBRANZA!B66,'REPORTE GASTOS'!G:G)</f>
        <v>0</v>
      </c>
      <c r="G66" s="216">
        <f t="shared" si="2"/>
        <v>0</v>
      </c>
      <c r="H66" s="214">
        <f>IF(ISERROR(VLOOKUP($B66,'RELACION VTAS - CHS'!$F$7:$V$250,16,FALSE))=FALSE,VLOOKUP($B66,'RELACION VTAS - CHS'!$F$7:$V$250,17,FALSE),0)</f>
        <v>0</v>
      </c>
      <c r="I66" s="209">
        <f>SUMIF('REPORTE GASTOS'!C:C,COBRANZA!B66,'REPORTE GASTOS'!I:I)</f>
        <v>0</v>
      </c>
      <c r="J66" s="216">
        <f t="shared" si="3"/>
        <v>0</v>
      </c>
      <c r="K66" s="65"/>
    </row>
    <row r="67" spans="1:11">
      <c r="A67" s="40">
        <v>47</v>
      </c>
      <c r="B67" s="28" t="str">
        <f>IF(ISERROR(VLOOKUP(A67,'RELACION VTAS - CHS'!D:F,3,FALSE))=FALSE,VLOOKUP(A67,'RELACION VTAS - CHS'!D:F,3,FALSE),"")</f>
        <v/>
      </c>
      <c r="C67" s="196" t="str">
        <f>IF(B67="","",VLOOKUP(B67,'RELACION VTAS - CHS'!F:H,3,FALSE))</f>
        <v/>
      </c>
      <c r="D67" s="55" t="str">
        <f>IF(B67="","",VLOOKUP(B67,'RELACION VTAS - CHS'!F:H,2,FALSE))</f>
        <v/>
      </c>
      <c r="E67" s="215">
        <f>IF(ISERROR(VLOOKUP($B67,'RELACION VTAS - CHS'!$F$7:$V$250,16,FALSE))=FALSE,VLOOKUP($B67,'RELACION VTAS - CHS'!$F$7:$V$250,16,FALSE),0)</f>
        <v>0</v>
      </c>
      <c r="F67" s="215">
        <f>SUMIF('REPORTE GASTOS'!C:C,COBRANZA!B67,'REPORTE GASTOS'!G:G)</f>
        <v>0</v>
      </c>
      <c r="G67" s="216">
        <f t="shared" si="2"/>
        <v>0</v>
      </c>
      <c r="H67" s="214">
        <f>IF(ISERROR(VLOOKUP($B67,'RELACION VTAS - CHS'!$F$7:$V$250,16,FALSE))=FALSE,VLOOKUP($B67,'RELACION VTAS - CHS'!$F$7:$V$250,17,FALSE),0)</f>
        <v>0</v>
      </c>
      <c r="I67" s="209">
        <f>SUMIF('REPORTE GASTOS'!C:C,COBRANZA!B67,'REPORTE GASTOS'!I:I)</f>
        <v>0</v>
      </c>
      <c r="J67" s="216">
        <f t="shared" si="3"/>
        <v>0</v>
      </c>
      <c r="K67" s="65"/>
    </row>
    <row r="68" spans="1:11">
      <c r="A68" s="40">
        <v>48</v>
      </c>
      <c r="B68" s="76" t="str">
        <f>IF(ISERROR(VLOOKUP(A68,'RELACION VTAS - CHS'!D:F,3,FALSE))=FALSE,VLOOKUP(A68,'RELACION VTAS - CHS'!D:F,3,FALSE),"")</f>
        <v/>
      </c>
      <c r="C68" s="233" t="str">
        <f>IF(B68="","",VLOOKUP(B68,'RELACION VTAS - CHS'!F:H,3,FALSE))</f>
        <v/>
      </c>
      <c r="D68" s="55" t="str">
        <f>IF(B68="","",VLOOKUP(B68,'RELACION VTAS - CHS'!F:H,2,FALSE))</f>
        <v/>
      </c>
      <c r="E68" s="215">
        <f>IF(ISERROR(VLOOKUP($B68,'RELACION VTAS - CHS'!$F$7:$V$250,16,FALSE))=FALSE,VLOOKUP($B68,'RELACION VTAS - CHS'!$F$7:$V$250,16,FALSE),0)</f>
        <v>0</v>
      </c>
      <c r="F68" s="215">
        <f>SUMIF('REPORTE GASTOS'!C:C,COBRANZA!B68,'REPORTE GASTOS'!G:G)</f>
        <v>0</v>
      </c>
      <c r="G68" s="216">
        <f t="shared" si="2"/>
        <v>0</v>
      </c>
      <c r="H68" s="214">
        <f>IF(ISERROR(VLOOKUP($B68,'RELACION VTAS - CHS'!$F$7:$V$250,16,FALSE))=FALSE,VLOOKUP($B68,'RELACION VTAS - CHS'!$F$7:$V$250,17,FALSE),0)</f>
        <v>0</v>
      </c>
      <c r="I68" s="209">
        <f>SUMIF('REPORTE GASTOS'!C:C,COBRANZA!B68,'REPORTE GASTOS'!I:I)</f>
        <v>0</v>
      </c>
      <c r="J68" s="216">
        <f t="shared" si="3"/>
        <v>0</v>
      </c>
      <c r="K68" s="65"/>
    </row>
    <row r="69" spans="1:11">
      <c r="A69" s="40">
        <v>49</v>
      </c>
      <c r="B69" s="76" t="str">
        <f>IF(ISERROR(VLOOKUP(A69,'RELACION VTAS - CHS'!D:F,3,FALSE))=FALSE,VLOOKUP(A69,'RELACION VTAS - CHS'!D:F,3,FALSE),"")</f>
        <v/>
      </c>
      <c r="C69" s="233" t="str">
        <f>IF(B69="","",VLOOKUP(B69,'RELACION VTAS - CHS'!F:H,3,FALSE))</f>
        <v/>
      </c>
      <c r="D69" s="55" t="str">
        <f>IF(B69="","",VLOOKUP(B69,'RELACION VTAS - CHS'!F:H,2,FALSE))</f>
        <v/>
      </c>
      <c r="E69" s="215">
        <f>IF(ISERROR(VLOOKUP($B69,'RELACION VTAS - CHS'!$F$7:$V$250,16,FALSE))=FALSE,VLOOKUP($B69,'RELACION VTAS - CHS'!$F$7:$V$250,16,FALSE),0)</f>
        <v>0</v>
      </c>
      <c r="F69" s="215">
        <f>SUMIF('REPORTE GASTOS'!C:C,COBRANZA!B69,'REPORTE GASTOS'!G:G)</f>
        <v>0</v>
      </c>
      <c r="G69" s="216">
        <f t="shared" si="2"/>
        <v>0</v>
      </c>
      <c r="H69" s="214">
        <f>IF(ISERROR(VLOOKUP($B69,'RELACION VTAS - CHS'!$F$7:$V$250,16,FALSE))=FALSE,VLOOKUP($B69,'RELACION VTAS - CHS'!$F$7:$V$250,17,FALSE),0)</f>
        <v>0</v>
      </c>
      <c r="I69" s="209">
        <f>SUMIF('REPORTE GASTOS'!C:C,COBRANZA!B69,'REPORTE GASTOS'!I:I)</f>
        <v>0</v>
      </c>
      <c r="J69" s="216">
        <f t="shared" si="3"/>
        <v>0</v>
      </c>
      <c r="K69" s="65"/>
    </row>
    <row r="70" spans="1:11">
      <c r="A70" s="40">
        <v>50</v>
      </c>
      <c r="B70" s="76" t="str">
        <f>IF(ISERROR(VLOOKUP(A70,'RELACION VTAS - CHS'!D:F,3,FALSE))=FALSE,VLOOKUP(A70,'RELACION VTAS - CHS'!D:F,3,FALSE),"")</f>
        <v/>
      </c>
      <c r="C70" s="233" t="str">
        <f>IF(B70="","",VLOOKUP(B70,'RELACION VTAS - CHS'!F:H,3,FALSE))</f>
        <v/>
      </c>
      <c r="D70" s="55" t="str">
        <f>IF(B70="","",VLOOKUP(B70,'RELACION VTAS - CHS'!F:H,2,FALSE))</f>
        <v/>
      </c>
      <c r="E70" s="215">
        <f>IF(ISERROR(VLOOKUP($B70,'RELACION VTAS - CHS'!$F$7:$V$250,16,FALSE))=FALSE,VLOOKUP($B70,'RELACION VTAS - CHS'!$F$7:$V$250,16,FALSE),0)</f>
        <v>0</v>
      </c>
      <c r="F70" s="215">
        <f>SUMIF('REPORTE GASTOS'!C:C,COBRANZA!B70,'REPORTE GASTOS'!G:G)</f>
        <v>0</v>
      </c>
      <c r="G70" s="216">
        <f t="shared" si="2"/>
        <v>0</v>
      </c>
      <c r="H70" s="214">
        <f>IF(ISERROR(VLOOKUP($B70,'RELACION VTAS - CHS'!$F$7:$V$250,16,FALSE))=FALSE,VLOOKUP($B70,'RELACION VTAS - CHS'!$F$7:$V$250,17,FALSE),0)</f>
        <v>0</v>
      </c>
      <c r="I70" s="209">
        <f>SUMIF('REPORTE GASTOS'!C:C,COBRANZA!B70,'REPORTE GASTOS'!I:I)</f>
        <v>0</v>
      </c>
      <c r="J70" s="216">
        <f t="shared" si="3"/>
        <v>0</v>
      </c>
      <c r="K70" s="65"/>
    </row>
    <row r="71" spans="1:11">
      <c r="A71" s="40">
        <v>51</v>
      </c>
      <c r="B71" s="76" t="str">
        <f>IF(ISERROR(VLOOKUP(A71,'RELACION VTAS - CHS'!D:F,3,FALSE))=FALSE,VLOOKUP(A71,'RELACION VTAS - CHS'!D:F,3,FALSE),"")</f>
        <v/>
      </c>
      <c r="C71" s="233" t="str">
        <f>IF(B71="","",VLOOKUP(B71,'RELACION VTAS - CHS'!F:H,3,FALSE))</f>
        <v/>
      </c>
      <c r="D71" s="55" t="str">
        <f>IF(B71="","",VLOOKUP(B71,'RELACION VTAS - CHS'!F:H,2,FALSE))</f>
        <v/>
      </c>
      <c r="E71" s="215">
        <f>IF(ISERROR(VLOOKUP($B71,'RELACION VTAS - CHS'!$F$7:$V$250,16,FALSE))=FALSE,VLOOKUP($B71,'RELACION VTAS - CHS'!$F$7:$V$250,16,FALSE),0)</f>
        <v>0</v>
      </c>
      <c r="F71" s="215">
        <f>SUMIF('REPORTE GASTOS'!C:C,COBRANZA!B71,'REPORTE GASTOS'!G:G)</f>
        <v>0</v>
      </c>
      <c r="G71" s="216">
        <f t="shared" si="2"/>
        <v>0</v>
      </c>
      <c r="H71" s="214">
        <f>IF(ISERROR(VLOOKUP($B71,'RELACION VTAS - CHS'!$F$7:$V$250,16,FALSE))=FALSE,VLOOKUP($B71,'RELACION VTAS - CHS'!$F$7:$V$250,17,FALSE),0)</f>
        <v>0</v>
      </c>
      <c r="I71" s="209">
        <f>SUMIF('REPORTE GASTOS'!C:C,COBRANZA!B71,'REPORTE GASTOS'!I:I)</f>
        <v>0</v>
      </c>
      <c r="J71" s="216">
        <f t="shared" si="3"/>
        <v>0</v>
      </c>
      <c r="K71" s="65"/>
    </row>
    <row r="72" spans="1:11">
      <c r="A72" s="40">
        <v>52</v>
      </c>
      <c r="B72" s="76" t="str">
        <f>IF(ISERROR(VLOOKUP(A72,'RELACION VTAS - CHS'!D:F,3,FALSE))=FALSE,VLOOKUP(A72,'RELACION VTAS - CHS'!D:F,3,FALSE),"")</f>
        <v/>
      </c>
      <c r="C72" s="233" t="str">
        <f>IF(B72="","",VLOOKUP(B72,'RELACION VTAS - CHS'!F:H,3,FALSE))</f>
        <v/>
      </c>
      <c r="D72" s="55" t="str">
        <f>IF(B72="","",VLOOKUP(B72,'RELACION VTAS - CHS'!F:H,2,FALSE))</f>
        <v/>
      </c>
      <c r="E72" s="215">
        <f>IF(ISERROR(VLOOKUP($B72,'RELACION VTAS - CHS'!$F$7:$V$250,16,FALSE))=FALSE,VLOOKUP($B72,'RELACION VTAS - CHS'!$F$7:$V$250,16,FALSE),0)</f>
        <v>0</v>
      </c>
      <c r="F72" s="215">
        <f>SUMIF('REPORTE GASTOS'!C:C,COBRANZA!B72,'REPORTE GASTOS'!G:G)</f>
        <v>0</v>
      </c>
      <c r="G72" s="216">
        <f t="shared" si="2"/>
        <v>0</v>
      </c>
      <c r="H72" s="214">
        <f>IF(ISERROR(VLOOKUP($B72,'RELACION VTAS - CHS'!$F$7:$V$250,16,FALSE))=FALSE,VLOOKUP($B72,'RELACION VTAS - CHS'!$F$7:$V$250,17,FALSE),0)</f>
        <v>0</v>
      </c>
      <c r="I72" s="209">
        <f>SUMIF('REPORTE GASTOS'!C:C,COBRANZA!B72,'REPORTE GASTOS'!I:I)</f>
        <v>0</v>
      </c>
      <c r="J72" s="216">
        <f t="shared" si="3"/>
        <v>0</v>
      </c>
      <c r="K72" s="65"/>
    </row>
    <row r="73" spans="1:11">
      <c r="A73" s="40">
        <v>53</v>
      </c>
      <c r="B73" s="76" t="str">
        <f>IF(ISERROR(VLOOKUP(A73,'RELACION VTAS - CHS'!D:F,3,FALSE))=FALSE,VLOOKUP(A73,'RELACION VTAS - CHS'!D:F,3,FALSE),"")</f>
        <v/>
      </c>
      <c r="C73" s="233" t="str">
        <f>IF(B73="","",VLOOKUP(B73,'RELACION VTAS - CHS'!F:H,3,FALSE))</f>
        <v/>
      </c>
      <c r="D73" s="55" t="str">
        <f>IF(B73="","",VLOOKUP(B73,'RELACION VTAS - CHS'!F:H,2,FALSE))</f>
        <v/>
      </c>
      <c r="E73" s="215">
        <f>IF(ISERROR(VLOOKUP($B73,'RELACION VTAS - CHS'!$F$7:$V$250,16,FALSE))=FALSE,VLOOKUP($B73,'RELACION VTAS - CHS'!$F$7:$V$250,16,FALSE),0)</f>
        <v>0</v>
      </c>
      <c r="F73" s="215">
        <f>SUMIF('REPORTE GASTOS'!C:C,COBRANZA!B73,'REPORTE GASTOS'!G:G)</f>
        <v>0</v>
      </c>
      <c r="G73" s="216">
        <f t="shared" si="2"/>
        <v>0</v>
      </c>
      <c r="H73" s="214">
        <f>IF(ISERROR(VLOOKUP($B73,'RELACION VTAS - CHS'!$F$7:$V$250,16,FALSE))=FALSE,VLOOKUP($B73,'RELACION VTAS - CHS'!$F$7:$V$250,17,FALSE),0)</f>
        <v>0</v>
      </c>
      <c r="I73" s="209">
        <f>SUMIF('REPORTE GASTOS'!C:C,COBRANZA!B73,'REPORTE GASTOS'!I:I)</f>
        <v>0</v>
      </c>
      <c r="J73" s="216">
        <f t="shared" si="3"/>
        <v>0</v>
      </c>
      <c r="K73" s="65"/>
    </row>
    <row r="74" spans="1:11">
      <c r="A74" s="40">
        <v>54</v>
      </c>
      <c r="B74" s="76" t="str">
        <f>IF(ISERROR(VLOOKUP(A74,'RELACION VTAS - CHS'!D:F,3,FALSE))=FALSE,VLOOKUP(A74,'RELACION VTAS - CHS'!D:F,3,FALSE),"")</f>
        <v/>
      </c>
      <c r="C74" s="233" t="str">
        <f>IF(B74="","",VLOOKUP(B74,'RELACION VTAS - CHS'!F:H,3,FALSE))</f>
        <v/>
      </c>
      <c r="D74" s="55" t="str">
        <f>IF(B74="","",VLOOKUP(B74,'RELACION VTAS - CHS'!F:H,2,FALSE))</f>
        <v/>
      </c>
      <c r="E74" s="215">
        <f>IF(ISERROR(VLOOKUP($B74,'RELACION VTAS - CHS'!$F$7:$V$250,16,FALSE))=FALSE,VLOOKUP($B74,'RELACION VTAS - CHS'!$F$7:$V$250,16,FALSE),0)</f>
        <v>0</v>
      </c>
      <c r="F74" s="215">
        <f>SUMIF('REPORTE GASTOS'!C:C,COBRANZA!B74,'REPORTE GASTOS'!G:G)</f>
        <v>0</v>
      </c>
      <c r="G74" s="216">
        <f t="shared" si="2"/>
        <v>0</v>
      </c>
      <c r="H74" s="214">
        <f>IF(ISERROR(VLOOKUP($B74,'RELACION VTAS - CHS'!$F$7:$V$250,16,FALSE))=FALSE,VLOOKUP($B74,'RELACION VTAS - CHS'!$F$7:$V$250,17,FALSE),0)</f>
        <v>0</v>
      </c>
      <c r="I74" s="209">
        <f>SUMIF('REPORTE GASTOS'!C:C,COBRANZA!B74,'REPORTE GASTOS'!I:I)</f>
        <v>0</v>
      </c>
      <c r="J74" s="216">
        <f t="shared" si="3"/>
        <v>0</v>
      </c>
      <c r="K74" s="65"/>
    </row>
    <row r="75" spans="1:11">
      <c r="A75" s="40">
        <v>55</v>
      </c>
      <c r="B75" s="76" t="str">
        <f>IF(ISERROR(VLOOKUP(A75,'RELACION VTAS - CHS'!D:F,3,FALSE))=FALSE,VLOOKUP(A75,'RELACION VTAS - CHS'!D:F,3,FALSE),"")</f>
        <v/>
      </c>
      <c r="C75" s="233" t="str">
        <f>IF(B75="","",VLOOKUP(B75,'RELACION VTAS - CHS'!F:H,3,FALSE))</f>
        <v/>
      </c>
      <c r="D75" s="55" t="str">
        <f>IF(B75="","",VLOOKUP(B75,'RELACION VTAS - CHS'!F:H,2,FALSE))</f>
        <v/>
      </c>
      <c r="E75" s="215">
        <f>IF(ISERROR(VLOOKUP($B75,'RELACION VTAS - CHS'!$F$7:$V$250,16,FALSE))=FALSE,VLOOKUP($B75,'RELACION VTAS - CHS'!$F$7:$V$250,16,FALSE),0)</f>
        <v>0</v>
      </c>
      <c r="F75" s="215">
        <f>SUMIF('REPORTE GASTOS'!C:C,COBRANZA!B75,'REPORTE GASTOS'!G:G)</f>
        <v>0</v>
      </c>
      <c r="G75" s="216">
        <f t="shared" si="2"/>
        <v>0</v>
      </c>
      <c r="H75" s="214">
        <f>IF(ISERROR(VLOOKUP($B75,'RELACION VTAS - CHS'!$F$7:$V$250,16,FALSE))=FALSE,VLOOKUP($B75,'RELACION VTAS - CHS'!$F$7:$V$250,17,FALSE),0)</f>
        <v>0</v>
      </c>
      <c r="I75" s="209">
        <f>SUMIF('REPORTE GASTOS'!C:C,COBRANZA!B75,'REPORTE GASTOS'!I:I)</f>
        <v>0</v>
      </c>
      <c r="J75" s="216">
        <f t="shared" si="3"/>
        <v>0</v>
      </c>
      <c r="K75" s="65"/>
    </row>
    <row r="76" spans="1:11">
      <c r="A76" s="40">
        <v>56</v>
      </c>
      <c r="B76" s="76" t="str">
        <f>IF(ISERROR(VLOOKUP(A76,'RELACION VTAS - CHS'!D:F,3,FALSE))=FALSE,VLOOKUP(A76,'RELACION VTAS - CHS'!D:F,3,FALSE),"")</f>
        <v/>
      </c>
      <c r="C76" s="233" t="str">
        <f>IF(B76="","",VLOOKUP(B76,'RELACION VTAS - CHS'!F:H,3,FALSE))</f>
        <v/>
      </c>
      <c r="D76" s="55" t="str">
        <f>IF(B76="","",VLOOKUP(B76,'RELACION VTAS - CHS'!F:H,2,FALSE))</f>
        <v/>
      </c>
      <c r="E76" s="215">
        <f>IF(ISERROR(VLOOKUP($B76,'RELACION VTAS - CHS'!$F$7:$V$250,16,FALSE))=FALSE,VLOOKUP($B76,'RELACION VTAS - CHS'!$F$7:$V$250,16,FALSE),0)</f>
        <v>0</v>
      </c>
      <c r="F76" s="215">
        <f>SUMIF('REPORTE GASTOS'!C:C,COBRANZA!B76,'REPORTE GASTOS'!G:G)</f>
        <v>0</v>
      </c>
      <c r="G76" s="216">
        <f t="shared" si="2"/>
        <v>0</v>
      </c>
      <c r="H76" s="214">
        <f>IF(ISERROR(VLOOKUP($B76,'RELACION VTAS - CHS'!$F$7:$V$250,16,FALSE))=FALSE,VLOOKUP($B76,'RELACION VTAS - CHS'!$F$7:$V$250,17,FALSE),0)</f>
        <v>0</v>
      </c>
      <c r="I76" s="209">
        <f>SUMIF('REPORTE GASTOS'!C:C,COBRANZA!B76,'REPORTE GASTOS'!I:I)</f>
        <v>0</v>
      </c>
      <c r="J76" s="216">
        <f t="shared" si="3"/>
        <v>0</v>
      </c>
      <c r="K76" s="65"/>
    </row>
    <row r="77" spans="1:11">
      <c r="A77" s="40">
        <v>57</v>
      </c>
      <c r="B77" s="76" t="str">
        <f>IF(ISERROR(VLOOKUP(A77,'RELACION VTAS - CHS'!D:F,3,FALSE))=FALSE,VLOOKUP(A77,'RELACION VTAS - CHS'!D:F,3,FALSE),"")</f>
        <v/>
      </c>
      <c r="C77" s="233" t="str">
        <f>IF(B77="","",VLOOKUP(B77,'RELACION VTAS - CHS'!F:H,3,FALSE))</f>
        <v/>
      </c>
      <c r="D77" s="55" t="str">
        <f>IF(B77="","",VLOOKUP(B77,'RELACION VTAS - CHS'!F:H,2,FALSE))</f>
        <v/>
      </c>
      <c r="E77" s="215">
        <f>IF(ISERROR(VLOOKUP($B77,'RELACION VTAS - CHS'!$F$7:$V$250,16,FALSE))=FALSE,VLOOKUP($B77,'RELACION VTAS - CHS'!$F$7:$V$250,16,FALSE),0)</f>
        <v>0</v>
      </c>
      <c r="F77" s="215">
        <f>SUMIF('REPORTE GASTOS'!C:C,COBRANZA!B77,'REPORTE GASTOS'!G:G)</f>
        <v>0</v>
      </c>
      <c r="G77" s="216">
        <f t="shared" si="2"/>
        <v>0</v>
      </c>
      <c r="H77" s="214">
        <f>IF(ISERROR(VLOOKUP($B77,'RELACION VTAS - CHS'!$F$7:$V$250,16,FALSE))=FALSE,VLOOKUP($B77,'RELACION VTAS - CHS'!$F$7:$V$250,17,FALSE),0)</f>
        <v>0</v>
      </c>
      <c r="I77" s="209">
        <f>SUMIF('REPORTE GASTOS'!C:C,COBRANZA!B77,'REPORTE GASTOS'!I:I)</f>
        <v>0</v>
      </c>
      <c r="J77" s="216">
        <f t="shared" si="3"/>
        <v>0</v>
      </c>
      <c r="K77" s="65"/>
    </row>
    <row r="78" spans="1:11">
      <c r="A78" s="40">
        <v>58</v>
      </c>
      <c r="B78" s="76" t="str">
        <f>IF(ISERROR(VLOOKUP(A78,'RELACION VTAS - CHS'!D:F,3,FALSE))=FALSE,VLOOKUP(A78,'RELACION VTAS - CHS'!D:F,3,FALSE),"")</f>
        <v/>
      </c>
      <c r="C78" s="233" t="str">
        <f>IF(B78="","",VLOOKUP(B78,'RELACION VTAS - CHS'!F:H,3,FALSE))</f>
        <v/>
      </c>
      <c r="D78" s="55" t="str">
        <f>IF(B78="","",VLOOKUP(B78,'RELACION VTAS - CHS'!F:H,2,FALSE))</f>
        <v/>
      </c>
      <c r="E78" s="215">
        <f>IF(ISERROR(VLOOKUP($B78,'RELACION VTAS - CHS'!$F$7:$V$250,16,FALSE))=FALSE,VLOOKUP($B78,'RELACION VTAS - CHS'!$F$7:$V$250,16,FALSE),0)</f>
        <v>0</v>
      </c>
      <c r="F78" s="215">
        <f>SUMIF('REPORTE GASTOS'!C:C,COBRANZA!B78,'REPORTE GASTOS'!G:G)</f>
        <v>0</v>
      </c>
      <c r="G78" s="216">
        <f t="shared" ref="G78:G141" si="8">E78-F78</f>
        <v>0</v>
      </c>
      <c r="H78" s="214">
        <f>IF(ISERROR(VLOOKUP($B78,'RELACION VTAS - CHS'!$F$7:$V$250,16,FALSE))=FALSE,VLOOKUP($B78,'RELACION VTAS - CHS'!$F$7:$V$250,17,FALSE),0)</f>
        <v>0</v>
      </c>
      <c r="I78" s="209">
        <f>SUMIF('REPORTE GASTOS'!C:C,COBRANZA!B78,'REPORTE GASTOS'!I:I)</f>
        <v>0</v>
      </c>
      <c r="J78" s="216">
        <f t="shared" ref="J78:J141" si="9">H78-I78</f>
        <v>0</v>
      </c>
      <c r="K78" s="65"/>
    </row>
    <row r="79" spans="1:11">
      <c r="A79" s="40">
        <v>59</v>
      </c>
      <c r="B79" s="76" t="str">
        <f>IF(ISERROR(VLOOKUP(A79,'RELACION VTAS - CHS'!D:F,3,FALSE))=FALSE,VLOOKUP(A79,'RELACION VTAS - CHS'!D:F,3,FALSE),"")</f>
        <v/>
      </c>
      <c r="C79" s="233" t="str">
        <f>IF(B79="","",VLOOKUP(B79,'RELACION VTAS - CHS'!F:H,3,FALSE))</f>
        <v/>
      </c>
      <c r="D79" s="55" t="str">
        <f>IF(B79="","",VLOOKUP(B79,'RELACION VTAS - CHS'!F:H,2,FALSE))</f>
        <v/>
      </c>
      <c r="E79" s="215">
        <f>IF(ISERROR(VLOOKUP($B79,'RELACION VTAS - CHS'!$F$7:$V$250,16,FALSE))=FALSE,VLOOKUP($B79,'RELACION VTAS - CHS'!$F$7:$V$250,16,FALSE),0)</f>
        <v>0</v>
      </c>
      <c r="F79" s="215">
        <f>SUMIF('REPORTE GASTOS'!C:C,COBRANZA!B79,'REPORTE GASTOS'!G:G)</f>
        <v>0</v>
      </c>
      <c r="G79" s="216">
        <f t="shared" si="8"/>
        <v>0</v>
      </c>
      <c r="H79" s="214">
        <f>IF(ISERROR(VLOOKUP($B79,'RELACION VTAS - CHS'!$F$7:$V$250,16,FALSE))=FALSE,VLOOKUP($B79,'RELACION VTAS - CHS'!$F$7:$V$250,17,FALSE),0)</f>
        <v>0</v>
      </c>
      <c r="I79" s="209">
        <f>SUMIF('REPORTE GASTOS'!C:C,COBRANZA!B79,'REPORTE GASTOS'!I:I)</f>
        <v>0</v>
      </c>
      <c r="J79" s="216">
        <f t="shared" si="9"/>
        <v>0</v>
      </c>
      <c r="K79" s="65"/>
    </row>
    <row r="80" spans="1:11">
      <c r="A80" s="40">
        <v>60</v>
      </c>
      <c r="B80" s="76" t="str">
        <f>IF(ISERROR(VLOOKUP(A80,'RELACION VTAS - CHS'!D:F,3,FALSE))=FALSE,VLOOKUP(A80,'RELACION VTAS - CHS'!D:F,3,FALSE),"")</f>
        <v/>
      </c>
      <c r="C80" s="233" t="str">
        <f>IF(B80="","",VLOOKUP(B80,'RELACION VTAS - CHS'!F:H,3,FALSE))</f>
        <v/>
      </c>
      <c r="D80" s="55" t="str">
        <f>IF(B80="","",VLOOKUP(B80,'RELACION VTAS - CHS'!F:H,2,FALSE))</f>
        <v/>
      </c>
      <c r="E80" s="215">
        <f>IF(ISERROR(VLOOKUP($B80,'RELACION VTAS - CHS'!$F$7:$V$250,16,FALSE))=FALSE,VLOOKUP($B80,'RELACION VTAS - CHS'!$F$7:$V$250,16,FALSE),0)</f>
        <v>0</v>
      </c>
      <c r="F80" s="215">
        <f>SUMIF('REPORTE GASTOS'!C:C,COBRANZA!B80,'REPORTE GASTOS'!G:G)</f>
        <v>0</v>
      </c>
      <c r="G80" s="216">
        <f t="shared" si="8"/>
        <v>0</v>
      </c>
      <c r="H80" s="214">
        <f>IF(ISERROR(VLOOKUP($B80,'RELACION VTAS - CHS'!$F$7:$V$250,16,FALSE))=FALSE,VLOOKUP($B80,'RELACION VTAS - CHS'!$F$7:$V$250,17,FALSE),0)</f>
        <v>0</v>
      </c>
      <c r="I80" s="209">
        <f>SUMIF('REPORTE GASTOS'!C:C,COBRANZA!B80,'REPORTE GASTOS'!I:I)</f>
        <v>0</v>
      </c>
      <c r="J80" s="216">
        <f t="shared" si="9"/>
        <v>0</v>
      </c>
      <c r="K80" s="65"/>
    </row>
    <row r="81" spans="1:11">
      <c r="A81" s="40">
        <v>61</v>
      </c>
      <c r="B81" s="76" t="str">
        <f>IF(ISERROR(VLOOKUP(A81,'RELACION VTAS - CHS'!D:F,3,FALSE))=FALSE,VLOOKUP(A81,'RELACION VTAS - CHS'!D:F,3,FALSE),"")</f>
        <v/>
      </c>
      <c r="C81" s="233" t="str">
        <f>IF(B81="","",VLOOKUP(B81,'RELACION VTAS - CHS'!F:H,3,FALSE))</f>
        <v/>
      </c>
      <c r="D81" s="55" t="str">
        <f>IF(B81="","",VLOOKUP(B81,'RELACION VTAS - CHS'!F:H,2,FALSE))</f>
        <v/>
      </c>
      <c r="E81" s="215">
        <f>IF(ISERROR(VLOOKUP($B81,'RELACION VTAS - CHS'!$F$7:$V$250,16,FALSE))=FALSE,VLOOKUP($B81,'RELACION VTAS - CHS'!$F$7:$V$250,16,FALSE),0)</f>
        <v>0</v>
      </c>
      <c r="F81" s="215">
        <f>SUMIF('REPORTE GASTOS'!C:C,COBRANZA!B81,'REPORTE GASTOS'!G:G)</f>
        <v>0</v>
      </c>
      <c r="G81" s="216">
        <f t="shared" si="8"/>
        <v>0</v>
      </c>
      <c r="H81" s="214">
        <f>IF(ISERROR(VLOOKUP($B81,'RELACION VTAS - CHS'!$F$7:$V$250,16,FALSE))=FALSE,VLOOKUP($B81,'RELACION VTAS - CHS'!$F$7:$V$250,17,FALSE),0)</f>
        <v>0</v>
      </c>
      <c r="I81" s="209">
        <f>SUMIF('REPORTE GASTOS'!C:C,COBRANZA!B81,'REPORTE GASTOS'!I:I)</f>
        <v>0</v>
      </c>
      <c r="J81" s="216">
        <f t="shared" si="9"/>
        <v>0</v>
      </c>
      <c r="K81" s="65"/>
    </row>
    <row r="82" spans="1:11">
      <c r="A82" s="40">
        <v>62</v>
      </c>
      <c r="B82" s="76" t="str">
        <f>IF(ISERROR(VLOOKUP(A82,'RELACION VTAS - CHS'!D:F,3,FALSE))=FALSE,VLOOKUP(A82,'RELACION VTAS - CHS'!D:F,3,FALSE),"")</f>
        <v/>
      </c>
      <c r="C82" s="233" t="str">
        <f>IF(B82="","",VLOOKUP(B82,'RELACION VTAS - CHS'!F:H,3,FALSE))</f>
        <v/>
      </c>
      <c r="D82" s="55" t="str">
        <f>IF(B82="","",VLOOKUP(B82,'RELACION VTAS - CHS'!F:H,2,FALSE))</f>
        <v/>
      </c>
      <c r="E82" s="215">
        <f>IF(ISERROR(VLOOKUP($B82,'RELACION VTAS - CHS'!$F$7:$V$250,16,FALSE))=FALSE,VLOOKUP($B82,'RELACION VTAS - CHS'!$F$7:$V$250,16,FALSE),0)</f>
        <v>0</v>
      </c>
      <c r="F82" s="215">
        <f>SUMIF('REPORTE GASTOS'!C:C,COBRANZA!B82,'REPORTE GASTOS'!G:G)</f>
        <v>0</v>
      </c>
      <c r="G82" s="216">
        <f t="shared" si="8"/>
        <v>0</v>
      </c>
      <c r="H82" s="214">
        <f>IF(ISERROR(VLOOKUP($B82,'RELACION VTAS - CHS'!$F$7:$V$250,16,FALSE))=FALSE,VLOOKUP($B82,'RELACION VTAS - CHS'!$F$7:$V$250,17,FALSE),0)</f>
        <v>0</v>
      </c>
      <c r="I82" s="209">
        <f>SUMIF('REPORTE GASTOS'!C:C,COBRANZA!B82,'REPORTE GASTOS'!I:I)</f>
        <v>0</v>
      </c>
      <c r="J82" s="216">
        <f t="shared" si="9"/>
        <v>0</v>
      </c>
      <c r="K82" s="65"/>
    </row>
    <row r="83" spans="1:11">
      <c r="A83" s="40">
        <v>63</v>
      </c>
      <c r="B83" s="76" t="str">
        <f>IF(ISERROR(VLOOKUP(A83,'RELACION VTAS - CHS'!D:F,3,FALSE))=FALSE,VLOOKUP(A83,'RELACION VTAS - CHS'!D:F,3,FALSE),"")</f>
        <v/>
      </c>
      <c r="C83" s="233" t="str">
        <f>IF(B83="","",VLOOKUP(B83,'RELACION VTAS - CHS'!F:H,3,FALSE))</f>
        <v/>
      </c>
      <c r="D83" s="55" t="str">
        <f>IF(B83="","",VLOOKUP(B83,'RELACION VTAS - CHS'!F:H,2,FALSE))</f>
        <v/>
      </c>
      <c r="E83" s="215">
        <f>IF(ISERROR(VLOOKUP($B83,'RELACION VTAS - CHS'!$F$7:$V$250,16,FALSE))=FALSE,VLOOKUP($B83,'RELACION VTAS - CHS'!$F$7:$V$250,16,FALSE),0)</f>
        <v>0</v>
      </c>
      <c r="F83" s="215">
        <f>SUMIF('REPORTE GASTOS'!C:C,COBRANZA!B83,'REPORTE GASTOS'!G:G)</f>
        <v>0</v>
      </c>
      <c r="G83" s="216">
        <f t="shared" si="8"/>
        <v>0</v>
      </c>
      <c r="H83" s="214">
        <f>IF(ISERROR(VLOOKUP($B83,'RELACION VTAS - CHS'!$F$7:$V$250,16,FALSE))=FALSE,VLOOKUP($B83,'RELACION VTAS - CHS'!$F$7:$V$250,17,FALSE),0)</f>
        <v>0</v>
      </c>
      <c r="I83" s="209">
        <f>SUMIF('REPORTE GASTOS'!C:C,COBRANZA!B83,'REPORTE GASTOS'!I:I)</f>
        <v>0</v>
      </c>
      <c r="J83" s="216">
        <f t="shared" si="9"/>
        <v>0</v>
      </c>
      <c r="K83" s="65"/>
    </row>
    <row r="84" spans="1:11">
      <c r="A84" s="40">
        <v>64</v>
      </c>
      <c r="B84" s="76" t="str">
        <f>IF(ISERROR(VLOOKUP(A84,'RELACION VTAS - CHS'!D:F,3,FALSE))=FALSE,VLOOKUP(A84,'RELACION VTAS - CHS'!D:F,3,FALSE),"")</f>
        <v/>
      </c>
      <c r="C84" s="233" t="str">
        <f>IF(B84="","",VLOOKUP(B84,'RELACION VTAS - CHS'!F:H,3,FALSE))</f>
        <v/>
      </c>
      <c r="D84" s="55" t="str">
        <f>IF(B84="","",VLOOKUP(B84,'RELACION VTAS - CHS'!F:H,2,FALSE))</f>
        <v/>
      </c>
      <c r="E84" s="215">
        <f>IF(ISERROR(VLOOKUP($B84,'RELACION VTAS - CHS'!$F$7:$V$250,16,FALSE))=FALSE,VLOOKUP($B84,'RELACION VTAS - CHS'!$F$7:$V$250,16,FALSE),0)</f>
        <v>0</v>
      </c>
      <c r="F84" s="215">
        <f>SUMIF('REPORTE GASTOS'!C:C,COBRANZA!B84,'REPORTE GASTOS'!G:G)</f>
        <v>0</v>
      </c>
      <c r="G84" s="216">
        <f t="shared" si="8"/>
        <v>0</v>
      </c>
      <c r="H84" s="214">
        <f>IF(ISERROR(VLOOKUP($B84,'RELACION VTAS - CHS'!$F$7:$V$250,16,FALSE))=FALSE,VLOOKUP($B84,'RELACION VTAS - CHS'!$F$7:$V$250,17,FALSE),0)</f>
        <v>0</v>
      </c>
      <c r="I84" s="209">
        <f>SUMIF('REPORTE GASTOS'!C:C,COBRANZA!B84,'REPORTE GASTOS'!I:I)</f>
        <v>0</v>
      </c>
      <c r="J84" s="216">
        <f t="shared" si="9"/>
        <v>0</v>
      </c>
      <c r="K84" s="65"/>
    </row>
    <row r="85" spans="1:11">
      <c r="A85" s="40">
        <v>65</v>
      </c>
      <c r="B85" s="76" t="str">
        <f>IF(ISERROR(VLOOKUP(A85,'RELACION VTAS - CHS'!D:F,3,FALSE))=FALSE,VLOOKUP(A85,'RELACION VTAS - CHS'!D:F,3,FALSE),"")</f>
        <v/>
      </c>
      <c r="C85" s="233" t="str">
        <f>IF(B85="","",VLOOKUP(B85,'RELACION VTAS - CHS'!F:H,3,FALSE))</f>
        <v/>
      </c>
      <c r="D85" s="55" t="str">
        <f>IF(B85="","",VLOOKUP(B85,'RELACION VTAS - CHS'!F:H,2,FALSE))</f>
        <v/>
      </c>
      <c r="E85" s="215">
        <f>IF(ISERROR(VLOOKUP($B85,'RELACION VTAS - CHS'!$F$7:$V$250,16,FALSE))=FALSE,VLOOKUP($B85,'RELACION VTAS - CHS'!$F$7:$V$250,16,FALSE),0)</f>
        <v>0</v>
      </c>
      <c r="F85" s="215">
        <f>SUMIF('REPORTE GASTOS'!C:C,COBRANZA!B85,'REPORTE GASTOS'!G:G)</f>
        <v>0</v>
      </c>
      <c r="G85" s="216">
        <f t="shared" si="8"/>
        <v>0</v>
      </c>
      <c r="H85" s="214">
        <f>IF(ISERROR(VLOOKUP($B85,'RELACION VTAS - CHS'!$F$7:$V$250,16,FALSE))=FALSE,VLOOKUP($B85,'RELACION VTAS - CHS'!$F$7:$V$250,17,FALSE),0)</f>
        <v>0</v>
      </c>
      <c r="I85" s="209">
        <f>SUMIF('REPORTE GASTOS'!C:C,COBRANZA!B85,'REPORTE GASTOS'!I:I)</f>
        <v>0</v>
      </c>
      <c r="J85" s="216">
        <f t="shared" si="9"/>
        <v>0</v>
      </c>
      <c r="K85" s="65"/>
    </row>
    <row r="86" spans="1:11">
      <c r="A86" s="40">
        <v>66</v>
      </c>
      <c r="B86" s="76" t="str">
        <f>IF(ISERROR(VLOOKUP(A86,'RELACION VTAS - CHS'!D:F,3,FALSE))=FALSE,VLOOKUP(A86,'RELACION VTAS - CHS'!D:F,3,FALSE),"")</f>
        <v/>
      </c>
      <c r="C86" s="233" t="str">
        <f>IF(B86="","",VLOOKUP(B86,'RELACION VTAS - CHS'!F:H,3,FALSE))</f>
        <v/>
      </c>
      <c r="D86" s="55" t="str">
        <f>IF(B86="","",VLOOKUP(B86,'RELACION VTAS - CHS'!F:H,2,FALSE))</f>
        <v/>
      </c>
      <c r="E86" s="215">
        <f>IF(ISERROR(VLOOKUP($B86,'RELACION VTAS - CHS'!$F$7:$V$250,16,FALSE))=FALSE,VLOOKUP($B86,'RELACION VTAS - CHS'!$F$7:$V$250,16,FALSE),0)</f>
        <v>0</v>
      </c>
      <c r="F86" s="215">
        <f>SUMIF('REPORTE GASTOS'!C:C,COBRANZA!B86,'REPORTE GASTOS'!G:G)</f>
        <v>0</v>
      </c>
      <c r="G86" s="216">
        <f t="shared" si="8"/>
        <v>0</v>
      </c>
      <c r="H86" s="214">
        <f>IF(ISERROR(VLOOKUP($B86,'RELACION VTAS - CHS'!$F$7:$V$250,16,FALSE))=FALSE,VLOOKUP($B86,'RELACION VTAS - CHS'!$F$7:$V$250,17,FALSE),0)</f>
        <v>0</v>
      </c>
      <c r="I86" s="209">
        <f>SUMIF('REPORTE GASTOS'!C:C,COBRANZA!B86,'REPORTE GASTOS'!I:I)</f>
        <v>0</v>
      </c>
      <c r="J86" s="216">
        <f t="shared" si="9"/>
        <v>0</v>
      </c>
      <c r="K86" s="65"/>
    </row>
    <row r="87" spans="1:11">
      <c r="A87" s="40">
        <v>67</v>
      </c>
      <c r="B87" s="76" t="str">
        <f>IF(ISERROR(VLOOKUP(A87,'RELACION VTAS - CHS'!D:F,3,FALSE))=FALSE,VLOOKUP(A87,'RELACION VTAS - CHS'!D:F,3,FALSE),"")</f>
        <v/>
      </c>
      <c r="C87" s="233" t="str">
        <f>IF(B87="","",VLOOKUP(B87,'RELACION VTAS - CHS'!F:H,3,FALSE))</f>
        <v/>
      </c>
      <c r="D87" s="55" t="str">
        <f>IF(B87="","",VLOOKUP(B87,'RELACION VTAS - CHS'!F:H,2,FALSE))</f>
        <v/>
      </c>
      <c r="E87" s="215">
        <f>IF(ISERROR(VLOOKUP($B87,'RELACION VTAS - CHS'!$F$7:$V$250,16,FALSE))=FALSE,VLOOKUP($B87,'RELACION VTAS - CHS'!$F$7:$V$250,16,FALSE),0)</f>
        <v>0</v>
      </c>
      <c r="F87" s="215">
        <f>SUMIF('REPORTE GASTOS'!C:C,COBRANZA!B87,'REPORTE GASTOS'!G:G)</f>
        <v>0</v>
      </c>
      <c r="G87" s="216">
        <f t="shared" si="8"/>
        <v>0</v>
      </c>
      <c r="H87" s="214">
        <f>IF(ISERROR(VLOOKUP($B87,'RELACION VTAS - CHS'!$F$7:$V$250,16,FALSE))=FALSE,VLOOKUP($B87,'RELACION VTAS - CHS'!$F$7:$V$250,17,FALSE),0)</f>
        <v>0</v>
      </c>
      <c r="I87" s="209">
        <f>SUMIF('REPORTE GASTOS'!C:C,COBRANZA!B87,'REPORTE GASTOS'!I:I)</f>
        <v>0</v>
      </c>
      <c r="J87" s="216">
        <f t="shared" si="9"/>
        <v>0</v>
      </c>
      <c r="K87" s="65"/>
    </row>
    <row r="88" spans="1:11">
      <c r="A88" s="40">
        <v>68</v>
      </c>
      <c r="B88" s="76" t="str">
        <f>IF(ISERROR(VLOOKUP(A88,'RELACION VTAS - CHS'!D:F,3,FALSE))=FALSE,VLOOKUP(A88,'RELACION VTAS - CHS'!D:F,3,FALSE),"")</f>
        <v/>
      </c>
      <c r="C88" s="233" t="str">
        <f>IF(B88="","",VLOOKUP(B88,'RELACION VTAS - CHS'!F:H,3,FALSE))</f>
        <v/>
      </c>
      <c r="D88" s="55" t="str">
        <f>IF(B88="","",VLOOKUP(B88,'RELACION VTAS - CHS'!F:H,2,FALSE))</f>
        <v/>
      </c>
      <c r="E88" s="215">
        <f>IF(ISERROR(VLOOKUP($B88,'RELACION VTAS - CHS'!$F$7:$V$250,16,FALSE))=FALSE,VLOOKUP($B88,'RELACION VTAS - CHS'!$F$7:$V$250,16,FALSE),0)</f>
        <v>0</v>
      </c>
      <c r="F88" s="215">
        <f>SUMIF('REPORTE GASTOS'!C:C,COBRANZA!B88,'REPORTE GASTOS'!G:G)</f>
        <v>0</v>
      </c>
      <c r="G88" s="216">
        <f t="shared" si="8"/>
        <v>0</v>
      </c>
      <c r="H88" s="214">
        <f>IF(ISERROR(VLOOKUP($B88,'RELACION VTAS - CHS'!$F$7:$V$250,16,FALSE))=FALSE,VLOOKUP($B88,'RELACION VTAS - CHS'!$F$7:$V$250,17,FALSE),0)</f>
        <v>0</v>
      </c>
      <c r="I88" s="209">
        <f>SUMIF('REPORTE GASTOS'!C:C,COBRANZA!B88,'REPORTE GASTOS'!I:I)</f>
        <v>0</v>
      </c>
      <c r="J88" s="216">
        <f t="shared" si="9"/>
        <v>0</v>
      </c>
      <c r="K88" s="65"/>
    </row>
    <row r="89" spans="1:11">
      <c r="A89" s="40">
        <v>69</v>
      </c>
      <c r="B89" s="76" t="str">
        <f>IF(ISERROR(VLOOKUP(A89,'RELACION VTAS - CHS'!D:F,3,FALSE))=FALSE,VLOOKUP(A89,'RELACION VTAS - CHS'!D:F,3,FALSE),"")</f>
        <v/>
      </c>
      <c r="C89" s="233" t="str">
        <f>IF(B89="","",VLOOKUP(B89,'RELACION VTAS - CHS'!F:H,3,FALSE))</f>
        <v/>
      </c>
      <c r="D89" s="55" t="str">
        <f>IF(B89="","",VLOOKUP(B89,'RELACION VTAS - CHS'!F:H,2,FALSE))</f>
        <v/>
      </c>
      <c r="E89" s="215">
        <f>IF(ISERROR(VLOOKUP($B89,'RELACION VTAS - CHS'!$F$7:$V$250,16,FALSE))=FALSE,VLOOKUP($B89,'RELACION VTAS - CHS'!$F$7:$V$250,16,FALSE),0)</f>
        <v>0</v>
      </c>
      <c r="F89" s="215">
        <f>SUMIF('REPORTE GASTOS'!C:C,COBRANZA!B89,'REPORTE GASTOS'!G:G)</f>
        <v>0</v>
      </c>
      <c r="G89" s="216">
        <f t="shared" si="8"/>
        <v>0</v>
      </c>
      <c r="H89" s="214">
        <f>IF(ISERROR(VLOOKUP($B89,'RELACION VTAS - CHS'!$F$7:$V$250,16,FALSE))=FALSE,VLOOKUP($B89,'RELACION VTAS - CHS'!$F$7:$V$250,17,FALSE),0)</f>
        <v>0</v>
      </c>
      <c r="I89" s="209">
        <f>SUMIF('REPORTE GASTOS'!C:C,COBRANZA!B89,'REPORTE GASTOS'!I:I)</f>
        <v>0</v>
      </c>
      <c r="J89" s="216">
        <f t="shared" si="9"/>
        <v>0</v>
      </c>
      <c r="K89" s="65"/>
    </row>
    <row r="90" spans="1:11">
      <c r="A90" s="40">
        <v>70</v>
      </c>
      <c r="B90" s="76" t="str">
        <f>IF(ISERROR(VLOOKUP(A90,'RELACION VTAS - CHS'!D:F,3,FALSE))=FALSE,VLOOKUP(A90,'RELACION VTAS - CHS'!D:F,3,FALSE),"")</f>
        <v/>
      </c>
      <c r="C90" s="233" t="str">
        <f>IF(B90="","",VLOOKUP(B90,'RELACION VTAS - CHS'!F:H,3,FALSE))</f>
        <v/>
      </c>
      <c r="D90" s="55" t="str">
        <f>IF(B90="","",VLOOKUP(B90,'RELACION VTAS - CHS'!F:H,2,FALSE))</f>
        <v/>
      </c>
      <c r="E90" s="215">
        <f>IF(ISERROR(VLOOKUP($B90,'RELACION VTAS - CHS'!$F$7:$V$250,16,FALSE))=FALSE,VLOOKUP($B90,'RELACION VTAS - CHS'!$F$7:$V$250,16,FALSE),0)</f>
        <v>0</v>
      </c>
      <c r="F90" s="215">
        <f>SUMIF('REPORTE GASTOS'!C:C,COBRANZA!B90,'REPORTE GASTOS'!G:G)</f>
        <v>0</v>
      </c>
      <c r="G90" s="216">
        <f t="shared" si="8"/>
        <v>0</v>
      </c>
      <c r="H90" s="214">
        <f>IF(ISERROR(VLOOKUP($B90,'RELACION VTAS - CHS'!$F$7:$V$250,16,FALSE))=FALSE,VLOOKUP($B90,'RELACION VTAS - CHS'!$F$7:$V$250,17,FALSE),0)</f>
        <v>0</v>
      </c>
      <c r="I90" s="209">
        <f>SUMIF('REPORTE GASTOS'!C:C,COBRANZA!B90,'REPORTE GASTOS'!I:I)</f>
        <v>0</v>
      </c>
      <c r="J90" s="216">
        <f t="shared" si="9"/>
        <v>0</v>
      </c>
      <c r="K90" s="65"/>
    </row>
    <row r="91" spans="1:11">
      <c r="A91" s="40">
        <v>71</v>
      </c>
      <c r="B91" s="76" t="str">
        <f>IF(ISERROR(VLOOKUP(A91,'RELACION VTAS - CHS'!D:F,3,FALSE))=FALSE,VLOOKUP(A91,'RELACION VTAS - CHS'!D:F,3,FALSE),"")</f>
        <v/>
      </c>
      <c r="C91" s="233" t="str">
        <f>IF(B91="","",VLOOKUP(B91,'RELACION VTAS - CHS'!F:H,3,FALSE))</f>
        <v/>
      </c>
      <c r="D91" s="55" t="str">
        <f>IF(B91="","",VLOOKUP(B91,'RELACION VTAS - CHS'!F:H,2,FALSE))</f>
        <v/>
      </c>
      <c r="E91" s="215">
        <f>IF(ISERROR(VLOOKUP($B91,'RELACION VTAS - CHS'!$F$7:$V$250,16,FALSE))=FALSE,VLOOKUP($B91,'RELACION VTAS - CHS'!$F$7:$V$250,16,FALSE),0)</f>
        <v>0</v>
      </c>
      <c r="F91" s="215">
        <f>SUMIF('REPORTE GASTOS'!C:C,COBRANZA!B91,'REPORTE GASTOS'!G:G)</f>
        <v>0</v>
      </c>
      <c r="G91" s="216">
        <f t="shared" si="8"/>
        <v>0</v>
      </c>
      <c r="H91" s="214">
        <f>IF(ISERROR(VLOOKUP($B91,'RELACION VTAS - CHS'!$F$7:$V$250,16,FALSE))=FALSE,VLOOKUP($B91,'RELACION VTAS - CHS'!$F$7:$V$250,17,FALSE),0)</f>
        <v>0</v>
      </c>
      <c r="I91" s="209">
        <f>SUMIF('REPORTE GASTOS'!C:C,COBRANZA!B91,'REPORTE GASTOS'!I:I)</f>
        <v>0</v>
      </c>
      <c r="J91" s="216">
        <f t="shared" si="9"/>
        <v>0</v>
      </c>
      <c r="K91" s="65"/>
    </row>
    <row r="92" spans="1:11">
      <c r="A92" s="40">
        <v>72</v>
      </c>
      <c r="B92" s="76" t="str">
        <f>IF(ISERROR(VLOOKUP(A92,'RELACION VTAS - CHS'!D:F,3,FALSE))=FALSE,VLOOKUP(A92,'RELACION VTAS - CHS'!D:F,3,FALSE),"")</f>
        <v/>
      </c>
      <c r="C92" s="233" t="str">
        <f>IF(B92="","",VLOOKUP(B92,'RELACION VTAS - CHS'!F:H,3,FALSE))</f>
        <v/>
      </c>
      <c r="D92" s="55" t="str">
        <f>IF(B92="","",VLOOKUP(B92,'RELACION VTAS - CHS'!F:H,2,FALSE))</f>
        <v/>
      </c>
      <c r="E92" s="215">
        <f>IF(ISERROR(VLOOKUP($B92,'RELACION VTAS - CHS'!$F$7:$V$250,16,FALSE))=FALSE,VLOOKUP($B92,'RELACION VTAS - CHS'!$F$7:$V$250,16,FALSE),0)</f>
        <v>0</v>
      </c>
      <c r="F92" s="215">
        <f>SUMIF('REPORTE GASTOS'!C:C,COBRANZA!B92,'REPORTE GASTOS'!G:G)</f>
        <v>0</v>
      </c>
      <c r="G92" s="216">
        <f t="shared" si="8"/>
        <v>0</v>
      </c>
      <c r="H92" s="214">
        <f>IF(ISERROR(VLOOKUP($B92,'RELACION VTAS - CHS'!$F$7:$V$250,16,FALSE))=FALSE,VLOOKUP($B92,'RELACION VTAS - CHS'!$F$7:$V$250,17,FALSE),0)</f>
        <v>0</v>
      </c>
      <c r="I92" s="209">
        <f>SUMIF('REPORTE GASTOS'!C:C,COBRANZA!B92,'REPORTE GASTOS'!I:I)</f>
        <v>0</v>
      </c>
      <c r="J92" s="216">
        <f t="shared" si="9"/>
        <v>0</v>
      </c>
      <c r="K92" s="65"/>
    </row>
    <row r="93" spans="1:11">
      <c r="A93" s="40">
        <v>73</v>
      </c>
      <c r="B93" s="76" t="str">
        <f>IF(ISERROR(VLOOKUP(A93,'RELACION VTAS - CHS'!D:F,3,FALSE))=FALSE,VLOOKUP(A93,'RELACION VTAS - CHS'!D:F,3,FALSE),"")</f>
        <v/>
      </c>
      <c r="C93" s="233" t="str">
        <f>IF(B93="","",VLOOKUP(B93,'RELACION VTAS - CHS'!F:H,3,FALSE))</f>
        <v/>
      </c>
      <c r="D93" s="55" t="str">
        <f>IF(B93="","",VLOOKUP(B93,'RELACION VTAS - CHS'!F:H,2,FALSE))</f>
        <v/>
      </c>
      <c r="E93" s="215">
        <f>IF(ISERROR(VLOOKUP($B93,'RELACION VTAS - CHS'!$F$7:$V$250,16,FALSE))=FALSE,VLOOKUP($B93,'RELACION VTAS - CHS'!$F$7:$V$250,16,FALSE),0)</f>
        <v>0</v>
      </c>
      <c r="F93" s="215">
        <f>SUMIF('REPORTE GASTOS'!C:C,COBRANZA!B93,'REPORTE GASTOS'!G:G)</f>
        <v>0</v>
      </c>
      <c r="G93" s="216">
        <f t="shared" si="8"/>
        <v>0</v>
      </c>
      <c r="H93" s="214">
        <f>IF(ISERROR(VLOOKUP($B93,'RELACION VTAS - CHS'!$F$7:$V$250,16,FALSE))=FALSE,VLOOKUP($B93,'RELACION VTAS - CHS'!$F$7:$V$250,17,FALSE),0)</f>
        <v>0</v>
      </c>
      <c r="I93" s="209">
        <f>SUMIF('REPORTE GASTOS'!C:C,COBRANZA!B93,'REPORTE GASTOS'!I:I)</f>
        <v>0</v>
      </c>
      <c r="J93" s="216">
        <f t="shared" si="9"/>
        <v>0</v>
      </c>
      <c r="K93" s="65"/>
    </row>
    <row r="94" spans="1:11">
      <c r="A94" s="40">
        <v>74</v>
      </c>
      <c r="B94" s="76" t="str">
        <f>IF(ISERROR(VLOOKUP(A94,'RELACION VTAS - CHS'!D:F,3,FALSE))=FALSE,VLOOKUP(A94,'RELACION VTAS - CHS'!D:F,3,FALSE),"")</f>
        <v/>
      </c>
      <c r="C94" s="233" t="str">
        <f>IF(B94="","",VLOOKUP(B94,'RELACION VTAS - CHS'!F:H,3,FALSE))</f>
        <v/>
      </c>
      <c r="D94" s="55" t="str">
        <f>IF(B94="","",VLOOKUP(B94,'RELACION VTAS - CHS'!F:H,2,FALSE))</f>
        <v/>
      </c>
      <c r="E94" s="215">
        <f>IF(ISERROR(VLOOKUP($B94,'RELACION VTAS - CHS'!$F$7:$V$250,16,FALSE))=FALSE,VLOOKUP($B94,'RELACION VTAS - CHS'!$F$7:$V$250,16,FALSE),0)</f>
        <v>0</v>
      </c>
      <c r="F94" s="215">
        <f>SUMIF('REPORTE GASTOS'!C:C,COBRANZA!B94,'REPORTE GASTOS'!G:G)</f>
        <v>0</v>
      </c>
      <c r="G94" s="216">
        <f t="shared" si="8"/>
        <v>0</v>
      </c>
      <c r="H94" s="214">
        <f>IF(ISERROR(VLOOKUP($B94,'RELACION VTAS - CHS'!$F$7:$V$250,16,FALSE))=FALSE,VLOOKUP($B94,'RELACION VTAS - CHS'!$F$7:$V$250,17,FALSE),0)</f>
        <v>0</v>
      </c>
      <c r="I94" s="209">
        <f>SUMIF('REPORTE GASTOS'!C:C,COBRANZA!B94,'REPORTE GASTOS'!I:I)</f>
        <v>0</v>
      </c>
      <c r="J94" s="216">
        <f t="shared" si="9"/>
        <v>0</v>
      </c>
      <c r="K94" s="65"/>
    </row>
    <row r="95" spans="1:11">
      <c r="A95" s="40">
        <v>75</v>
      </c>
      <c r="B95" s="76" t="str">
        <f>IF(ISERROR(VLOOKUP(A95,'RELACION VTAS - CHS'!D:F,3,FALSE))=FALSE,VLOOKUP(A95,'RELACION VTAS - CHS'!D:F,3,FALSE),"")</f>
        <v/>
      </c>
      <c r="C95" s="233" t="str">
        <f>IF(B95="","",VLOOKUP(B95,'RELACION VTAS - CHS'!F:H,3,FALSE))</f>
        <v/>
      </c>
      <c r="D95" s="55" t="str">
        <f>IF(B95="","",VLOOKUP(B95,'RELACION VTAS - CHS'!F:H,2,FALSE))</f>
        <v/>
      </c>
      <c r="E95" s="215">
        <f>IF(ISERROR(VLOOKUP($B95,'RELACION VTAS - CHS'!$F$7:$V$250,16,FALSE))=FALSE,VLOOKUP($B95,'RELACION VTAS - CHS'!$F$7:$V$250,16,FALSE),0)</f>
        <v>0</v>
      </c>
      <c r="F95" s="215">
        <f>SUMIF('REPORTE GASTOS'!C:C,COBRANZA!B95,'REPORTE GASTOS'!G:G)</f>
        <v>0</v>
      </c>
      <c r="G95" s="216">
        <f t="shared" si="8"/>
        <v>0</v>
      </c>
      <c r="H95" s="214">
        <f>IF(ISERROR(VLOOKUP($B95,'RELACION VTAS - CHS'!$F$7:$V$250,16,FALSE))=FALSE,VLOOKUP($B95,'RELACION VTAS - CHS'!$F$7:$V$250,17,FALSE),0)</f>
        <v>0</v>
      </c>
      <c r="I95" s="209">
        <f>SUMIF('REPORTE GASTOS'!C:C,COBRANZA!B95,'REPORTE GASTOS'!I:I)</f>
        <v>0</v>
      </c>
      <c r="J95" s="216">
        <f t="shared" si="9"/>
        <v>0</v>
      </c>
      <c r="K95" s="65"/>
    </row>
    <row r="96" spans="1:11">
      <c r="A96" s="40">
        <v>76</v>
      </c>
      <c r="B96" s="76" t="str">
        <f>IF(ISERROR(VLOOKUP(A96,'RELACION VTAS - CHS'!D:F,3,FALSE))=FALSE,VLOOKUP(A96,'RELACION VTAS - CHS'!D:F,3,FALSE),"")</f>
        <v/>
      </c>
      <c r="C96" s="233" t="str">
        <f>IF(B96="","",VLOOKUP(B96,'RELACION VTAS - CHS'!F:H,3,FALSE))</f>
        <v/>
      </c>
      <c r="D96" s="55" t="str">
        <f>IF(B96="","",VLOOKUP(B96,'RELACION VTAS - CHS'!F:H,2,FALSE))</f>
        <v/>
      </c>
      <c r="E96" s="215">
        <f>IF(ISERROR(VLOOKUP($B96,'RELACION VTAS - CHS'!$F$7:$V$250,16,FALSE))=FALSE,VLOOKUP($B96,'RELACION VTAS - CHS'!$F$7:$V$250,16,FALSE),0)</f>
        <v>0</v>
      </c>
      <c r="F96" s="215">
        <f>SUMIF('REPORTE GASTOS'!C:C,COBRANZA!B96,'REPORTE GASTOS'!G:G)</f>
        <v>0</v>
      </c>
      <c r="G96" s="216">
        <f t="shared" si="8"/>
        <v>0</v>
      </c>
      <c r="H96" s="214">
        <f>IF(ISERROR(VLOOKUP($B96,'RELACION VTAS - CHS'!$F$7:$V$250,16,FALSE))=FALSE,VLOOKUP($B96,'RELACION VTAS - CHS'!$F$7:$V$250,17,FALSE),0)</f>
        <v>0</v>
      </c>
      <c r="I96" s="209">
        <f>SUMIF('REPORTE GASTOS'!C:C,COBRANZA!B96,'REPORTE GASTOS'!I:I)</f>
        <v>0</v>
      </c>
      <c r="J96" s="216">
        <f t="shared" si="9"/>
        <v>0</v>
      </c>
      <c r="K96" s="65"/>
    </row>
    <row r="97" spans="1:11">
      <c r="A97" s="40">
        <v>77</v>
      </c>
      <c r="B97" s="76" t="str">
        <f>IF(ISERROR(VLOOKUP(A97,'RELACION VTAS - CHS'!D:F,3,FALSE))=FALSE,VLOOKUP(A97,'RELACION VTAS - CHS'!D:F,3,FALSE),"")</f>
        <v/>
      </c>
      <c r="C97" s="233" t="str">
        <f>IF(B97="","",VLOOKUP(B97,'RELACION VTAS - CHS'!F:H,3,FALSE))</f>
        <v/>
      </c>
      <c r="D97" s="55" t="str">
        <f>IF(B97="","",VLOOKUP(B97,'RELACION VTAS - CHS'!F:H,2,FALSE))</f>
        <v/>
      </c>
      <c r="E97" s="215">
        <f>IF(ISERROR(VLOOKUP($B97,'RELACION VTAS - CHS'!$F$7:$V$250,16,FALSE))=FALSE,VLOOKUP($B97,'RELACION VTAS - CHS'!$F$7:$V$250,16,FALSE),0)</f>
        <v>0</v>
      </c>
      <c r="F97" s="215">
        <f>SUMIF('REPORTE GASTOS'!C:C,COBRANZA!B97,'REPORTE GASTOS'!G:G)</f>
        <v>0</v>
      </c>
      <c r="G97" s="216">
        <f t="shared" si="8"/>
        <v>0</v>
      </c>
      <c r="H97" s="214">
        <f>IF(ISERROR(VLOOKUP($B97,'RELACION VTAS - CHS'!$F$7:$V$250,16,FALSE))=FALSE,VLOOKUP($B97,'RELACION VTAS - CHS'!$F$7:$V$250,17,FALSE),0)</f>
        <v>0</v>
      </c>
      <c r="I97" s="209">
        <f>SUMIF('REPORTE GASTOS'!C:C,COBRANZA!B97,'REPORTE GASTOS'!I:I)</f>
        <v>0</v>
      </c>
      <c r="J97" s="216">
        <f t="shared" si="9"/>
        <v>0</v>
      </c>
      <c r="K97" s="65"/>
    </row>
    <row r="98" spans="1:11">
      <c r="A98" s="40">
        <v>78</v>
      </c>
      <c r="B98" s="76" t="str">
        <f>IF(ISERROR(VLOOKUP(A98,'RELACION VTAS - CHS'!D:F,3,FALSE))=FALSE,VLOOKUP(A98,'RELACION VTAS - CHS'!D:F,3,FALSE),"")</f>
        <v>`00001897</v>
      </c>
      <c r="C98" s="233" t="str">
        <f>IF(B98="","",VLOOKUP(B98,'RELACION VTAS - CHS'!F:H,3,FALSE))</f>
        <v>E - CERAMIC, C. A.</v>
      </c>
      <c r="D98" s="55">
        <f>IF(B98="","",VLOOKUP(B98,'RELACION VTAS - CHS'!F:H,2,FALSE))</f>
        <v>44889</v>
      </c>
      <c r="E98" s="215">
        <f>IF(ISERROR(VLOOKUP($B98,'RELACION VTAS - CHS'!$F$7:$V$250,16,FALSE))=FALSE,VLOOKUP($B98,'RELACION VTAS - CHS'!$F$7:$V$250,16,FALSE),0)</f>
        <v>0</v>
      </c>
      <c r="F98" s="215">
        <f>SUMIF('REPORTE GASTOS'!C:C,COBRANZA!B98,'REPORTE GASTOS'!G:G)</f>
        <v>0</v>
      </c>
      <c r="G98" s="216">
        <f t="shared" si="8"/>
        <v>0</v>
      </c>
      <c r="H98" s="214">
        <f>IF(ISERROR(VLOOKUP($B98,'RELACION VTAS - CHS'!$F$7:$V$250,16,FALSE))=FALSE,VLOOKUP($B98,'RELACION VTAS - CHS'!$F$7:$V$250,17,FALSE),0)</f>
        <v>0</v>
      </c>
      <c r="I98" s="209">
        <f>SUMIF('REPORTE GASTOS'!C:C,COBRANZA!B98,'REPORTE GASTOS'!I:I)</f>
        <v>0</v>
      </c>
      <c r="J98" s="216">
        <f t="shared" si="9"/>
        <v>0</v>
      </c>
      <c r="K98" s="65"/>
    </row>
    <row r="99" spans="1:11">
      <c r="A99" s="40">
        <v>79</v>
      </c>
      <c r="B99" s="76" t="str">
        <f>IF(ISERROR(VLOOKUP(A99,'RELACION VTAS - CHS'!D:F,3,FALSE))=FALSE,VLOOKUP(A99,'RELACION VTAS - CHS'!D:F,3,FALSE),"")</f>
        <v>`00001902</v>
      </c>
      <c r="C99" s="233" t="str">
        <f>IF(B99="","",VLOOKUP(B99,'RELACION VTAS - CHS'!F:H,3,FALSE))</f>
        <v>E - CERAMIC, C. A.</v>
      </c>
      <c r="D99" s="55">
        <f>IF(B99="","",VLOOKUP(B99,'RELACION VTAS - CHS'!F:H,2,FALSE))</f>
        <v>44901</v>
      </c>
      <c r="E99" s="215">
        <f>IF(ISERROR(VLOOKUP($B99,'RELACION VTAS - CHS'!$F$7:$V$250,16,FALSE))=FALSE,VLOOKUP($B99,'RELACION VTAS - CHS'!$F$7:$V$250,16,FALSE),0)</f>
        <v>0</v>
      </c>
      <c r="F99" s="215">
        <f>SUMIF('REPORTE GASTOS'!C:C,COBRANZA!B99,'REPORTE GASTOS'!G:G)</f>
        <v>0</v>
      </c>
      <c r="G99" s="216">
        <f t="shared" si="8"/>
        <v>0</v>
      </c>
      <c r="H99" s="214">
        <f>IF(ISERROR(VLOOKUP($B99,'RELACION VTAS - CHS'!$F$7:$V$250,16,FALSE))=FALSE,VLOOKUP($B99,'RELACION VTAS - CHS'!$F$7:$V$250,17,FALSE),0)</f>
        <v>0</v>
      </c>
      <c r="I99" s="209">
        <f>SUMIF('REPORTE GASTOS'!C:C,COBRANZA!B99,'REPORTE GASTOS'!I:I)</f>
        <v>0</v>
      </c>
      <c r="J99" s="216">
        <f t="shared" si="9"/>
        <v>0</v>
      </c>
      <c r="K99" s="65"/>
    </row>
    <row r="100" spans="1:11">
      <c r="A100" s="40">
        <v>80</v>
      </c>
      <c r="B100" s="76" t="str">
        <f>IF(ISERROR(VLOOKUP(A100,'RELACION VTAS - CHS'!D:F,3,FALSE))=FALSE,VLOOKUP(A100,'RELACION VTAS - CHS'!D:F,3,FALSE),"")</f>
        <v>`00001903</v>
      </c>
      <c r="C100" s="233" t="str">
        <f>IF(B100="","",VLOOKUP(B100,'RELACION VTAS - CHS'!F:H,3,FALSE))</f>
        <v>E - CERAMIC, C. A.</v>
      </c>
      <c r="D100" s="55">
        <f>IF(B100="","",VLOOKUP(B100,'RELACION VTAS - CHS'!F:H,2,FALSE))</f>
        <v>44908</v>
      </c>
      <c r="E100" s="215">
        <f>IF(ISERROR(VLOOKUP($B100,'RELACION VTAS - CHS'!$F$7:$V$250,16,FALSE))=FALSE,VLOOKUP($B100,'RELACION VTAS - CHS'!$F$7:$V$250,16,FALSE),0)</f>
        <v>0</v>
      </c>
      <c r="F100" s="215">
        <f>SUMIF('REPORTE GASTOS'!C:C,COBRANZA!B100,'REPORTE GASTOS'!G:G)</f>
        <v>0</v>
      </c>
      <c r="G100" s="216">
        <f t="shared" si="8"/>
        <v>0</v>
      </c>
      <c r="H100" s="214">
        <f>IF(ISERROR(VLOOKUP($B100,'RELACION VTAS - CHS'!$F$7:$V$250,16,FALSE))=FALSE,VLOOKUP($B100,'RELACION VTAS - CHS'!$F$7:$V$250,17,FALSE),0)</f>
        <v>0</v>
      </c>
      <c r="I100" s="209">
        <f>SUMIF('REPORTE GASTOS'!C:C,COBRANZA!B100,'REPORTE GASTOS'!I:I)</f>
        <v>0</v>
      </c>
      <c r="J100" s="216">
        <f t="shared" si="9"/>
        <v>0</v>
      </c>
      <c r="K100" s="65"/>
    </row>
    <row r="101" spans="1:11" s="85" customFormat="1">
      <c r="A101" s="40">
        <v>81</v>
      </c>
      <c r="B101" s="76" t="str">
        <f>IF(ISERROR(VLOOKUP(A101,'RELACION VTAS - CHS'!D:F,3,FALSE))=FALSE,VLOOKUP(A101,'RELACION VTAS - CHS'!D:F,3,FALSE),"")</f>
        <v>`00001904</v>
      </c>
      <c r="C101" s="233" t="str">
        <f>IF(B101="","",VLOOKUP(B101,'RELACION VTAS - CHS'!F:H,3,FALSE))</f>
        <v>INVERSIONES Y SUMINISTROS SULAG1, C.A.</v>
      </c>
      <c r="D101" s="55">
        <f>IF(B101="","",VLOOKUP(B101,'RELACION VTAS - CHS'!F:H,2,FALSE))</f>
        <v>44909</v>
      </c>
      <c r="E101" s="215">
        <f>IF(ISERROR(VLOOKUP($B101,'RELACION VTAS - CHS'!$F$7:$V$250,16,FALSE))=FALSE,VLOOKUP($B101,'RELACION VTAS - CHS'!$F$7:$V$250,16,FALSE),0)</f>
        <v>239.85</v>
      </c>
      <c r="F101" s="215">
        <f>SUMIF('REPORTE GASTOS'!C:C,COBRANZA!B101,'REPORTE GASTOS'!G:G)</f>
        <v>0</v>
      </c>
      <c r="G101" s="216">
        <f t="shared" si="8"/>
        <v>239.85</v>
      </c>
      <c r="H101" s="214">
        <f>IF(ISERROR(VLOOKUP($B101,'RELACION VTAS - CHS'!$F$7:$V$250,16,FALSE))=FALSE,VLOOKUP($B101,'RELACION VTAS - CHS'!$F$7:$V$250,17,FALSE),0)</f>
        <v>3389.0805</v>
      </c>
      <c r="I101" s="209">
        <f>SUMIF('REPORTE GASTOS'!C:C,COBRANZA!B101,'REPORTE GASTOS'!I:I)</f>
        <v>0</v>
      </c>
      <c r="J101" s="216">
        <f t="shared" si="9"/>
        <v>3389.0805</v>
      </c>
      <c r="K101" s="65"/>
    </row>
    <row r="102" spans="1:11" s="85" customFormat="1">
      <c r="A102" s="40">
        <v>82</v>
      </c>
      <c r="B102" s="76" t="str">
        <f>IF(ISERROR(VLOOKUP(A102,'RELACION VTAS - CHS'!D:F,3,FALSE))=FALSE,VLOOKUP(A102,'RELACION VTAS - CHS'!D:F,3,FALSE),"")</f>
        <v>`00001905</v>
      </c>
      <c r="C102" s="233" t="str">
        <f>IF(B102="","",VLOOKUP(B102,'RELACION VTAS - CHS'!F:H,3,FALSE))</f>
        <v>FERRETERIA EL ANCLA, S.A.</v>
      </c>
      <c r="D102" s="55">
        <f>IF(B102="","",VLOOKUP(B102,'RELACION VTAS - CHS'!F:H,2,FALSE))</f>
        <v>44916</v>
      </c>
      <c r="E102" s="215">
        <f>IF(ISERROR(VLOOKUP($B102,'RELACION VTAS - CHS'!$F$7:$V$250,16,FALSE))=FALSE,VLOOKUP($B102,'RELACION VTAS - CHS'!$F$7:$V$250,16,FALSE),0)</f>
        <v>0</v>
      </c>
      <c r="F102" s="215">
        <f>SUMIF('REPORTE GASTOS'!C:C,COBRANZA!B102,'REPORTE GASTOS'!G:G)</f>
        <v>0</v>
      </c>
      <c r="G102" s="216">
        <f t="shared" si="8"/>
        <v>0</v>
      </c>
      <c r="H102" s="214">
        <f>IF(ISERROR(VLOOKUP($B102,'RELACION VTAS - CHS'!$F$7:$V$250,16,FALSE))=FALSE,VLOOKUP($B102,'RELACION VTAS - CHS'!$F$7:$V$250,17,FALSE),0)</f>
        <v>0</v>
      </c>
      <c r="I102" s="209">
        <f>SUMIF('REPORTE GASTOS'!C:C,COBRANZA!B102,'REPORTE GASTOS'!I:I)</f>
        <v>0</v>
      </c>
      <c r="J102" s="216">
        <f t="shared" si="9"/>
        <v>0</v>
      </c>
      <c r="K102" s="65"/>
    </row>
    <row r="103" spans="1:11" s="85" customFormat="1">
      <c r="A103" s="40">
        <v>83</v>
      </c>
      <c r="B103" s="76" t="str">
        <f>IF(ISERROR(VLOOKUP(A103,'RELACION VTAS - CHS'!D:F,3,FALSE))=FALSE,VLOOKUP(A103,'RELACION VTAS - CHS'!D:F,3,FALSE),"")</f>
        <v>`00001906</v>
      </c>
      <c r="C103" s="233" t="str">
        <f>IF(B103="","",VLOOKUP(B103,'RELACION VTAS - CHS'!F:H,3,FALSE))</f>
        <v>E-CERAMIC, C.A.</v>
      </c>
      <c r="D103" s="55">
        <f>IF(B103="","",VLOOKUP(B103,'RELACION VTAS - CHS'!F:H,2,FALSE))</f>
        <v>44917</v>
      </c>
      <c r="E103" s="215">
        <f>IF(ISERROR(VLOOKUP($B103,'RELACION VTAS - CHS'!$F$7:$V$250,16,FALSE))=FALSE,VLOOKUP($B103,'RELACION VTAS - CHS'!$F$7:$V$250,16,FALSE),0)</f>
        <v>0</v>
      </c>
      <c r="F103" s="215">
        <f>SUMIF('REPORTE GASTOS'!C:C,COBRANZA!B103,'REPORTE GASTOS'!G:G)</f>
        <v>0</v>
      </c>
      <c r="G103" s="216">
        <f t="shared" si="8"/>
        <v>0</v>
      </c>
      <c r="H103" s="214">
        <f>IF(ISERROR(VLOOKUP($B103,'RELACION VTAS - CHS'!$F$7:$V$250,16,FALSE))=FALSE,VLOOKUP($B103,'RELACION VTAS - CHS'!$F$7:$V$250,17,FALSE),0)</f>
        <v>0</v>
      </c>
      <c r="I103" s="209">
        <f>SUMIF('REPORTE GASTOS'!C:C,COBRANZA!B103,'REPORTE GASTOS'!I:I)</f>
        <v>0</v>
      </c>
      <c r="J103" s="216">
        <f t="shared" si="9"/>
        <v>0</v>
      </c>
      <c r="K103" s="65"/>
    </row>
    <row r="104" spans="1:11" s="85" customFormat="1">
      <c r="A104" s="40">
        <v>84</v>
      </c>
      <c r="B104" s="76" t="str">
        <f>IF(ISERROR(VLOOKUP(A104,'RELACION VTAS - CHS'!D:F,3,FALSE))=FALSE,VLOOKUP(A104,'RELACION VTAS - CHS'!D:F,3,FALSE),"")</f>
        <v>`00001907</v>
      </c>
      <c r="C104" s="233" t="str">
        <f>IF(B104="","",VLOOKUP(B104,'RELACION VTAS - CHS'!F:H,3,FALSE))</f>
        <v>FERRETERIA EL ANCLA, S.A.</v>
      </c>
      <c r="D104" s="55">
        <f>IF(B104="","",VLOOKUP(B104,'RELACION VTAS - CHS'!F:H,2,FALSE))</f>
        <v>44925</v>
      </c>
      <c r="E104" s="215">
        <f>IF(ISERROR(VLOOKUP($B104,'RELACION VTAS - CHS'!$F$7:$V$250,16,FALSE))=FALSE,VLOOKUP($B104,'RELACION VTAS - CHS'!$F$7:$V$250,16,FALSE),0)</f>
        <v>0</v>
      </c>
      <c r="F104" s="215">
        <f>SUMIF('REPORTE GASTOS'!C:C,COBRANZA!B104,'REPORTE GASTOS'!G:G)</f>
        <v>0</v>
      </c>
      <c r="G104" s="216">
        <f t="shared" si="8"/>
        <v>0</v>
      </c>
      <c r="H104" s="214">
        <f>IF(ISERROR(VLOOKUP($B104,'RELACION VTAS - CHS'!$F$7:$V$250,16,FALSE))=FALSE,VLOOKUP($B104,'RELACION VTAS - CHS'!$F$7:$V$250,17,FALSE),0)</f>
        <v>0</v>
      </c>
      <c r="I104" s="209">
        <f>SUMIF('REPORTE GASTOS'!C:C,COBRANZA!B104,'REPORTE GASTOS'!I:I)</f>
        <v>0</v>
      </c>
      <c r="J104" s="216">
        <f t="shared" si="9"/>
        <v>0</v>
      </c>
      <c r="K104" s="65"/>
    </row>
    <row r="105" spans="1:11" s="85" customFormat="1">
      <c r="A105" s="40">
        <v>85</v>
      </c>
      <c r="B105" s="76" t="str">
        <f>IF(ISERROR(VLOOKUP(A105,'RELACION VTAS - CHS'!D:F,3,FALSE))=FALSE,VLOOKUP(A105,'RELACION VTAS - CHS'!D:F,3,FALSE),"")</f>
        <v>`00001908</v>
      </c>
      <c r="C105" s="233" t="str">
        <f>IF(B105="","",VLOOKUP(B105,'RELACION VTAS - CHS'!F:H,3,FALSE))</f>
        <v>E-CERAMIC, C.A.</v>
      </c>
      <c r="D105" s="55">
        <f>IF(B105="","",VLOOKUP(B105,'RELACION VTAS - CHS'!F:H,2,FALSE))</f>
        <v>44936</v>
      </c>
      <c r="E105" s="215">
        <f>IF(ISERROR(VLOOKUP($B105,'RELACION VTAS - CHS'!$F$7:$V$250,16,FALSE))=FALSE,VLOOKUP($B105,'RELACION VTAS - CHS'!$F$7:$V$250,16,FALSE),0)</f>
        <v>0</v>
      </c>
      <c r="F105" s="215">
        <f>SUMIF('REPORTE GASTOS'!C:C,COBRANZA!B105,'REPORTE GASTOS'!G:G)</f>
        <v>0</v>
      </c>
      <c r="G105" s="216">
        <f t="shared" si="8"/>
        <v>0</v>
      </c>
      <c r="H105" s="214">
        <f>IF(ISERROR(VLOOKUP($B105,'RELACION VTAS - CHS'!$F$7:$V$250,16,FALSE))=FALSE,VLOOKUP($B105,'RELACION VTAS - CHS'!$F$7:$V$250,17,FALSE),0)</f>
        <v>0</v>
      </c>
      <c r="I105" s="209">
        <f>SUMIF('REPORTE GASTOS'!C:C,COBRANZA!B105,'REPORTE GASTOS'!I:I)</f>
        <v>0</v>
      </c>
      <c r="J105" s="216">
        <f t="shared" si="9"/>
        <v>0</v>
      </c>
      <c r="K105" s="65"/>
    </row>
    <row r="106" spans="1:11" s="85" customFormat="1">
      <c r="A106" s="40">
        <v>86</v>
      </c>
      <c r="B106" s="76" t="str">
        <f>IF(ISERROR(VLOOKUP(A106,'RELACION VTAS - CHS'!D:F,3,FALSE))=FALSE,VLOOKUP(A106,'RELACION VTAS - CHS'!D:F,3,FALSE),"")</f>
        <v/>
      </c>
      <c r="C106" s="233" t="str">
        <f>IF(B106="","",VLOOKUP(B106,'RELACION VTAS - CHS'!F:H,3,FALSE))</f>
        <v/>
      </c>
      <c r="D106" s="55" t="str">
        <f>IF(B106="","",VLOOKUP(B106,'RELACION VTAS - CHS'!F:H,2,FALSE))</f>
        <v/>
      </c>
      <c r="E106" s="215">
        <f>IF(ISERROR(VLOOKUP($B106,'RELACION VTAS - CHS'!$F$7:$V$250,16,FALSE))=FALSE,VLOOKUP($B106,'RELACION VTAS - CHS'!$F$7:$V$250,16,FALSE),0)</f>
        <v>0</v>
      </c>
      <c r="F106" s="215">
        <f>SUMIF('REPORTE GASTOS'!C:C,COBRANZA!B106,'REPORTE GASTOS'!G:G)</f>
        <v>0</v>
      </c>
      <c r="G106" s="216">
        <f t="shared" si="8"/>
        <v>0</v>
      </c>
      <c r="H106" s="214">
        <f>IF(ISERROR(VLOOKUP($B106,'RELACION VTAS - CHS'!$F$7:$V$250,16,FALSE))=FALSE,VLOOKUP($B106,'RELACION VTAS - CHS'!$F$7:$V$250,17,FALSE),0)</f>
        <v>0</v>
      </c>
      <c r="I106" s="209">
        <f>SUMIF('REPORTE GASTOS'!C:C,COBRANZA!B106,'REPORTE GASTOS'!I:I)</f>
        <v>0</v>
      </c>
      <c r="J106" s="216">
        <f t="shared" si="9"/>
        <v>0</v>
      </c>
      <c r="K106" s="65"/>
    </row>
    <row r="107" spans="1:11" s="85" customFormat="1">
      <c r="A107" s="40">
        <v>87</v>
      </c>
      <c r="B107" s="76" t="str">
        <f>IF(ISERROR(VLOOKUP(A107,'RELACION VTAS - CHS'!D:F,3,FALSE))=FALSE,VLOOKUP(A107,'RELACION VTAS - CHS'!D:F,3,FALSE),"")</f>
        <v/>
      </c>
      <c r="C107" s="233" t="str">
        <f>IF(B107="","",VLOOKUP(B107,'RELACION VTAS - CHS'!F:H,3,FALSE))</f>
        <v/>
      </c>
      <c r="D107" s="55" t="str">
        <f>IF(B107="","",VLOOKUP(B107,'RELACION VTAS - CHS'!F:H,2,FALSE))</f>
        <v/>
      </c>
      <c r="E107" s="215">
        <f>IF(ISERROR(VLOOKUP($B107,'RELACION VTAS - CHS'!$F$7:$V$250,16,FALSE))=FALSE,VLOOKUP($B107,'RELACION VTAS - CHS'!$F$7:$V$250,16,FALSE),0)</f>
        <v>0</v>
      </c>
      <c r="F107" s="215">
        <f>SUMIF('REPORTE GASTOS'!C:C,COBRANZA!B107,'REPORTE GASTOS'!G:G)</f>
        <v>0</v>
      </c>
      <c r="G107" s="216">
        <f t="shared" si="8"/>
        <v>0</v>
      </c>
      <c r="H107" s="214">
        <f>IF(ISERROR(VLOOKUP($B107,'RELACION VTAS - CHS'!$F$7:$V$250,16,FALSE))=FALSE,VLOOKUP($B107,'RELACION VTAS - CHS'!$F$7:$V$250,17,FALSE),0)</f>
        <v>0</v>
      </c>
      <c r="I107" s="209">
        <f>SUMIF('REPORTE GASTOS'!C:C,COBRANZA!B107,'REPORTE GASTOS'!I:I)</f>
        <v>0</v>
      </c>
      <c r="J107" s="216">
        <f t="shared" si="9"/>
        <v>0</v>
      </c>
      <c r="K107" s="65"/>
    </row>
    <row r="108" spans="1:11" s="85" customFormat="1">
      <c r="A108" s="40">
        <v>88</v>
      </c>
      <c r="B108" s="76" t="str">
        <f>IF(ISERROR(VLOOKUP(A108,'RELACION VTAS - CHS'!D:F,3,FALSE))=FALSE,VLOOKUP(A108,'RELACION VTAS - CHS'!D:F,3,FALSE),"")</f>
        <v/>
      </c>
      <c r="C108" s="233" t="str">
        <f>IF(B108="","",VLOOKUP(B108,'RELACION VTAS - CHS'!F:H,3,FALSE))</f>
        <v/>
      </c>
      <c r="D108" s="55" t="str">
        <f>IF(B108="","",VLOOKUP(B108,'RELACION VTAS - CHS'!F:H,2,FALSE))</f>
        <v/>
      </c>
      <c r="E108" s="215">
        <f>IF(ISERROR(VLOOKUP($B108,'RELACION VTAS - CHS'!$F$7:$V$250,16,FALSE))=FALSE,VLOOKUP($B108,'RELACION VTAS - CHS'!$F$7:$V$250,16,FALSE),0)</f>
        <v>0</v>
      </c>
      <c r="F108" s="215">
        <f>SUMIF('REPORTE GASTOS'!C:C,COBRANZA!B108,'REPORTE GASTOS'!G:G)</f>
        <v>0</v>
      </c>
      <c r="G108" s="216">
        <f t="shared" si="8"/>
        <v>0</v>
      </c>
      <c r="H108" s="214">
        <f>IF(ISERROR(VLOOKUP($B108,'RELACION VTAS - CHS'!$F$7:$V$250,16,FALSE))=FALSE,VLOOKUP($B108,'RELACION VTAS - CHS'!$F$7:$V$250,17,FALSE),0)</f>
        <v>0</v>
      </c>
      <c r="I108" s="209">
        <f>SUMIF('REPORTE GASTOS'!C:C,COBRANZA!B108,'REPORTE GASTOS'!I:I)</f>
        <v>0</v>
      </c>
      <c r="J108" s="216">
        <f t="shared" si="9"/>
        <v>0</v>
      </c>
      <c r="K108" s="65"/>
    </row>
    <row r="109" spans="1:11" s="85" customFormat="1">
      <c r="A109" s="40">
        <v>89</v>
      </c>
      <c r="B109" s="76" t="str">
        <f>IF(ISERROR(VLOOKUP(A109,'RELACION VTAS - CHS'!D:F,3,FALSE))=FALSE,VLOOKUP(A109,'RELACION VTAS - CHS'!D:F,3,FALSE),"")</f>
        <v/>
      </c>
      <c r="C109" s="233" t="str">
        <f>IF(B109="","",VLOOKUP(B109,'RELACION VTAS - CHS'!F:H,3,FALSE))</f>
        <v/>
      </c>
      <c r="D109" s="55" t="str">
        <f>IF(B109="","",VLOOKUP(B109,'RELACION VTAS - CHS'!F:H,2,FALSE))</f>
        <v/>
      </c>
      <c r="E109" s="215">
        <f>IF(ISERROR(VLOOKUP($B109,'RELACION VTAS - CHS'!$F$7:$V$250,16,FALSE))=FALSE,VLOOKUP($B109,'RELACION VTAS - CHS'!$F$7:$V$250,16,FALSE),0)</f>
        <v>0</v>
      </c>
      <c r="F109" s="215">
        <f>SUMIF('REPORTE GASTOS'!C:C,COBRANZA!B109,'REPORTE GASTOS'!G:G)</f>
        <v>0</v>
      </c>
      <c r="G109" s="216">
        <f t="shared" si="8"/>
        <v>0</v>
      </c>
      <c r="H109" s="214">
        <f>IF(ISERROR(VLOOKUP($B109,'RELACION VTAS - CHS'!$F$7:$V$250,16,FALSE))=FALSE,VLOOKUP($B109,'RELACION VTAS - CHS'!$F$7:$V$250,17,FALSE),0)</f>
        <v>0</v>
      </c>
      <c r="I109" s="209">
        <f>SUMIF('REPORTE GASTOS'!C:C,COBRANZA!B109,'REPORTE GASTOS'!I:I)</f>
        <v>0</v>
      </c>
      <c r="J109" s="216">
        <f t="shared" si="9"/>
        <v>0</v>
      </c>
      <c r="K109" s="65"/>
    </row>
    <row r="110" spans="1:11" s="85" customFormat="1">
      <c r="A110" s="40">
        <v>90</v>
      </c>
      <c r="B110" s="76" t="str">
        <f>IF(ISERROR(VLOOKUP(A110,'RELACION VTAS - CHS'!D:F,3,FALSE))=FALSE,VLOOKUP(A110,'RELACION VTAS - CHS'!D:F,3,FALSE),"")</f>
        <v/>
      </c>
      <c r="C110" s="233" t="str">
        <f>IF(B110="","",VLOOKUP(B110,'RELACION VTAS - CHS'!F:H,3,FALSE))</f>
        <v/>
      </c>
      <c r="D110" s="55" t="str">
        <f>IF(B110="","",VLOOKUP(B110,'RELACION VTAS - CHS'!F:H,2,FALSE))</f>
        <v/>
      </c>
      <c r="E110" s="215">
        <f>IF(ISERROR(VLOOKUP($B110,'RELACION VTAS - CHS'!$F$7:$V$250,16,FALSE))=FALSE,VLOOKUP($B110,'RELACION VTAS - CHS'!$F$7:$V$250,16,FALSE),0)</f>
        <v>0</v>
      </c>
      <c r="F110" s="215">
        <f>SUMIF('REPORTE GASTOS'!C:C,COBRANZA!B110,'REPORTE GASTOS'!G:G)</f>
        <v>0</v>
      </c>
      <c r="G110" s="216">
        <f t="shared" si="8"/>
        <v>0</v>
      </c>
      <c r="H110" s="214">
        <f>IF(ISERROR(VLOOKUP($B110,'RELACION VTAS - CHS'!$F$7:$V$250,16,FALSE))=FALSE,VLOOKUP($B110,'RELACION VTAS - CHS'!$F$7:$V$250,17,FALSE),0)</f>
        <v>0</v>
      </c>
      <c r="I110" s="209">
        <f>SUMIF('REPORTE GASTOS'!C:C,COBRANZA!B110,'REPORTE GASTOS'!I:I)</f>
        <v>0</v>
      </c>
      <c r="J110" s="216">
        <f t="shared" si="9"/>
        <v>0</v>
      </c>
      <c r="K110" s="65"/>
    </row>
    <row r="111" spans="1:11" s="85" customFormat="1">
      <c r="A111" s="40">
        <v>91</v>
      </c>
      <c r="B111" s="76" t="str">
        <f>IF(ISERROR(VLOOKUP(A111,'RELACION VTAS - CHS'!D:F,3,FALSE))=FALSE,VLOOKUP(A111,'RELACION VTAS - CHS'!D:F,3,FALSE),"")</f>
        <v/>
      </c>
      <c r="C111" s="233" t="str">
        <f>IF(B111="","",VLOOKUP(B111,'RELACION VTAS - CHS'!F:H,3,FALSE))</f>
        <v/>
      </c>
      <c r="D111" s="55" t="str">
        <f>IF(B111="","",VLOOKUP(B111,'RELACION VTAS - CHS'!F:H,2,FALSE))</f>
        <v/>
      </c>
      <c r="E111" s="215">
        <f>IF(ISERROR(VLOOKUP($B111,'RELACION VTAS - CHS'!$F$7:$V$250,16,FALSE))=FALSE,VLOOKUP($B111,'RELACION VTAS - CHS'!$F$7:$V$250,16,FALSE),0)</f>
        <v>0</v>
      </c>
      <c r="F111" s="215">
        <f>SUMIF('REPORTE GASTOS'!C:C,COBRANZA!B111,'REPORTE GASTOS'!G:G)</f>
        <v>0</v>
      </c>
      <c r="G111" s="216">
        <f t="shared" si="8"/>
        <v>0</v>
      </c>
      <c r="H111" s="214">
        <f>IF(ISERROR(VLOOKUP($B111,'RELACION VTAS - CHS'!$F$7:$V$250,16,FALSE))=FALSE,VLOOKUP($B111,'RELACION VTAS - CHS'!$F$7:$V$250,17,FALSE),0)</f>
        <v>0</v>
      </c>
      <c r="I111" s="209">
        <f>SUMIF('REPORTE GASTOS'!C:C,COBRANZA!B111,'REPORTE GASTOS'!I:I)</f>
        <v>0</v>
      </c>
      <c r="J111" s="216">
        <f t="shared" si="9"/>
        <v>0</v>
      </c>
      <c r="K111" s="65"/>
    </row>
    <row r="112" spans="1:11" s="85" customFormat="1">
      <c r="A112" s="40">
        <v>92</v>
      </c>
      <c r="B112" s="76" t="str">
        <f>IF(ISERROR(VLOOKUP(A112,'RELACION VTAS - CHS'!D:F,3,FALSE))=FALSE,VLOOKUP(A112,'RELACION VTAS - CHS'!D:F,3,FALSE),"")</f>
        <v/>
      </c>
      <c r="C112" s="233" t="str">
        <f>IF(B112="","",VLOOKUP(B112,'RELACION VTAS - CHS'!F:H,3,FALSE))</f>
        <v/>
      </c>
      <c r="D112" s="55" t="str">
        <f>IF(B112="","",VLOOKUP(B112,'RELACION VTAS - CHS'!F:H,2,FALSE))</f>
        <v/>
      </c>
      <c r="E112" s="215">
        <f>IF(ISERROR(VLOOKUP($B112,'RELACION VTAS - CHS'!$F$7:$V$250,16,FALSE))=FALSE,VLOOKUP($B112,'RELACION VTAS - CHS'!$F$7:$V$250,16,FALSE),0)</f>
        <v>0</v>
      </c>
      <c r="F112" s="215">
        <f>SUMIF('REPORTE GASTOS'!C:C,COBRANZA!B112,'REPORTE GASTOS'!G:G)</f>
        <v>0</v>
      </c>
      <c r="G112" s="216">
        <f t="shared" si="8"/>
        <v>0</v>
      </c>
      <c r="H112" s="214">
        <f>IF(ISERROR(VLOOKUP($B112,'RELACION VTAS - CHS'!$F$7:$V$250,16,FALSE))=FALSE,VLOOKUP($B112,'RELACION VTAS - CHS'!$F$7:$V$250,17,FALSE),0)</f>
        <v>0</v>
      </c>
      <c r="I112" s="209">
        <f>SUMIF('REPORTE GASTOS'!C:C,COBRANZA!B112,'REPORTE GASTOS'!I:I)</f>
        <v>0</v>
      </c>
      <c r="J112" s="216">
        <f t="shared" si="9"/>
        <v>0</v>
      </c>
      <c r="K112" s="65"/>
    </row>
    <row r="113" spans="1:11" s="85" customFormat="1">
      <c r="A113" s="40">
        <v>93</v>
      </c>
      <c r="B113" s="76" t="str">
        <f>IF(ISERROR(VLOOKUP(A113,'RELACION VTAS - CHS'!D:F,3,FALSE))=FALSE,VLOOKUP(A113,'RELACION VTAS - CHS'!D:F,3,FALSE),"")</f>
        <v/>
      </c>
      <c r="C113" s="233" t="str">
        <f>IF(B113="","",VLOOKUP(B113,'RELACION VTAS - CHS'!F:H,3,FALSE))</f>
        <v/>
      </c>
      <c r="D113" s="55" t="str">
        <f>IF(B113="","",VLOOKUP(B113,'RELACION VTAS - CHS'!F:H,2,FALSE))</f>
        <v/>
      </c>
      <c r="E113" s="215">
        <f>IF(ISERROR(VLOOKUP($B113,'RELACION VTAS - CHS'!$F$7:$V$250,16,FALSE))=FALSE,VLOOKUP($B113,'RELACION VTAS - CHS'!$F$7:$V$250,16,FALSE),0)</f>
        <v>0</v>
      </c>
      <c r="F113" s="215">
        <f>SUMIF('REPORTE GASTOS'!C:C,COBRANZA!B113,'REPORTE GASTOS'!G:G)</f>
        <v>0</v>
      </c>
      <c r="G113" s="216">
        <f t="shared" si="8"/>
        <v>0</v>
      </c>
      <c r="H113" s="214">
        <f>IF(ISERROR(VLOOKUP($B113,'RELACION VTAS - CHS'!$F$7:$V$250,16,FALSE))=FALSE,VLOOKUP($B113,'RELACION VTAS - CHS'!$F$7:$V$250,17,FALSE),0)</f>
        <v>0</v>
      </c>
      <c r="I113" s="209">
        <f>SUMIF('REPORTE GASTOS'!C:C,COBRANZA!B113,'REPORTE GASTOS'!I:I)</f>
        <v>0</v>
      </c>
      <c r="J113" s="216">
        <f t="shared" si="9"/>
        <v>0</v>
      </c>
      <c r="K113" s="65"/>
    </row>
    <row r="114" spans="1:11" s="85" customFormat="1">
      <c r="A114" s="40">
        <v>94</v>
      </c>
      <c r="B114" s="76" t="str">
        <f>IF(ISERROR(VLOOKUP(A114,'RELACION VTAS - CHS'!D:F,3,FALSE))=FALSE,VLOOKUP(A114,'RELACION VTAS - CHS'!D:F,3,FALSE),"")</f>
        <v/>
      </c>
      <c r="C114" s="233" t="str">
        <f>IF(B114="","",VLOOKUP(B114,'RELACION VTAS - CHS'!F:H,3,FALSE))</f>
        <v/>
      </c>
      <c r="D114" s="55" t="str">
        <f>IF(B114="","",VLOOKUP(B114,'RELACION VTAS - CHS'!F:H,2,FALSE))</f>
        <v/>
      </c>
      <c r="E114" s="215">
        <f>IF(ISERROR(VLOOKUP($B114,'RELACION VTAS - CHS'!$F$7:$V$250,16,FALSE))=FALSE,VLOOKUP($B114,'RELACION VTAS - CHS'!$F$7:$V$250,16,FALSE),0)</f>
        <v>0</v>
      </c>
      <c r="F114" s="215">
        <f>SUMIF('REPORTE GASTOS'!C:C,COBRANZA!B114,'REPORTE GASTOS'!G:G)</f>
        <v>0</v>
      </c>
      <c r="G114" s="216">
        <f t="shared" si="8"/>
        <v>0</v>
      </c>
      <c r="H114" s="214">
        <f>IF(ISERROR(VLOOKUP($B114,'RELACION VTAS - CHS'!$F$7:$V$250,16,FALSE))=FALSE,VLOOKUP($B114,'RELACION VTAS - CHS'!$F$7:$V$250,17,FALSE),0)</f>
        <v>0</v>
      </c>
      <c r="I114" s="209">
        <f>SUMIF('REPORTE GASTOS'!C:C,COBRANZA!B114,'REPORTE GASTOS'!I:I)</f>
        <v>0</v>
      </c>
      <c r="J114" s="216">
        <f t="shared" si="9"/>
        <v>0</v>
      </c>
      <c r="K114" s="65"/>
    </row>
    <row r="115" spans="1:11" s="85" customFormat="1">
      <c r="A115" s="40">
        <v>95</v>
      </c>
      <c r="B115" s="76" t="str">
        <f>IF(ISERROR(VLOOKUP(A115,'RELACION VTAS - CHS'!D:F,3,FALSE))=FALSE,VLOOKUP(A115,'RELACION VTAS - CHS'!D:F,3,FALSE),"")</f>
        <v/>
      </c>
      <c r="C115" s="233" t="str">
        <f>IF(B115="","",VLOOKUP(B115,'RELACION VTAS - CHS'!F:H,3,FALSE))</f>
        <v/>
      </c>
      <c r="D115" s="55" t="str">
        <f>IF(B115="","",VLOOKUP(B115,'RELACION VTAS - CHS'!F:H,2,FALSE))</f>
        <v/>
      </c>
      <c r="E115" s="215">
        <f>IF(ISERROR(VLOOKUP($B115,'RELACION VTAS - CHS'!$F$7:$V$250,16,FALSE))=FALSE,VLOOKUP($B115,'RELACION VTAS - CHS'!$F$7:$V$250,16,FALSE),0)</f>
        <v>0</v>
      </c>
      <c r="F115" s="215">
        <f>SUMIF('REPORTE GASTOS'!C:C,COBRANZA!B115,'REPORTE GASTOS'!G:G)</f>
        <v>0</v>
      </c>
      <c r="G115" s="216">
        <f t="shared" si="8"/>
        <v>0</v>
      </c>
      <c r="H115" s="214">
        <f>IF(ISERROR(VLOOKUP($B115,'RELACION VTAS - CHS'!$F$7:$V$250,16,FALSE))=FALSE,VLOOKUP($B115,'RELACION VTAS - CHS'!$F$7:$V$250,17,FALSE),0)</f>
        <v>0</v>
      </c>
      <c r="I115" s="209">
        <f>SUMIF('REPORTE GASTOS'!C:C,COBRANZA!B115,'REPORTE GASTOS'!I:I)</f>
        <v>0</v>
      </c>
      <c r="J115" s="216">
        <f t="shared" si="9"/>
        <v>0</v>
      </c>
      <c r="K115" s="65"/>
    </row>
    <row r="116" spans="1:11" s="85" customFormat="1">
      <c r="A116" s="40">
        <v>96</v>
      </c>
      <c r="B116" s="76" t="str">
        <f>IF(ISERROR(VLOOKUP(A116,'RELACION VTAS - CHS'!D:F,3,FALSE))=FALSE,VLOOKUP(A116,'RELACION VTAS - CHS'!D:F,3,FALSE),"")</f>
        <v/>
      </c>
      <c r="C116" s="233" t="str">
        <f>IF(B116="","",VLOOKUP(B116,'RELACION VTAS - CHS'!F:H,3,FALSE))</f>
        <v/>
      </c>
      <c r="D116" s="55" t="str">
        <f>IF(B116="","",VLOOKUP(B116,'RELACION VTAS - CHS'!F:H,2,FALSE))</f>
        <v/>
      </c>
      <c r="E116" s="215">
        <f>IF(ISERROR(VLOOKUP($B116,'RELACION VTAS - CHS'!$F$7:$V$250,16,FALSE))=FALSE,VLOOKUP($B116,'RELACION VTAS - CHS'!$F$7:$V$250,16,FALSE),0)</f>
        <v>0</v>
      </c>
      <c r="F116" s="215">
        <f>SUMIF('REPORTE GASTOS'!C:C,COBRANZA!B116,'REPORTE GASTOS'!G:G)</f>
        <v>0</v>
      </c>
      <c r="G116" s="216">
        <f t="shared" si="8"/>
        <v>0</v>
      </c>
      <c r="H116" s="214">
        <f>IF(ISERROR(VLOOKUP($B116,'RELACION VTAS - CHS'!$F$7:$V$250,16,FALSE))=FALSE,VLOOKUP($B116,'RELACION VTAS - CHS'!$F$7:$V$250,17,FALSE),0)</f>
        <v>0</v>
      </c>
      <c r="I116" s="209">
        <f>SUMIF('REPORTE GASTOS'!C:C,COBRANZA!B116,'REPORTE GASTOS'!I:I)</f>
        <v>0</v>
      </c>
      <c r="J116" s="216">
        <f t="shared" si="9"/>
        <v>0</v>
      </c>
      <c r="K116" s="65"/>
    </row>
    <row r="117" spans="1:11" s="85" customFormat="1">
      <c r="A117" s="40">
        <v>97</v>
      </c>
      <c r="B117" s="76" t="str">
        <f>IF(ISERROR(VLOOKUP(A117,'RELACION VTAS - CHS'!D:F,3,FALSE))=FALSE,VLOOKUP(A117,'RELACION VTAS - CHS'!D:F,3,FALSE),"")</f>
        <v/>
      </c>
      <c r="C117" s="233" t="str">
        <f>IF(B117="","",VLOOKUP(B117,'RELACION VTAS - CHS'!F:H,3,FALSE))</f>
        <v/>
      </c>
      <c r="D117" s="55" t="str">
        <f>IF(B117="","",VLOOKUP(B117,'RELACION VTAS - CHS'!F:H,2,FALSE))</f>
        <v/>
      </c>
      <c r="E117" s="215">
        <f>IF(ISERROR(VLOOKUP($B117,'RELACION VTAS - CHS'!$F$7:$V$250,16,FALSE))=FALSE,VLOOKUP($B117,'RELACION VTAS - CHS'!$F$7:$V$250,16,FALSE),0)</f>
        <v>0</v>
      </c>
      <c r="F117" s="215">
        <f>SUMIF('REPORTE GASTOS'!C:C,COBRANZA!B117,'REPORTE GASTOS'!G:G)</f>
        <v>0</v>
      </c>
      <c r="G117" s="216">
        <f t="shared" si="8"/>
        <v>0</v>
      </c>
      <c r="H117" s="214">
        <f>IF(ISERROR(VLOOKUP($B117,'RELACION VTAS - CHS'!$F$7:$V$250,16,FALSE))=FALSE,VLOOKUP($B117,'RELACION VTAS - CHS'!$F$7:$V$250,17,FALSE),0)</f>
        <v>0</v>
      </c>
      <c r="I117" s="209">
        <f>SUMIF('REPORTE GASTOS'!C:C,COBRANZA!B117,'REPORTE GASTOS'!I:I)</f>
        <v>0</v>
      </c>
      <c r="J117" s="216">
        <f t="shared" si="9"/>
        <v>0</v>
      </c>
      <c r="K117" s="65"/>
    </row>
    <row r="118" spans="1:11" s="85" customFormat="1">
      <c r="A118" s="40">
        <v>98</v>
      </c>
      <c r="B118" s="76" t="str">
        <f>IF(ISERROR(VLOOKUP(A118,'RELACION VTAS - CHS'!D:F,3,FALSE))=FALSE,VLOOKUP(A118,'RELACION VTAS - CHS'!D:F,3,FALSE),"")</f>
        <v/>
      </c>
      <c r="C118" s="233" t="str">
        <f>IF(B118="","",VLOOKUP(B118,'RELACION VTAS - CHS'!F:H,3,FALSE))</f>
        <v/>
      </c>
      <c r="D118" s="55" t="str">
        <f>IF(B118="","",VLOOKUP(B118,'RELACION VTAS - CHS'!F:H,2,FALSE))</f>
        <v/>
      </c>
      <c r="E118" s="215">
        <f>IF(ISERROR(VLOOKUP($B118,'RELACION VTAS - CHS'!$F$7:$V$250,16,FALSE))=FALSE,VLOOKUP($B118,'RELACION VTAS - CHS'!$F$7:$V$250,16,FALSE),0)</f>
        <v>0</v>
      </c>
      <c r="F118" s="215">
        <f>SUMIF('REPORTE GASTOS'!C:C,COBRANZA!B118,'REPORTE GASTOS'!G:G)</f>
        <v>0</v>
      </c>
      <c r="G118" s="216">
        <f t="shared" si="8"/>
        <v>0</v>
      </c>
      <c r="H118" s="214">
        <f>IF(ISERROR(VLOOKUP($B118,'RELACION VTAS - CHS'!$F$7:$V$250,16,FALSE))=FALSE,VLOOKUP($B118,'RELACION VTAS - CHS'!$F$7:$V$250,17,FALSE),0)</f>
        <v>0</v>
      </c>
      <c r="I118" s="209">
        <f>SUMIF('REPORTE GASTOS'!C:C,COBRANZA!B118,'REPORTE GASTOS'!I:I)</f>
        <v>0</v>
      </c>
      <c r="J118" s="216">
        <f t="shared" si="9"/>
        <v>0</v>
      </c>
      <c r="K118" s="65"/>
    </row>
    <row r="119" spans="1:11" s="85" customFormat="1">
      <c r="A119" s="40">
        <v>99</v>
      </c>
      <c r="B119" s="76" t="str">
        <f>IF(ISERROR(VLOOKUP(A119,'RELACION VTAS - CHS'!D:F,3,FALSE))=FALSE,VLOOKUP(A119,'RELACION VTAS - CHS'!D:F,3,FALSE),"")</f>
        <v/>
      </c>
      <c r="C119" s="233" t="str">
        <f>IF(B119="","",VLOOKUP(B119,'RELACION VTAS - CHS'!F:H,3,FALSE))</f>
        <v/>
      </c>
      <c r="D119" s="55" t="str">
        <f>IF(B119="","",VLOOKUP(B119,'RELACION VTAS - CHS'!F:H,2,FALSE))</f>
        <v/>
      </c>
      <c r="E119" s="215">
        <f>IF(ISERROR(VLOOKUP($B119,'RELACION VTAS - CHS'!$F$7:$V$250,16,FALSE))=FALSE,VLOOKUP($B119,'RELACION VTAS - CHS'!$F$7:$V$250,16,FALSE),0)</f>
        <v>0</v>
      </c>
      <c r="F119" s="215">
        <f>SUMIF('REPORTE GASTOS'!C:C,COBRANZA!B119,'REPORTE GASTOS'!G:G)</f>
        <v>0</v>
      </c>
      <c r="G119" s="216">
        <f t="shared" si="8"/>
        <v>0</v>
      </c>
      <c r="H119" s="214">
        <f>IF(ISERROR(VLOOKUP($B119,'RELACION VTAS - CHS'!$F$7:$V$250,16,FALSE))=FALSE,VLOOKUP($B119,'RELACION VTAS - CHS'!$F$7:$V$250,17,FALSE),0)</f>
        <v>0</v>
      </c>
      <c r="I119" s="209">
        <f>SUMIF('REPORTE GASTOS'!C:C,COBRANZA!B119,'REPORTE GASTOS'!I:I)</f>
        <v>0</v>
      </c>
      <c r="J119" s="216">
        <f t="shared" si="9"/>
        <v>0</v>
      </c>
      <c r="K119" s="65"/>
    </row>
    <row r="120" spans="1:11" s="85" customFormat="1">
      <c r="A120" s="40">
        <v>100</v>
      </c>
      <c r="B120" s="76" t="str">
        <f>IF(ISERROR(VLOOKUP(A120,'RELACION VTAS - CHS'!D:F,3,FALSE))=FALSE,VLOOKUP(A120,'RELACION VTAS - CHS'!D:F,3,FALSE),"")</f>
        <v/>
      </c>
      <c r="C120" s="233" t="str">
        <f>IF(B120="","",VLOOKUP(B120,'RELACION VTAS - CHS'!F:H,3,FALSE))</f>
        <v/>
      </c>
      <c r="D120" s="55" t="str">
        <f>IF(B120="","",VLOOKUP(B120,'RELACION VTAS - CHS'!F:H,2,FALSE))</f>
        <v/>
      </c>
      <c r="E120" s="215">
        <f>IF(ISERROR(VLOOKUP($B120,'RELACION VTAS - CHS'!$F$7:$V$250,16,FALSE))=FALSE,VLOOKUP($B120,'RELACION VTAS - CHS'!$F$7:$V$250,16,FALSE),0)</f>
        <v>0</v>
      </c>
      <c r="F120" s="215">
        <f>SUMIF('REPORTE GASTOS'!C:C,COBRANZA!B120,'REPORTE GASTOS'!G:G)</f>
        <v>0</v>
      </c>
      <c r="G120" s="216">
        <f t="shared" si="8"/>
        <v>0</v>
      </c>
      <c r="H120" s="214">
        <f>IF(ISERROR(VLOOKUP($B120,'RELACION VTAS - CHS'!$F$7:$V$250,16,FALSE))=FALSE,VLOOKUP($B120,'RELACION VTAS - CHS'!$F$7:$V$250,17,FALSE),0)</f>
        <v>0</v>
      </c>
      <c r="I120" s="209">
        <f>SUMIF('REPORTE GASTOS'!C:C,COBRANZA!B120,'REPORTE GASTOS'!I:I)</f>
        <v>0</v>
      </c>
      <c r="J120" s="216">
        <f t="shared" si="9"/>
        <v>0</v>
      </c>
      <c r="K120" s="65"/>
    </row>
    <row r="121" spans="1:11" s="85" customFormat="1">
      <c r="A121" s="40">
        <v>101</v>
      </c>
      <c r="B121" s="76" t="str">
        <f>IF(ISERROR(VLOOKUP(A121,'RELACION VTAS - CHS'!D:F,3,FALSE))=FALSE,VLOOKUP(A121,'RELACION VTAS - CHS'!D:F,3,FALSE),"")</f>
        <v/>
      </c>
      <c r="C121" s="233" t="str">
        <f>IF(B121="","",VLOOKUP(B121,'RELACION VTAS - CHS'!F:H,3,FALSE))</f>
        <v/>
      </c>
      <c r="D121" s="55" t="str">
        <f>IF(B121="","",VLOOKUP(B121,'RELACION VTAS - CHS'!F:H,2,FALSE))</f>
        <v/>
      </c>
      <c r="E121" s="215">
        <f>IF(ISERROR(VLOOKUP($B121,'RELACION VTAS - CHS'!$F$7:$V$250,16,FALSE))=FALSE,VLOOKUP($B121,'RELACION VTAS - CHS'!$F$7:$V$250,16,FALSE),0)</f>
        <v>0</v>
      </c>
      <c r="F121" s="215">
        <f>SUMIF('REPORTE GASTOS'!C:C,COBRANZA!B121,'REPORTE GASTOS'!G:G)</f>
        <v>0</v>
      </c>
      <c r="G121" s="216">
        <f t="shared" si="8"/>
        <v>0</v>
      </c>
      <c r="H121" s="214">
        <f>IF(ISERROR(VLOOKUP($B121,'RELACION VTAS - CHS'!$F$7:$V$250,16,FALSE))=FALSE,VLOOKUP($B121,'RELACION VTAS - CHS'!$F$7:$V$250,17,FALSE),0)</f>
        <v>0</v>
      </c>
      <c r="I121" s="209">
        <f>SUMIF('REPORTE GASTOS'!C:C,COBRANZA!B121,'REPORTE GASTOS'!I:I)</f>
        <v>0</v>
      </c>
      <c r="J121" s="216">
        <f t="shared" si="9"/>
        <v>0</v>
      </c>
      <c r="K121" s="65"/>
    </row>
    <row r="122" spans="1:11" s="85" customFormat="1">
      <c r="A122" s="40">
        <v>102</v>
      </c>
      <c r="B122" s="76" t="str">
        <f>IF(ISERROR(VLOOKUP(A122,'RELACION VTAS - CHS'!D:F,3,FALSE))=FALSE,VLOOKUP(A122,'RELACION VTAS - CHS'!D:F,3,FALSE),"")</f>
        <v/>
      </c>
      <c r="C122" s="233" t="str">
        <f>IF(B122="","",VLOOKUP(B122,'RELACION VTAS - CHS'!F:H,3,FALSE))</f>
        <v/>
      </c>
      <c r="D122" s="55" t="str">
        <f>IF(B122="","",VLOOKUP(B122,'RELACION VTAS - CHS'!F:H,2,FALSE))</f>
        <v/>
      </c>
      <c r="E122" s="215">
        <f>IF(ISERROR(VLOOKUP($B122,'RELACION VTAS - CHS'!$F$7:$V$250,16,FALSE))=FALSE,VLOOKUP($B122,'RELACION VTAS - CHS'!$F$7:$V$250,16,FALSE),0)</f>
        <v>0</v>
      </c>
      <c r="F122" s="215">
        <f>SUMIF('REPORTE GASTOS'!C:C,COBRANZA!B122,'REPORTE GASTOS'!G:G)</f>
        <v>0</v>
      </c>
      <c r="G122" s="216">
        <f t="shared" si="8"/>
        <v>0</v>
      </c>
      <c r="H122" s="214">
        <f>IF(ISERROR(VLOOKUP($B122,'RELACION VTAS - CHS'!$F$7:$V$250,16,FALSE))=FALSE,VLOOKUP($B122,'RELACION VTAS - CHS'!$F$7:$V$250,17,FALSE),0)</f>
        <v>0</v>
      </c>
      <c r="I122" s="209">
        <f>SUMIF('REPORTE GASTOS'!C:C,COBRANZA!B122,'REPORTE GASTOS'!I:I)</f>
        <v>0</v>
      </c>
      <c r="J122" s="216">
        <f t="shared" si="9"/>
        <v>0</v>
      </c>
      <c r="K122" s="65"/>
    </row>
    <row r="123" spans="1:11" s="85" customFormat="1">
      <c r="A123" s="40">
        <v>103</v>
      </c>
      <c r="B123" s="76" t="str">
        <f>IF(ISERROR(VLOOKUP(A123,'RELACION VTAS - CHS'!D:F,3,FALSE))=FALSE,VLOOKUP(A123,'RELACION VTAS - CHS'!D:F,3,FALSE),"")</f>
        <v/>
      </c>
      <c r="C123" s="233" t="str">
        <f>IF(B123="","",VLOOKUP(B123,'RELACION VTAS - CHS'!F:H,3,FALSE))</f>
        <v/>
      </c>
      <c r="D123" s="55" t="str">
        <f>IF(B123="","",VLOOKUP(B123,'RELACION VTAS - CHS'!F:H,2,FALSE))</f>
        <v/>
      </c>
      <c r="E123" s="215">
        <f>IF(ISERROR(VLOOKUP($B123,'RELACION VTAS - CHS'!$F$7:$V$250,16,FALSE))=FALSE,VLOOKUP($B123,'RELACION VTAS - CHS'!$F$7:$V$250,16,FALSE),0)</f>
        <v>0</v>
      </c>
      <c r="F123" s="215">
        <f>SUMIF('REPORTE GASTOS'!C:C,COBRANZA!B123,'REPORTE GASTOS'!G:G)</f>
        <v>0</v>
      </c>
      <c r="G123" s="216">
        <f t="shared" si="8"/>
        <v>0</v>
      </c>
      <c r="H123" s="214">
        <f>IF(ISERROR(VLOOKUP($B123,'RELACION VTAS - CHS'!$F$7:$V$250,16,FALSE))=FALSE,VLOOKUP($B123,'RELACION VTAS - CHS'!$F$7:$V$250,17,FALSE),0)</f>
        <v>0</v>
      </c>
      <c r="I123" s="209">
        <f>SUMIF('REPORTE GASTOS'!C:C,COBRANZA!B123,'REPORTE GASTOS'!I:I)</f>
        <v>0</v>
      </c>
      <c r="J123" s="216">
        <f t="shared" si="9"/>
        <v>0</v>
      </c>
      <c r="K123" s="65"/>
    </row>
    <row r="124" spans="1:11" s="85" customFormat="1">
      <c r="A124" s="40">
        <v>104</v>
      </c>
      <c r="B124" s="76" t="str">
        <f>IF(ISERROR(VLOOKUP(A124,'RELACION VTAS - CHS'!D:F,3,FALSE))=FALSE,VLOOKUP(A124,'RELACION VTAS - CHS'!D:F,3,FALSE),"")</f>
        <v/>
      </c>
      <c r="C124" s="233" t="str">
        <f>IF(B124="","",VLOOKUP(B124,'RELACION VTAS - CHS'!F:H,3,FALSE))</f>
        <v/>
      </c>
      <c r="D124" s="55" t="str">
        <f>IF(B124="","",VLOOKUP(B124,'RELACION VTAS - CHS'!F:H,2,FALSE))</f>
        <v/>
      </c>
      <c r="E124" s="215">
        <f>IF(ISERROR(VLOOKUP($B124,'RELACION VTAS - CHS'!$F$7:$V$250,16,FALSE))=FALSE,VLOOKUP($B124,'RELACION VTAS - CHS'!$F$7:$V$250,16,FALSE),0)</f>
        <v>0</v>
      </c>
      <c r="F124" s="215">
        <f>SUMIF('REPORTE GASTOS'!C:C,COBRANZA!B124,'REPORTE GASTOS'!G:G)</f>
        <v>0</v>
      </c>
      <c r="G124" s="216">
        <f t="shared" si="8"/>
        <v>0</v>
      </c>
      <c r="H124" s="214">
        <f>IF(ISERROR(VLOOKUP($B124,'RELACION VTAS - CHS'!$F$7:$V$250,16,FALSE))=FALSE,VLOOKUP($B124,'RELACION VTAS - CHS'!$F$7:$V$250,17,FALSE),0)</f>
        <v>0</v>
      </c>
      <c r="I124" s="209">
        <f>SUMIF('REPORTE GASTOS'!C:C,COBRANZA!B124,'REPORTE GASTOS'!I:I)</f>
        <v>0</v>
      </c>
      <c r="J124" s="216">
        <f t="shared" si="9"/>
        <v>0</v>
      </c>
      <c r="K124" s="65"/>
    </row>
    <row r="125" spans="1:11" s="85" customFormat="1">
      <c r="A125" s="40">
        <v>105</v>
      </c>
      <c r="B125" s="76" t="str">
        <f>IF(ISERROR(VLOOKUP(A125,'RELACION VTAS - CHS'!D:F,3,FALSE))=FALSE,VLOOKUP(A125,'RELACION VTAS - CHS'!D:F,3,FALSE),"")</f>
        <v/>
      </c>
      <c r="C125" s="233" t="str">
        <f>IF(B125="","",VLOOKUP(B125,'RELACION VTAS - CHS'!F:H,3,FALSE))</f>
        <v/>
      </c>
      <c r="D125" s="55" t="str">
        <f>IF(B125="","",VLOOKUP(B125,'RELACION VTAS - CHS'!F:H,2,FALSE))</f>
        <v/>
      </c>
      <c r="E125" s="215">
        <f>IF(ISERROR(VLOOKUP($B125,'RELACION VTAS - CHS'!$F$7:$V$250,16,FALSE))=FALSE,VLOOKUP($B125,'RELACION VTAS - CHS'!$F$7:$V$250,16,FALSE),0)</f>
        <v>0</v>
      </c>
      <c r="F125" s="215">
        <f>SUMIF('REPORTE GASTOS'!C:C,COBRANZA!B125,'REPORTE GASTOS'!G:G)</f>
        <v>0</v>
      </c>
      <c r="G125" s="216">
        <f t="shared" si="8"/>
        <v>0</v>
      </c>
      <c r="H125" s="214">
        <f>IF(ISERROR(VLOOKUP($B125,'RELACION VTAS - CHS'!$F$7:$V$250,16,FALSE))=FALSE,VLOOKUP($B125,'RELACION VTAS - CHS'!$F$7:$V$250,17,FALSE),0)</f>
        <v>0</v>
      </c>
      <c r="I125" s="209">
        <f>SUMIF('REPORTE GASTOS'!C:C,COBRANZA!B125,'REPORTE GASTOS'!I:I)</f>
        <v>0</v>
      </c>
      <c r="J125" s="216">
        <f t="shared" si="9"/>
        <v>0</v>
      </c>
      <c r="K125" s="65"/>
    </row>
    <row r="126" spans="1:11" s="85" customFormat="1">
      <c r="A126" s="40">
        <v>106</v>
      </c>
      <c r="B126" s="76" t="str">
        <f>IF(ISERROR(VLOOKUP(A126,'RELACION VTAS - CHS'!D:F,3,FALSE))=FALSE,VLOOKUP(A126,'RELACION VTAS - CHS'!D:F,3,FALSE),"")</f>
        <v/>
      </c>
      <c r="C126" s="233" t="str">
        <f>IF(B126="","",VLOOKUP(B126,'RELACION VTAS - CHS'!F:H,3,FALSE))</f>
        <v/>
      </c>
      <c r="D126" s="55" t="str">
        <f>IF(B126="","",VLOOKUP(B126,'RELACION VTAS - CHS'!F:H,2,FALSE))</f>
        <v/>
      </c>
      <c r="E126" s="215">
        <f>IF(ISERROR(VLOOKUP($B126,'RELACION VTAS - CHS'!$F$7:$V$250,16,FALSE))=FALSE,VLOOKUP($B126,'RELACION VTAS - CHS'!$F$7:$V$250,16,FALSE),0)</f>
        <v>0</v>
      </c>
      <c r="F126" s="215">
        <f>SUMIF('REPORTE GASTOS'!C:C,COBRANZA!B126,'REPORTE GASTOS'!G:G)</f>
        <v>0</v>
      </c>
      <c r="G126" s="216">
        <f t="shared" si="8"/>
        <v>0</v>
      </c>
      <c r="H126" s="214">
        <f>IF(ISERROR(VLOOKUP($B126,'RELACION VTAS - CHS'!$F$7:$V$250,16,FALSE))=FALSE,VLOOKUP($B126,'RELACION VTAS - CHS'!$F$7:$V$250,17,FALSE),0)</f>
        <v>0</v>
      </c>
      <c r="I126" s="209">
        <f>SUMIF('REPORTE GASTOS'!C:C,COBRANZA!B126,'REPORTE GASTOS'!I:I)</f>
        <v>0</v>
      </c>
      <c r="J126" s="216">
        <f t="shared" si="9"/>
        <v>0</v>
      </c>
      <c r="K126" s="65"/>
    </row>
    <row r="127" spans="1:11" s="85" customFormat="1">
      <c r="A127" s="40">
        <v>107</v>
      </c>
      <c r="B127" s="76" t="str">
        <f>IF(ISERROR(VLOOKUP(A127,'RELACION VTAS - CHS'!D:F,3,FALSE))=FALSE,VLOOKUP(A127,'RELACION VTAS - CHS'!D:F,3,FALSE),"")</f>
        <v/>
      </c>
      <c r="C127" s="233" t="str">
        <f>IF(B127="","",VLOOKUP(B127,'RELACION VTAS - CHS'!F:H,3,FALSE))</f>
        <v/>
      </c>
      <c r="D127" s="55" t="str">
        <f>IF(B127="","",VLOOKUP(B127,'RELACION VTAS - CHS'!F:H,2,FALSE))</f>
        <v/>
      </c>
      <c r="E127" s="215">
        <f>IF(ISERROR(VLOOKUP($B127,'RELACION VTAS - CHS'!$F$7:$V$250,16,FALSE))=FALSE,VLOOKUP($B127,'RELACION VTAS - CHS'!$F$7:$V$250,16,FALSE),0)</f>
        <v>0</v>
      </c>
      <c r="F127" s="215">
        <f>SUMIF('REPORTE GASTOS'!C:C,COBRANZA!B127,'REPORTE GASTOS'!G:G)</f>
        <v>0</v>
      </c>
      <c r="G127" s="216">
        <f t="shared" si="8"/>
        <v>0</v>
      </c>
      <c r="H127" s="214">
        <f>IF(ISERROR(VLOOKUP($B127,'RELACION VTAS - CHS'!$F$7:$V$250,16,FALSE))=FALSE,VLOOKUP($B127,'RELACION VTAS - CHS'!$F$7:$V$250,17,FALSE),0)</f>
        <v>0</v>
      </c>
      <c r="I127" s="209">
        <f>SUMIF('REPORTE GASTOS'!C:C,COBRANZA!B127,'REPORTE GASTOS'!I:I)</f>
        <v>0</v>
      </c>
      <c r="J127" s="216">
        <f t="shared" si="9"/>
        <v>0</v>
      </c>
      <c r="K127" s="65"/>
    </row>
    <row r="128" spans="1:11" s="85" customFormat="1">
      <c r="A128" s="40">
        <v>108</v>
      </c>
      <c r="B128" s="76" t="str">
        <f>IF(ISERROR(VLOOKUP(A128,'RELACION VTAS - CHS'!D:F,3,FALSE))=FALSE,VLOOKUP(A128,'RELACION VTAS - CHS'!D:F,3,FALSE),"")</f>
        <v/>
      </c>
      <c r="C128" s="233" t="str">
        <f>IF(B128="","",VLOOKUP(B128,'RELACION VTAS - CHS'!F:H,3,FALSE))</f>
        <v/>
      </c>
      <c r="D128" s="55" t="str">
        <f>IF(B128="","",VLOOKUP(B128,'RELACION VTAS - CHS'!F:H,2,FALSE))</f>
        <v/>
      </c>
      <c r="E128" s="215">
        <f>IF(ISERROR(VLOOKUP($B128,'RELACION VTAS - CHS'!$F$7:$V$250,16,FALSE))=FALSE,VLOOKUP($B128,'RELACION VTAS - CHS'!$F$7:$V$250,16,FALSE),0)</f>
        <v>0</v>
      </c>
      <c r="F128" s="215">
        <f>SUMIF('REPORTE GASTOS'!C:C,COBRANZA!B128,'REPORTE GASTOS'!G:G)</f>
        <v>0</v>
      </c>
      <c r="G128" s="216">
        <f t="shared" si="8"/>
        <v>0</v>
      </c>
      <c r="H128" s="214">
        <f>IF(ISERROR(VLOOKUP($B128,'RELACION VTAS - CHS'!$F$7:$V$250,16,FALSE))=FALSE,VLOOKUP($B128,'RELACION VTAS - CHS'!$F$7:$V$250,17,FALSE),0)</f>
        <v>0</v>
      </c>
      <c r="I128" s="209">
        <f>SUMIF('REPORTE GASTOS'!C:C,COBRANZA!B128,'REPORTE GASTOS'!I:I)</f>
        <v>0</v>
      </c>
      <c r="J128" s="216">
        <f t="shared" si="9"/>
        <v>0</v>
      </c>
      <c r="K128" s="65"/>
    </row>
    <row r="129" spans="1:11" s="85" customFormat="1">
      <c r="A129" s="40">
        <v>109</v>
      </c>
      <c r="B129" s="76" t="str">
        <f>IF(ISERROR(VLOOKUP(A129,'RELACION VTAS - CHS'!D:F,3,FALSE))=FALSE,VLOOKUP(A129,'RELACION VTAS - CHS'!D:F,3,FALSE),"")</f>
        <v/>
      </c>
      <c r="C129" s="233" t="str">
        <f>IF(B129="","",VLOOKUP(B129,'RELACION VTAS - CHS'!F:H,3,FALSE))</f>
        <v/>
      </c>
      <c r="D129" s="55" t="str">
        <f>IF(B129="","",VLOOKUP(B129,'RELACION VTAS - CHS'!F:H,2,FALSE))</f>
        <v/>
      </c>
      <c r="E129" s="215">
        <f>IF(ISERROR(VLOOKUP($B129,'RELACION VTAS - CHS'!$F$7:$V$250,16,FALSE))=FALSE,VLOOKUP($B129,'RELACION VTAS - CHS'!$F$7:$V$250,16,FALSE),0)</f>
        <v>0</v>
      </c>
      <c r="F129" s="215">
        <f>SUMIF('REPORTE GASTOS'!C:C,COBRANZA!B129,'REPORTE GASTOS'!G:G)</f>
        <v>0</v>
      </c>
      <c r="G129" s="216">
        <f t="shared" si="8"/>
        <v>0</v>
      </c>
      <c r="H129" s="214">
        <f>IF(ISERROR(VLOOKUP($B129,'RELACION VTAS - CHS'!$F$7:$V$250,16,FALSE))=FALSE,VLOOKUP($B129,'RELACION VTAS - CHS'!$F$7:$V$250,17,FALSE),0)</f>
        <v>0</v>
      </c>
      <c r="I129" s="209">
        <f>SUMIF('REPORTE GASTOS'!C:C,COBRANZA!B129,'REPORTE GASTOS'!I:I)</f>
        <v>0</v>
      </c>
      <c r="J129" s="216">
        <f t="shared" si="9"/>
        <v>0</v>
      </c>
      <c r="K129" s="65"/>
    </row>
    <row r="130" spans="1:11" s="85" customFormat="1">
      <c r="A130" s="40">
        <v>110</v>
      </c>
      <c r="B130" s="76" t="str">
        <f>IF(ISERROR(VLOOKUP(A130,'RELACION VTAS - CHS'!D:F,3,FALSE))=FALSE,VLOOKUP(A130,'RELACION VTAS - CHS'!D:F,3,FALSE),"")</f>
        <v/>
      </c>
      <c r="C130" s="233" t="str">
        <f>IF(B130="","",VLOOKUP(B130,'RELACION VTAS - CHS'!F:H,3,FALSE))</f>
        <v/>
      </c>
      <c r="D130" s="55" t="str">
        <f>IF(B130="","",VLOOKUP(B130,'RELACION VTAS - CHS'!F:H,2,FALSE))</f>
        <v/>
      </c>
      <c r="E130" s="215">
        <f>IF(ISERROR(VLOOKUP($B130,'RELACION VTAS - CHS'!$F$7:$V$250,16,FALSE))=FALSE,VLOOKUP($B130,'RELACION VTAS - CHS'!$F$7:$V$250,16,FALSE),0)</f>
        <v>0</v>
      </c>
      <c r="F130" s="215">
        <f>SUMIF('REPORTE GASTOS'!C:C,COBRANZA!B130,'REPORTE GASTOS'!G:G)</f>
        <v>0</v>
      </c>
      <c r="G130" s="216">
        <f t="shared" si="8"/>
        <v>0</v>
      </c>
      <c r="H130" s="214">
        <f>IF(ISERROR(VLOOKUP($B130,'RELACION VTAS - CHS'!$F$7:$V$250,16,FALSE))=FALSE,VLOOKUP($B130,'RELACION VTAS - CHS'!$F$7:$V$250,17,FALSE),0)</f>
        <v>0</v>
      </c>
      <c r="I130" s="209">
        <f>SUMIF('REPORTE GASTOS'!C:C,COBRANZA!B130,'REPORTE GASTOS'!I:I)</f>
        <v>0</v>
      </c>
      <c r="J130" s="216">
        <f t="shared" si="9"/>
        <v>0</v>
      </c>
      <c r="K130" s="65"/>
    </row>
    <row r="131" spans="1:11" s="85" customFormat="1">
      <c r="A131" s="40">
        <v>111</v>
      </c>
      <c r="B131" s="76" t="str">
        <f>IF(ISERROR(VLOOKUP(A131,'RELACION VTAS - CHS'!D:F,3,FALSE))=FALSE,VLOOKUP(A131,'RELACION VTAS - CHS'!D:F,3,FALSE),"")</f>
        <v/>
      </c>
      <c r="C131" s="233" t="str">
        <f>IF(B131="","",VLOOKUP(B131,'RELACION VTAS - CHS'!F:H,3,FALSE))</f>
        <v/>
      </c>
      <c r="D131" s="55" t="str">
        <f>IF(B131="","",VLOOKUP(B131,'RELACION VTAS - CHS'!F:H,2,FALSE))</f>
        <v/>
      </c>
      <c r="E131" s="215">
        <f>IF(ISERROR(VLOOKUP($B131,'RELACION VTAS - CHS'!$F$7:$V$250,16,FALSE))=FALSE,VLOOKUP($B131,'RELACION VTAS - CHS'!$F$7:$V$250,16,FALSE),0)</f>
        <v>0</v>
      </c>
      <c r="F131" s="215">
        <f>SUMIF('REPORTE GASTOS'!C:C,COBRANZA!B131,'REPORTE GASTOS'!G:G)</f>
        <v>0</v>
      </c>
      <c r="G131" s="216">
        <f t="shared" si="8"/>
        <v>0</v>
      </c>
      <c r="H131" s="214">
        <f>IF(ISERROR(VLOOKUP($B131,'RELACION VTAS - CHS'!$F$7:$V$250,16,FALSE))=FALSE,VLOOKUP($B131,'RELACION VTAS - CHS'!$F$7:$V$250,17,FALSE),0)</f>
        <v>0</v>
      </c>
      <c r="I131" s="209">
        <f>SUMIF('REPORTE GASTOS'!C:C,COBRANZA!B131,'REPORTE GASTOS'!I:I)</f>
        <v>0</v>
      </c>
      <c r="J131" s="216">
        <f t="shared" si="9"/>
        <v>0</v>
      </c>
      <c r="K131" s="65"/>
    </row>
    <row r="132" spans="1:11" s="85" customFormat="1">
      <c r="A132" s="40">
        <v>112</v>
      </c>
      <c r="B132" s="76" t="str">
        <f>IF(ISERROR(VLOOKUP(A132,'RELACION VTAS - CHS'!D:F,3,FALSE))=FALSE,VLOOKUP(A132,'RELACION VTAS - CHS'!D:F,3,FALSE),"")</f>
        <v/>
      </c>
      <c r="C132" s="233" t="str">
        <f>IF(B132="","",VLOOKUP(B132,'RELACION VTAS - CHS'!F:H,3,FALSE))</f>
        <v/>
      </c>
      <c r="D132" s="55" t="str">
        <f>IF(B132="","",VLOOKUP(B132,'RELACION VTAS - CHS'!F:H,2,FALSE))</f>
        <v/>
      </c>
      <c r="E132" s="215">
        <f>IF(ISERROR(VLOOKUP($B132,'RELACION VTAS - CHS'!$F$7:$V$250,16,FALSE))=FALSE,VLOOKUP($B132,'RELACION VTAS - CHS'!$F$7:$V$250,16,FALSE),0)</f>
        <v>0</v>
      </c>
      <c r="F132" s="215">
        <f>SUMIF('REPORTE GASTOS'!C:C,COBRANZA!B132,'REPORTE GASTOS'!G:G)</f>
        <v>0</v>
      </c>
      <c r="G132" s="216">
        <f t="shared" si="8"/>
        <v>0</v>
      </c>
      <c r="H132" s="214">
        <f>IF(ISERROR(VLOOKUP($B132,'RELACION VTAS - CHS'!$F$7:$V$250,16,FALSE))=FALSE,VLOOKUP($B132,'RELACION VTAS - CHS'!$F$7:$V$250,17,FALSE),0)</f>
        <v>0</v>
      </c>
      <c r="I132" s="209">
        <f>SUMIF('REPORTE GASTOS'!C:C,COBRANZA!B132,'REPORTE GASTOS'!I:I)</f>
        <v>0</v>
      </c>
      <c r="J132" s="216">
        <f t="shared" si="9"/>
        <v>0</v>
      </c>
      <c r="K132" s="65"/>
    </row>
    <row r="133" spans="1:11" s="85" customFormat="1">
      <c r="A133" s="40">
        <v>113</v>
      </c>
      <c r="B133" s="76" t="str">
        <f>IF(ISERROR(VLOOKUP(A133,'RELACION VTAS - CHS'!D:F,3,FALSE))=FALSE,VLOOKUP(A133,'RELACION VTAS - CHS'!D:F,3,FALSE),"")</f>
        <v/>
      </c>
      <c r="C133" s="233" t="str">
        <f>IF(B133="","",VLOOKUP(B133,'RELACION VTAS - CHS'!F:H,3,FALSE))</f>
        <v/>
      </c>
      <c r="D133" s="55" t="str">
        <f>IF(B133="","",VLOOKUP(B133,'RELACION VTAS - CHS'!F:H,2,FALSE))</f>
        <v/>
      </c>
      <c r="E133" s="215">
        <f>IF(ISERROR(VLOOKUP($B133,'RELACION VTAS - CHS'!$F$7:$V$250,16,FALSE))=FALSE,VLOOKUP($B133,'RELACION VTAS - CHS'!$F$7:$V$250,16,FALSE),0)</f>
        <v>0</v>
      </c>
      <c r="F133" s="215">
        <f>SUMIF('REPORTE GASTOS'!C:C,COBRANZA!B133,'REPORTE GASTOS'!G:G)</f>
        <v>0</v>
      </c>
      <c r="G133" s="216">
        <f t="shared" si="8"/>
        <v>0</v>
      </c>
      <c r="H133" s="214">
        <f>IF(ISERROR(VLOOKUP($B133,'RELACION VTAS - CHS'!$F$7:$V$250,16,FALSE))=FALSE,VLOOKUP($B133,'RELACION VTAS - CHS'!$F$7:$V$250,17,FALSE),0)</f>
        <v>0</v>
      </c>
      <c r="I133" s="209">
        <f>SUMIF('REPORTE GASTOS'!C:C,COBRANZA!B133,'REPORTE GASTOS'!I:I)</f>
        <v>0</v>
      </c>
      <c r="J133" s="216">
        <f t="shared" si="9"/>
        <v>0</v>
      </c>
      <c r="K133" s="65"/>
    </row>
    <row r="134" spans="1:11" s="85" customFormat="1">
      <c r="A134" s="40">
        <v>114</v>
      </c>
      <c r="B134" s="76" t="str">
        <f>IF(ISERROR(VLOOKUP(A134,'RELACION VTAS - CHS'!D:F,3,FALSE))=FALSE,VLOOKUP(A134,'RELACION VTAS - CHS'!D:F,3,FALSE),"")</f>
        <v/>
      </c>
      <c r="C134" s="233" t="str">
        <f>IF(B134="","",VLOOKUP(B134,'RELACION VTAS - CHS'!F:H,3,FALSE))</f>
        <v/>
      </c>
      <c r="D134" s="55" t="str">
        <f>IF(B134="","",VLOOKUP(B134,'RELACION VTAS - CHS'!F:H,2,FALSE))</f>
        <v/>
      </c>
      <c r="E134" s="215">
        <f>IF(ISERROR(VLOOKUP($B134,'RELACION VTAS - CHS'!$F$7:$V$250,16,FALSE))=FALSE,VLOOKUP($B134,'RELACION VTAS - CHS'!$F$7:$V$250,16,FALSE),0)</f>
        <v>0</v>
      </c>
      <c r="F134" s="215">
        <f>SUMIF('REPORTE GASTOS'!C:C,COBRANZA!B134,'REPORTE GASTOS'!G:G)</f>
        <v>0</v>
      </c>
      <c r="G134" s="216">
        <f t="shared" si="8"/>
        <v>0</v>
      </c>
      <c r="H134" s="214">
        <f>IF(ISERROR(VLOOKUP($B134,'RELACION VTAS - CHS'!$F$7:$V$250,16,FALSE))=FALSE,VLOOKUP($B134,'RELACION VTAS - CHS'!$F$7:$V$250,17,FALSE),0)</f>
        <v>0</v>
      </c>
      <c r="I134" s="209">
        <f>SUMIF('REPORTE GASTOS'!C:C,COBRANZA!B134,'REPORTE GASTOS'!I:I)</f>
        <v>0</v>
      </c>
      <c r="J134" s="216">
        <f t="shared" si="9"/>
        <v>0</v>
      </c>
      <c r="K134" s="65"/>
    </row>
    <row r="135" spans="1:11" s="85" customFormat="1">
      <c r="A135" s="40">
        <v>115</v>
      </c>
      <c r="B135" s="76" t="str">
        <f>IF(ISERROR(VLOOKUP(A135,'RELACION VTAS - CHS'!D:F,3,FALSE))=FALSE,VLOOKUP(A135,'RELACION VTAS - CHS'!D:F,3,FALSE),"")</f>
        <v/>
      </c>
      <c r="C135" s="233" t="str">
        <f>IF(B135="","",VLOOKUP(B135,'RELACION VTAS - CHS'!F:H,3,FALSE))</f>
        <v/>
      </c>
      <c r="D135" s="55" t="str">
        <f>IF(B135="","",VLOOKUP(B135,'RELACION VTAS - CHS'!F:H,2,FALSE))</f>
        <v/>
      </c>
      <c r="E135" s="215">
        <f>IF(ISERROR(VLOOKUP($B135,'RELACION VTAS - CHS'!$F$7:$V$250,16,FALSE))=FALSE,VLOOKUP($B135,'RELACION VTAS - CHS'!$F$7:$V$250,16,FALSE),0)</f>
        <v>0</v>
      </c>
      <c r="F135" s="215">
        <f>SUMIF('REPORTE GASTOS'!C:C,COBRANZA!B135,'REPORTE GASTOS'!G:G)</f>
        <v>0</v>
      </c>
      <c r="G135" s="216">
        <f t="shared" si="8"/>
        <v>0</v>
      </c>
      <c r="H135" s="214">
        <f>IF(ISERROR(VLOOKUP($B135,'RELACION VTAS - CHS'!$F$7:$V$250,16,FALSE))=FALSE,VLOOKUP($B135,'RELACION VTAS - CHS'!$F$7:$V$250,17,FALSE),0)</f>
        <v>0</v>
      </c>
      <c r="I135" s="209">
        <f>SUMIF('REPORTE GASTOS'!C:C,COBRANZA!B135,'REPORTE GASTOS'!I:I)</f>
        <v>0</v>
      </c>
      <c r="J135" s="216">
        <f t="shared" si="9"/>
        <v>0</v>
      </c>
      <c r="K135" s="65"/>
    </row>
    <row r="136" spans="1:11" s="85" customFormat="1">
      <c r="A136" s="40">
        <v>116</v>
      </c>
      <c r="B136" s="76" t="str">
        <f>IF(ISERROR(VLOOKUP(A136,'RELACION VTAS - CHS'!D:F,3,FALSE))=FALSE,VLOOKUP(A136,'RELACION VTAS - CHS'!D:F,3,FALSE),"")</f>
        <v/>
      </c>
      <c r="C136" s="233" t="str">
        <f>IF(B136="","",VLOOKUP(B136,'RELACION VTAS - CHS'!F:H,3,FALSE))</f>
        <v/>
      </c>
      <c r="D136" s="55" t="str">
        <f>IF(B136="","",VLOOKUP(B136,'RELACION VTAS - CHS'!F:H,2,FALSE))</f>
        <v/>
      </c>
      <c r="E136" s="215">
        <f>IF(ISERROR(VLOOKUP($B136,'RELACION VTAS - CHS'!$F$7:$V$250,16,FALSE))=FALSE,VLOOKUP($B136,'RELACION VTAS - CHS'!$F$7:$V$250,16,FALSE),0)</f>
        <v>0</v>
      </c>
      <c r="F136" s="215">
        <f>SUMIF('REPORTE GASTOS'!C:C,COBRANZA!B136,'REPORTE GASTOS'!G:G)</f>
        <v>0</v>
      </c>
      <c r="G136" s="216">
        <f t="shared" si="8"/>
        <v>0</v>
      </c>
      <c r="H136" s="214">
        <f>IF(ISERROR(VLOOKUP($B136,'RELACION VTAS - CHS'!$F$7:$V$250,16,FALSE))=FALSE,VLOOKUP($B136,'RELACION VTAS - CHS'!$F$7:$V$250,17,FALSE),0)</f>
        <v>0</v>
      </c>
      <c r="I136" s="209">
        <f>SUMIF('REPORTE GASTOS'!C:C,COBRANZA!B136,'REPORTE GASTOS'!I:I)</f>
        <v>0</v>
      </c>
      <c r="J136" s="216">
        <f t="shared" si="9"/>
        <v>0</v>
      </c>
      <c r="K136" s="65"/>
    </row>
    <row r="137" spans="1:11" s="85" customFormat="1">
      <c r="A137" s="40">
        <v>117</v>
      </c>
      <c r="B137" s="76" t="str">
        <f>IF(ISERROR(VLOOKUP(A137,'RELACION VTAS - CHS'!D:F,3,FALSE))=FALSE,VLOOKUP(A137,'RELACION VTAS - CHS'!D:F,3,FALSE),"")</f>
        <v/>
      </c>
      <c r="C137" s="233" t="str">
        <f>IF(B137="","",VLOOKUP(B137,'RELACION VTAS - CHS'!F:H,3,FALSE))</f>
        <v/>
      </c>
      <c r="D137" s="55" t="str">
        <f>IF(B137="","",VLOOKUP(B137,'RELACION VTAS - CHS'!F:H,2,FALSE))</f>
        <v/>
      </c>
      <c r="E137" s="215">
        <f>IF(ISERROR(VLOOKUP($B137,'RELACION VTAS - CHS'!$F$7:$V$250,16,FALSE))=FALSE,VLOOKUP($B137,'RELACION VTAS - CHS'!$F$7:$V$250,16,FALSE),0)</f>
        <v>0</v>
      </c>
      <c r="F137" s="215">
        <f>SUMIF('REPORTE GASTOS'!C:C,COBRANZA!B137,'REPORTE GASTOS'!G:G)</f>
        <v>0</v>
      </c>
      <c r="G137" s="216">
        <f t="shared" si="8"/>
        <v>0</v>
      </c>
      <c r="H137" s="214">
        <f>IF(ISERROR(VLOOKUP($B137,'RELACION VTAS - CHS'!$F$7:$V$250,16,FALSE))=FALSE,VLOOKUP($B137,'RELACION VTAS - CHS'!$F$7:$V$250,17,FALSE),0)</f>
        <v>0</v>
      </c>
      <c r="I137" s="209">
        <f>SUMIF('REPORTE GASTOS'!C:C,COBRANZA!B137,'REPORTE GASTOS'!I:I)</f>
        <v>0</v>
      </c>
      <c r="J137" s="216">
        <f t="shared" si="9"/>
        <v>0</v>
      </c>
      <c r="K137" s="65"/>
    </row>
    <row r="138" spans="1:11" s="85" customFormat="1">
      <c r="A138" s="40">
        <v>118</v>
      </c>
      <c r="B138" s="76" t="str">
        <f>IF(ISERROR(VLOOKUP(A138,'RELACION VTAS - CHS'!D:F,3,FALSE))=FALSE,VLOOKUP(A138,'RELACION VTAS - CHS'!D:F,3,FALSE),"")</f>
        <v/>
      </c>
      <c r="C138" s="233" t="str">
        <f>IF(B138="","",VLOOKUP(B138,'RELACION VTAS - CHS'!F:H,3,FALSE))</f>
        <v/>
      </c>
      <c r="D138" s="55" t="str">
        <f>IF(B138="","",VLOOKUP(B138,'RELACION VTAS - CHS'!F:H,2,FALSE))</f>
        <v/>
      </c>
      <c r="E138" s="215">
        <f>IF(ISERROR(VLOOKUP($B138,'RELACION VTAS - CHS'!$F$7:$V$250,16,FALSE))=FALSE,VLOOKUP($B138,'RELACION VTAS - CHS'!$F$7:$V$250,16,FALSE),0)</f>
        <v>0</v>
      </c>
      <c r="F138" s="215">
        <f>SUMIF('REPORTE GASTOS'!C:C,COBRANZA!B138,'REPORTE GASTOS'!G:G)</f>
        <v>0</v>
      </c>
      <c r="G138" s="216">
        <f t="shared" si="8"/>
        <v>0</v>
      </c>
      <c r="H138" s="214">
        <f>IF(ISERROR(VLOOKUP($B138,'RELACION VTAS - CHS'!$F$7:$V$250,16,FALSE))=FALSE,VLOOKUP($B138,'RELACION VTAS - CHS'!$F$7:$V$250,17,FALSE),0)</f>
        <v>0</v>
      </c>
      <c r="I138" s="209">
        <f>SUMIF('REPORTE GASTOS'!C:C,COBRANZA!B138,'REPORTE GASTOS'!I:I)</f>
        <v>0</v>
      </c>
      <c r="J138" s="216">
        <f t="shared" si="9"/>
        <v>0</v>
      </c>
      <c r="K138" s="65"/>
    </row>
    <row r="139" spans="1:11" s="85" customFormat="1">
      <c r="A139" s="40">
        <v>119</v>
      </c>
      <c r="B139" s="76" t="str">
        <f>IF(ISERROR(VLOOKUP(A139,'RELACION VTAS - CHS'!D:F,3,FALSE))=FALSE,VLOOKUP(A139,'RELACION VTAS - CHS'!D:F,3,FALSE),"")</f>
        <v/>
      </c>
      <c r="C139" s="233" t="str">
        <f>IF(B139="","",VLOOKUP(B139,'RELACION VTAS - CHS'!F:H,3,FALSE))</f>
        <v/>
      </c>
      <c r="D139" s="55" t="str">
        <f>IF(B139="","",VLOOKUP(B139,'RELACION VTAS - CHS'!F:H,2,FALSE))</f>
        <v/>
      </c>
      <c r="E139" s="215">
        <f>IF(ISERROR(VLOOKUP($B139,'RELACION VTAS - CHS'!$F$7:$V$250,16,FALSE))=FALSE,VLOOKUP($B139,'RELACION VTAS - CHS'!$F$7:$V$250,16,FALSE),0)</f>
        <v>0</v>
      </c>
      <c r="F139" s="215">
        <f>SUMIF('REPORTE GASTOS'!C:C,COBRANZA!B139,'REPORTE GASTOS'!G:G)</f>
        <v>0</v>
      </c>
      <c r="G139" s="216">
        <f t="shared" si="8"/>
        <v>0</v>
      </c>
      <c r="H139" s="214">
        <f>IF(ISERROR(VLOOKUP($B139,'RELACION VTAS - CHS'!$F$7:$V$250,16,FALSE))=FALSE,VLOOKUP($B139,'RELACION VTAS - CHS'!$F$7:$V$250,17,FALSE),0)</f>
        <v>0</v>
      </c>
      <c r="I139" s="209">
        <f>SUMIF('REPORTE GASTOS'!C:C,COBRANZA!B139,'REPORTE GASTOS'!I:I)</f>
        <v>0</v>
      </c>
      <c r="J139" s="216">
        <f t="shared" si="9"/>
        <v>0</v>
      </c>
      <c r="K139" s="65"/>
    </row>
    <row r="140" spans="1:11" s="85" customFormat="1">
      <c r="A140" s="40">
        <v>120</v>
      </c>
      <c r="B140" s="76" t="str">
        <f>IF(ISERROR(VLOOKUP(A140,'RELACION VTAS - CHS'!D:F,3,FALSE))=FALSE,VLOOKUP(A140,'RELACION VTAS - CHS'!D:F,3,FALSE),"")</f>
        <v/>
      </c>
      <c r="C140" s="233" t="str">
        <f>IF(B140="","",VLOOKUP(B140,'RELACION VTAS - CHS'!F:H,3,FALSE))</f>
        <v/>
      </c>
      <c r="D140" s="55" t="str">
        <f>IF(B140="","",VLOOKUP(B140,'RELACION VTAS - CHS'!F:H,2,FALSE))</f>
        <v/>
      </c>
      <c r="E140" s="215">
        <f>IF(ISERROR(VLOOKUP($B140,'RELACION VTAS - CHS'!$F$7:$V$250,16,FALSE))=FALSE,VLOOKUP($B140,'RELACION VTAS - CHS'!$F$7:$V$250,16,FALSE),0)</f>
        <v>0</v>
      </c>
      <c r="F140" s="215">
        <f>SUMIF('REPORTE GASTOS'!C:C,COBRANZA!B140,'REPORTE GASTOS'!G:G)</f>
        <v>0</v>
      </c>
      <c r="G140" s="216">
        <f t="shared" si="8"/>
        <v>0</v>
      </c>
      <c r="H140" s="214">
        <f>IF(ISERROR(VLOOKUP($B140,'RELACION VTAS - CHS'!$F$7:$V$250,16,FALSE))=FALSE,VLOOKUP($B140,'RELACION VTAS - CHS'!$F$7:$V$250,17,FALSE),0)</f>
        <v>0</v>
      </c>
      <c r="I140" s="209">
        <f>SUMIF('REPORTE GASTOS'!C:C,COBRANZA!B140,'REPORTE GASTOS'!I:I)</f>
        <v>0</v>
      </c>
      <c r="J140" s="216">
        <f t="shared" si="9"/>
        <v>0</v>
      </c>
      <c r="K140" s="65"/>
    </row>
    <row r="141" spans="1:11" s="85" customFormat="1">
      <c r="A141" s="40">
        <v>121</v>
      </c>
      <c r="B141" s="76" t="str">
        <f>IF(ISERROR(VLOOKUP(A141,'RELACION VTAS - CHS'!D:F,3,FALSE))=FALSE,VLOOKUP(A141,'RELACION VTAS - CHS'!D:F,3,FALSE),"")</f>
        <v/>
      </c>
      <c r="C141" s="233" t="str">
        <f>IF(B141="","",VLOOKUP(B141,'RELACION VTAS - CHS'!F:H,3,FALSE))</f>
        <v/>
      </c>
      <c r="D141" s="55" t="str">
        <f>IF(B141="","",VLOOKUP(B141,'RELACION VTAS - CHS'!F:H,2,FALSE))</f>
        <v/>
      </c>
      <c r="E141" s="215">
        <f>IF(ISERROR(VLOOKUP($B141,'RELACION VTAS - CHS'!$F$7:$V$250,16,FALSE))=FALSE,VLOOKUP($B141,'RELACION VTAS - CHS'!$F$7:$V$250,16,FALSE),0)</f>
        <v>0</v>
      </c>
      <c r="F141" s="215">
        <f>SUMIF('REPORTE GASTOS'!C:C,COBRANZA!B141,'REPORTE GASTOS'!G:G)</f>
        <v>0</v>
      </c>
      <c r="G141" s="216">
        <f t="shared" si="8"/>
        <v>0</v>
      </c>
      <c r="H141" s="214">
        <f>IF(ISERROR(VLOOKUP($B141,'RELACION VTAS - CHS'!$F$7:$V$250,16,FALSE))=FALSE,VLOOKUP($B141,'RELACION VTAS - CHS'!$F$7:$V$250,17,FALSE),0)</f>
        <v>0</v>
      </c>
      <c r="I141" s="209">
        <f>SUMIF('REPORTE GASTOS'!C:C,COBRANZA!B141,'REPORTE GASTOS'!I:I)</f>
        <v>0</v>
      </c>
      <c r="J141" s="216">
        <f t="shared" si="9"/>
        <v>0</v>
      </c>
      <c r="K141" s="65"/>
    </row>
    <row r="142" spans="1:11" s="85" customFormat="1">
      <c r="A142" s="40">
        <v>122</v>
      </c>
      <c r="B142" s="76" t="str">
        <f>IF(ISERROR(VLOOKUP(A142,'RELACION VTAS - CHS'!D:F,3,FALSE))=FALSE,VLOOKUP(A142,'RELACION VTAS - CHS'!D:F,3,FALSE),"")</f>
        <v/>
      </c>
      <c r="C142" s="233" t="str">
        <f>IF(B142="","",VLOOKUP(B142,'RELACION VTAS - CHS'!F:H,3,FALSE))</f>
        <v/>
      </c>
      <c r="D142" s="55" t="str">
        <f>IF(B142="","",VLOOKUP(B142,'RELACION VTAS - CHS'!F:H,2,FALSE))</f>
        <v/>
      </c>
      <c r="E142" s="215">
        <f>IF(ISERROR(VLOOKUP($B142,'RELACION VTAS - CHS'!$F$7:$V$250,16,FALSE))=FALSE,VLOOKUP($B142,'RELACION VTAS - CHS'!$F$7:$V$250,16,FALSE),0)</f>
        <v>0</v>
      </c>
      <c r="F142" s="215">
        <f>SUMIF('REPORTE GASTOS'!C:C,COBRANZA!B142,'REPORTE GASTOS'!G:G)</f>
        <v>0</v>
      </c>
      <c r="G142" s="216">
        <f t="shared" ref="G142:G201" si="10">E142-F142</f>
        <v>0</v>
      </c>
      <c r="H142" s="214">
        <f>IF(ISERROR(VLOOKUP($B142,'RELACION VTAS - CHS'!$F$7:$V$250,16,FALSE))=FALSE,VLOOKUP($B142,'RELACION VTAS - CHS'!$F$7:$V$250,17,FALSE),0)</f>
        <v>0</v>
      </c>
      <c r="I142" s="209">
        <f>SUMIF('REPORTE GASTOS'!C:C,COBRANZA!B142,'REPORTE GASTOS'!I:I)</f>
        <v>0</v>
      </c>
      <c r="J142" s="216">
        <f t="shared" ref="J142:J201" si="11">H142-I142</f>
        <v>0</v>
      </c>
      <c r="K142" s="65"/>
    </row>
    <row r="143" spans="1:11" s="85" customFormat="1">
      <c r="A143" s="40">
        <v>123</v>
      </c>
      <c r="B143" s="76" t="str">
        <f>IF(ISERROR(VLOOKUP(A143,'RELACION VTAS - CHS'!D:F,3,FALSE))=FALSE,VLOOKUP(A143,'RELACION VTAS - CHS'!D:F,3,FALSE),"")</f>
        <v/>
      </c>
      <c r="C143" s="233" t="str">
        <f>IF(B143="","",VLOOKUP(B143,'RELACION VTAS - CHS'!F:H,3,FALSE))</f>
        <v/>
      </c>
      <c r="D143" s="55" t="str">
        <f>IF(B143="","",VLOOKUP(B143,'RELACION VTAS - CHS'!F:H,2,FALSE))</f>
        <v/>
      </c>
      <c r="E143" s="215">
        <f>IF(ISERROR(VLOOKUP($B143,'RELACION VTAS - CHS'!$F$7:$V$250,16,FALSE))=FALSE,VLOOKUP($B143,'RELACION VTAS - CHS'!$F$7:$V$250,16,FALSE),0)</f>
        <v>0</v>
      </c>
      <c r="F143" s="215">
        <f>SUMIF('REPORTE GASTOS'!C:C,COBRANZA!B143,'REPORTE GASTOS'!G:G)</f>
        <v>0</v>
      </c>
      <c r="G143" s="216">
        <f t="shared" si="10"/>
        <v>0</v>
      </c>
      <c r="H143" s="214">
        <f>IF(ISERROR(VLOOKUP($B143,'RELACION VTAS - CHS'!$F$7:$V$250,16,FALSE))=FALSE,VLOOKUP($B143,'RELACION VTAS - CHS'!$F$7:$V$250,17,FALSE),0)</f>
        <v>0</v>
      </c>
      <c r="I143" s="209">
        <f>SUMIF('REPORTE GASTOS'!C:C,COBRANZA!B143,'REPORTE GASTOS'!I:I)</f>
        <v>0</v>
      </c>
      <c r="J143" s="216">
        <f t="shared" si="11"/>
        <v>0</v>
      </c>
      <c r="K143" s="65"/>
    </row>
    <row r="144" spans="1:11" s="85" customFormat="1">
      <c r="A144" s="40">
        <v>124</v>
      </c>
      <c r="B144" s="76" t="str">
        <f>IF(ISERROR(VLOOKUP(A144,'RELACION VTAS - CHS'!D:F,3,FALSE))=FALSE,VLOOKUP(A144,'RELACION VTAS - CHS'!D:F,3,FALSE),"")</f>
        <v/>
      </c>
      <c r="C144" s="233" t="str">
        <f>IF(B144="","",VLOOKUP(B144,'RELACION VTAS - CHS'!F:H,3,FALSE))</f>
        <v/>
      </c>
      <c r="D144" s="55" t="str">
        <f>IF(B144="","",VLOOKUP(B144,'RELACION VTAS - CHS'!F:H,2,FALSE))</f>
        <v/>
      </c>
      <c r="E144" s="215">
        <f>IF(ISERROR(VLOOKUP($B144,'RELACION VTAS - CHS'!$F$7:$V$250,16,FALSE))=FALSE,VLOOKUP($B144,'RELACION VTAS - CHS'!$F$7:$V$250,16,FALSE),0)</f>
        <v>0</v>
      </c>
      <c r="F144" s="215">
        <f>SUMIF('REPORTE GASTOS'!C:C,COBRANZA!B144,'REPORTE GASTOS'!G:G)</f>
        <v>0</v>
      </c>
      <c r="G144" s="216">
        <f t="shared" si="10"/>
        <v>0</v>
      </c>
      <c r="H144" s="214">
        <f>IF(ISERROR(VLOOKUP($B144,'RELACION VTAS - CHS'!$F$7:$V$250,16,FALSE))=FALSE,VLOOKUP($B144,'RELACION VTAS - CHS'!$F$7:$V$250,17,FALSE),0)</f>
        <v>0</v>
      </c>
      <c r="I144" s="209">
        <f>SUMIF('REPORTE GASTOS'!C:C,COBRANZA!B144,'REPORTE GASTOS'!I:I)</f>
        <v>0</v>
      </c>
      <c r="J144" s="216">
        <f t="shared" si="11"/>
        <v>0</v>
      </c>
      <c r="K144" s="65"/>
    </row>
    <row r="145" spans="1:11" s="85" customFormat="1">
      <c r="A145" s="40">
        <v>125</v>
      </c>
      <c r="B145" s="76" t="str">
        <f>IF(ISERROR(VLOOKUP(A145,'RELACION VTAS - CHS'!D:F,3,FALSE))=FALSE,VLOOKUP(A145,'RELACION VTAS - CHS'!D:F,3,FALSE),"")</f>
        <v/>
      </c>
      <c r="C145" s="233" t="str">
        <f>IF(B145="","",VLOOKUP(B145,'RELACION VTAS - CHS'!F:H,3,FALSE))</f>
        <v/>
      </c>
      <c r="D145" s="55" t="str">
        <f>IF(B145="","",VLOOKUP(B145,'RELACION VTAS - CHS'!F:H,2,FALSE))</f>
        <v/>
      </c>
      <c r="E145" s="215">
        <f>IF(ISERROR(VLOOKUP($B145,'RELACION VTAS - CHS'!$F$7:$V$250,16,FALSE))=FALSE,VLOOKUP($B145,'RELACION VTAS - CHS'!$F$7:$V$250,16,FALSE),0)</f>
        <v>0</v>
      </c>
      <c r="F145" s="215">
        <f>SUMIF('REPORTE GASTOS'!C:C,COBRANZA!B145,'REPORTE GASTOS'!G:G)</f>
        <v>0</v>
      </c>
      <c r="G145" s="216">
        <f t="shared" si="10"/>
        <v>0</v>
      </c>
      <c r="H145" s="214">
        <f>IF(ISERROR(VLOOKUP($B145,'RELACION VTAS - CHS'!$F$7:$V$250,16,FALSE))=FALSE,VLOOKUP($B145,'RELACION VTAS - CHS'!$F$7:$V$250,17,FALSE),0)</f>
        <v>0</v>
      </c>
      <c r="I145" s="209">
        <f>SUMIF('REPORTE GASTOS'!C:C,COBRANZA!B145,'REPORTE GASTOS'!I:I)</f>
        <v>0</v>
      </c>
      <c r="J145" s="216">
        <f t="shared" si="11"/>
        <v>0</v>
      </c>
      <c r="K145" s="65"/>
    </row>
    <row r="146" spans="1:11" s="85" customFormat="1">
      <c r="A146" s="40">
        <v>126</v>
      </c>
      <c r="B146" s="76" t="str">
        <f>IF(ISERROR(VLOOKUP(A146,'RELACION VTAS - CHS'!D:F,3,FALSE))=FALSE,VLOOKUP(A146,'RELACION VTAS - CHS'!D:F,3,FALSE),"")</f>
        <v/>
      </c>
      <c r="C146" s="233" t="str">
        <f>IF(B146="","",VLOOKUP(B146,'RELACION VTAS - CHS'!F:H,3,FALSE))</f>
        <v/>
      </c>
      <c r="D146" s="55" t="str">
        <f>IF(B146="","",VLOOKUP(B146,'RELACION VTAS - CHS'!F:H,2,FALSE))</f>
        <v/>
      </c>
      <c r="E146" s="215">
        <f>IF(ISERROR(VLOOKUP($B146,'RELACION VTAS - CHS'!$F$7:$V$250,16,FALSE))=FALSE,VLOOKUP($B146,'RELACION VTAS - CHS'!$F$7:$V$250,16,FALSE),0)</f>
        <v>0</v>
      </c>
      <c r="F146" s="215">
        <f>SUMIF('REPORTE GASTOS'!C:C,COBRANZA!B146,'REPORTE GASTOS'!G:G)</f>
        <v>0</v>
      </c>
      <c r="G146" s="216">
        <f t="shared" si="10"/>
        <v>0</v>
      </c>
      <c r="H146" s="214">
        <f>IF(ISERROR(VLOOKUP($B146,'RELACION VTAS - CHS'!$F$7:$V$250,16,FALSE))=FALSE,VLOOKUP($B146,'RELACION VTAS - CHS'!$F$7:$V$250,17,FALSE),0)</f>
        <v>0</v>
      </c>
      <c r="I146" s="209">
        <f>SUMIF('REPORTE GASTOS'!C:C,COBRANZA!B146,'REPORTE GASTOS'!I:I)</f>
        <v>0</v>
      </c>
      <c r="J146" s="216">
        <f t="shared" si="11"/>
        <v>0</v>
      </c>
      <c r="K146" s="65"/>
    </row>
    <row r="147" spans="1:11" s="85" customFormat="1">
      <c r="A147" s="40">
        <v>127</v>
      </c>
      <c r="B147" s="76" t="str">
        <f>IF(ISERROR(VLOOKUP(A147,'RELACION VTAS - CHS'!D:F,3,FALSE))=FALSE,VLOOKUP(A147,'RELACION VTAS - CHS'!D:F,3,FALSE),"")</f>
        <v/>
      </c>
      <c r="C147" s="233" t="str">
        <f>IF(B147="","",VLOOKUP(B147,'RELACION VTAS - CHS'!F:H,3,FALSE))</f>
        <v/>
      </c>
      <c r="D147" s="55" t="str">
        <f>IF(B147="","",VLOOKUP(B147,'RELACION VTAS - CHS'!F:H,2,FALSE))</f>
        <v/>
      </c>
      <c r="E147" s="215">
        <f>IF(ISERROR(VLOOKUP($B147,'RELACION VTAS - CHS'!$F$7:$V$250,16,FALSE))=FALSE,VLOOKUP($B147,'RELACION VTAS - CHS'!$F$7:$V$250,16,FALSE),0)</f>
        <v>0</v>
      </c>
      <c r="F147" s="215">
        <f>SUMIF('REPORTE GASTOS'!C:C,COBRANZA!B147,'REPORTE GASTOS'!G:G)</f>
        <v>0</v>
      </c>
      <c r="G147" s="216">
        <f t="shared" si="10"/>
        <v>0</v>
      </c>
      <c r="H147" s="214">
        <f>IF(ISERROR(VLOOKUP($B147,'RELACION VTAS - CHS'!$F$7:$V$250,16,FALSE))=FALSE,VLOOKUP($B147,'RELACION VTAS - CHS'!$F$7:$V$250,17,FALSE),0)</f>
        <v>0</v>
      </c>
      <c r="I147" s="209">
        <f>SUMIF('REPORTE GASTOS'!C:C,COBRANZA!B147,'REPORTE GASTOS'!I:I)</f>
        <v>0</v>
      </c>
      <c r="J147" s="216">
        <f t="shared" si="11"/>
        <v>0</v>
      </c>
      <c r="K147" s="65"/>
    </row>
    <row r="148" spans="1:11" s="85" customFormat="1">
      <c r="A148" s="40">
        <v>128</v>
      </c>
      <c r="B148" s="76" t="str">
        <f>IF(ISERROR(VLOOKUP(A148,'RELACION VTAS - CHS'!D:F,3,FALSE))=FALSE,VLOOKUP(A148,'RELACION VTAS - CHS'!D:F,3,FALSE),"")</f>
        <v/>
      </c>
      <c r="C148" s="233" t="str">
        <f>IF(B148="","",VLOOKUP(B148,'RELACION VTAS - CHS'!F:H,3,FALSE))</f>
        <v/>
      </c>
      <c r="D148" s="55" t="str">
        <f>IF(B148="","",VLOOKUP(B148,'RELACION VTAS - CHS'!F:H,2,FALSE))</f>
        <v/>
      </c>
      <c r="E148" s="215">
        <f>IF(ISERROR(VLOOKUP($B148,'RELACION VTAS - CHS'!$F$7:$V$250,16,FALSE))=FALSE,VLOOKUP($B148,'RELACION VTAS - CHS'!$F$7:$V$250,16,FALSE),0)</f>
        <v>0</v>
      </c>
      <c r="F148" s="215">
        <f>SUMIF('REPORTE GASTOS'!C:C,COBRANZA!B148,'REPORTE GASTOS'!G:G)</f>
        <v>0</v>
      </c>
      <c r="G148" s="216">
        <f t="shared" si="10"/>
        <v>0</v>
      </c>
      <c r="H148" s="214">
        <f>IF(ISERROR(VLOOKUP($B148,'RELACION VTAS - CHS'!$F$7:$V$250,16,FALSE))=FALSE,VLOOKUP($B148,'RELACION VTAS - CHS'!$F$7:$V$250,17,FALSE),0)</f>
        <v>0</v>
      </c>
      <c r="I148" s="209">
        <f>SUMIF('REPORTE GASTOS'!C:C,COBRANZA!B148,'REPORTE GASTOS'!I:I)</f>
        <v>0</v>
      </c>
      <c r="J148" s="216">
        <f t="shared" si="11"/>
        <v>0</v>
      </c>
      <c r="K148" s="65"/>
    </row>
    <row r="149" spans="1:11" s="85" customFormat="1">
      <c r="A149" s="40">
        <v>129</v>
      </c>
      <c r="B149" s="76" t="str">
        <f>IF(ISERROR(VLOOKUP(A149,'RELACION VTAS - CHS'!D:F,3,FALSE))=FALSE,VLOOKUP(A149,'RELACION VTAS - CHS'!D:F,3,FALSE),"")</f>
        <v/>
      </c>
      <c r="C149" s="233" t="str">
        <f>IF(B149="","",VLOOKUP(B149,'RELACION VTAS - CHS'!F:H,3,FALSE))</f>
        <v/>
      </c>
      <c r="D149" s="55" t="str">
        <f>IF(B149="","",VLOOKUP(B149,'RELACION VTAS - CHS'!F:H,2,FALSE))</f>
        <v/>
      </c>
      <c r="E149" s="215">
        <f>IF(ISERROR(VLOOKUP($B149,'RELACION VTAS - CHS'!$F$7:$V$250,16,FALSE))=FALSE,VLOOKUP($B149,'RELACION VTAS - CHS'!$F$7:$V$250,16,FALSE),0)</f>
        <v>0</v>
      </c>
      <c r="F149" s="215">
        <f>SUMIF('REPORTE GASTOS'!C:C,COBRANZA!B149,'REPORTE GASTOS'!G:G)</f>
        <v>0</v>
      </c>
      <c r="G149" s="216">
        <f t="shared" si="10"/>
        <v>0</v>
      </c>
      <c r="H149" s="214">
        <f>IF(ISERROR(VLOOKUP($B149,'RELACION VTAS - CHS'!$F$7:$V$250,16,FALSE))=FALSE,VLOOKUP($B149,'RELACION VTAS - CHS'!$F$7:$V$250,17,FALSE),0)</f>
        <v>0</v>
      </c>
      <c r="I149" s="209">
        <f>SUMIF('REPORTE GASTOS'!C:C,COBRANZA!B149,'REPORTE GASTOS'!I:I)</f>
        <v>0</v>
      </c>
      <c r="J149" s="216">
        <f t="shared" si="11"/>
        <v>0</v>
      </c>
      <c r="K149" s="65"/>
    </row>
    <row r="150" spans="1:11" s="85" customFormat="1">
      <c r="A150" s="40">
        <v>130</v>
      </c>
      <c r="B150" s="76" t="str">
        <f>IF(ISERROR(VLOOKUP(A150,'RELACION VTAS - CHS'!D:F,3,FALSE))=FALSE,VLOOKUP(A150,'RELACION VTAS - CHS'!D:F,3,FALSE),"")</f>
        <v/>
      </c>
      <c r="C150" s="233" t="str">
        <f>IF(B150="","",VLOOKUP(B150,'RELACION VTAS - CHS'!F:H,3,FALSE))</f>
        <v/>
      </c>
      <c r="D150" s="55" t="str">
        <f>IF(B150="","",VLOOKUP(B150,'RELACION VTAS - CHS'!F:H,2,FALSE))</f>
        <v/>
      </c>
      <c r="E150" s="215">
        <f>IF(ISERROR(VLOOKUP($B150,'RELACION VTAS - CHS'!$F$7:$V$250,16,FALSE))=FALSE,VLOOKUP($B150,'RELACION VTAS - CHS'!$F$7:$V$250,16,FALSE),0)</f>
        <v>0</v>
      </c>
      <c r="F150" s="215">
        <f>SUMIF('REPORTE GASTOS'!C:C,COBRANZA!B150,'REPORTE GASTOS'!G:G)</f>
        <v>0</v>
      </c>
      <c r="G150" s="216">
        <f t="shared" si="10"/>
        <v>0</v>
      </c>
      <c r="H150" s="214">
        <f>IF(ISERROR(VLOOKUP($B150,'RELACION VTAS - CHS'!$F$7:$V$250,16,FALSE))=FALSE,VLOOKUP($B150,'RELACION VTAS - CHS'!$F$7:$V$250,17,FALSE),0)</f>
        <v>0</v>
      </c>
      <c r="I150" s="209">
        <f>SUMIF('REPORTE GASTOS'!C:C,COBRANZA!B150,'REPORTE GASTOS'!I:I)</f>
        <v>0</v>
      </c>
      <c r="J150" s="216">
        <f t="shared" si="11"/>
        <v>0</v>
      </c>
      <c r="K150" s="65"/>
    </row>
    <row r="151" spans="1:11" s="85" customFormat="1">
      <c r="A151" s="40">
        <v>131</v>
      </c>
      <c r="B151" s="76" t="str">
        <f>IF(ISERROR(VLOOKUP(A151,'RELACION VTAS - CHS'!D:F,3,FALSE))=FALSE,VLOOKUP(A151,'RELACION VTAS - CHS'!D:F,3,FALSE),"")</f>
        <v/>
      </c>
      <c r="C151" s="233" t="str">
        <f>IF(B151="","",VLOOKUP(B151,'RELACION VTAS - CHS'!F:H,3,FALSE))</f>
        <v/>
      </c>
      <c r="D151" s="55" t="str">
        <f>IF(B151="","",VLOOKUP(B151,'RELACION VTAS - CHS'!F:H,2,FALSE))</f>
        <v/>
      </c>
      <c r="E151" s="215">
        <f>IF(ISERROR(VLOOKUP($B151,'RELACION VTAS - CHS'!$F$7:$V$250,16,FALSE))=FALSE,VLOOKUP($B151,'RELACION VTAS - CHS'!$F$7:$V$250,16,FALSE),0)</f>
        <v>0</v>
      </c>
      <c r="F151" s="215">
        <f>SUMIF('REPORTE GASTOS'!C:C,COBRANZA!B151,'REPORTE GASTOS'!G:G)</f>
        <v>0</v>
      </c>
      <c r="G151" s="216">
        <f t="shared" si="10"/>
        <v>0</v>
      </c>
      <c r="H151" s="214">
        <f>IF(ISERROR(VLOOKUP($B151,'RELACION VTAS - CHS'!$F$7:$V$250,16,FALSE))=FALSE,VLOOKUP($B151,'RELACION VTAS - CHS'!$F$7:$V$250,17,FALSE),0)</f>
        <v>0</v>
      </c>
      <c r="I151" s="209">
        <f>SUMIF('REPORTE GASTOS'!C:C,COBRANZA!B151,'REPORTE GASTOS'!I:I)</f>
        <v>0</v>
      </c>
      <c r="J151" s="216">
        <f t="shared" si="11"/>
        <v>0</v>
      </c>
      <c r="K151" s="65"/>
    </row>
    <row r="152" spans="1:11" s="85" customFormat="1">
      <c r="A152" s="40">
        <v>132</v>
      </c>
      <c r="B152" s="76" t="str">
        <f>IF(ISERROR(VLOOKUP(A152,'RELACION VTAS - CHS'!D:F,3,FALSE))=FALSE,VLOOKUP(A152,'RELACION VTAS - CHS'!D:F,3,FALSE),"")</f>
        <v/>
      </c>
      <c r="C152" s="233" t="str">
        <f>IF(B152="","",VLOOKUP(B152,'RELACION VTAS - CHS'!F:H,3,FALSE))</f>
        <v/>
      </c>
      <c r="D152" s="55" t="str">
        <f>IF(B152="","",VLOOKUP(B152,'RELACION VTAS - CHS'!F:H,2,FALSE))</f>
        <v/>
      </c>
      <c r="E152" s="215">
        <f>IF(ISERROR(VLOOKUP($B152,'RELACION VTAS - CHS'!$F$7:$V$250,16,FALSE))=FALSE,VLOOKUP($B152,'RELACION VTAS - CHS'!$F$7:$V$250,16,FALSE),0)</f>
        <v>0</v>
      </c>
      <c r="F152" s="215">
        <f>SUMIF('REPORTE GASTOS'!C:C,COBRANZA!B152,'REPORTE GASTOS'!G:G)</f>
        <v>0</v>
      </c>
      <c r="G152" s="216">
        <f t="shared" si="10"/>
        <v>0</v>
      </c>
      <c r="H152" s="214">
        <f>IF(ISERROR(VLOOKUP($B152,'RELACION VTAS - CHS'!$F$7:$V$250,16,FALSE))=FALSE,VLOOKUP($B152,'RELACION VTAS - CHS'!$F$7:$V$250,17,FALSE),0)</f>
        <v>0</v>
      </c>
      <c r="I152" s="209">
        <f>SUMIF('REPORTE GASTOS'!C:C,COBRANZA!B152,'REPORTE GASTOS'!I:I)</f>
        <v>0</v>
      </c>
      <c r="J152" s="216">
        <f t="shared" si="11"/>
        <v>0</v>
      </c>
      <c r="K152" s="65"/>
    </row>
    <row r="153" spans="1:11" s="85" customFormat="1">
      <c r="A153" s="40">
        <v>133</v>
      </c>
      <c r="B153" s="76" t="str">
        <f>IF(ISERROR(VLOOKUP(A153,'RELACION VTAS - CHS'!D:F,3,FALSE))=FALSE,VLOOKUP(A153,'RELACION VTAS - CHS'!D:F,3,FALSE),"")</f>
        <v/>
      </c>
      <c r="C153" s="233" t="str">
        <f>IF(B153="","",VLOOKUP(B153,'RELACION VTAS - CHS'!F:H,3,FALSE))</f>
        <v/>
      </c>
      <c r="D153" s="55" t="str">
        <f>IF(B153="","",VLOOKUP(B153,'RELACION VTAS - CHS'!F:H,2,FALSE))</f>
        <v/>
      </c>
      <c r="E153" s="215">
        <f>IF(ISERROR(VLOOKUP($B153,'RELACION VTAS - CHS'!$F$7:$V$250,16,FALSE))=FALSE,VLOOKUP($B153,'RELACION VTAS - CHS'!$F$7:$V$250,16,FALSE),0)</f>
        <v>0</v>
      </c>
      <c r="F153" s="215">
        <f>SUMIF('REPORTE GASTOS'!C:C,COBRANZA!B153,'REPORTE GASTOS'!G:G)</f>
        <v>0</v>
      </c>
      <c r="G153" s="216">
        <f t="shared" si="10"/>
        <v>0</v>
      </c>
      <c r="H153" s="214">
        <f>IF(ISERROR(VLOOKUP($B153,'RELACION VTAS - CHS'!$F$7:$V$250,16,FALSE))=FALSE,VLOOKUP($B153,'RELACION VTAS - CHS'!$F$7:$V$250,17,FALSE),0)</f>
        <v>0</v>
      </c>
      <c r="I153" s="209">
        <f>SUMIF('REPORTE GASTOS'!C:C,COBRANZA!B153,'REPORTE GASTOS'!I:I)</f>
        <v>0</v>
      </c>
      <c r="J153" s="216">
        <f t="shared" si="11"/>
        <v>0</v>
      </c>
      <c r="K153" s="65"/>
    </row>
    <row r="154" spans="1:11" s="85" customFormat="1">
      <c r="A154" s="40">
        <v>134</v>
      </c>
      <c r="B154" s="76" t="str">
        <f>IF(ISERROR(VLOOKUP(A154,'RELACION VTAS - CHS'!D:F,3,FALSE))=FALSE,VLOOKUP(A154,'RELACION VTAS - CHS'!D:F,3,FALSE),"")</f>
        <v/>
      </c>
      <c r="C154" s="233" t="str">
        <f>IF(B154="","",VLOOKUP(B154,'RELACION VTAS - CHS'!F:H,3,FALSE))</f>
        <v/>
      </c>
      <c r="D154" s="55" t="str">
        <f>IF(B154="","",VLOOKUP(B154,'RELACION VTAS - CHS'!F:H,2,FALSE))</f>
        <v/>
      </c>
      <c r="E154" s="215">
        <f>IF(ISERROR(VLOOKUP($B154,'RELACION VTAS - CHS'!$F$7:$V$250,16,FALSE))=FALSE,VLOOKUP($B154,'RELACION VTAS - CHS'!$F$7:$V$250,16,FALSE),0)</f>
        <v>0</v>
      </c>
      <c r="F154" s="215">
        <f>SUMIF('REPORTE GASTOS'!C:C,COBRANZA!B154,'REPORTE GASTOS'!G:G)</f>
        <v>0</v>
      </c>
      <c r="G154" s="216">
        <f t="shared" si="10"/>
        <v>0</v>
      </c>
      <c r="H154" s="214">
        <f>IF(ISERROR(VLOOKUP($B154,'RELACION VTAS - CHS'!$F$7:$V$250,16,FALSE))=FALSE,VLOOKUP($B154,'RELACION VTAS - CHS'!$F$7:$V$250,17,FALSE),0)</f>
        <v>0</v>
      </c>
      <c r="I154" s="209">
        <f>SUMIF('REPORTE GASTOS'!C:C,COBRANZA!B154,'REPORTE GASTOS'!I:I)</f>
        <v>0</v>
      </c>
      <c r="J154" s="216">
        <f t="shared" si="11"/>
        <v>0</v>
      </c>
      <c r="K154" s="65"/>
    </row>
    <row r="155" spans="1:11" s="85" customFormat="1">
      <c r="A155" s="40">
        <v>135</v>
      </c>
      <c r="B155" s="76" t="str">
        <f>IF(ISERROR(VLOOKUP(A155,'RELACION VTAS - CHS'!D:F,3,FALSE))=FALSE,VLOOKUP(A155,'RELACION VTAS - CHS'!D:F,3,FALSE),"")</f>
        <v/>
      </c>
      <c r="C155" s="233" t="str">
        <f>IF(B155="","",VLOOKUP(B155,'RELACION VTAS - CHS'!F:H,3,FALSE))</f>
        <v/>
      </c>
      <c r="D155" s="55" t="str">
        <f>IF(B155="","",VLOOKUP(B155,'RELACION VTAS - CHS'!F:H,2,FALSE))</f>
        <v/>
      </c>
      <c r="E155" s="215">
        <f>IF(ISERROR(VLOOKUP($B155,'RELACION VTAS - CHS'!$F$7:$V$250,16,FALSE))=FALSE,VLOOKUP($B155,'RELACION VTAS - CHS'!$F$7:$V$250,16,FALSE),0)</f>
        <v>0</v>
      </c>
      <c r="F155" s="215">
        <f>SUMIF('REPORTE GASTOS'!C:C,COBRANZA!B155,'REPORTE GASTOS'!G:G)</f>
        <v>0</v>
      </c>
      <c r="G155" s="216">
        <f t="shared" si="10"/>
        <v>0</v>
      </c>
      <c r="H155" s="214">
        <f>IF(ISERROR(VLOOKUP($B155,'RELACION VTAS - CHS'!$F$7:$V$250,16,FALSE))=FALSE,VLOOKUP($B155,'RELACION VTAS - CHS'!$F$7:$V$250,17,FALSE),0)</f>
        <v>0</v>
      </c>
      <c r="I155" s="209">
        <f>SUMIF('REPORTE GASTOS'!C:C,COBRANZA!B155,'REPORTE GASTOS'!I:I)</f>
        <v>0</v>
      </c>
      <c r="J155" s="216">
        <f t="shared" si="11"/>
        <v>0</v>
      </c>
      <c r="K155" s="65"/>
    </row>
    <row r="156" spans="1:11" s="85" customFormat="1">
      <c r="A156" s="40">
        <v>136</v>
      </c>
      <c r="B156" s="76" t="str">
        <f>IF(ISERROR(VLOOKUP(A156,'RELACION VTAS - CHS'!D:F,3,FALSE))=FALSE,VLOOKUP(A156,'RELACION VTAS - CHS'!D:F,3,FALSE),"")</f>
        <v/>
      </c>
      <c r="C156" s="233" t="str">
        <f>IF(B156="","",VLOOKUP(B156,'RELACION VTAS - CHS'!F:H,3,FALSE))</f>
        <v/>
      </c>
      <c r="D156" s="55" t="str">
        <f>IF(B156="","",VLOOKUP(B156,'RELACION VTAS - CHS'!F:H,2,FALSE))</f>
        <v/>
      </c>
      <c r="E156" s="215">
        <f>IF(ISERROR(VLOOKUP($B156,'RELACION VTAS - CHS'!$F$7:$V$250,16,FALSE))=FALSE,VLOOKUP($B156,'RELACION VTAS - CHS'!$F$7:$V$250,16,FALSE),0)</f>
        <v>0</v>
      </c>
      <c r="F156" s="215">
        <f>SUMIF('REPORTE GASTOS'!C:C,COBRANZA!B156,'REPORTE GASTOS'!G:G)</f>
        <v>0</v>
      </c>
      <c r="G156" s="216">
        <f t="shared" si="10"/>
        <v>0</v>
      </c>
      <c r="H156" s="214">
        <f>IF(ISERROR(VLOOKUP($B156,'RELACION VTAS - CHS'!$F$7:$V$250,16,FALSE))=FALSE,VLOOKUP($B156,'RELACION VTAS - CHS'!$F$7:$V$250,17,FALSE),0)</f>
        <v>0</v>
      </c>
      <c r="I156" s="209">
        <f>SUMIF('REPORTE GASTOS'!C:C,COBRANZA!B156,'REPORTE GASTOS'!I:I)</f>
        <v>0</v>
      </c>
      <c r="J156" s="216">
        <f t="shared" si="11"/>
        <v>0</v>
      </c>
      <c r="K156" s="65"/>
    </row>
    <row r="157" spans="1:11" s="85" customFormat="1">
      <c r="A157" s="40">
        <v>137</v>
      </c>
      <c r="B157" s="76" t="str">
        <f>IF(ISERROR(VLOOKUP(A157,'RELACION VTAS - CHS'!D:F,3,FALSE))=FALSE,VLOOKUP(A157,'RELACION VTAS - CHS'!D:F,3,FALSE),"")</f>
        <v/>
      </c>
      <c r="C157" s="233" t="str">
        <f>IF(B157="","",VLOOKUP(B157,'RELACION VTAS - CHS'!F:H,3,FALSE))</f>
        <v/>
      </c>
      <c r="D157" s="55" t="str">
        <f>IF(B157="","",VLOOKUP(B157,'RELACION VTAS - CHS'!F:H,2,FALSE))</f>
        <v/>
      </c>
      <c r="E157" s="215">
        <f>IF(ISERROR(VLOOKUP($B157,'RELACION VTAS - CHS'!$F$7:$V$250,16,FALSE))=FALSE,VLOOKUP($B157,'RELACION VTAS - CHS'!$F$7:$V$250,16,FALSE),0)</f>
        <v>0</v>
      </c>
      <c r="F157" s="215">
        <f>SUMIF('REPORTE GASTOS'!C:C,COBRANZA!B157,'REPORTE GASTOS'!G:G)</f>
        <v>0</v>
      </c>
      <c r="G157" s="216">
        <f t="shared" si="10"/>
        <v>0</v>
      </c>
      <c r="H157" s="214">
        <f>IF(ISERROR(VLOOKUP($B157,'RELACION VTAS - CHS'!$F$7:$V$250,16,FALSE))=FALSE,VLOOKUP($B157,'RELACION VTAS - CHS'!$F$7:$V$250,17,FALSE),0)</f>
        <v>0</v>
      </c>
      <c r="I157" s="209">
        <f>SUMIF('REPORTE GASTOS'!C:C,COBRANZA!B157,'REPORTE GASTOS'!I:I)</f>
        <v>0</v>
      </c>
      <c r="J157" s="216">
        <f t="shared" si="11"/>
        <v>0</v>
      </c>
      <c r="K157" s="65"/>
    </row>
    <row r="158" spans="1:11" s="85" customFormat="1">
      <c r="A158" s="40">
        <v>138</v>
      </c>
      <c r="B158" s="76" t="str">
        <f>IF(ISERROR(VLOOKUP(A158,'RELACION VTAS - CHS'!D:F,3,FALSE))=FALSE,VLOOKUP(A158,'RELACION VTAS - CHS'!D:F,3,FALSE),"")</f>
        <v/>
      </c>
      <c r="C158" s="233" t="str">
        <f>IF(B158="","",VLOOKUP(B158,'RELACION VTAS - CHS'!F:H,3,FALSE))</f>
        <v/>
      </c>
      <c r="D158" s="55" t="str">
        <f>IF(B158="","",VLOOKUP(B158,'RELACION VTAS - CHS'!F:H,2,FALSE))</f>
        <v/>
      </c>
      <c r="E158" s="215">
        <f>IF(ISERROR(VLOOKUP($B158,'RELACION VTAS - CHS'!$F$7:$V$250,16,FALSE))=FALSE,VLOOKUP($B158,'RELACION VTAS - CHS'!$F$7:$V$250,16,FALSE),0)</f>
        <v>0</v>
      </c>
      <c r="F158" s="215">
        <f>SUMIF('REPORTE GASTOS'!C:C,COBRANZA!B158,'REPORTE GASTOS'!G:G)</f>
        <v>0</v>
      </c>
      <c r="G158" s="216">
        <f t="shared" si="10"/>
        <v>0</v>
      </c>
      <c r="H158" s="214">
        <f>IF(ISERROR(VLOOKUP($B158,'RELACION VTAS - CHS'!$F$7:$V$250,16,FALSE))=FALSE,VLOOKUP($B158,'RELACION VTAS - CHS'!$F$7:$V$250,17,FALSE),0)</f>
        <v>0</v>
      </c>
      <c r="I158" s="209">
        <f>SUMIF('REPORTE GASTOS'!C:C,COBRANZA!B158,'REPORTE GASTOS'!I:I)</f>
        <v>0</v>
      </c>
      <c r="J158" s="216">
        <f t="shared" si="11"/>
        <v>0</v>
      </c>
      <c r="K158" s="65"/>
    </row>
    <row r="159" spans="1:11" s="85" customFormat="1">
      <c r="A159" s="40">
        <v>139</v>
      </c>
      <c r="B159" s="76" t="str">
        <f>IF(ISERROR(VLOOKUP(A159,'RELACION VTAS - CHS'!D:F,3,FALSE))=FALSE,VLOOKUP(A159,'RELACION VTAS - CHS'!D:F,3,FALSE),"")</f>
        <v/>
      </c>
      <c r="C159" s="233" t="str">
        <f>IF(B159="","",VLOOKUP(B159,'RELACION VTAS - CHS'!F:H,3,FALSE))</f>
        <v/>
      </c>
      <c r="D159" s="55" t="str">
        <f>IF(B159="","",VLOOKUP(B159,'RELACION VTAS - CHS'!F:H,2,FALSE))</f>
        <v/>
      </c>
      <c r="E159" s="215">
        <f>IF(ISERROR(VLOOKUP($B159,'RELACION VTAS - CHS'!$F$7:$V$250,16,FALSE))=FALSE,VLOOKUP($B159,'RELACION VTAS - CHS'!$F$7:$V$250,16,FALSE),0)</f>
        <v>0</v>
      </c>
      <c r="F159" s="215">
        <f>SUMIF('REPORTE GASTOS'!C:C,COBRANZA!B159,'REPORTE GASTOS'!G:G)</f>
        <v>0</v>
      </c>
      <c r="G159" s="216">
        <f t="shared" si="10"/>
        <v>0</v>
      </c>
      <c r="H159" s="214">
        <f>IF(ISERROR(VLOOKUP($B159,'RELACION VTAS - CHS'!$F$7:$V$250,16,FALSE))=FALSE,VLOOKUP($B159,'RELACION VTAS - CHS'!$F$7:$V$250,17,FALSE),0)</f>
        <v>0</v>
      </c>
      <c r="I159" s="209">
        <f>SUMIF('REPORTE GASTOS'!C:C,COBRANZA!B159,'REPORTE GASTOS'!I:I)</f>
        <v>0</v>
      </c>
      <c r="J159" s="216">
        <f t="shared" si="11"/>
        <v>0</v>
      </c>
      <c r="K159" s="65"/>
    </row>
    <row r="160" spans="1:11" s="85" customFormat="1">
      <c r="A160" s="40">
        <v>140</v>
      </c>
      <c r="B160" s="76" t="str">
        <f>IF(ISERROR(VLOOKUP(A160,'RELACION VTAS - CHS'!D:F,3,FALSE))=FALSE,VLOOKUP(A160,'RELACION VTAS - CHS'!D:F,3,FALSE),"")</f>
        <v/>
      </c>
      <c r="C160" s="233" t="str">
        <f>IF(B160="","",VLOOKUP(B160,'RELACION VTAS - CHS'!F:H,3,FALSE))</f>
        <v/>
      </c>
      <c r="D160" s="55" t="str">
        <f>IF(B160="","",VLOOKUP(B160,'RELACION VTAS - CHS'!F:H,2,FALSE))</f>
        <v/>
      </c>
      <c r="E160" s="215">
        <f>IF(ISERROR(VLOOKUP($B160,'RELACION VTAS - CHS'!$F$7:$V$250,16,FALSE))=FALSE,VLOOKUP($B160,'RELACION VTAS - CHS'!$F$7:$V$250,16,FALSE),0)</f>
        <v>0</v>
      </c>
      <c r="F160" s="215">
        <f>SUMIF('REPORTE GASTOS'!C:C,COBRANZA!B160,'REPORTE GASTOS'!G:G)</f>
        <v>0</v>
      </c>
      <c r="G160" s="216">
        <f t="shared" si="10"/>
        <v>0</v>
      </c>
      <c r="H160" s="214">
        <f>IF(ISERROR(VLOOKUP($B160,'RELACION VTAS - CHS'!$F$7:$V$250,16,FALSE))=FALSE,VLOOKUP($B160,'RELACION VTAS - CHS'!$F$7:$V$250,17,FALSE),0)</f>
        <v>0</v>
      </c>
      <c r="I160" s="209">
        <f>SUMIF('REPORTE GASTOS'!C:C,COBRANZA!B160,'REPORTE GASTOS'!I:I)</f>
        <v>0</v>
      </c>
      <c r="J160" s="216">
        <f t="shared" si="11"/>
        <v>0</v>
      </c>
      <c r="K160" s="65"/>
    </row>
    <row r="161" spans="1:11" s="85" customFormat="1">
      <c r="A161" s="40">
        <v>141</v>
      </c>
      <c r="B161" s="76" t="str">
        <f>IF(ISERROR(VLOOKUP(A161,'RELACION VTAS - CHS'!D:F,3,FALSE))=FALSE,VLOOKUP(A161,'RELACION VTAS - CHS'!D:F,3,FALSE),"")</f>
        <v/>
      </c>
      <c r="C161" s="233" t="str">
        <f>IF(B161="","",VLOOKUP(B161,'RELACION VTAS - CHS'!F:H,3,FALSE))</f>
        <v/>
      </c>
      <c r="D161" s="55" t="str">
        <f>IF(B161="","",VLOOKUP(B161,'RELACION VTAS - CHS'!F:H,2,FALSE))</f>
        <v/>
      </c>
      <c r="E161" s="215">
        <f>IF(ISERROR(VLOOKUP($B161,'RELACION VTAS - CHS'!$F$7:$V$250,16,FALSE))=FALSE,VLOOKUP($B161,'RELACION VTAS - CHS'!$F$7:$V$250,16,FALSE),0)</f>
        <v>0</v>
      </c>
      <c r="F161" s="215">
        <f>SUMIF('REPORTE GASTOS'!C:C,COBRANZA!B161,'REPORTE GASTOS'!G:G)</f>
        <v>0</v>
      </c>
      <c r="G161" s="216">
        <f t="shared" si="10"/>
        <v>0</v>
      </c>
      <c r="H161" s="214">
        <f>IF(ISERROR(VLOOKUP($B161,'RELACION VTAS - CHS'!$F$7:$V$250,16,FALSE))=FALSE,VLOOKUP($B161,'RELACION VTAS - CHS'!$F$7:$V$250,17,FALSE),0)</f>
        <v>0</v>
      </c>
      <c r="I161" s="209">
        <f>SUMIF('REPORTE GASTOS'!C:C,COBRANZA!B161,'REPORTE GASTOS'!I:I)</f>
        <v>0</v>
      </c>
      <c r="J161" s="216">
        <f t="shared" si="11"/>
        <v>0</v>
      </c>
      <c r="K161" s="65"/>
    </row>
    <row r="162" spans="1:11" s="85" customFormat="1">
      <c r="A162" s="40">
        <v>142</v>
      </c>
      <c r="B162" s="76" t="str">
        <f>IF(ISERROR(VLOOKUP(A162,'RELACION VTAS - CHS'!D:F,3,FALSE))=FALSE,VLOOKUP(A162,'RELACION VTAS - CHS'!D:F,3,FALSE),"")</f>
        <v/>
      </c>
      <c r="C162" s="233" t="str">
        <f>IF(B162="","",VLOOKUP(B162,'RELACION VTAS - CHS'!F:H,3,FALSE))</f>
        <v/>
      </c>
      <c r="D162" s="55" t="str">
        <f>IF(B162="","",VLOOKUP(B162,'RELACION VTAS - CHS'!F:H,2,FALSE))</f>
        <v/>
      </c>
      <c r="E162" s="215">
        <f>IF(ISERROR(VLOOKUP($B162,'RELACION VTAS - CHS'!$F$7:$V$250,16,FALSE))=FALSE,VLOOKUP($B162,'RELACION VTAS - CHS'!$F$7:$V$250,16,FALSE),0)</f>
        <v>0</v>
      </c>
      <c r="F162" s="215">
        <f>SUMIF('REPORTE GASTOS'!C:C,COBRANZA!B162,'REPORTE GASTOS'!G:G)</f>
        <v>0</v>
      </c>
      <c r="G162" s="216">
        <f t="shared" si="10"/>
        <v>0</v>
      </c>
      <c r="H162" s="214">
        <f>IF(ISERROR(VLOOKUP($B162,'RELACION VTAS - CHS'!$F$7:$V$250,16,FALSE))=FALSE,VLOOKUP($B162,'RELACION VTAS - CHS'!$F$7:$V$250,17,FALSE),0)</f>
        <v>0</v>
      </c>
      <c r="I162" s="209">
        <f>SUMIF('REPORTE GASTOS'!C:C,COBRANZA!B162,'REPORTE GASTOS'!I:I)</f>
        <v>0</v>
      </c>
      <c r="J162" s="216">
        <f t="shared" si="11"/>
        <v>0</v>
      </c>
      <c r="K162" s="65"/>
    </row>
    <row r="163" spans="1:11" s="85" customFormat="1">
      <c r="A163" s="40">
        <v>143</v>
      </c>
      <c r="B163" s="76" t="str">
        <f>IF(ISERROR(VLOOKUP(A163,'RELACION VTAS - CHS'!D:F,3,FALSE))=FALSE,VLOOKUP(A163,'RELACION VTAS - CHS'!D:F,3,FALSE),"")</f>
        <v/>
      </c>
      <c r="C163" s="233" t="str">
        <f>IF(B163="","",VLOOKUP(B163,'RELACION VTAS - CHS'!F:H,3,FALSE))</f>
        <v/>
      </c>
      <c r="D163" s="55" t="str">
        <f>IF(B163="","",VLOOKUP(B163,'RELACION VTAS - CHS'!F:H,2,FALSE))</f>
        <v/>
      </c>
      <c r="E163" s="215">
        <f>IF(ISERROR(VLOOKUP($B163,'RELACION VTAS - CHS'!$F$7:$V$250,16,FALSE))=FALSE,VLOOKUP($B163,'RELACION VTAS - CHS'!$F$7:$V$250,16,FALSE),0)</f>
        <v>0</v>
      </c>
      <c r="F163" s="215">
        <f>SUMIF('REPORTE GASTOS'!C:C,COBRANZA!B163,'REPORTE GASTOS'!G:G)</f>
        <v>0</v>
      </c>
      <c r="G163" s="216">
        <f t="shared" si="10"/>
        <v>0</v>
      </c>
      <c r="H163" s="214">
        <f>IF(ISERROR(VLOOKUP($B163,'RELACION VTAS - CHS'!$F$7:$V$250,16,FALSE))=FALSE,VLOOKUP($B163,'RELACION VTAS - CHS'!$F$7:$V$250,17,FALSE),0)</f>
        <v>0</v>
      </c>
      <c r="I163" s="209">
        <f>SUMIF('REPORTE GASTOS'!C:C,COBRANZA!B163,'REPORTE GASTOS'!I:I)</f>
        <v>0</v>
      </c>
      <c r="J163" s="216">
        <f t="shared" si="11"/>
        <v>0</v>
      </c>
      <c r="K163" s="65"/>
    </row>
    <row r="164" spans="1:11" s="85" customFormat="1">
      <c r="A164" s="40">
        <v>144</v>
      </c>
      <c r="B164" s="76" t="str">
        <f>IF(ISERROR(VLOOKUP(A164,'RELACION VTAS - CHS'!D:F,3,FALSE))=FALSE,VLOOKUP(A164,'RELACION VTAS - CHS'!D:F,3,FALSE),"")</f>
        <v/>
      </c>
      <c r="C164" s="233" t="str">
        <f>IF(B164="","",VLOOKUP(B164,'RELACION VTAS - CHS'!F:H,3,FALSE))</f>
        <v/>
      </c>
      <c r="D164" s="55" t="str">
        <f>IF(B164="","",VLOOKUP(B164,'RELACION VTAS - CHS'!F:H,2,FALSE))</f>
        <v/>
      </c>
      <c r="E164" s="215">
        <f>IF(ISERROR(VLOOKUP($B164,'RELACION VTAS - CHS'!$F$7:$V$250,16,FALSE))=FALSE,VLOOKUP($B164,'RELACION VTAS - CHS'!$F$7:$V$250,16,FALSE),0)</f>
        <v>0</v>
      </c>
      <c r="F164" s="215">
        <f>SUMIF('REPORTE GASTOS'!C:C,COBRANZA!B164,'REPORTE GASTOS'!G:G)</f>
        <v>0</v>
      </c>
      <c r="G164" s="216">
        <f t="shared" si="10"/>
        <v>0</v>
      </c>
      <c r="H164" s="214">
        <f>IF(ISERROR(VLOOKUP($B164,'RELACION VTAS - CHS'!$F$7:$V$250,16,FALSE))=FALSE,VLOOKUP($B164,'RELACION VTAS - CHS'!$F$7:$V$250,17,FALSE),0)</f>
        <v>0</v>
      </c>
      <c r="I164" s="209">
        <f>SUMIF('REPORTE GASTOS'!C:C,COBRANZA!B164,'REPORTE GASTOS'!I:I)</f>
        <v>0</v>
      </c>
      <c r="J164" s="216">
        <f t="shared" si="11"/>
        <v>0</v>
      </c>
      <c r="K164" s="65"/>
    </row>
    <row r="165" spans="1:11" s="85" customFormat="1">
      <c r="A165" s="40">
        <v>145</v>
      </c>
      <c r="B165" s="76" t="str">
        <f>IF(ISERROR(VLOOKUP(A165,'RELACION VTAS - CHS'!D:F,3,FALSE))=FALSE,VLOOKUP(A165,'RELACION VTAS - CHS'!D:F,3,FALSE),"")</f>
        <v/>
      </c>
      <c r="C165" s="233" t="str">
        <f>IF(B165="","",VLOOKUP(B165,'RELACION VTAS - CHS'!F:H,3,FALSE))</f>
        <v/>
      </c>
      <c r="D165" s="55" t="str">
        <f>IF(B165="","",VLOOKUP(B165,'RELACION VTAS - CHS'!F:H,2,FALSE))</f>
        <v/>
      </c>
      <c r="E165" s="215">
        <f>IF(ISERROR(VLOOKUP($B165,'RELACION VTAS - CHS'!$F$7:$V$250,16,FALSE))=FALSE,VLOOKUP($B165,'RELACION VTAS - CHS'!$F$7:$V$250,16,FALSE),0)</f>
        <v>0</v>
      </c>
      <c r="F165" s="215">
        <f>SUMIF('REPORTE GASTOS'!C:C,COBRANZA!B165,'REPORTE GASTOS'!G:G)</f>
        <v>0</v>
      </c>
      <c r="G165" s="216">
        <f t="shared" si="10"/>
        <v>0</v>
      </c>
      <c r="H165" s="214">
        <f>IF(ISERROR(VLOOKUP($B165,'RELACION VTAS - CHS'!$F$7:$V$250,16,FALSE))=FALSE,VLOOKUP($B165,'RELACION VTAS - CHS'!$F$7:$V$250,17,FALSE),0)</f>
        <v>0</v>
      </c>
      <c r="I165" s="209">
        <f>SUMIF('REPORTE GASTOS'!C:C,COBRANZA!B165,'REPORTE GASTOS'!I:I)</f>
        <v>0</v>
      </c>
      <c r="J165" s="216">
        <f t="shared" si="11"/>
        <v>0</v>
      </c>
      <c r="K165" s="65"/>
    </row>
    <row r="166" spans="1:11" s="85" customFormat="1">
      <c r="A166" s="40">
        <v>146</v>
      </c>
      <c r="B166" s="76" t="str">
        <f>IF(ISERROR(VLOOKUP(A166,'RELACION VTAS - CHS'!D:F,3,FALSE))=FALSE,VLOOKUP(A166,'RELACION VTAS - CHS'!D:F,3,FALSE),"")</f>
        <v/>
      </c>
      <c r="C166" s="233" t="str">
        <f>IF(B166="","",VLOOKUP(B166,'RELACION VTAS - CHS'!F:H,3,FALSE))</f>
        <v/>
      </c>
      <c r="D166" s="55" t="str">
        <f>IF(B166="","",VLOOKUP(B166,'RELACION VTAS - CHS'!F:H,2,FALSE))</f>
        <v/>
      </c>
      <c r="E166" s="215">
        <f>IF(ISERROR(VLOOKUP($B166,'RELACION VTAS - CHS'!$F$7:$V$250,16,FALSE))=FALSE,VLOOKUP($B166,'RELACION VTAS - CHS'!$F$7:$V$250,16,FALSE),0)</f>
        <v>0</v>
      </c>
      <c r="F166" s="215">
        <f>SUMIF('REPORTE GASTOS'!C:C,COBRANZA!B166,'REPORTE GASTOS'!G:G)</f>
        <v>0</v>
      </c>
      <c r="G166" s="216">
        <f t="shared" si="10"/>
        <v>0</v>
      </c>
      <c r="H166" s="214">
        <f>IF(ISERROR(VLOOKUP($B166,'RELACION VTAS - CHS'!$F$7:$V$250,16,FALSE))=FALSE,VLOOKUP($B166,'RELACION VTAS - CHS'!$F$7:$V$250,17,FALSE),0)</f>
        <v>0</v>
      </c>
      <c r="I166" s="209">
        <f>SUMIF('REPORTE GASTOS'!C:C,COBRANZA!B166,'REPORTE GASTOS'!I:I)</f>
        <v>0</v>
      </c>
      <c r="J166" s="216">
        <f t="shared" si="11"/>
        <v>0</v>
      </c>
      <c r="K166" s="65"/>
    </row>
    <row r="167" spans="1:11" s="85" customFormat="1">
      <c r="A167" s="40">
        <v>147</v>
      </c>
      <c r="B167" s="76" t="str">
        <f>IF(ISERROR(VLOOKUP(A167,'RELACION VTAS - CHS'!D:F,3,FALSE))=FALSE,VLOOKUP(A167,'RELACION VTAS - CHS'!D:F,3,FALSE),"")</f>
        <v/>
      </c>
      <c r="C167" s="233" t="str">
        <f>IF(B167="","",VLOOKUP(B167,'RELACION VTAS - CHS'!F:H,3,FALSE))</f>
        <v/>
      </c>
      <c r="D167" s="55" t="str">
        <f>IF(B167="","",VLOOKUP(B167,'RELACION VTAS - CHS'!F:H,2,FALSE))</f>
        <v/>
      </c>
      <c r="E167" s="215">
        <f>IF(ISERROR(VLOOKUP($B167,'RELACION VTAS - CHS'!$F$7:$V$250,16,FALSE))=FALSE,VLOOKUP($B167,'RELACION VTAS - CHS'!$F$7:$V$250,16,FALSE),0)</f>
        <v>0</v>
      </c>
      <c r="F167" s="215">
        <f>SUMIF('REPORTE GASTOS'!C:C,COBRANZA!B167,'REPORTE GASTOS'!G:G)</f>
        <v>0</v>
      </c>
      <c r="G167" s="216">
        <f t="shared" si="10"/>
        <v>0</v>
      </c>
      <c r="H167" s="214">
        <f>IF(ISERROR(VLOOKUP($B167,'RELACION VTAS - CHS'!$F$7:$V$250,16,FALSE))=FALSE,VLOOKUP($B167,'RELACION VTAS - CHS'!$F$7:$V$250,17,FALSE),0)</f>
        <v>0</v>
      </c>
      <c r="I167" s="209">
        <f>SUMIF('REPORTE GASTOS'!C:C,COBRANZA!B167,'REPORTE GASTOS'!I:I)</f>
        <v>0</v>
      </c>
      <c r="J167" s="216">
        <f t="shared" si="11"/>
        <v>0</v>
      </c>
      <c r="K167" s="65"/>
    </row>
    <row r="168" spans="1:11" s="85" customFormat="1">
      <c r="A168" s="40">
        <v>148</v>
      </c>
      <c r="B168" s="76" t="str">
        <f>IF(ISERROR(VLOOKUP(A168,'RELACION VTAS - CHS'!D:F,3,FALSE))=FALSE,VLOOKUP(A168,'RELACION VTAS - CHS'!D:F,3,FALSE),"")</f>
        <v/>
      </c>
      <c r="C168" s="233" t="str">
        <f>IF(B168="","",VLOOKUP(B168,'RELACION VTAS - CHS'!F:H,3,FALSE))</f>
        <v/>
      </c>
      <c r="D168" s="55" t="str">
        <f>IF(B168="","",VLOOKUP(B168,'RELACION VTAS - CHS'!F:H,2,FALSE))</f>
        <v/>
      </c>
      <c r="E168" s="215">
        <f>IF(ISERROR(VLOOKUP($B168,'RELACION VTAS - CHS'!$F$7:$V$250,16,FALSE))=FALSE,VLOOKUP($B168,'RELACION VTAS - CHS'!$F$7:$V$250,16,FALSE),0)</f>
        <v>0</v>
      </c>
      <c r="F168" s="215">
        <f>SUMIF('REPORTE GASTOS'!C:C,COBRANZA!B168,'REPORTE GASTOS'!G:G)</f>
        <v>0</v>
      </c>
      <c r="G168" s="216">
        <f t="shared" si="10"/>
        <v>0</v>
      </c>
      <c r="H168" s="214">
        <f>IF(ISERROR(VLOOKUP($B168,'RELACION VTAS - CHS'!$F$7:$V$250,16,FALSE))=FALSE,VLOOKUP($B168,'RELACION VTAS - CHS'!$F$7:$V$250,17,FALSE),0)</f>
        <v>0</v>
      </c>
      <c r="I168" s="209">
        <f>SUMIF('REPORTE GASTOS'!C:C,COBRANZA!B168,'REPORTE GASTOS'!I:I)</f>
        <v>0</v>
      </c>
      <c r="J168" s="216">
        <f t="shared" si="11"/>
        <v>0</v>
      </c>
      <c r="K168" s="65"/>
    </row>
    <row r="169" spans="1:11" s="85" customFormat="1">
      <c r="A169" s="40">
        <v>149</v>
      </c>
      <c r="B169" s="76" t="str">
        <f>IF(ISERROR(VLOOKUP(A169,'RELACION VTAS - CHS'!D:F,3,FALSE))=FALSE,VLOOKUP(A169,'RELACION VTAS - CHS'!D:F,3,FALSE),"")</f>
        <v/>
      </c>
      <c r="C169" s="233" t="str">
        <f>IF(B169="","",VLOOKUP(B169,'RELACION VTAS - CHS'!F:H,3,FALSE))</f>
        <v/>
      </c>
      <c r="D169" s="55" t="str">
        <f>IF(B169="","",VLOOKUP(B169,'RELACION VTAS - CHS'!F:H,2,FALSE))</f>
        <v/>
      </c>
      <c r="E169" s="215">
        <f>IF(ISERROR(VLOOKUP($B169,'RELACION VTAS - CHS'!$F$7:$V$250,16,FALSE))=FALSE,VLOOKUP($B169,'RELACION VTAS - CHS'!$F$7:$V$250,16,FALSE),0)</f>
        <v>0</v>
      </c>
      <c r="F169" s="215">
        <f>SUMIF('REPORTE GASTOS'!C:C,COBRANZA!B169,'REPORTE GASTOS'!G:G)</f>
        <v>0</v>
      </c>
      <c r="G169" s="216">
        <f t="shared" si="10"/>
        <v>0</v>
      </c>
      <c r="H169" s="214">
        <f>IF(ISERROR(VLOOKUP($B169,'RELACION VTAS - CHS'!$F$7:$V$250,16,FALSE))=FALSE,VLOOKUP($B169,'RELACION VTAS - CHS'!$F$7:$V$250,17,FALSE),0)</f>
        <v>0</v>
      </c>
      <c r="I169" s="209">
        <f>SUMIF('REPORTE GASTOS'!C:C,COBRANZA!B169,'REPORTE GASTOS'!I:I)</f>
        <v>0</v>
      </c>
      <c r="J169" s="216">
        <f t="shared" si="11"/>
        <v>0</v>
      </c>
      <c r="K169" s="65"/>
    </row>
    <row r="170" spans="1:11" s="85" customFormat="1">
      <c r="A170" s="40">
        <v>150</v>
      </c>
      <c r="B170" s="76" t="str">
        <f>IF(ISERROR(VLOOKUP(A170,'RELACION VTAS - CHS'!D:F,3,FALSE))=FALSE,VLOOKUP(A170,'RELACION VTAS - CHS'!D:F,3,FALSE),"")</f>
        <v/>
      </c>
      <c r="C170" s="233" t="str">
        <f>IF(B170="","",VLOOKUP(B170,'RELACION VTAS - CHS'!F:H,3,FALSE))</f>
        <v/>
      </c>
      <c r="D170" s="55" t="str">
        <f>IF(B170="","",VLOOKUP(B170,'RELACION VTAS - CHS'!F:H,2,FALSE))</f>
        <v/>
      </c>
      <c r="E170" s="215">
        <f>IF(ISERROR(VLOOKUP($B170,'RELACION VTAS - CHS'!$F$7:$V$250,16,FALSE))=FALSE,VLOOKUP($B170,'RELACION VTAS - CHS'!$F$7:$V$250,16,FALSE),0)</f>
        <v>0</v>
      </c>
      <c r="F170" s="215">
        <f>SUMIF('REPORTE GASTOS'!C:C,COBRANZA!B170,'REPORTE GASTOS'!G:G)</f>
        <v>0</v>
      </c>
      <c r="G170" s="216">
        <f t="shared" si="10"/>
        <v>0</v>
      </c>
      <c r="H170" s="214">
        <f>IF(ISERROR(VLOOKUP($B170,'RELACION VTAS - CHS'!$F$7:$V$250,16,FALSE))=FALSE,VLOOKUP($B170,'RELACION VTAS - CHS'!$F$7:$V$250,17,FALSE),0)</f>
        <v>0</v>
      </c>
      <c r="I170" s="209">
        <f>SUMIF('REPORTE GASTOS'!C:C,COBRANZA!B170,'REPORTE GASTOS'!I:I)</f>
        <v>0</v>
      </c>
      <c r="J170" s="216">
        <f t="shared" si="11"/>
        <v>0</v>
      </c>
      <c r="K170" s="65"/>
    </row>
    <row r="171" spans="1:11" s="85" customFormat="1">
      <c r="A171" s="40">
        <v>151</v>
      </c>
      <c r="B171" s="76" t="str">
        <f>IF(ISERROR(VLOOKUP(A171,'RELACION VTAS - CHS'!D:F,3,FALSE))=FALSE,VLOOKUP(A171,'RELACION VTAS - CHS'!D:F,3,FALSE),"")</f>
        <v/>
      </c>
      <c r="C171" s="233" t="str">
        <f>IF(B171="","",VLOOKUP(B171,'RELACION VTAS - CHS'!F:H,3,FALSE))</f>
        <v/>
      </c>
      <c r="D171" s="55" t="str">
        <f>IF(B171="","",VLOOKUP(B171,'RELACION VTAS - CHS'!F:H,2,FALSE))</f>
        <v/>
      </c>
      <c r="E171" s="215">
        <f>IF(ISERROR(VLOOKUP($B171,'RELACION VTAS - CHS'!$F$7:$V$250,16,FALSE))=FALSE,VLOOKUP($B171,'RELACION VTAS - CHS'!$F$7:$V$250,16,FALSE),0)</f>
        <v>0</v>
      </c>
      <c r="F171" s="215">
        <f>SUMIF('REPORTE GASTOS'!C:C,COBRANZA!B171,'REPORTE GASTOS'!G:G)</f>
        <v>0</v>
      </c>
      <c r="G171" s="216">
        <f t="shared" si="10"/>
        <v>0</v>
      </c>
      <c r="H171" s="214">
        <f>IF(ISERROR(VLOOKUP($B171,'RELACION VTAS - CHS'!$F$7:$V$250,16,FALSE))=FALSE,VLOOKUP($B171,'RELACION VTAS - CHS'!$F$7:$V$250,17,FALSE),0)</f>
        <v>0</v>
      </c>
      <c r="I171" s="209">
        <f>SUMIF('REPORTE GASTOS'!C:C,COBRANZA!B171,'REPORTE GASTOS'!I:I)</f>
        <v>0</v>
      </c>
      <c r="J171" s="216">
        <f t="shared" si="11"/>
        <v>0</v>
      </c>
      <c r="K171" s="65"/>
    </row>
    <row r="172" spans="1:11" s="85" customFormat="1">
      <c r="A172" s="40">
        <v>152</v>
      </c>
      <c r="B172" s="76" t="str">
        <f>IF(ISERROR(VLOOKUP(A172,'RELACION VTAS - CHS'!D:F,3,FALSE))=FALSE,VLOOKUP(A172,'RELACION VTAS - CHS'!D:F,3,FALSE),"")</f>
        <v/>
      </c>
      <c r="C172" s="233" t="str">
        <f>IF(B172="","",VLOOKUP(B172,'RELACION VTAS - CHS'!F:H,3,FALSE))</f>
        <v/>
      </c>
      <c r="D172" s="55" t="str">
        <f>IF(B172="","",VLOOKUP(B172,'RELACION VTAS - CHS'!F:H,2,FALSE))</f>
        <v/>
      </c>
      <c r="E172" s="215">
        <f>IF(ISERROR(VLOOKUP($B172,'RELACION VTAS - CHS'!$F$7:$V$250,16,FALSE))=FALSE,VLOOKUP($B172,'RELACION VTAS - CHS'!$F$7:$V$250,16,FALSE),0)</f>
        <v>0</v>
      </c>
      <c r="F172" s="215">
        <f>SUMIF('REPORTE GASTOS'!C:C,COBRANZA!B172,'REPORTE GASTOS'!G:G)</f>
        <v>0</v>
      </c>
      <c r="G172" s="216">
        <f t="shared" si="10"/>
        <v>0</v>
      </c>
      <c r="H172" s="214">
        <f>IF(ISERROR(VLOOKUP($B172,'RELACION VTAS - CHS'!$F$7:$V$250,16,FALSE))=FALSE,VLOOKUP($B172,'RELACION VTAS - CHS'!$F$7:$V$250,17,FALSE),0)</f>
        <v>0</v>
      </c>
      <c r="I172" s="209">
        <f>SUMIF('REPORTE GASTOS'!C:C,COBRANZA!B172,'REPORTE GASTOS'!I:I)</f>
        <v>0</v>
      </c>
      <c r="J172" s="216">
        <f t="shared" si="11"/>
        <v>0</v>
      </c>
      <c r="K172" s="65"/>
    </row>
    <row r="173" spans="1:11" s="85" customFormat="1">
      <c r="A173" s="40">
        <v>153</v>
      </c>
      <c r="B173" s="76" t="str">
        <f>IF(ISERROR(VLOOKUP(A173,'RELACION VTAS - CHS'!D:F,3,FALSE))=FALSE,VLOOKUP(A173,'RELACION VTAS - CHS'!D:F,3,FALSE),"")</f>
        <v/>
      </c>
      <c r="C173" s="233" t="str">
        <f>IF(B173="","",VLOOKUP(B173,'RELACION VTAS - CHS'!F:H,3,FALSE))</f>
        <v/>
      </c>
      <c r="D173" s="55" t="str">
        <f>IF(B173="","",VLOOKUP(B173,'RELACION VTAS - CHS'!F:H,2,FALSE))</f>
        <v/>
      </c>
      <c r="E173" s="215">
        <f>IF(ISERROR(VLOOKUP($B173,'RELACION VTAS - CHS'!$F$7:$V$250,16,FALSE))=FALSE,VLOOKUP($B173,'RELACION VTAS - CHS'!$F$7:$V$250,16,FALSE),0)</f>
        <v>0</v>
      </c>
      <c r="F173" s="215">
        <f>SUMIF('REPORTE GASTOS'!C:C,COBRANZA!B173,'REPORTE GASTOS'!G:G)</f>
        <v>0</v>
      </c>
      <c r="G173" s="216">
        <f t="shared" si="10"/>
        <v>0</v>
      </c>
      <c r="H173" s="214">
        <f>IF(ISERROR(VLOOKUP($B173,'RELACION VTAS - CHS'!$F$7:$V$250,16,FALSE))=FALSE,VLOOKUP($B173,'RELACION VTAS - CHS'!$F$7:$V$250,17,FALSE),0)</f>
        <v>0</v>
      </c>
      <c r="I173" s="209">
        <f>SUMIF('REPORTE GASTOS'!C:C,COBRANZA!B173,'REPORTE GASTOS'!I:I)</f>
        <v>0</v>
      </c>
      <c r="J173" s="216">
        <f t="shared" si="11"/>
        <v>0</v>
      </c>
      <c r="K173" s="65"/>
    </row>
    <row r="174" spans="1:11" s="85" customFormat="1">
      <c r="A174" s="40">
        <v>154</v>
      </c>
      <c r="B174" s="76" t="str">
        <f>IF(ISERROR(VLOOKUP(A174,'RELACION VTAS - CHS'!D:F,3,FALSE))=FALSE,VLOOKUP(A174,'RELACION VTAS - CHS'!D:F,3,FALSE),"")</f>
        <v/>
      </c>
      <c r="C174" s="233" t="str">
        <f>IF(B174="","",VLOOKUP(B174,'RELACION VTAS - CHS'!F:H,3,FALSE))</f>
        <v/>
      </c>
      <c r="D174" s="55" t="str">
        <f>IF(B174="","",VLOOKUP(B174,'RELACION VTAS - CHS'!F:H,2,FALSE))</f>
        <v/>
      </c>
      <c r="E174" s="215">
        <f>IF(ISERROR(VLOOKUP($B174,'RELACION VTAS - CHS'!$F$7:$V$250,16,FALSE))=FALSE,VLOOKUP($B174,'RELACION VTAS - CHS'!$F$7:$V$250,16,FALSE),0)</f>
        <v>0</v>
      </c>
      <c r="F174" s="215">
        <f>SUMIF('REPORTE GASTOS'!C:C,COBRANZA!B174,'REPORTE GASTOS'!G:G)</f>
        <v>0</v>
      </c>
      <c r="G174" s="216">
        <f t="shared" si="10"/>
        <v>0</v>
      </c>
      <c r="H174" s="214">
        <f>IF(ISERROR(VLOOKUP($B174,'RELACION VTAS - CHS'!$F$7:$V$250,16,FALSE))=FALSE,VLOOKUP($B174,'RELACION VTAS - CHS'!$F$7:$V$250,17,FALSE),0)</f>
        <v>0</v>
      </c>
      <c r="I174" s="209">
        <f>SUMIF('REPORTE GASTOS'!C:C,COBRANZA!B174,'REPORTE GASTOS'!I:I)</f>
        <v>0</v>
      </c>
      <c r="J174" s="216">
        <f t="shared" si="11"/>
        <v>0</v>
      </c>
      <c r="K174" s="65"/>
    </row>
    <row r="175" spans="1:11" s="85" customFormat="1">
      <c r="A175" s="40">
        <v>155</v>
      </c>
      <c r="B175" s="76" t="str">
        <f>IF(ISERROR(VLOOKUP(A175,'RELACION VTAS - CHS'!D:F,3,FALSE))=FALSE,VLOOKUP(A175,'RELACION VTAS - CHS'!D:F,3,FALSE),"")</f>
        <v/>
      </c>
      <c r="C175" s="233" t="str">
        <f>IF(B175="","",VLOOKUP(B175,'RELACION VTAS - CHS'!F:H,3,FALSE))</f>
        <v/>
      </c>
      <c r="D175" s="55" t="str">
        <f>IF(B175="","",VLOOKUP(B175,'RELACION VTAS - CHS'!F:H,2,FALSE))</f>
        <v/>
      </c>
      <c r="E175" s="215">
        <f>IF(ISERROR(VLOOKUP($B175,'RELACION VTAS - CHS'!$F$7:$V$250,16,FALSE))=FALSE,VLOOKUP($B175,'RELACION VTAS - CHS'!$F$7:$V$250,16,FALSE),0)</f>
        <v>0</v>
      </c>
      <c r="F175" s="215">
        <f>SUMIF('REPORTE GASTOS'!C:C,COBRANZA!B175,'REPORTE GASTOS'!G:G)</f>
        <v>0</v>
      </c>
      <c r="G175" s="216">
        <f t="shared" si="10"/>
        <v>0</v>
      </c>
      <c r="H175" s="214">
        <f>IF(ISERROR(VLOOKUP($B175,'RELACION VTAS - CHS'!$F$7:$V$250,16,FALSE))=FALSE,VLOOKUP($B175,'RELACION VTAS - CHS'!$F$7:$V$250,17,FALSE),0)</f>
        <v>0</v>
      </c>
      <c r="I175" s="209">
        <f>SUMIF('REPORTE GASTOS'!C:C,COBRANZA!B175,'REPORTE GASTOS'!I:I)</f>
        <v>0</v>
      </c>
      <c r="J175" s="216">
        <f t="shared" si="11"/>
        <v>0</v>
      </c>
      <c r="K175" s="65"/>
    </row>
    <row r="176" spans="1:11" s="85" customFormat="1">
      <c r="A176" s="40">
        <v>156</v>
      </c>
      <c r="B176" s="76" t="str">
        <f>IF(ISERROR(VLOOKUP(A176,'RELACION VTAS - CHS'!D:F,3,FALSE))=FALSE,VLOOKUP(A176,'RELACION VTAS - CHS'!D:F,3,FALSE),"")</f>
        <v/>
      </c>
      <c r="C176" s="233" t="str">
        <f>IF(B176="","",VLOOKUP(B176,'RELACION VTAS - CHS'!F:H,3,FALSE))</f>
        <v/>
      </c>
      <c r="D176" s="55" t="str">
        <f>IF(B176="","",VLOOKUP(B176,'RELACION VTAS - CHS'!F:H,2,FALSE))</f>
        <v/>
      </c>
      <c r="E176" s="215">
        <f>IF(ISERROR(VLOOKUP($B176,'RELACION VTAS - CHS'!$F$7:$V$250,16,FALSE))=FALSE,VLOOKUP($B176,'RELACION VTAS - CHS'!$F$7:$V$250,16,FALSE),0)</f>
        <v>0</v>
      </c>
      <c r="F176" s="215">
        <f>SUMIF('REPORTE GASTOS'!C:C,COBRANZA!B176,'REPORTE GASTOS'!G:G)</f>
        <v>0</v>
      </c>
      <c r="G176" s="216">
        <f t="shared" si="10"/>
        <v>0</v>
      </c>
      <c r="H176" s="214">
        <f>IF(ISERROR(VLOOKUP($B176,'RELACION VTAS - CHS'!$F$7:$V$250,16,FALSE))=FALSE,VLOOKUP($B176,'RELACION VTAS - CHS'!$F$7:$V$250,17,FALSE),0)</f>
        <v>0</v>
      </c>
      <c r="I176" s="209">
        <f>SUMIF('REPORTE GASTOS'!C:C,COBRANZA!B176,'REPORTE GASTOS'!I:I)</f>
        <v>0</v>
      </c>
      <c r="J176" s="216">
        <f t="shared" si="11"/>
        <v>0</v>
      </c>
      <c r="K176" s="65"/>
    </row>
    <row r="177" spans="1:11" s="85" customFormat="1">
      <c r="A177" s="40">
        <v>157</v>
      </c>
      <c r="B177" s="76" t="str">
        <f>IF(ISERROR(VLOOKUP(A177,'RELACION VTAS - CHS'!D:F,3,FALSE))=FALSE,VLOOKUP(A177,'RELACION VTAS - CHS'!D:F,3,FALSE),"")</f>
        <v/>
      </c>
      <c r="C177" s="233" t="str">
        <f>IF(B177="","",VLOOKUP(B177,'RELACION VTAS - CHS'!F:H,3,FALSE))</f>
        <v/>
      </c>
      <c r="D177" s="55" t="str">
        <f>IF(B177="","",VLOOKUP(B177,'RELACION VTAS - CHS'!F:H,2,FALSE))</f>
        <v/>
      </c>
      <c r="E177" s="215">
        <f>IF(ISERROR(VLOOKUP($B177,'RELACION VTAS - CHS'!$F$7:$V$250,16,FALSE))=FALSE,VLOOKUP($B177,'RELACION VTAS - CHS'!$F$7:$V$250,16,FALSE),0)</f>
        <v>0</v>
      </c>
      <c r="F177" s="215">
        <f>SUMIF('REPORTE GASTOS'!C:C,COBRANZA!B177,'REPORTE GASTOS'!G:G)</f>
        <v>0</v>
      </c>
      <c r="G177" s="216">
        <f t="shared" si="10"/>
        <v>0</v>
      </c>
      <c r="H177" s="214">
        <f>IF(ISERROR(VLOOKUP($B177,'RELACION VTAS - CHS'!$F$7:$V$250,16,FALSE))=FALSE,VLOOKUP($B177,'RELACION VTAS - CHS'!$F$7:$V$250,17,FALSE),0)</f>
        <v>0</v>
      </c>
      <c r="I177" s="209">
        <f>SUMIF('REPORTE GASTOS'!C:C,COBRANZA!B177,'REPORTE GASTOS'!I:I)</f>
        <v>0</v>
      </c>
      <c r="J177" s="216">
        <f t="shared" si="11"/>
        <v>0</v>
      </c>
      <c r="K177" s="65"/>
    </row>
    <row r="178" spans="1:11" s="85" customFormat="1">
      <c r="A178" s="40">
        <v>158</v>
      </c>
      <c r="B178" s="76" t="str">
        <f>IF(ISERROR(VLOOKUP(A178,'RELACION VTAS - CHS'!D:F,3,FALSE))=FALSE,VLOOKUP(A178,'RELACION VTAS - CHS'!D:F,3,FALSE),"")</f>
        <v/>
      </c>
      <c r="C178" s="233" t="str">
        <f>IF(B178="","",VLOOKUP(B178,'RELACION VTAS - CHS'!F:H,3,FALSE))</f>
        <v/>
      </c>
      <c r="D178" s="55" t="str">
        <f>IF(B178="","",VLOOKUP(B178,'RELACION VTAS - CHS'!F:H,2,FALSE))</f>
        <v/>
      </c>
      <c r="E178" s="215">
        <f>IF(ISERROR(VLOOKUP($B178,'RELACION VTAS - CHS'!$F$7:$V$250,16,FALSE))=FALSE,VLOOKUP($B178,'RELACION VTAS - CHS'!$F$7:$V$250,16,FALSE),0)</f>
        <v>0</v>
      </c>
      <c r="F178" s="215">
        <f>SUMIF('REPORTE GASTOS'!C:C,COBRANZA!B178,'REPORTE GASTOS'!G:G)</f>
        <v>0</v>
      </c>
      <c r="G178" s="216">
        <f t="shared" si="10"/>
        <v>0</v>
      </c>
      <c r="H178" s="214">
        <f>IF(ISERROR(VLOOKUP($B178,'RELACION VTAS - CHS'!$F$7:$V$250,16,FALSE))=FALSE,VLOOKUP($B178,'RELACION VTAS - CHS'!$F$7:$V$250,17,FALSE),0)</f>
        <v>0</v>
      </c>
      <c r="I178" s="209">
        <f>SUMIF('REPORTE GASTOS'!C:C,COBRANZA!B178,'REPORTE GASTOS'!I:I)</f>
        <v>0</v>
      </c>
      <c r="J178" s="216">
        <f t="shared" si="11"/>
        <v>0</v>
      </c>
      <c r="K178" s="65"/>
    </row>
    <row r="179" spans="1:11" s="85" customFormat="1">
      <c r="A179" s="40">
        <v>159</v>
      </c>
      <c r="B179" s="76" t="str">
        <f>IF(ISERROR(VLOOKUP(A179,'RELACION VTAS - CHS'!D:F,3,FALSE))=FALSE,VLOOKUP(A179,'RELACION VTAS - CHS'!D:F,3,FALSE),"")</f>
        <v/>
      </c>
      <c r="C179" s="233" t="str">
        <f>IF(B179="","",VLOOKUP(B179,'RELACION VTAS - CHS'!F:H,3,FALSE))</f>
        <v/>
      </c>
      <c r="D179" s="55" t="str">
        <f>IF(B179="","",VLOOKUP(B179,'RELACION VTAS - CHS'!F:H,2,FALSE))</f>
        <v/>
      </c>
      <c r="E179" s="215">
        <f>IF(ISERROR(VLOOKUP($B179,'RELACION VTAS - CHS'!$F$7:$V$250,16,FALSE))=FALSE,VLOOKUP($B179,'RELACION VTAS - CHS'!$F$7:$V$250,16,FALSE),0)</f>
        <v>0</v>
      </c>
      <c r="F179" s="215">
        <f>SUMIF('REPORTE GASTOS'!C:C,COBRANZA!B179,'REPORTE GASTOS'!G:G)</f>
        <v>0</v>
      </c>
      <c r="G179" s="216">
        <f t="shared" si="10"/>
        <v>0</v>
      </c>
      <c r="H179" s="214">
        <f>IF(ISERROR(VLOOKUP($B179,'RELACION VTAS - CHS'!$F$7:$V$250,16,FALSE))=FALSE,VLOOKUP($B179,'RELACION VTAS - CHS'!$F$7:$V$250,17,FALSE),0)</f>
        <v>0</v>
      </c>
      <c r="I179" s="209">
        <f>SUMIF('REPORTE GASTOS'!C:C,COBRANZA!B179,'REPORTE GASTOS'!I:I)</f>
        <v>0</v>
      </c>
      <c r="J179" s="216">
        <f t="shared" si="11"/>
        <v>0</v>
      </c>
      <c r="K179" s="65"/>
    </row>
    <row r="180" spans="1:11" s="85" customFormat="1">
      <c r="A180" s="40">
        <v>160</v>
      </c>
      <c r="B180" s="76" t="str">
        <f>IF(ISERROR(VLOOKUP(A180,'RELACION VTAS - CHS'!D:F,3,FALSE))=FALSE,VLOOKUP(A180,'RELACION VTAS - CHS'!D:F,3,FALSE),"")</f>
        <v/>
      </c>
      <c r="C180" s="233" t="str">
        <f>IF(B180="","",VLOOKUP(B180,'RELACION VTAS - CHS'!F:H,3,FALSE))</f>
        <v/>
      </c>
      <c r="D180" s="55" t="str">
        <f>IF(B180="","",VLOOKUP(B180,'RELACION VTAS - CHS'!F:H,2,FALSE))</f>
        <v/>
      </c>
      <c r="E180" s="215">
        <f>IF(ISERROR(VLOOKUP($B180,'RELACION VTAS - CHS'!$F$7:$V$250,16,FALSE))=FALSE,VLOOKUP($B180,'RELACION VTAS - CHS'!$F$7:$V$250,16,FALSE),0)</f>
        <v>0</v>
      </c>
      <c r="F180" s="215">
        <f>SUMIF('REPORTE GASTOS'!C:C,COBRANZA!B180,'REPORTE GASTOS'!G:G)</f>
        <v>0</v>
      </c>
      <c r="G180" s="216">
        <f t="shared" si="10"/>
        <v>0</v>
      </c>
      <c r="H180" s="214">
        <f>IF(ISERROR(VLOOKUP($B180,'RELACION VTAS - CHS'!$F$7:$V$250,16,FALSE))=FALSE,VLOOKUP($B180,'RELACION VTAS - CHS'!$F$7:$V$250,17,FALSE),0)</f>
        <v>0</v>
      </c>
      <c r="I180" s="209">
        <f>SUMIF('REPORTE GASTOS'!C:C,COBRANZA!B180,'REPORTE GASTOS'!I:I)</f>
        <v>0</v>
      </c>
      <c r="J180" s="216">
        <f t="shared" si="11"/>
        <v>0</v>
      </c>
      <c r="K180" s="65"/>
    </row>
    <row r="181" spans="1:11" s="85" customFormat="1">
      <c r="A181" s="40">
        <v>161</v>
      </c>
      <c r="B181" s="76" t="str">
        <f>IF(ISERROR(VLOOKUP(A181,'RELACION VTAS - CHS'!D:F,3,FALSE))=FALSE,VLOOKUP(A181,'RELACION VTAS - CHS'!D:F,3,FALSE),"")</f>
        <v/>
      </c>
      <c r="C181" s="233" t="str">
        <f>IF(B181="","",VLOOKUP(B181,'RELACION VTAS - CHS'!F:H,3,FALSE))</f>
        <v/>
      </c>
      <c r="D181" s="55" t="str">
        <f>IF(B181="","",VLOOKUP(B181,'RELACION VTAS - CHS'!F:H,2,FALSE))</f>
        <v/>
      </c>
      <c r="E181" s="215">
        <f>IF(ISERROR(VLOOKUP($B181,'RELACION VTAS - CHS'!$F$7:$V$250,16,FALSE))=FALSE,VLOOKUP($B181,'RELACION VTAS - CHS'!$F$7:$V$250,16,FALSE),0)</f>
        <v>0</v>
      </c>
      <c r="F181" s="215">
        <f>SUMIF('REPORTE GASTOS'!C:C,COBRANZA!B181,'REPORTE GASTOS'!G:G)</f>
        <v>0</v>
      </c>
      <c r="G181" s="216">
        <f t="shared" si="10"/>
        <v>0</v>
      </c>
      <c r="H181" s="214">
        <f>IF(ISERROR(VLOOKUP($B181,'RELACION VTAS - CHS'!$F$7:$V$250,16,FALSE))=FALSE,VLOOKUP($B181,'RELACION VTAS - CHS'!$F$7:$V$250,17,FALSE),0)</f>
        <v>0</v>
      </c>
      <c r="I181" s="209">
        <f>SUMIF('REPORTE GASTOS'!C:C,COBRANZA!B181,'REPORTE GASTOS'!I:I)</f>
        <v>0</v>
      </c>
      <c r="J181" s="216">
        <f t="shared" si="11"/>
        <v>0</v>
      </c>
      <c r="K181" s="65"/>
    </row>
    <row r="182" spans="1:11" s="85" customFormat="1">
      <c r="A182" s="40">
        <v>162</v>
      </c>
      <c r="B182" s="76" t="str">
        <f>IF(ISERROR(VLOOKUP(A182,'RELACION VTAS - CHS'!D:F,3,FALSE))=FALSE,VLOOKUP(A182,'RELACION VTAS - CHS'!D:F,3,FALSE),"")</f>
        <v/>
      </c>
      <c r="C182" s="233" t="str">
        <f>IF(B182="","",VLOOKUP(B182,'RELACION VTAS - CHS'!F:H,3,FALSE))</f>
        <v/>
      </c>
      <c r="D182" s="55" t="str">
        <f>IF(B182="","",VLOOKUP(B182,'RELACION VTAS - CHS'!F:H,2,FALSE))</f>
        <v/>
      </c>
      <c r="E182" s="215">
        <f>IF(ISERROR(VLOOKUP($B182,'RELACION VTAS - CHS'!$F$7:$V$250,16,FALSE))=FALSE,VLOOKUP($B182,'RELACION VTAS - CHS'!$F$7:$V$250,16,FALSE),0)</f>
        <v>0</v>
      </c>
      <c r="F182" s="215">
        <f>SUMIF('REPORTE GASTOS'!C:C,COBRANZA!B182,'REPORTE GASTOS'!G:G)</f>
        <v>0</v>
      </c>
      <c r="G182" s="216">
        <f t="shared" si="10"/>
        <v>0</v>
      </c>
      <c r="H182" s="214">
        <f>IF(ISERROR(VLOOKUP($B182,'RELACION VTAS - CHS'!$F$7:$V$250,16,FALSE))=FALSE,VLOOKUP($B182,'RELACION VTAS - CHS'!$F$7:$V$250,17,FALSE),0)</f>
        <v>0</v>
      </c>
      <c r="I182" s="209">
        <f>SUMIF('REPORTE GASTOS'!C:C,COBRANZA!B182,'REPORTE GASTOS'!I:I)</f>
        <v>0</v>
      </c>
      <c r="J182" s="216">
        <f t="shared" si="11"/>
        <v>0</v>
      </c>
      <c r="K182" s="65"/>
    </row>
    <row r="183" spans="1:11" s="85" customFormat="1">
      <c r="A183" s="40">
        <v>163</v>
      </c>
      <c r="B183" s="76" t="str">
        <f>IF(ISERROR(VLOOKUP(A183,'RELACION VTAS - CHS'!D:F,3,FALSE))=FALSE,VLOOKUP(A183,'RELACION VTAS - CHS'!D:F,3,FALSE),"")</f>
        <v/>
      </c>
      <c r="C183" s="233" t="str">
        <f>IF(B183="","",VLOOKUP(B183,'RELACION VTAS - CHS'!F:H,3,FALSE))</f>
        <v/>
      </c>
      <c r="D183" s="55" t="str">
        <f>IF(B183="","",VLOOKUP(B183,'RELACION VTAS - CHS'!F:H,2,FALSE))</f>
        <v/>
      </c>
      <c r="E183" s="215">
        <f>IF(ISERROR(VLOOKUP($B183,'RELACION VTAS - CHS'!$F$7:$V$250,16,FALSE))=FALSE,VLOOKUP($B183,'RELACION VTAS - CHS'!$F$7:$V$250,16,FALSE),0)</f>
        <v>0</v>
      </c>
      <c r="F183" s="215">
        <f>SUMIF('REPORTE GASTOS'!C:C,COBRANZA!B183,'REPORTE GASTOS'!G:G)</f>
        <v>0</v>
      </c>
      <c r="G183" s="216">
        <f t="shared" si="10"/>
        <v>0</v>
      </c>
      <c r="H183" s="214">
        <f>IF(ISERROR(VLOOKUP($B183,'RELACION VTAS - CHS'!$F$7:$V$250,16,FALSE))=FALSE,VLOOKUP($B183,'RELACION VTAS - CHS'!$F$7:$V$250,17,FALSE),0)</f>
        <v>0</v>
      </c>
      <c r="I183" s="209">
        <f>SUMIF('REPORTE GASTOS'!C:C,COBRANZA!B183,'REPORTE GASTOS'!I:I)</f>
        <v>0</v>
      </c>
      <c r="J183" s="216">
        <f t="shared" si="11"/>
        <v>0</v>
      </c>
      <c r="K183" s="65"/>
    </row>
    <row r="184" spans="1:11" s="85" customFormat="1">
      <c r="A184" s="40">
        <v>164</v>
      </c>
      <c r="B184" s="76" t="str">
        <f>IF(ISERROR(VLOOKUP(A184,'RELACION VTAS - CHS'!D:F,3,FALSE))=FALSE,VLOOKUP(A184,'RELACION VTAS - CHS'!D:F,3,FALSE),"")</f>
        <v/>
      </c>
      <c r="C184" s="233" t="str">
        <f>IF(B184="","",VLOOKUP(B184,'RELACION VTAS - CHS'!F:H,3,FALSE))</f>
        <v/>
      </c>
      <c r="D184" s="55" t="str">
        <f>IF(B184="","",VLOOKUP(B184,'RELACION VTAS - CHS'!F:H,2,FALSE))</f>
        <v/>
      </c>
      <c r="E184" s="215">
        <f>IF(ISERROR(VLOOKUP($B184,'RELACION VTAS - CHS'!$F$7:$V$250,16,FALSE))=FALSE,VLOOKUP($B184,'RELACION VTAS - CHS'!$F$7:$V$250,16,FALSE),0)</f>
        <v>0</v>
      </c>
      <c r="F184" s="215">
        <f>SUMIF('REPORTE GASTOS'!C:C,COBRANZA!B184,'REPORTE GASTOS'!G:G)</f>
        <v>0</v>
      </c>
      <c r="G184" s="216">
        <f t="shared" si="10"/>
        <v>0</v>
      </c>
      <c r="H184" s="214">
        <f>IF(ISERROR(VLOOKUP($B184,'RELACION VTAS - CHS'!$F$7:$V$250,16,FALSE))=FALSE,VLOOKUP($B184,'RELACION VTAS - CHS'!$F$7:$V$250,17,FALSE),0)</f>
        <v>0</v>
      </c>
      <c r="I184" s="209">
        <f>SUMIF('REPORTE GASTOS'!C:C,COBRANZA!B184,'REPORTE GASTOS'!I:I)</f>
        <v>0</v>
      </c>
      <c r="J184" s="216">
        <f t="shared" si="11"/>
        <v>0</v>
      </c>
      <c r="K184" s="65"/>
    </row>
    <row r="185" spans="1:11" s="85" customFormat="1">
      <c r="A185" s="40">
        <v>165</v>
      </c>
      <c r="B185" s="76" t="str">
        <f>IF(ISERROR(VLOOKUP(A185,'RELACION VTAS - CHS'!D:F,3,FALSE))=FALSE,VLOOKUP(A185,'RELACION VTAS - CHS'!D:F,3,FALSE),"")</f>
        <v/>
      </c>
      <c r="C185" s="233" t="str">
        <f>IF(B185="","",VLOOKUP(B185,'RELACION VTAS - CHS'!F:H,3,FALSE))</f>
        <v/>
      </c>
      <c r="D185" s="55" t="str">
        <f>IF(B185="","",VLOOKUP(B185,'RELACION VTAS - CHS'!F:H,2,FALSE))</f>
        <v/>
      </c>
      <c r="E185" s="215">
        <f>IF(ISERROR(VLOOKUP($B185,'RELACION VTAS - CHS'!$F$7:$V$250,16,FALSE))=FALSE,VLOOKUP($B185,'RELACION VTAS - CHS'!$F$7:$V$250,16,FALSE),0)</f>
        <v>0</v>
      </c>
      <c r="F185" s="215">
        <f>SUMIF('REPORTE GASTOS'!C:C,COBRANZA!B185,'REPORTE GASTOS'!G:G)</f>
        <v>0</v>
      </c>
      <c r="G185" s="216">
        <f t="shared" si="10"/>
        <v>0</v>
      </c>
      <c r="H185" s="214">
        <f>IF(ISERROR(VLOOKUP($B185,'RELACION VTAS - CHS'!$F$7:$V$250,16,FALSE))=FALSE,VLOOKUP($B185,'RELACION VTAS - CHS'!$F$7:$V$250,17,FALSE),0)</f>
        <v>0</v>
      </c>
      <c r="I185" s="209">
        <f>SUMIF('REPORTE GASTOS'!C:C,COBRANZA!B185,'REPORTE GASTOS'!I:I)</f>
        <v>0</v>
      </c>
      <c r="J185" s="216">
        <f t="shared" si="11"/>
        <v>0</v>
      </c>
      <c r="K185" s="65"/>
    </row>
    <row r="186" spans="1:11" s="85" customFormat="1">
      <c r="A186" s="40">
        <v>166</v>
      </c>
      <c r="B186" s="76" t="str">
        <f>IF(ISERROR(VLOOKUP(A186,'RELACION VTAS - CHS'!D:F,3,FALSE))=FALSE,VLOOKUP(A186,'RELACION VTAS - CHS'!D:F,3,FALSE),"")</f>
        <v/>
      </c>
      <c r="C186" s="233" t="str">
        <f>IF(B186="","",VLOOKUP(B186,'RELACION VTAS - CHS'!F:H,3,FALSE))</f>
        <v/>
      </c>
      <c r="D186" s="55" t="str">
        <f>IF(B186="","",VLOOKUP(B186,'RELACION VTAS - CHS'!F:H,2,FALSE))</f>
        <v/>
      </c>
      <c r="E186" s="215">
        <f>IF(ISERROR(VLOOKUP($B186,'RELACION VTAS - CHS'!$F$7:$V$250,16,FALSE))=FALSE,VLOOKUP($B186,'RELACION VTAS - CHS'!$F$7:$V$250,16,FALSE),0)</f>
        <v>0</v>
      </c>
      <c r="F186" s="215">
        <f>SUMIF('REPORTE GASTOS'!C:C,COBRANZA!B186,'REPORTE GASTOS'!G:G)</f>
        <v>0</v>
      </c>
      <c r="G186" s="216">
        <f t="shared" si="10"/>
        <v>0</v>
      </c>
      <c r="H186" s="214">
        <f>IF(ISERROR(VLOOKUP($B186,'RELACION VTAS - CHS'!$F$7:$V$250,16,FALSE))=FALSE,VLOOKUP($B186,'RELACION VTAS - CHS'!$F$7:$V$250,17,FALSE),0)</f>
        <v>0</v>
      </c>
      <c r="I186" s="209">
        <f>SUMIF('REPORTE GASTOS'!C:C,COBRANZA!B186,'REPORTE GASTOS'!I:I)</f>
        <v>0</v>
      </c>
      <c r="J186" s="216">
        <f t="shared" si="11"/>
        <v>0</v>
      </c>
      <c r="K186" s="65"/>
    </row>
    <row r="187" spans="1:11" s="85" customFormat="1">
      <c r="A187" s="40">
        <v>167</v>
      </c>
      <c r="B187" s="76" t="str">
        <f>IF(ISERROR(VLOOKUP(A187,'RELACION VTAS - CHS'!D:F,3,FALSE))=FALSE,VLOOKUP(A187,'RELACION VTAS - CHS'!D:F,3,FALSE),"")</f>
        <v/>
      </c>
      <c r="C187" s="233" t="str">
        <f>IF(B187="","",VLOOKUP(B187,'RELACION VTAS - CHS'!F:H,3,FALSE))</f>
        <v/>
      </c>
      <c r="D187" s="55" t="str">
        <f>IF(B187="","",VLOOKUP(B187,'RELACION VTAS - CHS'!F:H,2,FALSE))</f>
        <v/>
      </c>
      <c r="E187" s="215">
        <f>IF(ISERROR(VLOOKUP($B187,'RELACION VTAS - CHS'!$F$7:$V$250,16,FALSE))=FALSE,VLOOKUP($B187,'RELACION VTAS - CHS'!$F$7:$V$250,16,FALSE),0)</f>
        <v>0</v>
      </c>
      <c r="F187" s="215">
        <f>SUMIF('REPORTE GASTOS'!C:C,COBRANZA!B187,'REPORTE GASTOS'!G:G)</f>
        <v>0</v>
      </c>
      <c r="G187" s="216">
        <f t="shared" si="10"/>
        <v>0</v>
      </c>
      <c r="H187" s="214">
        <f>IF(ISERROR(VLOOKUP($B187,'RELACION VTAS - CHS'!$F$7:$V$250,16,FALSE))=FALSE,VLOOKUP($B187,'RELACION VTAS - CHS'!$F$7:$V$250,17,FALSE),0)</f>
        <v>0</v>
      </c>
      <c r="I187" s="209">
        <f>SUMIF('REPORTE GASTOS'!C:C,COBRANZA!B187,'REPORTE GASTOS'!I:I)</f>
        <v>0</v>
      </c>
      <c r="J187" s="216">
        <f t="shared" si="11"/>
        <v>0</v>
      </c>
      <c r="K187" s="65"/>
    </row>
    <row r="188" spans="1:11" s="85" customFormat="1">
      <c r="A188" s="40">
        <v>168</v>
      </c>
      <c r="B188" s="76" t="str">
        <f>IF(ISERROR(VLOOKUP(A188,'RELACION VTAS - CHS'!D:F,3,FALSE))=FALSE,VLOOKUP(A188,'RELACION VTAS - CHS'!D:F,3,FALSE),"")</f>
        <v/>
      </c>
      <c r="C188" s="233" t="str">
        <f>IF(B188="","",VLOOKUP(B188,'RELACION VTAS - CHS'!F:H,3,FALSE))</f>
        <v/>
      </c>
      <c r="D188" s="55" t="str">
        <f>IF(B188="","",VLOOKUP(B188,'RELACION VTAS - CHS'!F:H,2,FALSE))</f>
        <v/>
      </c>
      <c r="E188" s="215">
        <f>IF(ISERROR(VLOOKUP($B188,'RELACION VTAS - CHS'!$F$7:$V$250,16,FALSE))=FALSE,VLOOKUP($B188,'RELACION VTAS - CHS'!$F$7:$V$250,16,FALSE),0)</f>
        <v>0</v>
      </c>
      <c r="F188" s="215">
        <f>SUMIF('REPORTE GASTOS'!C:C,COBRANZA!B188,'REPORTE GASTOS'!G:G)</f>
        <v>0</v>
      </c>
      <c r="G188" s="216">
        <f t="shared" si="10"/>
        <v>0</v>
      </c>
      <c r="H188" s="214">
        <f>IF(ISERROR(VLOOKUP($B188,'RELACION VTAS - CHS'!$F$7:$V$250,16,FALSE))=FALSE,VLOOKUP($B188,'RELACION VTAS - CHS'!$F$7:$V$250,17,FALSE),0)</f>
        <v>0</v>
      </c>
      <c r="I188" s="209">
        <f>SUMIF('REPORTE GASTOS'!C:C,COBRANZA!B188,'REPORTE GASTOS'!I:I)</f>
        <v>0</v>
      </c>
      <c r="J188" s="216">
        <f t="shared" si="11"/>
        <v>0</v>
      </c>
      <c r="K188" s="65"/>
    </row>
    <row r="189" spans="1:11" s="85" customFormat="1">
      <c r="A189" s="40">
        <v>169</v>
      </c>
      <c r="B189" s="76" t="str">
        <f>IF(ISERROR(VLOOKUP(A189,'RELACION VTAS - CHS'!D:F,3,FALSE))=FALSE,VLOOKUP(A189,'RELACION VTAS - CHS'!D:F,3,FALSE),"")</f>
        <v/>
      </c>
      <c r="C189" s="233" t="str">
        <f>IF(B189="","",VLOOKUP(B189,'RELACION VTAS - CHS'!F:H,3,FALSE))</f>
        <v/>
      </c>
      <c r="D189" s="55" t="str">
        <f>IF(B189="","",VLOOKUP(B189,'RELACION VTAS - CHS'!F:H,2,FALSE))</f>
        <v/>
      </c>
      <c r="E189" s="215">
        <f>IF(ISERROR(VLOOKUP($B189,'RELACION VTAS - CHS'!$F$7:$V$250,16,FALSE))=FALSE,VLOOKUP($B189,'RELACION VTAS - CHS'!$F$7:$V$250,16,FALSE),0)</f>
        <v>0</v>
      </c>
      <c r="F189" s="215">
        <f>SUMIF('REPORTE GASTOS'!C:C,COBRANZA!B189,'REPORTE GASTOS'!G:G)</f>
        <v>0</v>
      </c>
      <c r="G189" s="216">
        <f t="shared" si="10"/>
        <v>0</v>
      </c>
      <c r="H189" s="214">
        <f>IF(ISERROR(VLOOKUP($B189,'RELACION VTAS - CHS'!$F$7:$V$250,16,FALSE))=FALSE,VLOOKUP($B189,'RELACION VTAS - CHS'!$F$7:$V$250,17,FALSE),0)</f>
        <v>0</v>
      </c>
      <c r="I189" s="209">
        <f>SUMIF('REPORTE GASTOS'!C:C,COBRANZA!B189,'REPORTE GASTOS'!I:I)</f>
        <v>0</v>
      </c>
      <c r="J189" s="216">
        <f t="shared" si="11"/>
        <v>0</v>
      </c>
      <c r="K189" s="65"/>
    </row>
    <row r="190" spans="1:11" s="85" customFormat="1">
      <c r="A190" s="40">
        <v>170</v>
      </c>
      <c r="B190" s="76" t="str">
        <f>IF(ISERROR(VLOOKUP(A190,'RELACION VTAS - CHS'!D:F,3,FALSE))=FALSE,VLOOKUP(A190,'RELACION VTAS - CHS'!D:F,3,FALSE),"")</f>
        <v/>
      </c>
      <c r="C190" s="233" t="str">
        <f>IF(B190="","",VLOOKUP(B190,'RELACION VTAS - CHS'!F:H,3,FALSE))</f>
        <v/>
      </c>
      <c r="D190" s="55" t="str">
        <f>IF(B190="","",VLOOKUP(B190,'RELACION VTAS - CHS'!F:H,2,FALSE))</f>
        <v/>
      </c>
      <c r="E190" s="215">
        <f>IF(ISERROR(VLOOKUP($B190,'RELACION VTAS - CHS'!$F$7:$V$250,16,FALSE))=FALSE,VLOOKUP($B190,'RELACION VTAS - CHS'!$F$7:$V$250,16,FALSE),0)</f>
        <v>0</v>
      </c>
      <c r="F190" s="215">
        <f>SUMIF('REPORTE GASTOS'!C:C,COBRANZA!B190,'REPORTE GASTOS'!G:G)</f>
        <v>0</v>
      </c>
      <c r="G190" s="216">
        <f t="shared" si="10"/>
        <v>0</v>
      </c>
      <c r="H190" s="214">
        <f>IF(ISERROR(VLOOKUP($B190,'RELACION VTAS - CHS'!$F$7:$V$250,16,FALSE))=FALSE,VLOOKUP($B190,'RELACION VTAS - CHS'!$F$7:$V$250,17,FALSE),0)</f>
        <v>0</v>
      </c>
      <c r="I190" s="209">
        <f>SUMIF('REPORTE GASTOS'!C:C,COBRANZA!B190,'REPORTE GASTOS'!I:I)</f>
        <v>0</v>
      </c>
      <c r="J190" s="216">
        <f t="shared" si="11"/>
        <v>0</v>
      </c>
      <c r="K190" s="65"/>
    </row>
    <row r="191" spans="1:11" s="85" customFormat="1">
      <c r="A191" s="40">
        <v>171</v>
      </c>
      <c r="B191" s="76" t="str">
        <f>IF(ISERROR(VLOOKUP(A191,'RELACION VTAS - CHS'!D:F,3,FALSE))=FALSE,VLOOKUP(A191,'RELACION VTAS - CHS'!D:F,3,FALSE),"")</f>
        <v/>
      </c>
      <c r="C191" s="233" t="str">
        <f>IF(B191="","",VLOOKUP(B191,'RELACION VTAS - CHS'!F:H,3,FALSE))</f>
        <v/>
      </c>
      <c r="D191" s="55" t="str">
        <f>IF(B191="","",VLOOKUP(B191,'RELACION VTAS - CHS'!F:H,2,FALSE))</f>
        <v/>
      </c>
      <c r="E191" s="215">
        <f>IF(ISERROR(VLOOKUP($B191,'RELACION VTAS - CHS'!$F$7:$V$250,16,FALSE))=FALSE,VLOOKUP($B191,'RELACION VTAS - CHS'!$F$7:$V$250,16,FALSE),0)</f>
        <v>0</v>
      </c>
      <c r="F191" s="215">
        <f>SUMIF('REPORTE GASTOS'!C:C,COBRANZA!B191,'REPORTE GASTOS'!G:G)</f>
        <v>0</v>
      </c>
      <c r="G191" s="216">
        <f t="shared" si="10"/>
        <v>0</v>
      </c>
      <c r="H191" s="214">
        <f>IF(ISERROR(VLOOKUP($B191,'RELACION VTAS - CHS'!$F$7:$V$250,16,FALSE))=FALSE,VLOOKUP($B191,'RELACION VTAS - CHS'!$F$7:$V$250,17,FALSE),0)</f>
        <v>0</v>
      </c>
      <c r="I191" s="209">
        <f>SUMIF('REPORTE GASTOS'!C:C,COBRANZA!B191,'REPORTE GASTOS'!I:I)</f>
        <v>0</v>
      </c>
      <c r="J191" s="216">
        <f t="shared" si="11"/>
        <v>0</v>
      </c>
      <c r="K191" s="65"/>
    </row>
    <row r="192" spans="1:11" s="85" customFormat="1">
      <c r="A192" s="40">
        <v>172</v>
      </c>
      <c r="B192" s="76" t="str">
        <f>IF(ISERROR(VLOOKUP(A192,'RELACION VTAS - CHS'!D:F,3,FALSE))=FALSE,VLOOKUP(A192,'RELACION VTAS - CHS'!D:F,3,FALSE),"")</f>
        <v/>
      </c>
      <c r="C192" s="233" t="str">
        <f>IF(B192="","",VLOOKUP(B192,'RELACION VTAS - CHS'!F:H,3,FALSE))</f>
        <v/>
      </c>
      <c r="D192" s="55" t="str">
        <f>IF(B192="","",VLOOKUP(B192,'RELACION VTAS - CHS'!F:H,2,FALSE))</f>
        <v/>
      </c>
      <c r="E192" s="215">
        <f>IF(ISERROR(VLOOKUP($B192,'RELACION VTAS - CHS'!$F$7:$V$250,16,FALSE))=FALSE,VLOOKUP($B192,'RELACION VTAS - CHS'!$F$7:$V$250,16,FALSE),0)</f>
        <v>0</v>
      </c>
      <c r="F192" s="215">
        <f>SUMIF('REPORTE GASTOS'!C:C,COBRANZA!B192,'REPORTE GASTOS'!G:G)</f>
        <v>0</v>
      </c>
      <c r="G192" s="216">
        <f t="shared" si="10"/>
        <v>0</v>
      </c>
      <c r="H192" s="214">
        <f>IF(ISERROR(VLOOKUP($B192,'RELACION VTAS - CHS'!$F$7:$V$250,16,FALSE))=FALSE,VLOOKUP($B192,'RELACION VTAS - CHS'!$F$7:$V$250,17,FALSE),0)</f>
        <v>0</v>
      </c>
      <c r="I192" s="209">
        <f>SUMIF('REPORTE GASTOS'!C:C,COBRANZA!B192,'REPORTE GASTOS'!I:I)</f>
        <v>0</v>
      </c>
      <c r="J192" s="216">
        <f t="shared" si="11"/>
        <v>0</v>
      </c>
      <c r="K192" s="65"/>
    </row>
    <row r="193" spans="1:11" s="85" customFormat="1">
      <c r="A193" s="40">
        <v>173</v>
      </c>
      <c r="B193" s="76" t="str">
        <f>IF(ISERROR(VLOOKUP(A193,'RELACION VTAS - CHS'!D:F,3,FALSE))=FALSE,VLOOKUP(A193,'RELACION VTAS - CHS'!D:F,3,FALSE),"")</f>
        <v/>
      </c>
      <c r="C193" s="233" t="str">
        <f>IF(B193="","",VLOOKUP(B193,'RELACION VTAS - CHS'!F:H,3,FALSE))</f>
        <v/>
      </c>
      <c r="D193" s="55" t="str">
        <f>IF(B193="","",VLOOKUP(B193,'RELACION VTAS - CHS'!F:H,2,FALSE))</f>
        <v/>
      </c>
      <c r="E193" s="215">
        <f>IF(ISERROR(VLOOKUP($B193,'RELACION VTAS - CHS'!$F$7:$V$250,16,FALSE))=FALSE,VLOOKUP($B193,'RELACION VTAS - CHS'!$F$7:$V$250,16,FALSE),0)</f>
        <v>0</v>
      </c>
      <c r="F193" s="215">
        <f>SUMIF('REPORTE GASTOS'!C:C,COBRANZA!B193,'REPORTE GASTOS'!G:G)</f>
        <v>0</v>
      </c>
      <c r="G193" s="216">
        <f t="shared" si="10"/>
        <v>0</v>
      </c>
      <c r="H193" s="214">
        <f>IF(ISERROR(VLOOKUP($B193,'RELACION VTAS - CHS'!$F$7:$V$250,16,FALSE))=FALSE,VLOOKUP($B193,'RELACION VTAS - CHS'!$F$7:$V$250,17,FALSE),0)</f>
        <v>0</v>
      </c>
      <c r="I193" s="209">
        <f>SUMIF('REPORTE GASTOS'!C:C,COBRANZA!B193,'REPORTE GASTOS'!I:I)</f>
        <v>0</v>
      </c>
      <c r="J193" s="216">
        <f t="shared" si="11"/>
        <v>0</v>
      </c>
      <c r="K193" s="65"/>
    </row>
    <row r="194" spans="1:11" s="85" customFormat="1">
      <c r="A194" s="40">
        <v>174</v>
      </c>
      <c r="B194" s="76" t="str">
        <f>IF(ISERROR(VLOOKUP(A194,'RELACION VTAS - CHS'!D:F,3,FALSE))=FALSE,VLOOKUP(A194,'RELACION VTAS - CHS'!D:F,3,FALSE),"")</f>
        <v/>
      </c>
      <c r="C194" s="233" t="str">
        <f>IF(B194="","",VLOOKUP(B194,'RELACION VTAS - CHS'!F:H,3,FALSE))</f>
        <v/>
      </c>
      <c r="D194" s="55" t="str">
        <f>IF(B194="","",VLOOKUP(B194,'RELACION VTAS - CHS'!F:H,2,FALSE))</f>
        <v/>
      </c>
      <c r="E194" s="215">
        <f>IF(ISERROR(VLOOKUP($B194,'RELACION VTAS - CHS'!$F$7:$V$250,16,FALSE))=FALSE,VLOOKUP($B194,'RELACION VTAS - CHS'!$F$7:$V$250,16,FALSE),0)</f>
        <v>0</v>
      </c>
      <c r="F194" s="215">
        <f>SUMIF('REPORTE GASTOS'!C:C,COBRANZA!B194,'REPORTE GASTOS'!G:G)</f>
        <v>0</v>
      </c>
      <c r="G194" s="216">
        <f t="shared" si="10"/>
        <v>0</v>
      </c>
      <c r="H194" s="214">
        <f>IF(ISERROR(VLOOKUP($B194,'RELACION VTAS - CHS'!$F$7:$V$250,16,FALSE))=FALSE,VLOOKUP($B194,'RELACION VTAS - CHS'!$F$7:$V$250,17,FALSE),0)</f>
        <v>0</v>
      </c>
      <c r="I194" s="209">
        <f>SUMIF('REPORTE GASTOS'!C:C,COBRANZA!B194,'REPORTE GASTOS'!I:I)</f>
        <v>0</v>
      </c>
      <c r="J194" s="216">
        <f t="shared" si="11"/>
        <v>0</v>
      </c>
      <c r="K194" s="65"/>
    </row>
    <row r="195" spans="1:11" s="85" customFormat="1">
      <c r="A195" s="40">
        <v>175</v>
      </c>
      <c r="B195" s="76" t="str">
        <f>IF(ISERROR(VLOOKUP(A195,'RELACION VTAS - CHS'!D:F,3,FALSE))=FALSE,VLOOKUP(A195,'RELACION VTAS - CHS'!D:F,3,FALSE),"")</f>
        <v/>
      </c>
      <c r="C195" s="233" t="str">
        <f>IF(B195="","",VLOOKUP(B195,'RELACION VTAS - CHS'!F:H,3,FALSE))</f>
        <v/>
      </c>
      <c r="D195" s="55" t="str">
        <f>IF(B195="","",VLOOKUP(B195,'RELACION VTAS - CHS'!F:H,2,FALSE))</f>
        <v/>
      </c>
      <c r="E195" s="215">
        <f>IF(ISERROR(VLOOKUP($B195,'RELACION VTAS - CHS'!$F$7:$V$250,16,FALSE))=FALSE,VLOOKUP($B195,'RELACION VTAS - CHS'!$F$7:$V$250,16,FALSE),0)</f>
        <v>0</v>
      </c>
      <c r="F195" s="215">
        <f>SUMIF('REPORTE GASTOS'!C:C,COBRANZA!B195,'REPORTE GASTOS'!G:G)</f>
        <v>0</v>
      </c>
      <c r="G195" s="216">
        <f t="shared" si="10"/>
        <v>0</v>
      </c>
      <c r="H195" s="214">
        <f>IF(ISERROR(VLOOKUP($B195,'RELACION VTAS - CHS'!$F$7:$V$250,16,FALSE))=FALSE,VLOOKUP($B195,'RELACION VTAS - CHS'!$F$7:$V$250,17,FALSE),0)</f>
        <v>0</v>
      </c>
      <c r="I195" s="209">
        <f>SUMIF('REPORTE GASTOS'!C:C,COBRANZA!B195,'REPORTE GASTOS'!I:I)</f>
        <v>0</v>
      </c>
      <c r="J195" s="216">
        <f t="shared" si="11"/>
        <v>0</v>
      </c>
      <c r="K195" s="65"/>
    </row>
    <row r="196" spans="1:11" s="85" customFormat="1">
      <c r="A196" s="40">
        <v>176</v>
      </c>
      <c r="B196" s="76" t="str">
        <f>IF(ISERROR(VLOOKUP(A196,'RELACION VTAS - CHS'!D:F,3,FALSE))=FALSE,VLOOKUP(A196,'RELACION VTAS - CHS'!D:F,3,FALSE),"")</f>
        <v/>
      </c>
      <c r="C196" s="233" t="str">
        <f>IF(B196="","",VLOOKUP(B196,'RELACION VTAS - CHS'!F:H,3,FALSE))</f>
        <v/>
      </c>
      <c r="D196" s="55" t="str">
        <f>IF(B196="","",VLOOKUP(B196,'RELACION VTAS - CHS'!F:H,2,FALSE))</f>
        <v/>
      </c>
      <c r="E196" s="215">
        <f>IF(ISERROR(VLOOKUP($B196,'RELACION VTAS - CHS'!$F$7:$V$250,16,FALSE))=FALSE,VLOOKUP($B196,'RELACION VTAS - CHS'!$F$7:$V$250,16,FALSE),0)</f>
        <v>0</v>
      </c>
      <c r="F196" s="215">
        <f>SUMIF('REPORTE GASTOS'!C:C,COBRANZA!B196,'REPORTE GASTOS'!G:G)</f>
        <v>0</v>
      </c>
      <c r="G196" s="216">
        <f t="shared" si="10"/>
        <v>0</v>
      </c>
      <c r="H196" s="214">
        <f>IF(ISERROR(VLOOKUP($B196,'RELACION VTAS - CHS'!$F$7:$V$250,16,FALSE))=FALSE,VLOOKUP($B196,'RELACION VTAS - CHS'!$F$7:$V$250,17,FALSE),0)</f>
        <v>0</v>
      </c>
      <c r="I196" s="209">
        <f>SUMIF('REPORTE GASTOS'!C:C,COBRANZA!B196,'REPORTE GASTOS'!I:I)</f>
        <v>0</v>
      </c>
      <c r="J196" s="216">
        <f t="shared" si="11"/>
        <v>0</v>
      </c>
      <c r="K196" s="65"/>
    </row>
    <row r="197" spans="1:11" s="85" customFormat="1">
      <c r="A197" s="40">
        <v>177</v>
      </c>
      <c r="B197" s="76" t="str">
        <f>IF(ISERROR(VLOOKUP(A197,'RELACION VTAS - CHS'!D:F,3,FALSE))=FALSE,VLOOKUP(A197,'RELACION VTAS - CHS'!D:F,3,FALSE),"")</f>
        <v/>
      </c>
      <c r="C197" s="233" t="str">
        <f>IF(B197="","",VLOOKUP(B197,'RELACION VTAS - CHS'!F:H,3,FALSE))</f>
        <v/>
      </c>
      <c r="D197" s="55" t="str">
        <f>IF(B197="","",VLOOKUP(B197,'RELACION VTAS - CHS'!F:H,2,FALSE))</f>
        <v/>
      </c>
      <c r="E197" s="215">
        <f>IF(ISERROR(VLOOKUP($B197,'RELACION VTAS - CHS'!$F$7:$V$250,16,FALSE))=FALSE,VLOOKUP($B197,'RELACION VTAS - CHS'!$F$7:$V$250,16,FALSE),0)</f>
        <v>0</v>
      </c>
      <c r="F197" s="215">
        <f>SUMIF('REPORTE GASTOS'!C:C,COBRANZA!B197,'REPORTE GASTOS'!G:G)</f>
        <v>0</v>
      </c>
      <c r="G197" s="216">
        <f t="shared" si="10"/>
        <v>0</v>
      </c>
      <c r="H197" s="214">
        <f>IF(ISERROR(VLOOKUP($B197,'RELACION VTAS - CHS'!$F$7:$V$250,16,FALSE))=FALSE,VLOOKUP($B197,'RELACION VTAS - CHS'!$F$7:$V$250,17,FALSE),0)</f>
        <v>0</v>
      </c>
      <c r="I197" s="209">
        <f>SUMIF('REPORTE GASTOS'!C:C,COBRANZA!B197,'REPORTE GASTOS'!I:I)</f>
        <v>0</v>
      </c>
      <c r="J197" s="216">
        <f t="shared" si="11"/>
        <v>0</v>
      </c>
      <c r="K197" s="65"/>
    </row>
    <row r="198" spans="1:11" s="85" customFormat="1">
      <c r="A198" s="40">
        <v>178</v>
      </c>
      <c r="B198" s="76" t="str">
        <f>IF(ISERROR(VLOOKUP(A198,'RELACION VTAS - CHS'!D:F,3,FALSE))=FALSE,VLOOKUP(A198,'RELACION VTAS - CHS'!D:F,3,FALSE),"")</f>
        <v/>
      </c>
      <c r="C198" s="233" t="str">
        <f>IF(B198="","",VLOOKUP(B198,'RELACION VTAS - CHS'!F:H,3,FALSE))</f>
        <v/>
      </c>
      <c r="D198" s="55" t="str">
        <f>IF(B198="","",VLOOKUP(B198,'RELACION VTAS - CHS'!F:H,2,FALSE))</f>
        <v/>
      </c>
      <c r="E198" s="215">
        <f>IF(ISERROR(VLOOKUP($B198,'RELACION VTAS - CHS'!$F$7:$V$250,16,FALSE))=FALSE,VLOOKUP($B198,'RELACION VTAS - CHS'!$F$7:$V$250,16,FALSE),0)</f>
        <v>0</v>
      </c>
      <c r="F198" s="215">
        <f>SUMIF('REPORTE GASTOS'!C:C,COBRANZA!B198,'REPORTE GASTOS'!G:G)</f>
        <v>0</v>
      </c>
      <c r="G198" s="216">
        <f t="shared" si="10"/>
        <v>0</v>
      </c>
      <c r="H198" s="214">
        <f>IF(ISERROR(VLOOKUP($B198,'RELACION VTAS - CHS'!$F$7:$V$250,16,FALSE))=FALSE,VLOOKUP($B198,'RELACION VTAS - CHS'!$F$7:$V$250,17,FALSE),0)</f>
        <v>0</v>
      </c>
      <c r="I198" s="209">
        <f>SUMIF('REPORTE GASTOS'!C:C,COBRANZA!B198,'REPORTE GASTOS'!I:I)</f>
        <v>0</v>
      </c>
      <c r="J198" s="216">
        <f t="shared" si="11"/>
        <v>0</v>
      </c>
      <c r="K198" s="65"/>
    </row>
    <row r="199" spans="1:11" s="85" customFormat="1">
      <c r="A199" s="40">
        <v>179</v>
      </c>
      <c r="B199" s="76" t="str">
        <f>IF(ISERROR(VLOOKUP(A199,'RELACION VTAS - CHS'!D:F,3,FALSE))=FALSE,VLOOKUP(A199,'RELACION VTAS - CHS'!D:F,3,FALSE),"")</f>
        <v/>
      </c>
      <c r="C199" s="233" t="str">
        <f>IF(B199="","",VLOOKUP(B199,'RELACION VTAS - CHS'!F:H,3,FALSE))</f>
        <v/>
      </c>
      <c r="D199" s="55" t="str">
        <f>IF(B199="","",VLOOKUP(B199,'RELACION VTAS - CHS'!F:H,2,FALSE))</f>
        <v/>
      </c>
      <c r="E199" s="215">
        <f>IF(ISERROR(VLOOKUP($B199,'RELACION VTAS - CHS'!$F$7:$V$250,16,FALSE))=FALSE,VLOOKUP($B199,'RELACION VTAS - CHS'!$F$7:$V$250,16,FALSE),0)</f>
        <v>0</v>
      </c>
      <c r="F199" s="215">
        <f>SUMIF('REPORTE GASTOS'!C:C,COBRANZA!B199,'REPORTE GASTOS'!G:G)</f>
        <v>0</v>
      </c>
      <c r="G199" s="216">
        <f t="shared" si="10"/>
        <v>0</v>
      </c>
      <c r="H199" s="214">
        <f>IF(ISERROR(VLOOKUP($B199,'RELACION VTAS - CHS'!$F$7:$V$250,16,FALSE))=FALSE,VLOOKUP($B199,'RELACION VTAS - CHS'!$F$7:$V$250,17,FALSE),0)</f>
        <v>0</v>
      </c>
      <c r="I199" s="209">
        <f>SUMIF('REPORTE GASTOS'!C:C,COBRANZA!B199,'REPORTE GASTOS'!I:I)</f>
        <v>0</v>
      </c>
      <c r="J199" s="216">
        <f t="shared" si="11"/>
        <v>0</v>
      </c>
      <c r="K199" s="65"/>
    </row>
    <row r="200" spans="1:11" s="85" customFormat="1">
      <c r="A200" s="40">
        <v>180</v>
      </c>
      <c r="B200" s="76" t="str">
        <f>IF(ISERROR(VLOOKUP(A200,'RELACION VTAS - CHS'!D:F,3,FALSE))=FALSE,VLOOKUP(A200,'RELACION VTAS - CHS'!D:F,3,FALSE),"")</f>
        <v/>
      </c>
      <c r="C200" s="233" t="str">
        <f>IF(B200="","",VLOOKUP(B200,'RELACION VTAS - CHS'!F:H,3,FALSE))</f>
        <v/>
      </c>
      <c r="D200" s="55" t="str">
        <f>IF(B200="","",VLOOKUP(B200,'RELACION VTAS - CHS'!F:H,2,FALSE))</f>
        <v/>
      </c>
      <c r="E200" s="215">
        <f>IF(ISERROR(VLOOKUP($B200,'RELACION VTAS - CHS'!$F$7:$V$250,16,FALSE))=FALSE,VLOOKUP($B200,'RELACION VTAS - CHS'!$F$7:$V$250,16,FALSE),0)</f>
        <v>0</v>
      </c>
      <c r="F200" s="215">
        <f>SUMIF('REPORTE GASTOS'!C:C,COBRANZA!B200,'REPORTE GASTOS'!G:G)</f>
        <v>0</v>
      </c>
      <c r="G200" s="216">
        <f t="shared" si="10"/>
        <v>0</v>
      </c>
      <c r="H200" s="214">
        <f>IF(ISERROR(VLOOKUP($B200,'RELACION VTAS - CHS'!$F$7:$V$250,16,FALSE))=FALSE,VLOOKUP($B200,'RELACION VTAS - CHS'!$F$7:$V$250,17,FALSE),0)</f>
        <v>0</v>
      </c>
      <c r="I200" s="209">
        <f>SUMIF('REPORTE GASTOS'!C:C,COBRANZA!B200,'REPORTE GASTOS'!I:I)</f>
        <v>0</v>
      </c>
      <c r="J200" s="216">
        <f t="shared" si="11"/>
        <v>0</v>
      </c>
      <c r="K200" s="65"/>
    </row>
    <row r="201" spans="1:11" s="66" customFormat="1">
      <c r="A201" s="40">
        <v>181</v>
      </c>
      <c r="B201" s="76" t="str">
        <f>IF(ISERROR(VLOOKUP(A201,'RELACION VTAS - CHS'!D:F,3,FALSE))=FALSE,VLOOKUP(A201,'RELACION VTAS - CHS'!D:F,3,FALSE),"")</f>
        <v/>
      </c>
      <c r="C201" s="233" t="str">
        <f>IF(B201="","",VLOOKUP(B201,'RELACION VTAS - CHS'!F:H,3,FALSE))</f>
        <v/>
      </c>
      <c r="D201" s="55" t="str">
        <f>IF(B201="","",VLOOKUP(B201,'RELACION VTAS - CHS'!F:H,2,FALSE))</f>
        <v/>
      </c>
      <c r="E201" s="215">
        <f>IF(ISERROR(VLOOKUP($B201,'RELACION VTAS - CHS'!$F$7:$V$250,16,FALSE))=FALSE,VLOOKUP($B201,'RELACION VTAS - CHS'!$F$7:$V$250,16,FALSE),0)</f>
        <v>0</v>
      </c>
      <c r="F201" s="215">
        <f>SUMIF('REPORTE GASTOS'!C:C,COBRANZA!B201,'REPORTE GASTOS'!G:G)</f>
        <v>0</v>
      </c>
      <c r="G201" s="216">
        <f t="shared" si="10"/>
        <v>0</v>
      </c>
      <c r="H201" s="214">
        <f>IF(ISERROR(VLOOKUP($B201,'RELACION VTAS - CHS'!$F$7:$V$250,16,FALSE))=FALSE,VLOOKUP($B201,'RELACION VTAS - CHS'!$F$7:$V$250,17,FALSE),0)</f>
        <v>0</v>
      </c>
      <c r="I201" s="209">
        <f>SUMIF('REPORTE GASTOS'!C:C,COBRANZA!B201,'REPORTE GASTOS'!I:I)</f>
        <v>0</v>
      </c>
      <c r="J201" s="216">
        <f t="shared" si="11"/>
        <v>0</v>
      </c>
      <c r="K201" s="65"/>
    </row>
    <row r="202" spans="1:11">
      <c r="I202" s="85"/>
    </row>
    <row r="203" spans="1:11">
      <c r="B203" s="74" t="str">
        <f>IF(ISERROR(VLOOKUP(A203,'RELACION VTAS - CHS'!D:F,3,FALSE))=FALSE,VLOOKUP(A203,'RELACION VTAS - CHS'!D:F,3,FALSE),"")</f>
        <v/>
      </c>
      <c r="C203" s="75" t="str">
        <f>IF(B203="","",VLOOKUP(B203,'RELACION VTAS - CHS'!F:H,3,FALSE))</f>
        <v/>
      </c>
      <c r="D203" s="75" t="str">
        <f>IF(B203="","",VLOOKUP(B203,'RELACION VTAS - CHS'!F:H,2,FALSE))</f>
        <v/>
      </c>
      <c r="E203" s="75">
        <f>IF(ISERROR(VLOOKUP($B203,'RELACION VTAS - CHS'!$F$7:$V$250,16,FALSE))=FALSE,VLOOKUP($B203,'RELACION VTAS - CHS'!$F$7:$V$250,16,FALSE),0)</f>
        <v>0</v>
      </c>
      <c r="F203" s="75">
        <f>SUMIF('REPORTE GASTOS'!C:C,COBRANZA!B203,'REPORTE GASTOS'!G:G)</f>
        <v>0</v>
      </c>
      <c r="G203" s="75">
        <f>E203-F203</f>
        <v>0</v>
      </c>
      <c r="H203" s="75">
        <f>IF(ISERROR(VLOOKUP($B203,'RELACION VTAS - CHS'!$F$7:$V$250,16,FALSE))=FALSE,VLOOKUP($B203,'RELACION VTAS - CHS'!$F$7:$V$250,17,FALSE),0)</f>
        <v>0</v>
      </c>
      <c r="I203" s="75">
        <f>SUMIF('REPORTE GASTOS'!C:C,COBRANZA!B203,'REPORTE GASTOS'!I:I)</f>
        <v>0</v>
      </c>
      <c r="J203" s="75">
        <f>H203-I203</f>
        <v>0</v>
      </c>
    </row>
  </sheetData>
  <autoFilter ref="B6:J203"/>
  <customSheetViews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1"/>
      <autoFilter ref="A6:O101"/>
    </customSheetView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B29:D50 F52:J100 H51:J51 B52:D100 F29:J50 F7:H13 J7:J18 B7:D18 F18:J18 F14:I18 F7:J7 F8:I12 F12:J13">
    <cfRule type="expression" dxfId="10925" priority="9697">
      <formula>IF(AND($K7&gt;1,#REF!="NOK"),1,0)</formula>
    </cfRule>
    <cfRule type="expression" dxfId="10924" priority="9698">
      <formula>IF(AND($J7&lt;$I7,#REF!="NOK"),1,0)</formula>
    </cfRule>
  </conditionalFormatting>
  <conditionalFormatting sqref="B201:D201 F201:J201 B7:D12 B199:D199 F199:J199 B29:D50 B52:D100 F52:J100 H51:J51 F29:J50 F7:J12">
    <cfRule type="expression" dxfId="10923" priority="9703">
      <formula>IF(#REF!="OK",1,0)</formula>
    </cfRule>
  </conditionalFormatting>
  <conditionalFormatting sqref="B201:D201 J201 F201:H201">
    <cfRule type="expression" dxfId="10922" priority="9705">
      <formula>IF(AND($K201&gt;10,$J201&lt;&gt;0),1,0)</formula>
    </cfRule>
  </conditionalFormatting>
  <conditionalFormatting sqref="F99:J200">
    <cfRule type="expression" dxfId="10921" priority="412">
      <formula>IF(AND($K99&gt;1,#REF!="NOK"),1,0)</formula>
    </cfRule>
    <cfRule type="expression" dxfId="10920" priority="413">
      <formula>IF(AND($J99&lt;$I99,#REF!="NOK"),1,0)</formula>
    </cfRule>
  </conditionalFormatting>
  <conditionalFormatting sqref="B99:D200 F99:J200">
    <cfRule type="expression" dxfId="10919" priority="414">
      <formula>IF(#REF!="OK",1,0)</formula>
    </cfRule>
  </conditionalFormatting>
  <conditionalFormatting sqref="B99:D200 J99:J200 F99:H200">
    <cfRule type="expression" dxfId="10918" priority="415">
      <formula>IF(AND($K99&gt;10,$J99&lt;&gt;0),1,0)</formula>
    </cfRule>
  </conditionalFormatting>
  <conditionalFormatting sqref="E201 E199 E52:E100 E29:E50">
    <cfRule type="expression" dxfId="10917" priority="408">
      <formula>IF(AND($K29&gt;1,#REF!="NOK"),1,0)</formula>
    </cfRule>
    <cfRule type="expression" dxfId="10916" priority="409">
      <formula>IF(AND($J29&lt;$I29,#REF!="NOK"),1,0)</formula>
    </cfRule>
  </conditionalFormatting>
  <conditionalFormatting sqref="E201 E199 E52:E100 E29:E50">
    <cfRule type="expression" dxfId="10915" priority="410">
      <formula>IF(#REF!="OK",1,0)</formula>
    </cfRule>
  </conditionalFormatting>
  <conditionalFormatting sqref="E201">
    <cfRule type="expression" dxfId="10914" priority="411">
      <formula>IF(AND($K201&gt;10,$J201&lt;&gt;0),1,0)</formula>
    </cfRule>
  </conditionalFormatting>
  <conditionalFormatting sqref="E99:E200">
    <cfRule type="expression" dxfId="10913" priority="404">
      <formula>IF(AND($K99&gt;1,#REF!="NOK"),1,0)</formula>
    </cfRule>
    <cfRule type="expression" dxfId="10912" priority="405">
      <formula>IF(AND($J99&lt;$I99,#REF!="NOK"),1,0)</formula>
    </cfRule>
  </conditionalFormatting>
  <conditionalFormatting sqref="E99:E200">
    <cfRule type="expression" dxfId="10911" priority="406">
      <formula>IF(#REF!="OK",1,0)</formula>
    </cfRule>
  </conditionalFormatting>
  <conditionalFormatting sqref="E99:E200">
    <cfRule type="expression" dxfId="10910" priority="407">
      <formula>IF(AND($K99&gt;10,$J99&lt;&gt;0),1,0)</formula>
    </cfRule>
  </conditionalFormatting>
  <conditionalFormatting sqref="B12:D12 F12:J12">
    <cfRule type="expression" dxfId="10909" priority="383">
      <formula>IF(AND($K12&gt;1,#REF!="NOK"),1,0)</formula>
    </cfRule>
    <cfRule type="expression" dxfId="10908" priority="384">
      <formula>IF(AND($J12&lt;$I12,#REF!="NOK"),1,0)</formula>
    </cfRule>
  </conditionalFormatting>
  <conditionalFormatting sqref="F12:J12 B12:D12">
    <cfRule type="expression" dxfId="10907" priority="385">
      <formula>IF(#REF!="OK",1,0)</formula>
    </cfRule>
  </conditionalFormatting>
  <conditionalFormatting sqref="B199:D199 J199 F199:H199">
    <cfRule type="expression" dxfId="10906" priority="346">
      <formula>IF(AND($K199&gt;10,$J199&lt;&gt;0),1,0)</formula>
    </cfRule>
  </conditionalFormatting>
  <conditionalFormatting sqref="E199">
    <cfRule type="expression" dxfId="10905" priority="345">
      <formula>IF(AND($K199&gt;10,$J199&lt;&gt;0),1,0)</formula>
    </cfRule>
  </conditionalFormatting>
  <conditionalFormatting sqref="F51:G51 B51:D51">
    <cfRule type="expression" dxfId="10904" priority="315">
      <formula>IF(AND($K51&gt;1,#REF!="NOK"),1,0)</formula>
    </cfRule>
    <cfRule type="expression" dxfId="10903" priority="316">
      <formula>IF(AND($J51&lt;$I51,#REF!="NOK"),1,0)</formula>
    </cfRule>
  </conditionalFormatting>
  <conditionalFormatting sqref="B51:D51 F51:G51">
    <cfRule type="expression" dxfId="10902" priority="317">
      <formula>IF(#REF!="OK",1,0)</formula>
    </cfRule>
  </conditionalFormatting>
  <conditionalFormatting sqref="E51">
    <cfRule type="expression" dxfId="10901" priority="312">
      <formula>IF(AND($K51&gt;1,#REF!="NOK"),1,0)</formula>
    </cfRule>
    <cfRule type="expression" dxfId="10900" priority="313">
      <formula>IF(AND($J51&lt;$I51,#REF!="NOK"),1,0)</formula>
    </cfRule>
  </conditionalFormatting>
  <conditionalFormatting sqref="E51">
    <cfRule type="expression" dxfId="10899" priority="314">
      <formula>IF(#REF!="OK",1,0)</formula>
    </cfRule>
  </conditionalFormatting>
  <conditionalFormatting sqref="I23:J23">
    <cfRule type="expression" dxfId="10898" priority="231">
      <formula>IF(AND($K23&gt;1,#REF!="NOK"),1,0)</formula>
    </cfRule>
    <cfRule type="expression" dxfId="10897" priority="232">
      <formula>IF(AND($J23&lt;$I23,#REF!="NOK"),1,0)</formula>
    </cfRule>
  </conditionalFormatting>
  <conditionalFormatting sqref="I23:J23">
    <cfRule type="expression" dxfId="10896" priority="233">
      <formula>IF(#REF!="OK",1,0)</formula>
    </cfRule>
  </conditionalFormatting>
  <conditionalFormatting sqref="I22:J22">
    <cfRule type="expression" dxfId="10895" priority="225">
      <formula>IF(AND($K22&gt;1,#REF!="NOK"),1,0)</formula>
    </cfRule>
    <cfRule type="expression" dxfId="10894" priority="226">
      <formula>IF(AND($J22&lt;$I22,#REF!="NOK"),1,0)</formula>
    </cfRule>
  </conditionalFormatting>
  <conditionalFormatting sqref="I22:J22">
    <cfRule type="expression" dxfId="10893" priority="227">
      <formula>IF(#REF!="OK",1,0)</formula>
    </cfRule>
  </conditionalFormatting>
  <conditionalFormatting sqref="I20:J20">
    <cfRule type="expression" dxfId="10892" priority="213">
      <formula>IF(AND($K20&gt;1,#REF!="NOK"),1,0)</formula>
    </cfRule>
    <cfRule type="expression" dxfId="10891" priority="214">
      <formula>IF(AND($J20&lt;$I20,#REF!="NOK"),1,0)</formula>
    </cfRule>
  </conditionalFormatting>
  <conditionalFormatting sqref="I20:J20">
    <cfRule type="expression" dxfId="10890" priority="215">
      <formula>IF(#REF!="OK",1,0)</formula>
    </cfRule>
  </conditionalFormatting>
  <conditionalFormatting sqref="B13:D18 F13:J18">
    <cfRule type="expression" dxfId="10889" priority="167">
      <formula>IF(#REF!="OK",1,0)</formula>
    </cfRule>
  </conditionalFormatting>
  <conditionalFormatting sqref="B18:D18 F18:J18">
    <cfRule type="expression" dxfId="10888" priority="164">
      <formula>IF(AND($K18&gt;1,#REF!="NOK"),1,0)</formula>
    </cfRule>
    <cfRule type="expression" dxfId="10887" priority="165">
      <formula>IF(AND($J18&lt;$I18,#REF!="NOK"),1,0)</formula>
    </cfRule>
  </conditionalFormatting>
  <conditionalFormatting sqref="F18:J18 B18:D18">
    <cfRule type="expression" dxfId="10886" priority="166">
      <formula>IF(#REF!="OK",1,0)</formula>
    </cfRule>
  </conditionalFormatting>
  <conditionalFormatting sqref="B19:D19 F19:J19">
    <cfRule type="expression" dxfId="10885" priority="159">
      <formula>IF(AND($K19&gt;1,#REF!="NOK"),1,0)</formula>
    </cfRule>
    <cfRule type="expression" dxfId="10884" priority="160">
      <formula>IF(AND($J19&lt;$I19,#REF!="NOK"),1,0)</formula>
    </cfRule>
  </conditionalFormatting>
  <conditionalFormatting sqref="B19:D19 F19:J19">
    <cfRule type="expression" dxfId="10883" priority="158">
      <formula>IF(#REF!="OK",1,0)</formula>
    </cfRule>
  </conditionalFormatting>
  <conditionalFormatting sqref="B19:D19 F19:J19">
    <cfRule type="expression" dxfId="10882" priority="155">
      <formula>IF(AND($K19&gt;1,#REF!="NOK"),1,0)</formula>
    </cfRule>
    <cfRule type="expression" dxfId="10881" priority="156">
      <formula>IF(AND($J19&lt;$I19,#REF!="NOK"),1,0)</formula>
    </cfRule>
  </conditionalFormatting>
  <conditionalFormatting sqref="F19:J19 B19:D19">
    <cfRule type="expression" dxfId="10880" priority="157">
      <formula>IF(#REF!="OK",1,0)</formula>
    </cfRule>
  </conditionalFormatting>
  <conditionalFormatting sqref="E7:E18">
    <cfRule type="expression" dxfId="10879" priority="152">
      <formula>IF(AND($K7&gt;1,#REF!="NOK"),1,0)</formula>
    </cfRule>
    <cfRule type="expression" dxfId="10878" priority="153">
      <formula>IF(AND($J7&lt;$I7,#REF!="NOK"),1,0)</formula>
    </cfRule>
  </conditionalFormatting>
  <conditionalFormatting sqref="E7:E12">
    <cfRule type="expression" dxfId="10877" priority="154">
      <formula>IF(#REF!="OK",1,0)</formula>
    </cfRule>
  </conditionalFormatting>
  <conditionalFormatting sqref="E12">
    <cfRule type="expression" dxfId="10876" priority="149">
      <formula>IF(AND($K12&gt;1,#REF!="NOK"),1,0)</formula>
    </cfRule>
    <cfRule type="expression" dxfId="10875" priority="150">
      <formula>IF(AND($J12&lt;$I12,#REF!="NOK"),1,0)</formula>
    </cfRule>
  </conditionalFormatting>
  <conditionalFormatting sqref="E12">
    <cfRule type="expression" dxfId="10874" priority="151">
      <formula>IF(#REF!="OK",1,0)</formula>
    </cfRule>
  </conditionalFormatting>
  <conditionalFormatting sqref="E13:E18">
    <cfRule type="expression" dxfId="10873" priority="148">
      <formula>IF(#REF!="OK",1,0)</formula>
    </cfRule>
  </conditionalFormatting>
  <conditionalFormatting sqref="E18:E20 E22:E23">
    <cfRule type="expression" dxfId="10872" priority="145">
      <formula>IF(AND($K18&gt;1,#REF!="NOK"),1,0)</formula>
    </cfRule>
    <cfRule type="expression" dxfId="10871" priority="146">
      <formula>IF(AND($J18&lt;$I18,#REF!="NOK"),1,0)</formula>
    </cfRule>
  </conditionalFormatting>
  <conditionalFormatting sqref="E18:E20 E22:E23">
    <cfRule type="expression" dxfId="10870" priority="147">
      <formula>IF(#REF!="OK",1,0)</formula>
    </cfRule>
  </conditionalFormatting>
  <conditionalFormatting sqref="E19:E20 E22:E23">
    <cfRule type="expression" dxfId="10869" priority="143">
      <formula>IF(AND($K19&gt;1,#REF!="NOK"),1,0)</formula>
    </cfRule>
    <cfRule type="expression" dxfId="10868" priority="144">
      <formula>IF(AND($J19&lt;$I19,#REF!="NOK"),1,0)</formula>
    </cfRule>
  </conditionalFormatting>
  <conditionalFormatting sqref="E19:E20 E22:E23">
    <cfRule type="expression" dxfId="10867" priority="142">
      <formula>IF(#REF!="OK",1,0)</formula>
    </cfRule>
  </conditionalFormatting>
  <conditionalFormatting sqref="B20:D20 F20:H20">
    <cfRule type="expression" dxfId="10866" priority="140">
      <formula>IF(AND($K20&gt;1,#REF!="NOK"),1,0)</formula>
    </cfRule>
    <cfRule type="expression" dxfId="10865" priority="141">
      <formula>IF(AND($J20&lt;$I20,#REF!="NOK"),1,0)</formula>
    </cfRule>
  </conditionalFormatting>
  <conditionalFormatting sqref="B20:D20 F20:H20">
    <cfRule type="expression" dxfId="10864" priority="139">
      <formula>IF(#REF!="OK",1,0)</formula>
    </cfRule>
  </conditionalFormatting>
  <conditionalFormatting sqref="B20:D20 F20:H20">
    <cfRule type="expression" dxfId="10863" priority="136">
      <formula>IF(AND($K20&gt;1,#REF!="NOK"),1,0)</formula>
    </cfRule>
    <cfRule type="expression" dxfId="10862" priority="137">
      <formula>IF(AND($J20&lt;$I20,#REF!="NOK"),1,0)</formula>
    </cfRule>
  </conditionalFormatting>
  <conditionalFormatting sqref="F20:H20 B20:D20">
    <cfRule type="expression" dxfId="10861" priority="138">
      <formula>IF(#REF!="OK",1,0)</formula>
    </cfRule>
  </conditionalFormatting>
  <conditionalFormatting sqref="B22:D22 F22:H22">
    <cfRule type="expression" dxfId="10860" priority="128">
      <formula>IF(AND($K22&gt;1,#REF!="NOK"),1,0)</formula>
    </cfRule>
    <cfRule type="expression" dxfId="10859" priority="129">
      <formula>IF(AND($J22&lt;$I22,#REF!="NOK"),1,0)</formula>
    </cfRule>
  </conditionalFormatting>
  <conditionalFormatting sqref="B22:D22 F22:H22">
    <cfRule type="expression" dxfId="10858" priority="127">
      <formula>IF(#REF!="OK",1,0)</formula>
    </cfRule>
  </conditionalFormatting>
  <conditionalFormatting sqref="B22:D22 F22:H22">
    <cfRule type="expression" dxfId="10857" priority="124">
      <formula>IF(AND($K22&gt;1,#REF!="NOK"),1,0)</formula>
    </cfRule>
    <cfRule type="expression" dxfId="10856" priority="125">
      <formula>IF(AND($J22&lt;$I22,#REF!="NOK"),1,0)</formula>
    </cfRule>
  </conditionalFormatting>
  <conditionalFormatting sqref="F22:H22 B22:D22">
    <cfRule type="expression" dxfId="10855" priority="126">
      <formula>IF(#REF!="OK",1,0)</formula>
    </cfRule>
  </conditionalFormatting>
  <conditionalFormatting sqref="B23:D23 F23:H23">
    <cfRule type="expression" dxfId="10854" priority="122">
      <formula>IF(AND($K23&gt;1,#REF!="NOK"),1,0)</formula>
    </cfRule>
    <cfRule type="expression" dxfId="10853" priority="123">
      <formula>IF(AND($J23&lt;$I23,#REF!="NOK"),1,0)</formula>
    </cfRule>
  </conditionalFormatting>
  <conditionalFormatting sqref="B23:D23 F23:H23">
    <cfRule type="expression" dxfId="10852" priority="121">
      <formula>IF(#REF!="OK",1,0)</formula>
    </cfRule>
  </conditionalFormatting>
  <conditionalFormatting sqref="B23:D23 F23:H23">
    <cfRule type="expression" dxfId="10851" priority="118">
      <formula>IF(AND($K23&gt;1,#REF!="NOK"),1,0)</formula>
    </cfRule>
    <cfRule type="expression" dxfId="10850" priority="119">
      <formula>IF(AND($J23&lt;$I23,#REF!="NOK"),1,0)</formula>
    </cfRule>
  </conditionalFormatting>
  <conditionalFormatting sqref="F23:H23 B23:D23">
    <cfRule type="expression" dxfId="10849" priority="120">
      <formula>IF(#REF!="OK",1,0)</formula>
    </cfRule>
  </conditionalFormatting>
  <conditionalFormatting sqref="I24:J24">
    <cfRule type="expression" dxfId="10848" priority="115">
      <formula>IF(AND($K24&gt;1,#REF!="NOK"),1,0)</formula>
    </cfRule>
    <cfRule type="expression" dxfId="10847" priority="116">
      <formula>IF(AND($J24&lt;$I24,#REF!="NOK"),1,0)</formula>
    </cfRule>
  </conditionalFormatting>
  <conditionalFormatting sqref="I24:J24">
    <cfRule type="expression" dxfId="10846" priority="117">
      <formula>IF(#REF!="OK",1,0)</formula>
    </cfRule>
  </conditionalFormatting>
  <conditionalFormatting sqref="E24">
    <cfRule type="expression" dxfId="10845" priority="112">
      <formula>IF(AND($K24&gt;1,#REF!="NOK"),1,0)</formula>
    </cfRule>
    <cfRule type="expression" dxfId="10844" priority="113">
      <formula>IF(AND($J24&lt;$I24,#REF!="NOK"),1,0)</formula>
    </cfRule>
  </conditionalFormatting>
  <conditionalFormatting sqref="E24">
    <cfRule type="expression" dxfId="10843" priority="114">
      <formula>IF(#REF!="OK",1,0)</formula>
    </cfRule>
  </conditionalFormatting>
  <conditionalFormatting sqref="E24">
    <cfRule type="expression" dxfId="10842" priority="110">
      <formula>IF(AND($K24&gt;1,#REF!="NOK"),1,0)</formula>
    </cfRule>
    <cfRule type="expression" dxfId="10841" priority="111">
      <formula>IF(AND($J24&lt;$I24,#REF!="NOK"),1,0)</formula>
    </cfRule>
  </conditionalFormatting>
  <conditionalFormatting sqref="E24">
    <cfRule type="expression" dxfId="10840" priority="109">
      <formula>IF(#REF!="OK",1,0)</formula>
    </cfRule>
  </conditionalFormatting>
  <conditionalFormatting sqref="B24:D24 F24:H24">
    <cfRule type="expression" dxfId="10839" priority="107">
      <formula>IF(AND($K24&gt;1,#REF!="NOK"),1,0)</formula>
    </cfRule>
    <cfRule type="expression" dxfId="10838" priority="108">
      <formula>IF(AND($J24&lt;$I24,#REF!="NOK"),1,0)</formula>
    </cfRule>
  </conditionalFormatting>
  <conditionalFormatting sqref="B24:D24 F24:H24">
    <cfRule type="expression" dxfId="10837" priority="106">
      <formula>IF(#REF!="OK",1,0)</formula>
    </cfRule>
  </conditionalFormatting>
  <conditionalFormatting sqref="B24:D24 F24:H24">
    <cfRule type="expression" dxfId="10836" priority="103">
      <formula>IF(AND($K24&gt;1,#REF!="NOK"),1,0)</formula>
    </cfRule>
    <cfRule type="expression" dxfId="10835" priority="104">
      <formula>IF(AND($J24&lt;$I24,#REF!="NOK"),1,0)</formula>
    </cfRule>
  </conditionalFormatting>
  <conditionalFormatting sqref="F24:H24 B24:D24">
    <cfRule type="expression" dxfId="10834" priority="105">
      <formula>IF(#REF!="OK",1,0)</formula>
    </cfRule>
  </conditionalFormatting>
  <conditionalFormatting sqref="B27:D28 F27:J28">
    <cfRule type="expression" dxfId="10833" priority="40">
      <formula>IF(AND($K27&gt;1,#REF!="NOK"),1,0)</formula>
    </cfRule>
    <cfRule type="expression" dxfId="10832" priority="41">
      <formula>IF(AND($J27&lt;$I27,#REF!="NOK"),1,0)</formula>
    </cfRule>
  </conditionalFormatting>
  <conditionalFormatting sqref="B27:D28 F27:J28">
    <cfRule type="expression" dxfId="10831" priority="42">
      <formula>IF(#REF!="OK",1,0)</formula>
    </cfRule>
  </conditionalFormatting>
  <conditionalFormatting sqref="E27:E28">
    <cfRule type="expression" dxfId="10830" priority="37">
      <formula>IF(AND($K27&gt;1,#REF!="NOK"),1,0)</formula>
    </cfRule>
    <cfRule type="expression" dxfId="10829" priority="38">
      <formula>IF(AND($J27&lt;$I27,#REF!="NOK"),1,0)</formula>
    </cfRule>
  </conditionalFormatting>
  <conditionalFormatting sqref="E27:E28">
    <cfRule type="expression" dxfId="10828" priority="39">
      <formula>IF(#REF!="OK",1,0)</formula>
    </cfRule>
  </conditionalFormatting>
  <conditionalFormatting sqref="I25:J25">
    <cfRule type="expression" dxfId="10827" priority="34">
      <formula>IF(AND($K25&gt;1,#REF!="NOK"),1,0)</formula>
    </cfRule>
    <cfRule type="expression" dxfId="10826" priority="35">
      <formula>IF(AND($J25&lt;$I25,#REF!="NOK"),1,0)</formula>
    </cfRule>
  </conditionalFormatting>
  <conditionalFormatting sqref="I25:J25">
    <cfRule type="expression" dxfId="10825" priority="36">
      <formula>IF(#REF!="OK",1,0)</formula>
    </cfRule>
  </conditionalFormatting>
  <conditionalFormatting sqref="E25">
    <cfRule type="expression" dxfId="10824" priority="31">
      <formula>IF(AND($K25&gt;1,#REF!="NOK"),1,0)</formula>
    </cfRule>
    <cfRule type="expression" dxfId="10823" priority="32">
      <formula>IF(AND($J25&lt;$I25,#REF!="NOK"),1,0)</formula>
    </cfRule>
  </conditionalFormatting>
  <conditionalFormatting sqref="E25">
    <cfRule type="expression" dxfId="10822" priority="33">
      <formula>IF(#REF!="OK",1,0)</formula>
    </cfRule>
  </conditionalFormatting>
  <conditionalFormatting sqref="E25">
    <cfRule type="expression" dxfId="10821" priority="29">
      <formula>IF(AND($K25&gt;1,#REF!="NOK"),1,0)</formula>
    </cfRule>
    <cfRule type="expression" dxfId="10820" priority="30">
      <formula>IF(AND($J25&lt;$I25,#REF!="NOK"),1,0)</formula>
    </cfRule>
  </conditionalFormatting>
  <conditionalFormatting sqref="E25">
    <cfRule type="expression" dxfId="10819" priority="28">
      <formula>IF(#REF!="OK",1,0)</formula>
    </cfRule>
  </conditionalFormatting>
  <conditionalFormatting sqref="B25:D25 F25:H25">
    <cfRule type="expression" dxfId="10818" priority="26">
      <formula>IF(AND($K25&gt;1,#REF!="NOK"),1,0)</formula>
    </cfRule>
    <cfRule type="expression" dxfId="10817" priority="27">
      <formula>IF(AND($J25&lt;$I25,#REF!="NOK"),1,0)</formula>
    </cfRule>
  </conditionalFormatting>
  <conditionalFormatting sqref="B25:D25 F25:H25">
    <cfRule type="expression" dxfId="10816" priority="25">
      <formula>IF(#REF!="OK",1,0)</formula>
    </cfRule>
  </conditionalFormatting>
  <conditionalFormatting sqref="B25:D25 F25:H25">
    <cfRule type="expression" dxfId="10815" priority="22">
      <formula>IF(AND($K25&gt;1,#REF!="NOK"),1,0)</formula>
    </cfRule>
    <cfRule type="expression" dxfId="10814" priority="23">
      <formula>IF(AND($J25&lt;$I25,#REF!="NOK"),1,0)</formula>
    </cfRule>
  </conditionalFormatting>
  <conditionalFormatting sqref="F25:H25 B25:D25">
    <cfRule type="expression" dxfId="10813" priority="24">
      <formula>IF(#REF!="OK",1,0)</formula>
    </cfRule>
  </conditionalFormatting>
  <conditionalFormatting sqref="I26:J26">
    <cfRule type="expression" dxfId="10812" priority="19">
      <formula>IF(AND($K26&gt;1,#REF!="NOK"),1,0)</formula>
    </cfRule>
    <cfRule type="expression" dxfId="10811" priority="20">
      <formula>IF(AND($J26&lt;$I26,#REF!="NOK"),1,0)</formula>
    </cfRule>
  </conditionalFormatting>
  <conditionalFormatting sqref="I26:J26">
    <cfRule type="expression" dxfId="10810" priority="21">
      <formula>IF(#REF!="OK",1,0)</formula>
    </cfRule>
  </conditionalFormatting>
  <conditionalFormatting sqref="E26">
    <cfRule type="expression" dxfId="10809" priority="16">
      <formula>IF(AND($K26&gt;1,#REF!="NOK"),1,0)</formula>
    </cfRule>
    <cfRule type="expression" dxfId="10808" priority="17">
      <formula>IF(AND($J26&lt;$I26,#REF!="NOK"),1,0)</formula>
    </cfRule>
  </conditionalFormatting>
  <conditionalFormatting sqref="E26">
    <cfRule type="expression" dxfId="10807" priority="18">
      <formula>IF(#REF!="OK",1,0)</formula>
    </cfRule>
  </conditionalFormatting>
  <conditionalFormatting sqref="E26">
    <cfRule type="expression" dxfId="10806" priority="14">
      <formula>IF(AND($K26&gt;1,#REF!="NOK"),1,0)</formula>
    </cfRule>
    <cfRule type="expression" dxfId="10805" priority="15">
      <formula>IF(AND($J26&lt;$I26,#REF!="NOK"),1,0)</formula>
    </cfRule>
  </conditionalFormatting>
  <conditionalFormatting sqref="E26">
    <cfRule type="expression" dxfId="10804" priority="13">
      <formula>IF(#REF!="OK",1,0)</formula>
    </cfRule>
  </conditionalFormatting>
  <conditionalFormatting sqref="B26:D26 F26:H26">
    <cfRule type="expression" dxfId="10803" priority="11">
      <formula>IF(AND($K26&gt;1,#REF!="NOK"),1,0)</formula>
    </cfRule>
    <cfRule type="expression" dxfId="10802" priority="12">
      <formula>IF(AND($J26&lt;$I26,#REF!="NOK"),1,0)</formula>
    </cfRule>
  </conditionalFormatting>
  <conditionalFormatting sqref="B26:D26 F26:H26">
    <cfRule type="expression" dxfId="10801" priority="10">
      <formula>IF(#REF!="OK",1,0)</formula>
    </cfRule>
  </conditionalFormatting>
  <conditionalFormatting sqref="B26:D26 F26:H26">
    <cfRule type="expression" dxfId="10800" priority="7">
      <formula>IF(AND($K26&gt;1,#REF!="NOK"),1,0)</formula>
    </cfRule>
    <cfRule type="expression" dxfId="10799" priority="8">
      <formula>IF(AND($J26&lt;$I26,#REF!="NOK"),1,0)</formula>
    </cfRule>
  </conditionalFormatting>
  <conditionalFormatting sqref="F26:H26 B26:D26">
    <cfRule type="expression" dxfId="10798" priority="9">
      <formula>IF(#REF!="OK",1,0)</formula>
    </cfRule>
  </conditionalFormatting>
  <conditionalFormatting sqref="B21:D27 F21:J27">
    <cfRule type="expression" dxfId="10797" priority="4">
      <formula>IF(AND($K21&gt;1,#REF!="NOK"),1,0)</formula>
    </cfRule>
    <cfRule type="expression" dxfId="10796" priority="5">
      <formula>IF(AND($J21&lt;$I21,#REF!="NOK"),1,0)</formula>
    </cfRule>
  </conditionalFormatting>
  <conditionalFormatting sqref="B21:D27 F21:J27">
    <cfRule type="expression" dxfId="10795" priority="6">
      <formula>IF(#REF!="OK",1,0)</formula>
    </cfRule>
  </conditionalFormatting>
  <conditionalFormatting sqref="E21:E27">
    <cfRule type="expression" dxfId="10794" priority="1">
      <formula>IF(AND($K21&gt;1,#REF!="NOK"),1,0)</formula>
    </cfRule>
    <cfRule type="expression" dxfId="10793" priority="2">
      <formula>IF(AND($J21&lt;$I21,#REF!="NOK"),1,0)</formula>
    </cfRule>
  </conditionalFormatting>
  <conditionalFormatting sqref="E21:E27">
    <cfRule type="expression" dxfId="10792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B7:B201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V222"/>
  <sheetViews>
    <sheetView zoomScale="90" zoomScaleNormal="90" workbookViewId="0">
      <pane ySplit="5" topLeftCell="A120" activePane="bottomLeft" state="frozen"/>
      <selection pane="bottomLeft" activeCell="L149" sqref="L149"/>
    </sheetView>
  </sheetViews>
  <sheetFormatPr baseColWidth="10" defaultColWidth="11.42578125" defaultRowHeight="15"/>
  <cols>
    <col min="1" max="2" width="11.42578125" style="85"/>
    <col min="3" max="3" width="18.7109375" style="85" customWidth="1"/>
    <col min="4" max="4" width="55.7109375" style="85" customWidth="1"/>
    <col min="5" max="7" width="15.7109375" style="85" customWidth="1"/>
    <col min="8" max="8" width="16" style="85" bestFit="1" customWidth="1"/>
    <col min="9" max="9" width="17.5703125" style="85" bestFit="1" customWidth="1"/>
    <col min="10" max="10" width="16" style="85" bestFit="1" customWidth="1"/>
    <col min="11" max="11" width="15.7109375" style="85" bestFit="1" customWidth="1"/>
    <col min="12" max="13" width="11.42578125" style="85"/>
    <col min="14" max="14" width="13" style="85" bestFit="1" customWidth="1"/>
    <col min="15" max="15" width="23.140625" style="85" bestFit="1" customWidth="1"/>
    <col min="16" max="16" width="13.140625" style="85" bestFit="1" customWidth="1"/>
    <col min="17" max="17" width="14.7109375" style="85" bestFit="1" customWidth="1"/>
    <col min="18" max="18" width="14" style="85" bestFit="1" customWidth="1"/>
    <col min="19" max="19" width="15.42578125" style="85" bestFit="1" customWidth="1"/>
    <col min="20" max="16384" width="11.42578125" style="85"/>
  </cols>
  <sheetData>
    <row r="2" spans="1:22" ht="31.5">
      <c r="C2" s="3" t="s">
        <v>930</v>
      </c>
      <c r="E2" s="213" t="s">
        <v>931</v>
      </c>
      <c r="F2" s="213" t="s">
        <v>932</v>
      </c>
      <c r="N2" s="85" t="s">
        <v>418</v>
      </c>
      <c r="O2" s="85" t="s">
        <v>418</v>
      </c>
      <c r="P2" s="85" t="s">
        <v>418</v>
      </c>
      <c r="Q2" s="85" t="s">
        <v>418</v>
      </c>
      <c r="R2" s="85" t="s">
        <v>418</v>
      </c>
      <c r="S2" s="85" t="s">
        <v>418</v>
      </c>
      <c r="T2" s="85" t="s">
        <v>418</v>
      </c>
    </row>
    <row r="3" spans="1:22" ht="15.75">
      <c r="E3" s="247">
        <v>-923.55008032128444</v>
      </c>
      <c r="F3" s="217">
        <f>E3+SUMIFS(G6:G208,B6:B208,"INGRESO",F6:F208,"USD")-SUMIFS(G6:G208,B6:B208,"EGRESO",F6:F208,"USD")</f>
        <v>-333.63008032128437</v>
      </c>
      <c r="N3" s="85" t="s">
        <v>418</v>
      </c>
      <c r="O3" s="85" t="s">
        <v>418</v>
      </c>
      <c r="P3" s="85" t="s">
        <v>418</v>
      </c>
      <c r="Q3" s="85" t="s">
        <v>418</v>
      </c>
      <c r="R3" s="85" t="s">
        <v>418</v>
      </c>
      <c r="S3" s="85" t="s">
        <v>418</v>
      </c>
      <c r="T3" s="85" t="s">
        <v>418</v>
      </c>
    </row>
    <row r="4" spans="1:22">
      <c r="N4" s="85" t="s">
        <v>418</v>
      </c>
      <c r="O4" s="85" t="s">
        <v>418</v>
      </c>
      <c r="P4" s="85" t="s">
        <v>418</v>
      </c>
      <c r="Q4" s="85" t="s">
        <v>418</v>
      </c>
      <c r="R4" s="85" t="s">
        <v>418</v>
      </c>
      <c r="S4" s="85" t="s">
        <v>418</v>
      </c>
      <c r="T4" s="85" t="s">
        <v>418</v>
      </c>
    </row>
    <row r="5" spans="1:22">
      <c r="A5" s="285">
        <f>212-COUNTBLANK(B6:B211)</f>
        <v>140</v>
      </c>
      <c r="B5" s="212" t="s">
        <v>935</v>
      </c>
      <c r="C5" s="212" t="s">
        <v>230</v>
      </c>
      <c r="D5" s="212" t="s">
        <v>78</v>
      </c>
      <c r="E5" s="212" t="s">
        <v>77</v>
      </c>
      <c r="F5" s="212" t="s">
        <v>928</v>
      </c>
      <c r="G5" s="212" t="s">
        <v>933</v>
      </c>
      <c r="H5" s="212" t="s">
        <v>721</v>
      </c>
      <c r="I5" s="212" t="s">
        <v>934</v>
      </c>
      <c r="N5" s="24" t="s">
        <v>77</v>
      </c>
      <c r="O5" s="24" t="s">
        <v>230</v>
      </c>
      <c r="P5" s="24" t="s">
        <v>78</v>
      </c>
      <c r="Q5" s="24" t="s">
        <v>673</v>
      </c>
      <c r="R5" s="24" t="s">
        <v>721</v>
      </c>
      <c r="S5" s="24" t="s">
        <v>934</v>
      </c>
      <c r="T5" s="24" t="s">
        <v>416</v>
      </c>
    </row>
    <row r="6" spans="1:22">
      <c r="A6" s="231">
        <v>1</v>
      </c>
      <c r="B6" s="248" t="s">
        <v>1631</v>
      </c>
      <c r="C6" s="249" t="s">
        <v>1630</v>
      </c>
      <c r="D6" s="256" t="s">
        <v>850</v>
      </c>
      <c r="E6" s="255">
        <v>44774</v>
      </c>
      <c r="F6" s="255" t="s">
        <v>929</v>
      </c>
      <c r="G6" s="250">
        <v>100</v>
      </c>
      <c r="H6" s="250">
        <v>5.95</v>
      </c>
      <c r="I6" s="252">
        <f t="shared" ref="I6:I69" si="0">H6*G6</f>
        <v>595</v>
      </c>
      <c r="N6" s="219">
        <v>44743</v>
      </c>
      <c r="O6" s="219" t="s">
        <v>896</v>
      </c>
      <c r="P6" s="67" t="s">
        <v>1335</v>
      </c>
      <c r="Q6" s="219" t="s">
        <v>673</v>
      </c>
      <c r="R6" s="68">
        <v>5.7</v>
      </c>
      <c r="S6" s="68">
        <v>86.013000000000005</v>
      </c>
      <c r="T6" s="219" t="s">
        <v>416</v>
      </c>
      <c r="U6" s="85" t="s">
        <v>1347</v>
      </c>
      <c r="V6" s="85" t="s">
        <v>1032</v>
      </c>
    </row>
    <row r="7" spans="1:22">
      <c r="A7" s="231">
        <f>+A6+1</f>
        <v>2</v>
      </c>
      <c r="B7" s="248" t="s">
        <v>1631</v>
      </c>
      <c r="C7" s="249" t="s">
        <v>1630</v>
      </c>
      <c r="D7" s="256" t="s">
        <v>850</v>
      </c>
      <c r="E7" s="255">
        <v>44774</v>
      </c>
      <c r="F7" s="255" t="s">
        <v>1032</v>
      </c>
      <c r="G7" s="250">
        <v>1.55</v>
      </c>
      <c r="H7" s="250">
        <v>5.95</v>
      </c>
      <c r="I7" s="252">
        <f t="shared" si="0"/>
        <v>9.2225000000000001</v>
      </c>
      <c r="N7" s="219">
        <v>44743</v>
      </c>
      <c r="O7" s="219" t="s">
        <v>1327</v>
      </c>
      <c r="P7" s="67" t="s">
        <v>1336</v>
      </c>
      <c r="Q7" s="219" t="s">
        <v>673</v>
      </c>
      <c r="R7" s="68">
        <v>5.7</v>
      </c>
      <c r="S7" s="68">
        <v>85.5</v>
      </c>
      <c r="T7" s="219" t="s">
        <v>416</v>
      </c>
      <c r="U7" s="85" t="s">
        <v>1348</v>
      </c>
      <c r="V7" s="85" t="s">
        <v>929</v>
      </c>
    </row>
    <row r="8" spans="1:22">
      <c r="A8" s="231">
        <f t="shared" ref="A8:A71" si="1">+A7+1</f>
        <v>3</v>
      </c>
      <c r="B8" s="248" t="s">
        <v>1631</v>
      </c>
      <c r="C8" s="249" t="s">
        <v>1299</v>
      </c>
      <c r="D8" s="256" t="s">
        <v>301</v>
      </c>
      <c r="E8" s="255">
        <v>44776</v>
      </c>
      <c r="F8" s="255" t="s">
        <v>1032</v>
      </c>
      <c r="G8" s="250">
        <v>77.900000000000006</v>
      </c>
      <c r="H8" s="250">
        <v>5.95</v>
      </c>
      <c r="I8" s="252">
        <f t="shared" si="0"/>
        <v>463.50500000000005</v>
      </c>
      <c r="N8" s="219">
        <v>44743</v>
      </c>
      <c r="O8" s="219" t="s">
        <v>1327</v>
      </c>
      <c r="P8" s="67" t="s">
        <v>1336</v>
      </c>
      <c r="Q8" s="219" t="s">
        <v>673</v>
      </c>
      <c r="R8" s="68">
        <v>5.7</v>
      </c>
      <c r="S8" s="68">
        <v>15.846</v>
      </c>
      <c r="T8" s="219" t="s">
        <v>416</v>
      </c>
      <c r="U8" s="85" t="s">
        <v>1348</v>
      </c>
      <c r="V8" s="85" t="s">
        <v>1032</v>
      </c>
    </row>
    <row r="9" spans="1:22">
      <c r="A9" s="231">
        <f t="shared" si="1"/>
        <v>4</v>
      </c>
      <c r="B9" s="248" t="s">
        <v>1631</v>
      </c>
      <c r="C9" s="249" t="s">
        <v>1457</v>
      </c>
      <c r="D9" s="256" t="s">
        <v>959</v>
      </c>
      <c r="E9" s="255">
        <v>44777</v>
      </c>
      <c r="F9" s="255" t="s">
        <v>929</v>
      </c>
      <c r="G9" s="250">
        <v>90</v>
      </c>
      <c r="H9" s="250">
        <v>5.95</v>
      </c>
      <c r="I9" s="252">
        <f t="shared" si="0"/>
        <v>535.5</v>
      </c>
      <c r="N9" s="219">
        <v>44743</v>
      </c>
      <c r="O9" s="219" t="s">
        <v>1083</v>
      </c>
      <c r="P9" s="67" t="s">
        <v>1322</v>
      </c>
      <c r="Q9" s="219" t="s">
        <v>673</v>
      </c>
      <c r="R9" s="68">
        <v>5.7</v>
      </c>
      <c r="S9" s="68">
        <v>34.769999999999996</v>
      </c>
      <c r="T9" s="219" t="s">
        <v>416</v>
      </c>
      <c r="U9" s="85" t="s">
        <v>1349</v>
      </c>
      <c r="V9" s="85" t="s">
        <v>1032</v>
      </c>
    </row>
    <row r="10" spans="1:22">
      <c r="A10" s="231">
        <f t="shared" si="1"/>
        <v>5</v>
      </c>
      <c r="B10" s="248" t="s">
        <v>1631</v>
      </c>
      <c r="C10" s="249" t="s">
        <v>1457</v>
      </c>
      <c r="D10" s="256" t="s">
        <v>959</v>
      </c>
      <c r="E10" s="255">
        <v>44777</v>
      </c>
      <c r="F10" s="255" t="s">
        <v>1032</v>
      </c>
      <c r="G10" s="250">
        <v>5.4</v>
      </c>
      <c r="H10" s="250">
        <v>5.95</v>
      </c>
      <c r="I10" s="252">
        <f t="shared" si="0"/>
        <v>32.130000000000003</v>
      </c>
      <c r="N10" s="219">
        <v>44748</v>
      </c>
      <c r="O10" s="219" t="s">
        <v>1109</v>
      </c>
      <c r="P10" s="67" t="s">
        <v>1205</v>
      </c>
      <c r="Q10" s="219" t="s">
        <v>673</v>
      </c>
      <c r="R10" s="68">
        <v>5.77</v>
      </c>
      <c r="S10" s="68">
        <v>259.64999999999998</v>
      </c>
      <c r="T10" s="219" t="s">
        <v>416</v>
      </c>
      <c r="U10" s="85" t="s">
        <v>1516</v>
      </c>
      <c r="V10" s="85" t="s">
        <v>929</v>
      </c>
    </row>
    <row r="11" spans="1:22">
      <c r="A11" s="231">
        <f t="shared" si="1"/>
        <v>6</v>
      </c>
      <c r="B11" s="248" t="s">
        <v>1631</v>
      </c>
      <c r="C11" s="249" t="s">
        <v>1633</v>
      </c>
      <c r="D11" s="256" t="s">
        <v>693</v>
      </c>
      <c r="E11" s="255">
        <v>44777</v>
      </c>
      <c r="F11" s="255" t="s">
        <v>929</v>
      </c>
      <c r="G11" s="250">
        <v>30</v>
      </c>
      <c r="H11" s="250">
        <v>5.95</v>
      </c>
      <c r="I11" s="252">
        <f t="shared" si="0"/>
        <v>178.5</v>
      </c>
      <c r="N11" s="219">
        <v>44748</v>
      </c>
      <c r="O11" s="219" t="s">
        <v>1350</v>
      </c>
      <c r="P11" s="67" t="s">
        <v>1351</v>
      </c>
      <c r="Q11" s="219" t="s">
        <v>673</v>
      </c>
      <c r="R11" s="68">
        <v>5.77</v>
      </c>
      <c r="S11" s="68">
        <v>-144.25</v>
      </c>
      <c r="T11" s="219" t="s">
        <v>416</v>
      </c>
      <c r="U11" s="85" t="s">
        <v>1517</v>
      </c>
      <c r="V11" s="85" t="s">
        <v>929</v>
      </c>
    </row>
    <row r="12" spans="1:22">
      <c r="A12" s="231">
        <f t="shared" si="1"/>
        <v>7</v>
      </c>
      <c r="B12" s="248" t="s">
        <v>1631</v>
      </c>
      <c r="C12" s="249" t="s">
        <v>1633</v>
      </c>
      <c r="D12" s="256" t="s">
        <v>693</v>
      </c>
      <c r="E12" s="255">
        <v>44777</v>
      </c>
      <c r="F12" s="255" t="s">
        <v>1032</v>
      </c>
      <c r="G12" s="250">
        <v>1.2</v>
      </c>
      <c r="H12" s="250">
        <v>5.95</v>
      </c>
      <c r="I12" s="252">
        <f t="shared" si="0"/>
        <v>7.14</v>
      </c>
      <c r="N12" s="219">
        <v>44748</v>
      </c>
      <c r="O12" s="219" t="s">
        <v>960</v>
      </c>
      <c r="P12" s="67" t="s">
        <v>1206</v>
      </c>
      <c r="Q12" s="219" t="s">
        <v>673</v>
      </c>
      <c r="R12" s="68">
        <v>5.77</v>
      </c>
      <c r="S12" s="68">
        <v>1096.3</v>
      </c>
      <c r="T12" s="219" t="s">
        <v>416</v>
      </c>
      <c r="U12" s="85" t="s">
        <v>1518</v>
      </c>
      <c r="V12" s="85" t="s">
        <v>929</v>
      </c>
    </row>
    <row r="13" spans="1:22" ht="14.25" customHeight="1">
      <c r="A13" s="231">
        <f t="shared" si="1"/>
        <v>8</v>
      </c>
      <c r="B13" s="248" t="s">
        <v>1634</v>
      </c>
      <c r="C13" s="249" t="s">
        <v>1635</v>
      </c>
      <c r="D13" s="256" t="s">
        <v>1636</v>
      </c>
      <c r="E13" s="255">
        <v>44777</v>
      </c>
      <c r="F13" s="255" t="s">
        <v>1032</v>
      </c>
      <c r="G13" s="250">
        <v>150</v>
      </c>
      <c r="H13" s="250">
        <v>5.95</v>
      </c>
      <c r="I13" s="252">
        <f t="shared" si="0"/>
        <v>892.5</v>
      </c>
      <c r="N13" s="219">
        <v>44748</v>
      </c>
      <c r="O13" s="219" t="s">
        <v>1144</v>
      </c>
      <c r="P13" s="67" t="s">
        <v>1319</v>
      </c>
      <c r="Q13" s="219" t="s">
        <v>673</v>
      </c>
      <c r="R13" s="68">
        <v>5.77</v>
      </c>
      <c r="S13" s="68">
        <v>126.94</v>
      </c>
      <c r="T13" s="219" t="s">
        <v>416</v>
      </c>
      <c r="U13" s="85" t="s">
        <v>1519</v>
      </c>
      <c r="V13" s="85" t="s">
        <v>1032</v>
      </c>
    </row>
    <row r="14" spans="1:22" ht="14.25" customHeight="1">
      <c r="A14" s="231">
        <f t="shared" si="1"/>
        <v>9</v>
      </c>
      <c r="B14" s="248" t="s">
        <v>1631</v>
      </c>
      <c r="C14" s="249" t="s">
        <v>1637</v>
      </c>
      <c r="D14" s="256" t="s">
        <v>1332</v>
      </c>
      <c r="E14" s="255">
        <v>44777</v>
      </c>
      <c r="F14" s="253" t="s">
        <v>1032</v>
      </c>
      <c r="G14" s="250">
        <v>15.09</v>
      </c>
      <c r="H14" s="250">
        <v>5.95</v>
      </c>
      <c r="I14" s="252">
        <f t="shared" si="0"/>
        <v>89.785499999999999</v>
      </c>
      <c r="N14" s="219">
        <v>44748</v>
      </c>
      <c r="O14" s="219" t="s">
        <v>1332</v>
      </c>
      <c r="P14" s="67" t="s">
        <v>1344</v>
      </c>
      <c r="Q14" s="219" t="s">
        <v>673</v>
      </c>
      <c r="R14" s="68">
        <v>5.77</v>
      </c>
      <c r="S14" s="68">
        <v>461.59999999999997</v>
      </c>
      <c r="T14" s="219" t="s">
        <v>416</v>
      </c>
      <c r="U14" s="85" t="s">
        <v>1520</v>
      </c>
      <c r="V14" s="85" t="s">
        <v>929</v>
      </c>
    </row>
    <row r="15" spans="1:22">
      <c r="A15" s="231">
        <f t="shared" si="1"/>
        <v>10</v>
      </c>
      <c r="B15" s="248" t="s">
        <v>1631</v>
      </c>
      <c r="C15" s="249" t="s">
        <v>1638</v>
      </c>
      <c r="D15" s="256" t="s">
        <v>1217</v>
      </c>
      <c r="E15" s="255">
        <v>44777</v>
      </c>
      <c r="F15" s="253" t="s">
        <v>1032</v>
      </c>
      <c r="G15" s="250">
        <v>19.52</v>
      </c>
      <c r="H15" s="250">
        <v>5.95</v>
      </c>
      <c r="I15" s="252">
        <f t="shared" si="0"/>
        <v>116.14400000000001</v>
      </c>
      <c r="N15" s="219">
        <v>44748</v>
      </c>
      <c r="O15" s="219" t="s">
        <v>1332</v>
      </c>
      <c r="P15" s="67" t="s">
        <v>1344</v>
      </c>
      <c r="Q15" s="219" t="s">
        <v>673</v>
      </c>
      <c r="R15" s="68">
        <v>5.77</v>
      </c>
      <c r="S15" s="68">
        <v>25.388000000000002</v>
      </c>
      <c r="T15" s="219" t="s">
        <v>416</v>
      </c>
      <c r="U15" s="85" t="s">
        <v>1520</v>
      </c>
      <c r="V15" s="85" t="s">
        <v>1032</v>
      </c>
    </row>
    <row r="16" spans="1:22">
      <c r="A16" s="231">
        <f t="shared" si="1"/>
        <v>11</v>
      </c>
      <c r="B16" s="248" t="s">
        <v>1631</v>
      </c>
      <c r="C16" s="249" t="s">
        <v>1639</v>
      </c>
      <c r="D16" s="256" t="s">
        <v>1073</v>
      </c>
      <c r="E16" s="255">
        <v>44777</v>
      </c>
      <c r="F16" s="253" t="s">
        <v>929</v>
      </c>
      <c r="G16" s="250">
        <v>10</v>
      </c>
      <c r="H16" s="250">
        <v>5.95</v>
      </c>
      <c r="I16" s="252">
        <f t="shared" si="0"/>
        <v>59.5</v>
      </c>
      <c r="N16" s="219">
        <v>44748</v>
      </c>
      <c r="O16" s="219" t="s">
        <v>850</v>
      </c>
      <c r="P16" s="67" t="s">
        <v>1352</v>
      </c>
      <c r="Q16" s="219" t="s">
        <v>673</v>
      </c>
      <c r="R16" s="68">
        <v>5.77</v>
      </c>
      <c r="S16" s="68">
        <v>634.69999999999993</v>
      </c>
      <c r="T16" s="219" t="s">
        <v>416</v>
      </c>
      <c r="U16" s="85" t="s">
        <v>1521</v>
      </c>
      <c r="V16" s="85" t="s">
        <v>929</v>
      </c>
    </row>
    <row r="17" spans="1:22">
      <c r="A17" s="231">
        <f t="shared" si="1"/>
        <v>12</v>
      </c>
      <c r="B17" s="248" t="s">
        <v>1631</v>
      </c>
      <c r="C17" s="249" t="s">
        <v>1639</v>
      </c>
      <c r="D17" s="256" t="s">
        <v>1073</v>
      </c>
      <c r="E17" s="255">
        <v>44777</v>
      </c>
      <c r="F17" s="253" t="s">
        <v>1032</v>
      </c>
      <c r="G17" s="250">
        <v>6.77</v>
      </c>
      <c r="H17" s="250">
        <v>5.95</v>
      </c>
      <c r="I17" s="252">
        <f t="shared" si="0"/>
        <v>40.281500000000001</v>
      </c>
      <c r="N17" s="219">
        <v>44748</v>
      </c>
      <c r="O17" s="219" t="s">
        <v>850</v>
      </c>
      <c r="P17" s="67" t="s">
        <v>1352</v>
      </c>
      <c r="Q17" s="219" t="s">
        <v>673</v>
      </c>
      <c r="R17" s="68">
        <v>5.77</v>
      </c>
      <c r="S17" s="68">
        <v>10.385999999999999</v>
      </c>
      <c r="T17" s="219" t="s">
        <v>416</v>
      </c>
      <c r="U17" s="85" t="s">
        <v>1521</v>
      </c>
      <c r="V17" s="85" t="s">
        <v>1032</v>
      </c>
    </row>
    <row r="18" spans="1:22">
      <c r="A18" s="231">
        <f t="shared" si="1"/>
        <v>13</v>
      </c>
      <c r="B18" s="248" t="s">
        <v>1634</v>
      </c>
      <c r="C18" s="249" t="s">
        <v>1392</v>
      </c>
      <c r="D18" s="254" t="s">
        <v>1643</v>
      </c>
      <c r="E18" s="255">
        <v>44777</v>
      </c>
      <c r="F18" s="253" t="s">
        <v>929</v>
      </c>
      <c r="G18" s="250">
        <v>100</v>
      </c>
      <c r="H18" s="250">
        <v>5.95</v>
      </c>
      <c r="I18" s="252">
        <f t="shared" si="0"/>
        <v>595</v>
      </c>
      <c r="J18" s="11"/>
      <c r="N18" s="219">
        <v>44748</v>
      </c>
      <c r="O18" s="219" t="s">
        <v>1300</v>
      </c>
      <c r="P18" s="67" t="s">
        <v>1369</v>
      </c>
      <c r="Q18" s="219" t="s">
        <v>673</v>
      </c>
      <c r="R18" s="68">
        <v>5.77</v>
      </c>
      <c r="S18" s="68">
        <v>-577</v>
      </c>
      <c r="T18" s="219" t="s">
        <v>416</v>
      </c>
      <c r="U18" s="85" t="s">
        <v>1522</v>
      </c>
      <c r="V18" s="85" t="s">
        <v>929</v>
      </c>
    </row>
    <row r="19" spans="1:22">
      <c r="A19" s="231">
        <f t="shared" si="1"/>
        <v>14</v>
      </c>
      <c r="B19" s="248" t="s">
        <v>1634</v>
      </c>
      <c r="C19" s="283" t="s">
        <v>1034</v>
      </c>
      <c r="D19" s="254" t="s">
        <v>1642</v>
      </c>
      <c r="E19" s="255">
        <v>44778</v>
      </c>
      <c r="F19" s="255" t="s">
        <v>929</v>
      </c>
      <c r="G19" s="284">
        <v>20</v>
      </c>
      <c r="H19" s="250">
        <v>5.97</v>
      </c>
      <c r="I19" s="252">
        <f t="shared" si="0"/>
        <v>119.39999999999999</v>
      </c>
      <c r="N19" s="219">
        <v>44748</v>
      </c>
      <c r="O19" s="219" t="s">
        <v>1223</v>
      </c>
      <c r="P19" s="67" t="s">
        <v>1354</v>
      </c>
      <c r="Q19" s="219" t="s">
        <v>673</v>
      </c>
      <c r="R19" s="68">
        <v>5.77</v>
      </c>
      <c r="S19" s="68">
        <v>-288.5</v>
      </c>
      <c r="T19" s="219" t="s">
        <v>416</v>
      </c>
      <c r="U19" s="85" t="s">
        <v>1523</v>
      </c>
      <c r="V19" s="85" t="s">
        <v>929</v>
      </c>
    </row>
    <row r="20" spans="1:22">
      <c r="A20" s="231">
        <f t="shared" si="1"/>
        <v>15</v>
      </c>
      <c r="B20" s="248" t="s">
        <v>1634</v>
      </c>
      <c r="C20" s="283" t="s">
        <v>944</v>
      </c>
      <c r="D20" s="254" t="s">
        <v>1642</v>
      </c>
      <c r="E20" s="255">
        <v>44778</v>
      </c>
      <c r="F20" s="257" t="s">
        <v>929</v>
      </c>
      <c r="G20" s="250">
        <v>20</v>
      </c>
      <c r="H20" s="250">
        <v>5.97</v>
      </c>
      <c r="I20" s="252">
        <f t="shared" si="0"/>
        <v>119.39999999999999</v>
      </c>
      <c r="N20" s="219">
        <v>44748</v>
      </c>
      <c r="O20" s="219" t="s">
        <v>1355</v>
      </c>
      <c r="P20" s="67" t="s">
        <v>1356</v>
      </c>
      <c r="Q20" s="219" t="s">
        <v>673</v>
      </c>
      <c r="R20" s="68">
        <v>5.77</v>
      </c>
      <c r="S20" s="68">
        <v>-1154</v>
      </c>
      <c r="T20" s="219" t="s">
        <v>416</v>
      </c>
      <c r="U20" s="85" t="s">
        <v>1524</v>
      </c>
      <c r="V20" s="85" t="s">
        <v>929</v>
      </c>
    </row>
    <row r="21" spans="1:22">
      <c r="A21" s="231">
        <f t="shared" si="1"/>
        <v>16</v>
      </c>
      <c r="B21" s="248" t="s">
        <v>1634</v>
      </c>
      <c r="C21" s="283" t="s">
        <v>1033</v>
      </c>
      <c r="D21" s="254" t="s">
        <v>1642</v>
      </c>
      <c r="E21" s="255">
        <v>44778</v>
      </c>
      <c r="F21" s="257" t="s">
        <v>929</v>
      </c>
      <c r="G21" s="250">
        <v>20</v>
      </c>
      <c r="H21" s="250">
        <v>5.97</v>
      </c>
      <c r="I21" s="252">
        <f t="shared" si="0"/>
        <v>119.39999999999999</v>
      </c>
      <c r="N21" s="219">
        <v>44748</v>
      </c>
      <c r="O21" s="219" t="s">
        <v>1357</v>
      </c>
      <c r="P21" s="67" t="s">
        <v>1358</v>
      </c>
      <c r="Q21" s="219" t="s">
        <v>673</v>
      </c>
      <c r="R21" s="68">
        <v>5.77</v>
      </c>
      <c r="S21" s="68">
        <v>-317.34999999999997</v>
      </c>
      <c r="T21" s="219" t="s">
        <v>416</v>
      </c>
      <c r="U21" s="85" t="s">
        <v>1525</v>
      </c>
      <c r="V21" s="85" t="s">
        <v>929</v>
      </c>
    </row>
    <row r="22" spans="1:22">
      <c r="A22" s="231">
        <f t="shared" si="1"/>
        <v>17</v>
      </c>
      <c r="B22" s="248" t="s">
        <v>1634</v>
      </c>
      <c r="C22" s="249" t="s">
        <v>1138</v>
      </c>
      <c r="D22" s="254" t="s">
        <v>1642</v>
      </c>
      <c r="E22" s="255">
        <v>44778</v>
      </c>
      <c r="F22" s="253" t="s">
        <v>929</v>
      </c>
      <c r="G22" s="250">
        <v>15</v>
      </c>
      <c r="H22" s="250">
        <v>5.97</v>
      </c>
      <c r="I22" s="252">
        <f t="shared" si="0"/>
        <v>89.55</v>
      </c>
      <c r="N22" s="219">
        <v>44749</v>
      </c>
      <c r="O22" s="219" t="s">
        <v>1</v>
      </c>
      <c r="P22" s="67" t="s">
        <v>1361</v>
      </c>
      <c r="Q22" s="219" t="s">
        <v>673</v>
      </c>
      <c r="R22" s="68">
        <v>5.77</v>
      </c>
      <c r="S22" s="68">
        <v>259.64999999999998</v>
      </c>
      <c r="T22" s="219" t="s">
        <v>416</v>
      </c>
      <c r="U22" s="85" t="s">
        <v>1526</v>
      </c>
      <c r="V22" s="85" t="s">
        <v>929</v>
      </c>
    </row>
    <row r="23" spans="1:22">
      <c r="A23" s="231">
        <f t="shared" si="1"/>
        <v>18</v>
      </c>
      <c r="B23" s="248" t="s">
        <v>1634</v>
      </c>
      <c r="C23" s="249" t="s">
        <v>1124</v>
      </c>
      <c r="D23" s="254" t="s">
        <v>1642</v>
      </c>
      <c r="E23" s="255">
        <v>44778</v>
      </c>
      <c r="F23" s="253" t="s">
        <v>929</v>
      </c>
      <c r="G23" s="250">
        <v>80</v>
      </c>
      <c r="H23" s="250">
        <v>5.97</v>
      </c>
      <c r="I23" s="252">
        <f t="shared" si="0"/>
        <v>477.59999999999997</v>
      </c>
      <c r="N23" s="219">
        <v>44749</v>
      </c>
      <c r="O23" s="219" t="s">
        <v>1</v>
      </c>
      <c r="P23" s="67" t="s">
        <v>1361</v>
      </c>
      <c r="Q23" s="219" t="s">
        <v>673</v>
      </c>
      <c r="R23" s="68">
        <v>5.77</v>
      </c>
      <c r="S23" s="68">
        <v>21.925999999999998</v>
      </c>
      <c r="T23" s="219" t="s">
        <v>416</v>
      </c>
      <c r="U23" s="85" t="s">
        <v>1526</v>
      </c>
      <c r="V23" s="85" t="s">
        <v>1032</v>
      </c>
    </row>
    <row r="24" spans="1:22">
      <c r="A24" s="231">
        <f t="shared" si="1"/>
        <v>19</v>
      </c>
      <c r="B24" s="248" t="s">
        <v>1634</v>
      </c>
      <c r="C24" s="249" t="s">
        <v>1125</v>
      </c>
      <c r="D24" s="254" t="s">
        <v>1642</v>
      </c>
      <c r="E24" s="255">
        <v>44778</v>
      </c>
      <c r="F24" s="253" t="s">
        <v>929</v>
      </c>
      <c r="G24" s="250">
        <v>5</v>
      </c>
      <c r="H24" s="250">
        <v>5.97</v>
      </c>
      <c r="I24" s="252">
        <f t="shared" si="0"/>
        <v>29.849999999999998</v>
      </c>
      <c r="N24" s="219">
        <v>44749</v>
      </c>
      <c r="O24" s="219" t="s">
        <v>850</v>
      </c>
      <c r="P24" s="67" t="s">
        <v>1353</v>
      </c>
      <c r="Q24" s="219" t="s">
        <v>673</v>
      </c>
      <c r="R24" s="68">
        <v>5.77</v>
      </c>
      <c r="S24" s="68">
        <v>980.9</v>
      </c>
      <c r="T24" s="219" t="s">
        <v>416</v>
      </c>
      <c r="U24" s="85" t="s">
        <v>1527</v>
      </c>
      <c r="V24" s="85" t="s">
        <v>929</v>
      </c>
    </row>
    <row r="25" spans="1:22">
      <c r="A25" s="231">
        <f t="shared" si="1"/>
        <v>20</v>
      </c>
      <c r="B25" s="248" t="s">
        <v>1634</v>
      </c>
      <c r="C25" s="249" t="s">
        <v>1139</v>
      </c>
      <c r="D25" s="254" t="s">
        <v>1642</v>
      </c>
      <c r="E25" s="255">
        <v>44778</v>
      </c>
      <c r="F25" s="253" t="s">
        <v>929</v>
      </c>
      <c r="G25" s="250">
        <v>10</v>
      </c>
      <c r="H25" s="250">
        <v>5.97</v>
      </c>
      <c r="I25" s="252">
        <f t="shared" si="0"/>
        <v>59.699999999999996</v>
      </c>
      <c r="N25" s="219">
        <v>44749</v>
      </c>
      <c r="O25" s="219" t="s">
        <v>850</v>
      </c>
      <c r="P25" s="67" t="s">
        <v>1353</v>
      </c>
      <c r="Q25" s="219" t="s">
        <v>673</v>
      </c>
      <c r="R25" s="68">
        <v>5.77</v>
      </c>
      <c r="S25" s="68">
        <v>56.834499999999991</v>
      </c>
      <c r="T25" s="219" t="s">
        <v>416</v>
      </c>
      <c r="U25" s="85" t="s">
        <v>1527</v>
      </c>
      <c r="V25" s="85" t="s">
        <v>1032</v>
      </c>
    </row>
    <row r="26" spans="1:22">
      <c r="A26" s="231">
        <f t="shared" si="1"/>
        <v>21</v>
      </c>
      <c r="B26" s="248" t="s">
        <v>1634</v>
      </c>
      <c r="C26" s="249" t="s">
        <v>1641</v>
      </c>
      <c r="D26" s="254" t="s">
        <v>1640</v>
      </c>
      <c r="E26" s="255">
        <v>44778</v>
      </c>
      <c r="F26" s="253" t="s">
        <v>929</v>
      </c>
      <c r="G26" s="250">
        <v>25</v>
      </c>
      <c r="H26" s="250">
        <v>5.97</v>
      </c>
      <c r="I26" s="252">
        <f t="shared" si="0"/>
        <v>149.25</v>
      </c>
      <c r="K26" s="260"/>
      <c r="N26" s="219">
        <v>44750</v>
      </c>
      <c r="O26" s="219" t="s">
        <v>617</v>
      </c>
      <c r="P26" s="67" t="s">
        <v>1359</v>
      </c>
      <c r="Q26" s="219" t="s">
        <v>673</v>
      </c>
      <c r="R26" s="68">
        <v>5.78</v>
      </c>
      <c r="S26" s="68">
        <v>7278.3494000000001</v>
      </c>
      <c r="T26" s="219" t="s">
        <v>416</v>
      </c>
      <c r="U26" s="85" t="s">
        <v>1528</v>
      </c>
      <c r="V26" s="85" t="s">
        <v>929</v>
      </c>
    </row>
    <row r="27" spans="1:22">
      <c r="A27" s="231">
        <f t="shared" si="1"/>
        <v>22</v>
      </c>
      <c r="B27" s="248" t="s">
        <v>1631</v>
      </c>
      <c r="C27" s="283" t="s">
        <v>1396</v>
      </c>
      <c r="D27" s="254" t="s">
        <v>1038</v>
      </c>
      <c r="E27" s="255">
        <v>44778</v>
      </c>
      <c r="F27" s="255" t="s">
        <v>929</v>
      </c>
      <c r="G27" s="284">
        <v>90</v>
      </c>
      <c r="H27" s="250">
        <v>5.97</v>
      </c>
      <c r="I27" s="252">
        <f t="shared" si="0"/>
        <v>537.29999999999995</v>
      </c>
      <c r="K27" s="11"/>
      <c r="N27" s="219">
        <v>44750</v>
      </c>
      <c r="O27" s="219" t="s">
        <v>1357</v>
      </c>
      <c r="P27" s="67" t="s">
        <v>1362</v>
      </c>
      <c r="Q27" s="219" t="s">
        <v>673</v>
      </c>
      <c r="R27" s="68">
        <v>5.78</v>
      </c>
      <c r="S27" s="68">
        <v>-98.26</v>
      </c>
      <c r="T27" s="219" t="s">
        <v>416</v>
      </c>
      <c r="U27" s="85" t="s">
        <v>1529</v>
      </c>
      <c r="V27" s="85" t="s">
        <v>929</v>
      </c>
    </row>
    <row r="28" spans="1:22">
      <c r="A28" s="231">
        <f t="shared" si="1"/>
        <v>23</v>
      </c>
      <c r="B28" s="248" t="s">
        <v>1631</v>
      </c>
      <c r="C28" s="283" t="s">
        <v>1396</v>
      </c>
      <c r="D28" s="254" t="s">
        <v>1038</v>
      </c>
      <c r="E28" s="255">
        <v>44778</v>
      </c>
      <c r="F28" s="255" t="s">
        <v>1032</v>
      </c>
      <c r="G28" s="250">
        <v>8.7899999999999991</v>
      </c>
      <c r="H28" s="250">
        <v>5.97</v>
      </c>
      <c r="I28" s="252">
        <f t="shared" si="0"/>
        <v>52.476299999999995</v>
      </c>
      <c r="K28" s="11"/>
      <c r="N28" s="219">
        <v>44750</v>
      </c>
      <c r="O28" s="219" t="s">
        <v>1034</v>
      </c>
      <c r="P28" s="67" t="s">
        <v>1363</v>
      </c>
      <c r="Q28" s="219" t="s">
        <v>673</v>
      </c>
      <c r="R28" s="68">
        <v>5.78</v>
      </c>
      <c r="S28" s="68">
        <v>-115.60000000000001</v>
      </c>
      <c r="T28" s="219" t="s">
        <v>416</v>
      </c>
      <c r="U28" s="85" t="s">
        <v>1530</v>
      </c>
      <c r="V28" s="85" t="s">
        <v>929</v>
      </c>
    </row>
    <row r="29" spans="1:22">
      <c r="A29" s="231">
        <f t="shared" si="1"/>
        <v>24</v>
      </c>
      <c r="B29" s="248" t="s">
        <v>1631</v>
      </c>
      <c r="C29" s="283" t="s">
        <v>1644</v>
      </c>
      <c r="D29" s="254" t="s">
        <v>1038</v>
      </c>
      <c r="E29" s="255">
        <v>44778</v>
      </c>
      <c r="F29" s="257" t="s">
        <v>929</v>
      </c>
      <c r="G29" s="250">
        <v>50</v>
      </c>
      <c r="H29" s="250">
        <v>5.97</v>
      </c>
      <c r="I29" s="252">
        <f t="shared" si="0"/>
        <v>298.5</v>
      </c>
      <c r="N29" s="219">
        <v>44750</v>
      </c>
      <c r="O29" s="219" t="s">
        <v>944</v>
      </c>
      <c r="P29" s="67" t="s">
        <v>1363</v>
      </c>
      <c r="Q29" s="219" t="s">
        <v>673</v>
      </c>
      <c r="R29" s="68">
        <v>5.78</v>
      </c>
      <c r="S29" s="68">
        <v>-115.60000000000001</v>
      </c>
      <c r="T29" s="219" t="s">
        <v>416</v>
      </c>
      <c r="U29" s="85" t="s">
        <v>1531</v>
      </c>
      <c r="V29" s="85" t="s">
        <v>929</v>
      </c>
    </row>
    <row r="30" spans="1:22">
      <c r="A30" s="231">
        <f t="shared" si="1"/>
        <v>25</v>
      </c>
      <c r="B30" s="248" t="s">
        <v>1634</v>
      </c>
      <c r="C30" s="249" t="s">
        <v>1300</v>
      </c>
      <c r="D30" s="254" t="s">
        <v>1646</v>
      </c>
      <c r="E30" s="255">
        <v>44778</v>
      </c>
      <c r="F30" s="257" t="s">
        <v>929</v>
      </c>
      <c r="G30" s="250">
        <f>20*5.5</f>
        <v>110</v>
      </c>
      <c r="H30" s="250">
        <v>5.97</v>
      </c>
      <c r="I30" s="252">
        <f t="shared" si="0"/>
        <v>656.69999999999993</v>
      </c>
      <c r="N30" s="219">
        <v>44750</v>
      </c>
      <c r="O30" s="219" t="s">
        <v>1033</v>
      </c>
      <c r="P30" s="67" t="s">
        <v>1363</v>
      </c>
      <c r="Q30" s="219" t="s">
        <v>673</v>
      </c>
      <c r="R30" s="68">
        <v>5.78</v>
      </c>
      <c r="S30" s="68">
        <v>-115.60000000000001</v>
      </c>
      <c r="T30" s="219" t="s">
        <v>416</v>
      </c>
      <c r="U30" s="85" t="s">
        <v>1532</v>
      </c>
      <c r="V30" s="85" t="s">
        <v>929</v>
      </c>
    </row>
    <row r="31" spans="1:22">
      <c r="A31" s="231">
        <f t="shared" si="1"/>
        <v>26</v>
      </c>
      <c r="B31" s="248" t="s">
        <v>1631</v>
      </c>
      <c r="C31" s="249" t="s">
        <v>1645</v>
      </c>
      <c r="D31" s="254" t="s">
        <v>850</v>
      </c>
      <c r="E31" s="255">
        <v>44778</v>
      </c>
      <c r="F31" s="253" t="s">
        <v>929</v>
      </c>
      <c r="G31" s="250">
        <v>25</v>
      </c>
      <c r="H31" s="250">
        <v>5.97</v>
      </c>
      <c r="I31" s="252">
        <f t="shared" si="0"/>
        <v>149.25</v>
      </c>
      <c r="N31" s="219">
        <v>44750</v>
      </c>
      <c r="O31" s="219" t="s">
        <v>1138</v>
      </c>
      <c r="P31" s="67" t="s">
        <v>1363</v>
      </c>
      <c r="Q31" s="219" t="s">
        <v>673</v>
      </c>
      <c r="R31" s="68">
        <v>5.78</v>
      </c>
      <c r="S31" s="68">
        <v>-86.7</v>
      </c>
      <c r="T31" s="219" t="s">
        <v>416</v>
      </c>
      <c r="U31" s="85" t="s">
        <v>1533</v>
      </c>
      <c r="V31" s="85" t="s">
        <v>929</v>
      </c>
    </row>
    <row r="32" spans="1:22">
      <c r="A32" s="231">
        <f t="shared" si="1"/>
        <v>27</v>
      </c>
      <c r="B32" s="248" t="s">
        <v>1631</v>
      </c>
      <c r="C32" s="249" t="s">
        <v>1645</v>
      </c>
      <c r="D32" s="254" t="s">
        <v>850</v>
      </c>
      <c r="E32" s="255">
        <v>44778</v>
      </c>
      <c r="F32" s="253" t="s">
        <v>1032</v>
      </c>
      <c r="G32" s="250">
        <v>4.45</v>
      </c>
      <c r="H32" s="250">
        <v>5.97</v>
      </c>
      <c r="I32" s="252">
        <f t="shared" si="0"/>
        <v>26.566500000000001</v>
      </c>
      <c r="K32" s="260"/>
      <c r="N32" s="219">
        <v>44750</v>
      </c>
      <c r="O32" s="219" t="s">
        <v>1124</v>
      </c>
      <c r="P32" s="67" t="s">
        <v>1363</v>
      </c>
      <c r="Q32" s="219" t="s">
        <v>673</v>
      </c>
      <c r="R32" s="68">
        <v>5.78</v>
      </c>
      <c r="S32" s="68">
        <v>-462.40000000000003</v>
      </c>
      <c r="T32" s="219" t="s">
        <v>416</v>
      </c>
      <c r="U32" s="85" t="s">
        <v>1534</v>
      </c>
      <c r="V32" s="85" t="s">
        <v>929</v>
      </c>
    </row>
    <row r="33" spans="1:22">
      <c r="A33" s="231">
        <f t="shared" si="1"/>
        <v>28</v>
      </c>
      <c r="B33" s="248" t="s">
        <v>1634</v>
      </c>
      <c r="C33" s="249" t="s">
        <v>1647</v>
      </c>
      <c r="D33" s="254" t="s">
        <v>1648</v>
      </c>
      <c r="E33" s="255">
        <v>44778</v>
      </c>
      <c r="F33" s="253" t="s">
        <v>929</v>
      </c>
      <c r="G33" s="250">
        <v>140</v>
      </c>
      <c r="H33" s="250">
        <v>5.97</v>
      </c>
      <c r="I33" s="252">
        <f t="shared" si="0"/>
        <v>835.8</v>
      </c>
      <c r="K33" s="11"/>
      <c r="N33" s="219">
        <v>44750</v>
      </c>
      <c r="O33" s="219" t="s">
        <v>1125</v>
      </c>
      <c r="P33" s="67" t="s">
        <v>1363</v>
      </c>
      <c r="Q33" s="219" t="s">
        <v>673</v>
      </c>
      <c r="R33" s="68">
        <v>5.78</v>
      </c>
      <c r="S33" s="68">
        <v>-28.900000000000002</v>
      </c>
      <c r="T33" s="219" t="s">
        <v>416</v>
      </c>
      <c r="U33" s="85" t="s">
        <v>1535</v>
      </c>
      <c r="V33" s="85" t="s">
        <v>929</v>
      </c>
    </row>
    <row r="34" spans="1:22">
      <c r="A34" s="231">
        <f t="shared" si="1"/>
        <v>29</v>
      </c>
      <c r="B34" s="248" t="s">
        <v>1631</v>
      </c>
      <c r="C34" s="249" t="s">
        <v>1404</v>
      </c>
      <c r="D34" s="254" t="s">
        <v>1065</v>
      </c>
      <c r="E34" s="255">
        <v>44778</v>
      </c>
      <c r="F34" s="253" t="s">
        <v>929</v>
      </c>
      <c r="G34" s="250">
        <v>53</v>
      </c>
      <c r="H34" s="250">
        <v>5.97</v>
      </c>
      <c r="I34" s="252">
        <f t="shared" si="0"/>
        <v>316.40999999999997</v>
      </c>
      <c r="L34" s="11"/>
      <c r="N34" s="219">
        <v>44750</v>
      </c>
      <c r="O34" s="219" t="s">
        <v>1033</v>
      </c>
      <c r="P34" s="67" t="s">
        <v>1364</v>
      </c>
      <c r="Q34" s="219" t="s">
        <v>673</v>
      </c>
      <c r="R34" s="68">
        <v>5.78</v>
      </c>
      <c r="S34" s="68">
        <v>-231.20000000000002</v>
      </c>
      <c r="T34" s="219" t="s">
        <v>416</v>
      </c>
      <c r="U34" s="85" t="s">
        <v>1536</v>
      </c>
      <c r="V34" s="85" t="s">
        <v>929</v>
      </c>
    </row>
    <row r="35" spans="1:22">
      <c r="A35" s="231">
        <f t="shared" si="1"/>
        <v>30</v>
      </c>
      <c r="B35" s="248" t="s">
        <v>1631</v>
      </c>
      <c r="C35" s="249" t="s">
        <v>1474</v>
      </c>
      <c r="D35" s="254" t="s">
        <v>1065</v>
      </c>
      <c r="E35" s="255">
        <v>44778</v>
      </c>
      <c r="F35" s="253" t="s">
        <v>929</v>
      </c>
      <c r="G35" s="250">
        <v>161.25</v>
      </c>
      <c r="H35" s="250">
        <v>5.97</v>
      </c>
      <c r="I35" s="252">
        <f t="shared" si="0"/>
        <v>962.66249999999991</v>
      </c>
      <c r="N35" s="219">
        <v>44750</v>
      </c>
      <c r="O35" s="219" t="s">
        <v>1038</v>
      </c>
      <c r="P35" s="67" t="s">
        <v>1331</v>
      </c>
      <c r="Q35" s="219" t="s">
        <v>673</v>
      </c>
      <c r="R35" s="68">
        <v>5.78</v>
      </c>
      <c r="S35" s="68">
        <v>236.2863999999999</v>
      </c>
      <c r="T35" s="219" t="s">
        <v>416</v>
      </c>
      <c r="U35" s="85" t="s">
        <v>1346</v>
      </c>
      <c r="V35" s="85" t="s">
        <v>1032</v>
      </c>
    </row>
    <row r="36" spans="1:22">
      <c r="A36" s="231">
        <f t="shared" si="1"/>
        <v>31</v>
      </c>
      <c r="B36" s="248" t="s">
        <v>1634</v>
      </c>
      <c r="C36" s="283" t="s">
        <v>1034</v>
      </c>
      <c r="D36" s="254" t="s">
        <v>1680</v>
      </c>
      <c r="E36" s="255">
        <v>44778</v>
      </c>
      <c r="F36" s="255" t="s">
        <v>929</v>
      </c>
      <c r="G36" s="284">
        <v>20</v>
      </c>
      <c r="H36" s="250">
        <v>5.97</v>
      </c>
      <c r="I36" s="252">
        <f t="shared" si="0"/>
        <v>119.39999999999999</v>
      </c>
      <c r="N36" s="219">
        <v>44750</v>
      </c>
      <c r="O36" s="219" t="s">
        <v>1038</v>
      </c>
      <c r="P36" s="67" t="s">
        <v>1365</v>
      </c>
      <c r="Q36" s="219" t="s">
        <v>673</v>
      </c>
      <c r="R36" s="68">
        <v>5.78</v>
      </c>
      <c r="S36" s="68">
        <v>823.65000000000009</v>
      </c>
      <c r="T36" s="219" t="s">
        <v>416</v>
      </c>
      <c r="U36" s="85" t="s">
        <v>1537</v>
      </c>
      <c r="V36" s="85" t="s">
        <v>1032</v>
      </c>
    </row>
    <row r="37" spans="1:22">
      <c r="A37" s="231">
        <f t="shared" si="1"/>
        <v>32</v>
      </c>
      <c r="B37" s="248" t="s">
        <v>1631</v>
      </c>
      <c r="C37" s="249" t="s">
        <v>1651</v>
      </c>
      <c r="D37" s="256" t="s">
        <v>1332</v>
      </c>
      <c r="E37" s="253">
        <v>44782</v>
      </c>
      <c r="F37" s="257" t="s">
        <v>1032</v>
      </c>
      <c r="G37" s="250">
        <v>11.18</v>
      </c>
      <c r="H37" s="250">
        <v>6</v>
      </c>
      <c r="I37" s="252">
        <f t="shared" si="0"/>
        <v>67.08</v>
      </c>
      <c r="N37" s="219">
        <v>44750</v>
      </c>
      <c r="O37" s="219" t="s">
        <v>1015</v>
      </c>
      <c r="P37" s="67" t="s">
        <v>1227</v>
      </c>
      <c r="Q37" s="219" t="s">
        <v>673</v>
      </c>
      <c r="R37" s="68">
        <v>5.78</v>
      </c>
      <c r="S37" s="68">
        <v>202.3</v>
      </c>
      <c r="T37" s="219" t="s">
        <v>416</v>
      </c>
      <c r="U37" s="85" t="s">
        <v>1538</v>
      </c>
      <c r="V37" s="85" t="s">
        <v>929</v>
      </c>
    </row>
    <row r="38" spans="1:22">
      <c r="A38" s="231">
        <f t="shared" si="1"/>
        <v>33</v>
      </c>
      <c r="B38" s="248" t="s">
        <v>1631</v>
      </c>
      <c r="C38" s="249" t="s">
        <v>1649</v>
      </c>
      <c r="D38" s="256" t="s">
        <v>617</v>
      </c>
      <c r="E38" s="253">
        <v>44781</v>
      </c>
      <c r="F38" s="257" t="s">
        <v>929</v>
      </c>
      <c r="G38" s="250">
        <v>557.21</v>
      </c>
      <c r="H38" s="250">
        <v>6</v>
      </c>
      <c r="I38" s="252">
        <f t="shared" si="0"/>
        <v>3343.26</v>
      </c>
      <c r="N38" s="219">
        <v>44750</v>
      </c>
      <c r="O38" s="219" t="s">
        <v>1015</v>
      </c>
      <c r="P38" s="67" t="s">
        <v>1227</v>
      </c>
      <c r="Q38" s="219" t="s">
        <v>673</v>
      </c>
      <c r="R38" s="68">
        <v>5.78</v>
      </c>
      <c r="S38" s="68">
        <v>9.2480000000000011</v>
      </c>
      <c r="T38" s="219" t="s">
        <v>416</v>
      </c>
      <c r="U38" s="85" t="s">
        <v>1538</v>
      </c>
      <c r="V38" s="85" t="s">
        <v>1032</v>
      </c>
    </row>
    <row r="39" spans="1:22" ht="12.75" customHeight="1">
      <c r="A39" s="231">
        <f t="shared" si="1"/>
        <v>34</v>
      </c>
      <c r="B39" s="248" t="s">
        <v>1631</v>
      </c>
      <c r="C39" s="249" t="s">
        <v>1650</v>
      </c>
      <c r="D39" s="256" t="s">
        <v>617</v>
      </c>
      <c r="E39" s="253">
        <v>44782</v>
      </c>
      <c r="F39" s="257" t="s">
        <v>929</v>
      </c>
      <c r="G39" s="250">
        <v>178.45999999999998</v>
      </c>
      <c r="H39" s="250">
        <v>6</v>
      </c>
      <c r="I39" s="252">
        <f t="shared" si="0"/>
        <v>1070.7599999999998</v>
      </c>
      <c r="N39" s="219">
        <v>44750</v>
      </c>
      <c r="O39" s="219" t="s">
        <v>1015</v>
      </c>
      <c r="P39" s="67" t="s">
        <v>1313</v>
      </c>
      <c r="Q39" s="219" t="s">
        <v>673</v>
      </c>
      <c r="R39" s="68">
        <v>5.78</v>
      </c>
      <c r="S39" s="68">
        <v>202.3</v>
      </c>
      <c r="T39" s="219" t="s">
        <v>416</v>
      </c>
      <c r="U39" s="85" t="s">
        <v>1539</v>
      </c>
      <c r="V39" s="85" t="s">
        <v>929</v>
      </c>
    </row>
    <row r="40" spans="1:22">
      <c r="A40" s="231">
        <f t="shared" si="1"/>
        <v>35</v>
      </c>
      <c r="B40" s="248" t="s">
        <v>1631</v>
      </c>
      <c r="C40" s="249" t="s">
        <v>1405</v>
      </c>
      <c r="D40" s="256" t="s">
        <v>1065</v>
      </c>
      <c r="E40" s="253">
        <v>44782</v>
      </c>
      <c r="F40" s="257" t="s">
        <v>929</v>
      </c>
      <c r="G40" s="250">
        <v>80</v>
      </c>
      <c r="H40" s="250">
        <v>6</v>
      </c>
      <c r="I40" s="252">
        <f t="shared" si="0"/>
        <v>480</v>
      </c>
      <c r="N40" s="219">
        <v>44750</v>
      </c>
      <c r="O40" s="219" t="s">
        <v>1015</v>
      </c>
      <c r="P40" s="67" t="s">
        <v>1313</v>
      </c>
      <c r="Q40" s="219" t="s">
        <v>673</v>
      </c>
      <c r="R40" s="68">
        <v>5.78</v>
      </c>
      <c r="S40" s="68">
        <v>9.2480000000000011</v>
      </c>
      <c r="T40" s="219" t="s">
        <v>416</v>
      </c>
      <c r="U40" s="85" t="s">
        <v>1539</v>
      </c>
      <c r="V40" s="85" t="s">
        <v>1032</v>
      </c>
    </row>
    <row r="41" spans="1:22">
      <c r="A41" s="231">
        <f t="shared" si="1"/>
        <v>36</v>
      </c>
      <c r="B41" s="248" t="s">
        <v>1631</v>
      </c>
      <c r="C41" s="249" t="s">
        <v>1405</v>
      </c>
      <c r="D41" s="256" t="s">
        <v>1065</v>
      </c>
      <c r="E41" s="253">
        <v>44782</v>
      </c>
      <c r="F41" s="257" t="s">
        <v>1032</v>
      </c>
      <c r="G41" s="250">
        <v>3.85</v>
      </c>
      <c r="H41" s="250">
        <v>6</v>
      </c>
      <c r="I41" s="252">
        <f t="shared" si="0"/>
        <v>23.1</v>
      </c>
      <c r="N41" s="219">
        <v>44750</v>
      </c>
      <c r="O41" s="219" t="s">
        <v>1015</v>
      </c>
      <c r="P41" s="67" t="s">
        <v>1337</v>
      </c>
      <c r="Q41" s="219" t="s">
        <v>673</v>
      </c>
      <c r="R41" s="68">
        <v>5.78</v>
      </c>
      <c r="S41" s="68">
        <v>86.7</v>
      </c>
      <c r="T41" s="219" t="s">
        <v>416</v>
      </c>
      <c r="U41" s="85" t="s">
        <v>1540</v>
      </c>
      <c r="V41" s="85" t="s">
        <v>929</v>
      </c>
    </row>
    <row r="42" spans="1:22">
      <c r="A42" s="231">
        <f t="shared" si="1"/>
        <v>37</v>
      </c>
      <c r="B42" s="248" t="s">
        <v>1631</v>
      </c>
      <c r="C42" s="249" t="s">
        <v>1413</v>
      </c>
      <c r="D42" s="256" t="s">
        <v>1065</v>
      </c>
      <c r="E42" s="253">
        <v>44782</v>
      </c>
      <c r="F42" s="257" t="s">
        <v>1032</v>
      </c>
      <c r="G42" s="250">
        <v>1.73</v>
      </c>
      <c r="H42" s="250">
        <v>6</v>
      </c>
      <c r="I42" s="252">
        <f t="shared" si="0"/>
        <v>10.379999999999999</v>
      </c>
      <c r="K42" s="11"/>
      <c r="N42" s="219">
        <v>44750</v>
      </c>
      <c r="O42" s="219" t="s">
        <v>1015</v>
      </c>
      <c r="P42" s="67" t="s">
        <v>1337</v>
      </c>
      <c r="Q42" s="219" t="s">
        <v>673</v>
      </c>
      <c r="R42" s="68">
        <v>5.78</v>
      </c>
      <c r="S42" s="68">
        <v>13.1784</v>
      </c>
      <c r="T42" s="219" t="s">
        <v>416</v>
      </c>
      <c r="U42" s="85" t="s">
        <v>1540</v>
      </c>
      <c r="V42" s="85" t="s">
        <v>1032</v>
      </c>
    </row>
    <row r="43" spans="1:22">
      <c r="A43" s="231">
        <f t="shared" si="1"/>
        <v>38</v>
      </c>
      <c r="B43" s="248" t="s">
        <v>1631</v>
      </c>
      <c r="C43" s="283" t="s">
        <v>1468</v>
      </c>
      <c r="D43" s="254" t="s">
        <v>1024</v>
      </c>
      <c r="E43" s="253">
        <v>44782</v>
      </c>
      <c r="F43" s="257" t="s">
        <v>929</v>
      </c>
      <c r="G43" s="250">
        <v>80</v>
      </c>
      <c r="H43" s="250">
        <v>6</v>
      </c>
      <c r="I43" s="252">
        <f t="shared" si="0"/>
        <v>480</v>
      </c>
      <c r="N43" s="219">
        <v>44750</v>
      </c>
      <c r="O43" s="219" t="s">
        <v>476</v>
      </c>
      <c r="P43" s="67" t="s">
        <v>1366</v>
      </c>
      <c r="Q43" s="219" t="s">
        <v>673</v>
      </c>
      <c r="R43" s="68">
        <v>5.78</v>
      </c>
      <c r="S43" s="68">
        <v>260.10000000000002</v>
      </c>
      <c r="T43" s="219" t="s">
        <v>416</v>
      </c>
      <c r="U43" s="85" t="s">
        <v>1541</v>
      </c>
      <c r="V43" s="85" t="s">
        <v>929</v>
      </c>
    </row>
    <row r="44" spans="1:22">
      <c r="A44" s="231">
        <f t="shared" si="1"/>
        <v>39</v>
      </c>
      <c r="B44" s="248" t="s">
        <v>1631</v>
      </c>
      <c r="C44" s="283" t="s">
        <v>1652</v>
      </c>
      <c r="D44" s="254" t="s">
        <v>1118</v>
      </c>
      <c r="E44" s="253">
        <v>44782</v>
      </c>
      <c r="F44" s="257" t="s">
        <v>929</v>
      </c>
      <c r="G44" s="250">
        <v>120</v>
      </c>
      <c r="H44" s="250">
        <v>6</v>
      </c>
      <c r="I44" s="252">
        <f t="shared" si="0"/>
        <v>720</v>
      </c>
      <c r="N44" s="219">
        <v>44750</v>
      </c>
      <c r="O44" s="219" t="s">
        <v>476</v>
      </c>
      <c r="P44" s="67" t="s">
        <v>1366</v>
      </c>
      <c r="Q44" s="219" t="s">
        <v>673</v>
      </c>
      <c r="R44" s="68">
        <v>5.78</v>
      </c>
      <c r="S44" s="68">
        <v>10.404</v>
      </c>
      <c r="T44" s="219" t="s">
        <v>416</v>
      </c>
      <c r="U44" s="85" t="s">
        <v>1541</v>
      </c>
      <c r="V44" s="85" t="s">
        <v>1032</v>
      </c>
    </row>
    <row r="45" spans="1:22">
      <c r="A45" s="231">
        <f t="shared" si="1"/>
        <v>40</v>
      </c>
      <c r="B45" s="248" t="s">
        <v>1631</v>
      </c>
      <c r="C45" s="283" t="s">
        <v>1652</v>
      </c>
      <c r="D45" s="254" t="s">
        <v>1118</v>
      </c>
      <c r="E45" s="253">
        <v>44782</v>
      </c>
      <c r="F45" s="257" t="s">
        <v>1032</v>
      </c>
      <c r="G45" s="250">
        <v>9.15</v>
      </c>
      <c r="H45" s="250">
        <v>6</v>
      </c>
      <c r="I45" s="252">
        <f t="shared" si="0"/>
        <v>54.900000000000006</v>
      </c>
      <c r="N45" s="219">
        <v>44750</v>
      </c>
      <c r="O45" s="219" t="s">
        <v>1367</v>
      </c>
      <c r="P45" s="67" t="s">
        <v>1368</v>
      </c>
      <c r="Q45" s="219" t="s">
        <v>673</v>
      </c>
      <c r="R45" s="68">
        <v>5.78</v>
      </c>
      <c r="S45" s="68">
        <v>-144.5</v>
      </c>
      <c r="T45" s="219" t="s">
        <v>416</v>
      </c>
      <c r="U45" s="85" t="s">
        <v>1542</v>
      </c>
      <c r="V45" s="85" t="s">
        <v>929</v>
      </c>
    </row>
    <row r="46" spans="1:22">
      <c r="A46" s="231">
        <f t="shared" si="1"/>
        <v>41</v>
      </c>
      <c r="B46" s="248" t="s">
        <v>1634</v>
      </c>
      <c r="C46" s="283" t="s">
        <v>1653</v>
      </c>
      <c r="D46" s="254" t="s">
        <v>1654</v>
      </c>
      <c r="E46" s="253">
        <v>44782</v>
      </c>
      <c r="F46" s="253" t="s">
        <v>929</v>
      </c>
      <c r="G46" s="250">
        <v>3</v>
      </c>
      <c r="H46" s="250">
        <v>6</v>
      </c>
      <c r="I46" s="252">
        <f t="shared" si="0"/>
        <v>18</v>
      </c>
      <c r="K46" s="11"/>
      <c r="N46" s="219">
        <v>44753</v>
      </c>
      <c r="O46" s="219" t="s">
        <v>1065</v>
      </c>
      <c r="P46" s="67" t="s">
        <v>1210</v>
      </c>
      <c r="Q46" s="219" t="s">
        <v>673</v>
      </c>
      <c r="R46" s="68">
        <v>5.8</v>
      </c>
      <c r="S46" s="68">
        <v>421.07999999999993</v>
      </c>
      <c r="T46" s="219" t="s">
        <v>416</v>
      </c>
      <c r="U46" s="85" t="s">
        <v>1543</v>
      </c>
      <c r="V46" s="85" t="s">
        <v>1032</v>
      </c>
    </row>
    <row r="47" spans="1:22">
      <c r="A47" s="231">
        <f t="shared" si="1"/>
        <v>42</v>
      </c>
      <c r="B47" s="248" t="s">
        <v>1634</v>
      </c>
      <c r="C47" s="249" t="s">
        <v>1657</v>
      </c>
      <c r="D47" s="254" t="s">
        <v>1656</v>
      </c>
      <c r="E47" s="253">
        <v>44782</v>
      </c>
      <c r="F47" s="253" t="s">
        <v>929</v>
      </c>
      <c r="G47" s="250">
        <v>155</v>
      </c>
      <c r="H47" s="250">
        <v>6</v>
      </c>
      <c r="I47" s="252">
        <f t="shared" si="0"/>
        <v>930</v>
      </c>
      <c r="N47" s="219">
        <v>44753</v>
      </c>
      <c r="O47" s="219" t="s">
        <v>1065</v>
      </c>
      <c r="P47" s="67" t="s">
        <v>1228</v>
      </c>
      <c r="Q47" s="219" t="s">
        <v>673</v>
      </c>
      <c r="R47" s="68">
        <v>5.8</v>
      </c>
      <c r="S47" s="68">
        <v>437.9</v>
      </c>
      <c r="T47" s="219" t="s">
        <v>416</v>
      </c>
      <c r="U47" s="85" t="s">
        <v>1544</v>
      </c>
      <c r="V47" s="85" t="s">
        <v>1032</v>
      </c>
    </row>
    <row r="48" spans="1:22">
      <c r="A48" s="231">
        <f t="shared" si="1"/>
        <v>43</v>
      </c>
      <c r="B48" s="248" t="s">
        <v>1634</v>
      </c>
      <c r="C48" s="249" t="s">
        <v>1655</v>
      </c>
      <c r="D48" s="254" t="s">
        <v>1658</v>
      </c>
      <c r="E48" s="253">
        <v>44782</v>
      </c>
      <c r="F48" s="253" t="s">
        <v>929</v>
      </c>
      <c r="G48" s="250">
        <v>100</v>
      </c>
      <c r="H48" s="250">
        <v>6</v>
      </c>
      <c r="I48" s="252">
        <f t="shared" si="0"/>
        <v>600</v>
      </c>
      <c r="J48" s="11"/>
      <c r="L48" s="260"/>
      <c r="N48" s="219">
        <v>44753</v>
      </c>
      <c r="O48" s="219" t="s">
        <v>242</v>
      </c>
      <c r="P48" s="67" t="s">
        <v>1360</v>
      </c>
      <c r="Q48" s="219" t="s">
        <v>673</v>
      </c>
      <c r="R48" s="68">
        <v>5.8</v>
      </c>
      <c r="S48" s="68">
        <v>1682</v>
      </c>
      <c r="T48" s="219" t="s">
        <v>416</v>
      </c>
      <c r="U48" s="85" t="s">
        <v>1545</v>
      </c>
      <c r="V48" s="85" t="s">
        <v>929</v>
      </c>
    </row>
    <row r="49" spans="1:22">
      <c r="A49" s="231">
        <f t="shared" si="1"/>
        <v>44</v>
      </c>
      <c r="B49" s="248" t="s">
        <v>1634</v>
      </c>
      <c r="C49" s="249" t="s">
        <v>1300</v>
      </c>
      <c r="D49" s="254" t="s">
        <v>1659</v>
      </c>
      <c r="E49" s="253">
        <v>44782</v>
      </c>
      <c r="F49" s="253" t="s">
        <v>929</v>
      </c>
      <c r="G49" s="250">
        <f>35*5.5</f>
        <v>192.5</v>
      </c>
      <c r="H49" s="250">
        <v>6</v>
      </c>
      <c r="I49" s="252">
        <f t="shared" si="0"/>
        <v>1155</v>
      </c>
      <c r="N49" s="219">
        <v>44753</v>
      </c>
      <c r="O49" s="219" t="s">
        <v>242</v>
      </c>
      <c r="P49" s="67" t="s">
        <v>1360</v>
      </c>
      <c r="Q49" s="219" t="s">
        <v>673</v>
      </c>
      <c r="R49" s="68">
        <v>5.8</v>
      </c>
      <c r="S49" s="68">
        <v>28.129999999999995</v>
      </c>
      <c r="T49" s="219" t="s">
        <v>416</v>
      </c>
      <c r="U49" s="85" t="s">
        <v>1545</v>
      </c>
      <c r="V49" s="85" t="s">
        <v>1032</v>
      </c>
    </row>
    <row r="50" spans="1:22">
      <c r="A50" s="231">
        <f t="shared" si="1"/>
        <v>45</v>
      </c>
      <c r="B50" s="248" t="s">
        <v>1634</v>
      </c>
      <c r="C50" s="249" t="s">
        <v>1386</v>
      </c>
      <c r="D50" s="256" t="s">
        <v>1660</v>
      </c>
      <c r="E50" s="253">
        <v>44782</v>
      </c>
      <c r="F50" s="253" t="s">
        <v>929</v>
      </c>
      <c r="G50" s="250">
        <v>10</v>
      </c>
      <c r="H50" s="250">
        <v>6</v>
      </c>
      <c r="I50" s="252">
        <f t="shared" si="0"/>
        <v>60</v>
      </c>
      <c r="N50" s="219">
        <v>44755</v>
      </c>
      <c r="O50" s="219" t="s">
        <v>1370</v>
      </c>
      <c r="P50" s="67" t="s">
        <v>1373</v>
      </c>
      <c r="Q50" s="219" t="s">
        <v>673</v>
      </c>
      <c r="R50" s="68">
        <v>5.8</v>
      </c>
      <c r="S50" s="68">
        <v>232</v>
      </c>
      <c r="T50" s="219" t="s">
        <v>416</v>
      </c>
      <c r="U50" s="85" t="s">
        <v>1546</v>
      </c>
      <c r="V50" s="85" t="s">
        <v>929</v>
      </c>
    </row>
    <row r="51" spans="1:22">
      <c r="A51" s="231">
        <f t="shared" si="1"/>
        <v>46</v>
      </c>
      <c r="B51" s="248" t="s">
        <v>1634</v>
      </c>
      <c r="C51" s="249" t="s">
        <v>1386</v>
      </c>
      <c r="D51" s="256" t="s">
        <v>1660</v>
      </c>
      <c r="E51" s="253">
        <v>44782</v>
      </c>
      <c r="F51" s="253" t="s">
        <v>1032</v>
      </c>
      <c r="G51" s="250">
        <v>20</v>
      </c>
      <c r="H51" s="250">
        <v>6</v>
      </c>
      <c r="I51" s="252">
        <f t="shared" si="0"/>
        <v>120</v>
      </c>
      <c r="N51" s="219">
        <v>44755</v>
      </c>
      <c r="O51" s="219" t="s">
        <v>1370</v>
      </c>
      <c r="P51" s="67" t="s">
        <v>1373</v>
      </c>
      <c r="Q51" s="219" t="s">
        <v>673</v>
      </c>
      <c r="R51" s="68">
        <v>5.8</v>
      </c>
      <c r="S51" s="68">
        <v>7.8879999999999999</v>
      </c>
      <c r="T51" s="219" t="s">
        <v>416</v>
      </c>
      <c r="U51" s="85" t="s">
        <v>1546</v>
      </c>
      <c r="V51" s="85" t="s">
        <v>1032</v>
      </c>
    </row>
    <row r="52" spans="1:22">
      <c r="A52" s="231">
        <f t="shared" si="1"/>
        <v>47</v>
      </c>
      <c r="B52" s="248" t="s">
        <v>1631</v>
      </c>
      <c r="C52" s="249" t="s">
        <v>1666</v>
      </c>
      <c r="D52" s="256" t="s">
        <v>911</v>
      </c>
      <c r="E52" s="253">
        <v>44783</v>
      </c>
      <c r="F52" s="253" t="s">
        <v>1032</v>
      </c>
      <c r="G52" s="250">
        <v>22.36</v>
      </c>
      <c r="H52" s="250">
        <v>6</v>
      </c>
      <c r="I52" s="252">
        <f t="shared" si="0"/>
        <v>134.16</v>
      </c>
      <c r="K52" s="11"/>
      <c r="N52" s="219">
        <v>44755</v>
      </c>
      <c r="O52" s="219" t="s">
        <v>960</v>
      </c>
      <c r="P52" s="67" t="s">
        <v>1206</v>
      </c>
      <c r="Q52" s="219" t="s">
        <v>673</v>
      </c>
      <c r="R52" s="68">
        <v>5.8</v>
      </c>
      <c r="S52" s="68">
        <v>290</v>
      </c>
      <c r="T52" s="219" t="s">
        <v>416</v>
      </c>
      <c r="U52" s="85" t="s">
        <v>1518</v>
      </c>
      <c r="V52" s="85" t="s">
        <v>929</v>
      </c>
    </row>
    <row r="53" spans="1:22">
      <c r="A53" s="231">
        <f t="shared" si="1"/>
        <v>48</v>
      </c>
      <c r="B53" s="248" t="s">
        <v>1631</v>
      </c>
      <c r="C53" s="249" t="s">
        <v>1665</v>
      </c>
      <c r="D53" s="256" t="s">
        <v>1661</v>
      </c>
      <c r="E53" s="253">
        <v>44784</v>
      </c>
      <c r="F53" s="253" t="s">
        <v>929</v>
      </c>
      <c r="G53" s="250">
        <v>60</v>
      </c>
      <c r="H53" s="250">
        <v>6</v>
      </c>
      <c r="I53" s="252">
        <f t="shared" si="0"/>
        <v>360</v>
      </c>
      <c r="N53" s="219">
        <v>44755</v>
      </c>
      <c r="O53" s="219" t="s">
        <v>960</v>
      </c>
      <c r="P53" s="67" t="s">
        <v>1206</v>
      </c>
      <c r="Q53" s="219" t="s">
        <v>673</v>
      </c>
      <c r="R53" s="68">
        <v>5.8</v>
      </c>
      <c r="S53" s="68">
        <v>19.603999999999999</v>
      </c>
      <c r="T53" s="219" t="s">
        <v>416</v>
      </c>
      <c r="U53" s="85" t="s">
        <v>1518</v>
      </c>
      <c r="V53" s="85" t="s">
        <v>1032</v>
      </c>
    </row>
    <row r="54" spans="1:22">
      <c r="A54" s="231">
        <f t="shared" si="1"/>
        <v>49</v>
      </c>
      <c r="B54" s="248" t="s">
        <v>1631</v>
      </c>
      <c r="C54" s="249" t="s">
        <v>1665</v>
      </c>
      <c r="D54" s="256" t="s">
        <v>1661</v>
      </c>
      <c r="E54" s="253">
        <v>44784</v>
      </c>
      <c r="F54" s="253" t="s">
        <v>1032</v>
      </c>
      <c r="G54" s="250">
        <v>7.08</v>
      </c>
      <c r="H54" s="250">
        <v>6</v>
      </c>
      <c r="I54" s="252">
        <f t="shared" si="0"/>
        <v>42.480000000000004</v>
      </c>
      <c r="J54" s="261"/>
      <c r="N54" s="219">
        <v>44755</v>
      </c>
      <c r="O54" s="219" t="s">
        <v>1201</v>
      </c>
      <c r="P54" s="67" t="s">
        <v>1209</v>
      </c>
      <c r="Q54" s="219" t="s">
        <v>673</v>
      </c>
      <c r="R54" s="68">
        <v>5.8</v>
      </c>
      <c r="S54" s="68">
        <v>348</v>
      </c>
      <c r="T54" s="219" t="s">
        <v>416</v>
      </c>
      <c r="U54" s="85" t="s">
        <v>1547</v>
      </c>
      <c r="V54" s="85" t="s">
        <v>929</v>
      </c>
    </row>
    <row r="55" spans="1:22">
      <c r="A55" s="231">
        <f t="shared" si="1"/>
        <v>50</v>
      </c>
      <c r="B55" s="248" t="s">
        <v>1631</v>
      </c>
      <c r="C55" s="249" t="s">
        <v>1410</v>
      </c>
      <c r="D55" s="256" t="s">
        <v>1110</v>
      </c>
      <c r="E55" s="253">
        <v>44784</v>
      </c>
      <c r="F55" s="253" t="s">
        <v>929</v>
      </c>
      <c r="G55" s="250">
        <v>40</v>
      </c>
      <c r="H55" s="250">
        <v>6</v>
      </c>
      <c r="I55" s="252">
        <f t="shared" si="0"/>
        <v>240</v>
      </c>
      <c r="J55" s="260"/>
      <c r="N55" s="219">
        <v>44755</v>
      </c>
      <c r="O55" s="219" t="s">
        <v>1201</v>
      </c>
      <c r="P55" s="67" t="s">
        <v>1209</v>
      </c>
      <c r="Q55" s="219" t="s">
        <v>673</v>
      </c>
      <c r="R55" s="68">
        <v>5.8</v>
      </c>
      <c r="S55" s="68">
        <v>26.332000000000001</v>
      </c>
      <c r="T55" s="219" t="s">
        <v>416</v>
      </c>
      <c r="U55" s="85" t="s">
        <v>1547</v>
      </c>
      <c r="V55" s="85" t="s">
        <v>1032</v>
      </c>
    </row>
    <row r="56" spans="1:22">
      <c r="A56" s="231">
        <f t="shared" si="1"/>
        <v>51</v>
      </c>
      <c r="B56" s="248" t="s">
        <v>1631</v>
      </c>
      <c r="C56" s="249" t="s">
        <v>1675</v>
      </c>
      <c r="D56" s="256" t="s">
        <v>1083</v>
      </c>
      <c r="E56" s="253">
        <v>44784</v>
      </c>
      <c r="F56" s="253" t="s">
        <v>929</v>
      </c>
      <c r="G56" s="250">
        <v>55</v>
      </c>
      <c r="H56" s="250">
        <v>6</v>
      </c>
      <c r="I56" s="252">
        <f t="shared" si="0"/>
        <v>330</v>
      </c>
      <c r="J56" s="261"/>
      <c r="N56" s="219">
        <v>44755</v>
      </c>
      <c r="O56" s="219" t="s">
        <v>1374</v>
      </c>
      <c r="P56" s="67" t="s">
        <v>1375</v>
      </c>
      <c r="Q56" s="219" t="s">
        <v>673</v>
      </c>
      <c r="R56" s="68">
        <v>5.8</v>
      </c>
      <c r="S56" s="68">
        <v>-406</v>
      </c>
      <c r="T56" s="219" t="s">
        <v>416</v>
      </c>
      <c r="U56" s="85" t="s">
        <v>1548</v>
      </c>
      <c r="V56" s="85" t="s">
        <v>929</v>
      </c>
    </row>
    <row r="57" spans="1:22">
      <c r="A57" s="231">
        <f t="shared" si="1"/>
        <v>52</v>
      </c>
      <c r="B57" s="248" t="s">
        <v>1631</v>
      </c>
      <c r="C57" s="249" t="s">
        <v>1675</v>
      </c>
      <c r="D57" s="256" t="s">
        <v>1083</v>
      </c>
      <c r="E57" s="253">
        <v>44784</v>
      </c>
      <c r="F57" s="253" t="s">
        <v>1032</v>
      </c>
      <c r="G57" s="250">
        <v>3.96</v>
      </c>
      <c r="H57" s="250">
        <v>6</v>
      </c>
      <c r="I57" s="252">
        <f t="shared" si="0"/>
        <v>23.759999999999998</v>
      </c>
      <c r="J57" s="260"/>
      <c r="N57" s="219">
        <v>44755</v>
      </c>
      <c r="O57" s="219" t="s">
        <v>857</v>
      </c>
      <c r="P57" s="67" t="s">
        <v>1315</v>
      </c>
      <c r="Q57" s="219" t="s">
        <v>673</v>
      </c>
      <c r="R57" s="68">
        <v>5.8</v>
      </c>
      <c r="S57" s="68">
        <v>870</v>
      </c>
      <c r="T57" s="219" t="s">
        <v>416</v>
      </c>
      <c r="U57" s="85" t="s">
        <v>1549</v>
      </c>
      <c r="V57" s="85" t="s">
        <v>929</v>
      </c>
    </row>
    <row r="58" spans="1:22">
      <c r="A58" s="231">
        <f t="shared" si="1"/>
        <v>53</v>
      </c>
      <c r="B58" s="248" t="s">
        <v>1631</v>
      </c>
      <c r="C58" s="249" t="s">
        <v>1644</v>
      </c>
      <c r="D58" s="254" t="s">
        <v>1038</v>
      </c>
      <c r="E58" s="253">
        <v>44784</v>
      </c>
      <c r="F58" s="253" t="s">
        <v>929</v>
      </c>
      <c r="G58" s="250">
        <v>60</v>
      </c>
      <c r="H58" s="250">
        <v>6</v>
      </c>
      <c r="I58" s="252">
        <f t="shared" si="0"/>
        <v>360</v>
      </c>
      <c r="N58" s="219">
        <v>44755</v>
      </c>
      <c r="O58" s="219" t="s">
        <v>857</v>
      </c>
      <c r="P58" s="67" t="s">
        <v>1315</v>
      </c>
      <c r="Q58" s="219" t="s">
        <v>673</v>
      </c>
      <c r="R58" s="68">
        <v>5.8</v>
      </c>
      <c r="S58" s="68">
        <v>20.3</v>
      </c>
      <c r="T58" s="219" t="s">
        <v>416</v>
      </c>
      <c r="U58" s="85" t="s">
        <v>1549</v>
      </c>
      <c r="V58" s="85" t="s">
        <v>1032</v>
      </c>
    </row>
    <row r="59" spans="1:22">
      <c r="A59" s="231">
        <f t="shared" si="1"/>
        <v>54</v>
      </c>
      <c r="B59" s="248" t="s">
        <v>1631</v>
      </c>
      <c r="C59" s="249" t="s">
        <v>1644</v>
      </c>
      <c r="D59" s="254" t="s">
        <v>1038</v>
      </c>
      <c r="E59" s="253">
        <v>44784</v>
      </c>
      <c r="F59" s="253" t="s">
        <v>1032</v>
      </c>
      <c r="G59" s="250">
        <v>3.09</v>
      </c>
      <c r="H59" s="250">
        <v>6</v>
      </c>
      <c r="I59" s="252">
        <f t="shared" si="0"/>
        <v>18.54</v>
      </c>
      <c r="N59" s="219">
        <v>44755</v>
      </c>
      <c r="O59" s="219" t="s">
        <v>1294</v>
      </c>
      <c r="P59" s="67" t="s">
        <v>1339</v>
      </c>
      <c r="Q59" s="219" t="s">
        <v>673</v>
      </c>
      <c r="R59" s="68">
        <v>5.8</v>
      </c>
      <c r="S59" s="68">
        <v>330.59999999999997</v>
      </c>
      <c r="T59" s="219" t="s">
        <v>416</v>
      </c>
      <c r="U59" s="85" t="s">
        <v>1550</v>
      </c>
      <c r="V59" s="85" t="s">
        <v>929</v>
      </c>
    </row>
    <row r="60" spans="1:22">
      <c r="A60" s="231">
        <f t="shared" si="1"/>
        <v>55</v>
      </c>
      <c r="B60" s="248" t="s">
        <v>1631</v>
      </c>
      <c r="C60" s="249" t="s">
        <v>1678</v>
      </c>
      <c r="D60" s="250" t="s">
        <v>1398</v>
      </c>
      <c r="E60" s="253">
        <v>44784</v>
      </c>
      <c r="F60" s="253" t="s">
        <v>1032</v>
      </c>
      <c r="G60" s="250">
        <v>15.18</v>
      </c>
      <c r="H60" s="250">
        <v>6</v>
      </c>
      <c r="I60" s="252">
        <f t="shared" si="0"/>
        <v>91.08</v>
      </c>
      <c r="N60" s="219">
        <v>44755</v>
      </c>
      <c r="O60" s="219" t="s">
        <v>821</v>
      </c>
      <c r="P60" s="67" t="s">
        <v>1340</v>
      </c>
      <c r="Q60" s="219" t="s">
        <v>673</v>
      </c>
      <c r="R60" s="68">
        <v>5.8</v>
      </c>
      <c r="S60" s="68">
        <v>290</v>
      </c>
      <c r="T60" s="219" t="s">
        <v>416</v>
      </c>
      <c r="U60" s="85" t="s">
        <v>1551</v>
      </c>
      <c r="V60" s="85" t="s">
        <v>929</v>
      </c>
    </row>
    <row r="61" spans="1:22">
      <c r="A61" s="231">
        <f t="shared" si="1"/>
        <v>56</v>
      </c>
      <c r="B61" s="248" t="s">
        <v>1634</v>
      </c>
      <c r="C61" s="249" t="s">
        <v>1401</v>
      </c>
      <c r="D61" s="250" t="s">
        <v>1679</v>
      </c>
      <c r="E61" s="253">
        <v>44784</v>
      </c>
      <c r="F61" s="253" t="s">
        <v>929</v>
      </c>
      <c r="G61" s="250">
        <v>80</v>
      </c>
      <c r="H61" s="250">
        <v>6</v>
      </c>
      <c r="I61" s="252">
        <f t="shared" si="0"/>
        <v>480</v>
      </c>
      <c r="N61" s="219">
        <v>44755</v>
      </c>
      <c r="O61" s="219" t="s">
        <v>821</v>
      </c>
      <c r="P61" s="67" t="s">
        <v>1340</v>
      </c>
      <c r="Q61" s="219" t="s">
        <v>673</v>
      </c>
      <c r="R61" s="68">
        <v>5.8</v>
      </c>
      <c r="S61" s="68">
        <v>6.96</v>
      </c>
      <c r="T61" s="219" t="s">
        <v>416</v>
      </c>
      <c r="U61" s="85" t="s">
        <v>1551</v>
      </c>
      <c r="V61" s="85" t="s">
        <v>1032</v>
      </c>
    </row>
    <row r="62" spans="1:22">
      <c r="A62" s="231">
        <f t="shared" si="1"/>
        <v>57</v>
      </c>
      <c r="B62" s="248" t="s">
        <v>1634</v>
      </c>
      <c r="C62" s="283" t="s">
        <v>1034</v>
      </c>
      <c r="D62" s="254" t="s">
        <v>1681</v>
      </c>
      <c r="E62" s="255">
        <v>44785</v>
      </c>
      <c r="F62" s="255" t="s">
        <v>929</v>
      </c>
      <c r="G62" s="284">
        <v>20</v>
      </c>
      <c r="H62" s="250">
        <v>6</v>
      </c>
      <c r="I62" s="252">
        <f t="shared" si="0"/>
        <v>120</v>
      </c>
      <c r="N62" s="219">
        <v>44755</v>
      </c>
      <c r="O62" s="219" t="s">
        <v>1217</v>
      </c>
      <c r="P62" s="67" t="s">
        <v>1376</v>
      </c>
      <c r="Q62" s="219" t="s">
        <v>673</v>
      </c>
      <c r="R62" s="68">
        <v>5.8</v>
      </c>
      <c r="S62" s="68">
        <v>116</v>
      </c>
      <c r="T62" s="219" t="s">
        <v>416</v>
      </c>
      <c r="U62" s="85" t="s">
        <v>1552</v>
      </c>
      <c r="V62" s="85" t="s">
        <v>929</v>
      </c>
    </row>
    <row r="63" spans="1:22">
      <c r="A63" s="231">
        <f t="shared" si="1"/>
        <v>58</v>
      </c>
      <c r="B63" s="248" t="s">
        <v>1634</v>
      </c>
      <c r="C63" s="283" t="s">
        <v>944</v>
      </c>
      <c r="D63" s="254" t="s">
        <v>1681</v>
      </c>
      <c r="E63" s="255">
        <v>44785</v>
      </c>
      <c r="F63" s="257" t="s">
        <v>929</v>
      </c>
      <c r="G63" s="250">
        <v>20</v>
      </c>
      <c r="H63" s="250">
        <v>6</v>
      </c>
      <c r="I63" s="252">
        <f t="shared" si="0"/>
        <v>120</v>
      </c>
      <c r="N63" s="219">
        <v>44755</v>
      </c>
      <c r="O63" s="219" t="s">
        <v>1217</v>
      </c>
      <c r="P63" s="67" t="s">
        <v>1376</v>
      </c>
      <c r="Q63" s="219" t="s">
        <v>673</v>
      </c>
      <c r="R63" s="68">
        <v>5.8</v>
      </c>
      <c r="S63" s="68">
        <v>13.687999999999999</v>
      </c>
      <c r="T63" s="219" t="s">
        <v>416</v>
      </c>
      <c r="U63" s="85" t="s">
        <v>1552</v>
      </c>
      <c r="V63" s="85" t="s">
        <v>1032</v>
      </c>
    </row>
    <row r="64" spans="1:22">
      <c r="A64" s="231">
        <f t="shared" si="1"/>
        <v>59</v>
      </c>
      <c r="B64" s="248" t="s">
        <v>1634</v>
      </c>
      <c r="C64" s="283" t="s">
        <v>1033</v>
      </c>
      <c r="D64" s="254" t="s">
        <v>1681</v>
      </c>
      <c r="E64" s="255">
        <v>44785</v>
      </c>
      <c r="F64" s="257" t="s">
        <v>929</v>
      </c>
      <c r="G64" s="250">
        <v>20</v>
      </c>
      <c r="H64" s="250">
        <v>6</v>
      </c>
      <c r="I64" s="252">
        <f t="shared" si="0"/>
        <v>120</v>
      </c>
      <c r="N64" s="219">
        <v>44756</v>
      </c>
      <c r="O64" s="286" t="s">
        <v>1300</v>
      </c>
      <c r="P64" s="67" t="s">
        <v>1377</v>
      </c>
      <c r="Q64" s="219" t="s">
        <v>673</v>
      </c>
      <c r="R64" s="68">
        <v>5.8</v>
      </c>
      <c r="S64" s="68">
        <v>-1276</v>
      </c>
      <c r="T64" s="219" t="s">
        <v>416</v>
      </c>
      <c r="U64" s="85" t="s">
        <v>1553</v>
      </c>
      <c r="V64" s="85" t="s">
        <v>929</v>
      </c>
    </row>
    <row r="65" spans="1:22">
      <c r="A65" s="231">
        <f t="shared" si="1"/>
        <v>60</v>
      </c>
      <c r="B65" s="248" t="s">
        <v>1634</v>
      </c>
      <c r="C65" s="249" t="s">
        <v>1138</v>
      </c>
      <c r="D65" s="254" t="s">
        <v>1681</v>
      </c>
      <c r="E65" s="255">
        <v>44785</v>
      </c>
      <c r="F65" s="253" t="s">
        <v>929</v>
      </c>
      <c r="G65" s="250">
        <v>15</v>
      </c>
      <c r="H65" s="250">
        <v>6</v>
      </c>
      <c r="I65" s="252">
        <f t="shared" si="0"/>
        <v>90</v>
      </c>
      <c r="N65" s="219">
        <v>37452</v>
      </c>
      <c r="O65" s="286" t="s">
        <v>1378</v>
      </c>
      <c r="P65" s="67" t="s">
        <v>1379</v>
      </c>
      <c r="Q65" s="219" t="s">
        <v>673</v>
      </c>
      <c r="R65" s="68">
        <v>5.8</v>
      </c>
      <c r="S65" s="68">
        <v>-319</v>
      </c>
      <c r="T65" s="219" t="s">
        <v>416</v>
      </c>
      <c r="U65" s="85" t="s">
        <v>1554</v>
      </c>
      <c r="V65" s="85" t="s">
        <v>929</v>
      </c>
    </row>
    <row r="66" spans="1:22">
      <c r="A66" s="231">
        <f t="shared" si="1"/>
        <v>61</v>
      </c>
      <c r="B66" s="248" t="s">
        <v>1634</v>
      </c>
      <c r="C66" s="249" t="s">
        <v>1124</v>
      </c>
      <c r="D66" s="254" t="s">
        <v>1681</v>
      </c>
      <c r="E66" s="255">
        <v>44785</v>
      </c>
      <c r="F66" s="253" t="s">
        <v>929</v>
      </c>
      <c r="G66" s="250">
        <v>80</v>
      </c>
      <c r="H66" s="250">
        <v>6</v>
      </c>
      <c r="I66" s="252">
        <f t="shared" si="0"/>
        <v>480</v>
      </c>
      <c r="J66" s="260"/>
      <c r="N66" s="219">
        <v>44756</v>
      </c>
      <c r="O66" s="286" t="s">
        <v>850</v>
      </c>
      <c r="P66" s="67" t="s">
        <v>1380</v>
      </c>
      <c r="Q66" s="219" t="s">
        <v>673</v>
      </c>
      <c r="R66" s="68">
        <v>5.8</v>
      </c>
      <c r="S66" s="68">
        <v>1682</v>
      </c>
      <c r="T66" s="219" t="s">
        <v>416</v>
      </c>
      <c r="U66" s="85" t="s">
        <v>1555</v>
      </c>
      <c r="V66" s="85" t="s">
        <v>929</v>
      </c>
    </row>
    <row r="67" spans="1:22">
      <c r="A67" s="231">
        <f t="shared" si="1"/>
        <v>62</v>
      </c>
      <c r="B67" s="248" t="s">
        <v>1634</v>
      </c>
      <c r="C67" s="249" t="s">
        <v>1125</v>
      </c>
      <c r="D67" s="254" t="s">
        <v>1681</v>
      </c>
      <c r="E67" s="255">
        <v>44785</v>
      </c>
      <c r="F67" s="253" t="s">
        <v>929</v>
      </c>
      <c r="G67" s="250">
        <v>5</v>
      </c>
      <c r="H67" s="250">
        <v>6</v>
      </c>
      <c r="I67" s="252">
        <f t="shared" si="0"/>
        <v>30</v>
      </c>
      <c r="N67" s="219">
        <v>44756</v>
      </c>
      <c r="O67" s="286" t="s">
        <v>850</v>
      </c>
      <c r="P67" s="67" t="s">
        <v>1380</v>
      </c>
      <c r="Q67" s="219" t="s">
        <v>673</v>
      </c>
      <c r="R67" s="68">
        <v>5.8</v>
      </c>
      <c r="S67" s="68">
        <v>43.5</v>
      </c>
      <c r="T67" s="219" t="s">
        <v>416</v>
      </c>
      <c r="U67" s="85" t="s">
        <v>1555</v>
      </c>
      <c r="V67" s="85" t="s">
        <v>1032</v>
      </c>
    </row>
    <row r="68" spans="1:22">
      <c r="A68" s="231">
        <f t="shared" si="1"/>
        <v>63</v>
      </c>
      <c r="B68" s="248" t="s">
        <v>1634</v>
      </c>
      <c r="C68" s="249" t="s">
        <v>1139</v>
      </c>
      <c r="D68" s="254" t="s">
        <v>1681</v>
      </c>
      <c r="E68" s="255">
        <v>44785</v>
      </c>
      <c r="F68" s="253" t="s">
        <v>929</v>
      </c>
      <c r="G68" s="250">
        <v>10</v>
      </c>
      <c r="H68" s="250">
        <v>6</v>
      </c>
      <c r="I68" s="252">
        <f t="shared" si="0"/>
        <v>60</v>
      </c>
      <c r="J68" s="11"/>
      <c r="N68" s="219">
        <v>44757</v>
      </c>
      <c r="O68" s="219" t="s">
        <v>1300</v>
      </c>
      <c r="P68" s="67" t="s">
        <v>1381</v>
      </c>
      <c r="Q68" s="219" t="s">
        <v>673</v>
      </c>
      <c r="R68" s="68">
        <v>5.82</v>
      </c>
      <c r="S68" s="68">
        <v>-480.15000000000003</v>
      </c>
      <c r="T68" s="219" t="s">
        <v>416</v>
      </c>
      <c r="U68" s="85" t="s">
        <v>1556</v>
      </c>
      <c r="V68" s="85" t="s">
        <v>929</v>
      </c>
    </row>
    <row r="69" spans="1:22">
      <c r="A69" s="231">
        <f t="shared" si="1"/>
        <v>64</v>
      </c>
      <c r="B69" s="248" t="s">
        <v>1634</v>
      </c>
      <c r="C69" s="249" t="s">
        <v>1682</v>
      </c>
      <c r="D69" s="254" t="s">
        <v>1683</v>
      </c>
      <c r="E69" s="255">
        <v>44785</v>
      </c>
      <c r="F69" s="253" t="s">
        <v>929</v>
      </c>
      <c r="G69" s="250">
        <v>40</v>
      </c>
      <c r="H69" s="250">
        <v>6</v>
      </c>
      <c r="I69" s="252">
        <f t="shared" si="0"/>
        <v>240</v>
      </c>
      <c r="J69" s="11"/>
      <c r="N69" s="219">
        <v>44757</v>
      </c>
      <c r="O69" s="219" t="s">
        <v>1144</v>
      </c>
      <c r="P69" s="67" t="s">
        <v>1319</v>
      </c>
      <c r="Q69" s="219" t="s">
        <v>673</v>
      </c>
      <c r="R69" s="68">
        <v>5.82</v>
      </c>
      <c r="S69" s="68">
        <v>221.16000000000003</v>
      </c>
      <c r="T69" s="219" t="s">
        <v>416</v>
      </c>
      <c r="U69" s="85" t="s">
        <v>1519</v>
      </c>
      <c r="V69" s="85" t="s">
        <v>1032</v>
      </c>
    </row>
    <row r="70" spans="1:22">
      <c r="A70" s="231">
        <f t="shared" si="1"/>
        <v>65</v>
      </c>
      <c r="B70" s="248" t="s">
        <v>1634</v>
      </c>
      <c r="C70" s="283" t="s">
        <v>1033</v>
      </c>
      <c r="D70" s="254" t="s">
        <v>1684</v>
      </c>
      <c r="E70" s="255">
        <v>44785</v>
      </c>
      <c r="F70" s="257" t="s">
        <v>929</v>
      </c>
      <c r="G70" s="250">
        <v>20</v>
      </c>
      <c r="H70" s="250">
        <v>6</v>
      </c>
      <c r="I70" s="252">
        <f t="shared" ref="I70:I133" si="2">H70*G70</f>
        <v>120</v>
      </c>
      <c r="J70" s="11">
        <f>+G70+G93</f>
        <v>70</v>
      </c>
      <c r="N70" s="219">
        <v>44757</v>
      </c>
      <c r="O70" s="219" t="s">
        <v>1034</v>
      </c>
      <c r="P70" s="67" t="s">
        <v>1382</v>
      </c>
      <c r="Q70" s="219" t="s">
        <v>673</v>
      </c>
      <c r="R70" s="68">
        <v>5.82</v>
      </c>
      <c r="S70" s="68">
        <v>-116.4</v>
      </c>
      <c r="T70" s="219" t="s">
        <v>416</v>
      </c>
      <c r="U70" s="85" t="s">
        <v>1557</v>
      </c>
      <c r="V70" s="85" t="s">
        <v>929</v>
      </c>
    </row>
    <row r="71" spans="1:22">
      <c r="A71" s="231">
        <f t="shared" si="1"/>
        <v>66</v>
      </c>
      <c r="B71" s="248" t="s">
        <v>1631</v>
      </c>
      <c r="C71" s="283" t="s">
        <v>1685</v>
      </c>
      <c r="D71" s="254" t="s">
        <v>28</v>
      </c>
      <c r="E71" s="255">
        <v>44785</v>
      </c>
      <c r="F71" s="257" t="s">
        <v>929</v>
      </c>
      <c r="G71" s="250">
        <v>29.5</v>
      </c>
      <c r="H71" s="250">
        <v>6</v>
      </c>
      <c r="I71" s="252">
        <f t="shared" si="2"/>
        <v>177</v>
      </c>
      <c r="J71" s="11"/>
      <c r="N71" s="219">
        <v>44757</v>
      </c>
      <c r="O71" s="219" t="s">
        <v>944</v>
      </c>
      <c r="P71" s="67" t="s">
        <v>1382</v>
      </c>
      <c r="Q71" s="219" t="s">
        <v>673</v>
      </c>
      <c r="R71" s="68">
        <v>5.82</v>
      </c>
      <c r="S71" s="68">
        <v>-116.4</v>
      </c>
      <c r="T71" s="219" t="s">
        <v>416</v>
      </c>
      <c r="U71" s="85" t="s">
        <v>1558</v>
      </c>
      <c r="V71" s="85" t="s">
        <v>929</v>
      </c>
    </row>
    <row r="72" spans="1:22">
      <c r="A72" s="231">
        <f t="shared" ref="A72:A135" si="3">+A71+1</f>
        <v>67</v>
      </c>
      <c r="B72" s="248" t="s">
        <v>1634</v>
      </c>
      <c r="C72" s="283" t="s">
        <v>1686</v>
      </c>
      <c r="D72" s="254" t="s">
        <v>1687</v>
      </c>
      <c r="E72" s="255">
        <v>44785</v>
      </c>
      <c r="F72" s="257" t="s">
        <v>929</v>
      </c>
      <c r="G72" s="250">
        <f>4.5*2+3+3</f>
        <v>15</v>
      </c>
      <c r="H72" s="250">
        <v>6</v>
      </c>
      <c r="I72" s="252">
        <f t="shared" si="2"/>
        <v>90</v>
      </c>
      <c r="J72" s="11"/>
      <c r="N72" s="219">
        <v>44757</v>
      </c>
      <c r="O72" s="219" t="s">
        <v>1033</v>
      </c>
      <c r="P72" s="67" t="s">
        <v>1382</v>
      </c>
      <c r="Q72" s="219" t="s">
        <v>673</v>
      </c>
      <c r="R72" s="68">
        <v>5.82</v>
      </c>
      <c r="S72" s="68">
        <v>-116.4</v>
      </c>
      <c r="T72" s="219" t="s">
        <v>416</v>
      </c>
      <c r="U72" s="85" t="s">
        <v>1559</v>
      </c>
      <c r="V72" s="85" t="s">
        <v>929</v>
      </c>
    </row>
    <row r="73" spans="1:22">
      <c r="A73" s="231">
        <f t="shared" si="3"/>
        <v>68</v>
      </c>
      <c r="B73" s="248" t="s">
        <v>1631</v>
      </c>
      <c r="C73" s="249" t="s">
        <v>1688</v>
      </c>
      <c r="D73" s="254" t="s">
        <v>465</v>
      </c>
      <c r="E73" s="255">
        <v>44785</v>
      </c>
      <c r="F73" s="253" t="s">
        <v>929</v>
      </c>
      <c r="G73" s="250">
        <v>65</v>
      </c>
      <c r="H73" s="250">
        <v>6</v>
      </c>
      <c r="I73" s="252">
        <f t="shared" si="2"/>
        <v>390</v>
      </c>
      <c r="J73" s="260"/>
      <c r="N73" s="219">
        <v>44757</v>
      </c>
      <c r="O73" s="219" t="s">
        <v>1138</v>
      </c>
      <c r="P73" s="67" t="s">
        <v>1382</v>
      </c>
      <c r="Q73" s="219" t="s">
        <v>673</v>
      </c>
      <c r="R73" s="68">
        <v>5.82</v>
      </c>
      <c r="S73" s="68">
        <v>-87.300000000000011</v>
      </c>
      <c r="T73" s="219" t="s">
        <v>416</v>
      </c>
      <c r="U73" s="85" t="s">
        <v>1560</v>
      </c>
      <c r="V73" s="85" t="s">
        <v>929</v>
      </c>
    </row>
    <row r="74" spans="1:22">
      <c r="A74" s="231">
        <f t="shared" si="3"/>
        <v>69</v>
      </c>
      <c r="B74" s="248" t="s">
        <v>1631</v>
      </c>
      <c r="C74" s="249" t="s">
        <v>1688</v>
      </c>
      <c r="D74" s="254" t="s">
        <v>465</v>
      </c>
      <c r="E74" s="255">
        <v>44785</v>
      </c>
      <c r="F74" s="253" t="s">
        <v>1032</v>
      </c>
      <c r="G74" s="250">
        <v>4.2</v>
      </c>
      <c r="H74" s="250">
        <v>6</v>
      </c>
      <c r="I74" s="252">
        <f t="shared" si="2"/>
        <v>25.200000000000003</v>
      </c>
      <c r="N74" s="219">
        <v>44757</v>
      </c>
      <c r="O74" s="219" t="s">
        <v>1124</v>
      </c>
      <c r="P74" s="67" t="s">
        <v>1382</v>
      </c>
      <c r="Q74" s="219" t="s">
        <v>673</v>
      </c>
      <c r="R74" s="68">
        <v>5.82</v>
      </c>
      <c r="S74" s="68">
        <v>-465.6</v>
      </c>
      <c r="T74" s="219" t="s">
        <v>416</v>
      </c>
      <c r="U74" s="85" t="s">
        <v>1561</v>
      </c>
      <c r="V74" s="85" t="s">
        <v>929</v>
      </c>
    </row>
    <row r="75" spans="1:22">
      <c r="A75" s="231">
        <f t="shared" si="3"/>
        <v>70</v>
      </c>
      <c r="B75" s="248" t="s">
        <v>1631</v>
      </c>
      <c r="C75" s="249" t="s">
        <v>1690</v>
      </c>
      <c r="D75" s="254" t="s">
        <v>1689</v>
      </c>
      <c r="E75" s="255">
        <v>44785</v>
      </c>
      <c r="F75" s="253" t="s">
        <v>1032</v>
      </c>
      <c r="G75" s="250">
        <v>16.77</v>
      </c>
      <c r="H75" s="250">
        <v>6</v>
      </c>
      <c r="I75" s="252">
        <f t="shared" si="2"/>
        <v>100.62</v>
      </c>
      <c r="N75" s="219">
        <v>44757</v>
      </c>
      <c r="O75" s="219" t="s">
        <v>1125</v>
      </c>
      <c r="P75" s="67" t="s">
        <v>1382</v>
      </c>
      <c r="Q75" s="219" t="s">
        <v>673</v>
      </c>
      <c r="R75" s="68">
        <v>5.82</v>
      </c>
      <c r="S75" s="68">
        <v>-29.1</v>
      </c>
      <c r="T75" s="219" t="s">
        <v>416</v>
      </c>
      <c r="U75" s="85" t="s">
        <v>1562</v>
      </c>
      <c r="V75" s="85" t="s">
        <v>929</v>
      </c>
    </row>
    <row r="76" spans="1:22">
      <c r="A76" s="231">
        <f t="shared" si="3"/>
        <v>71</v>
      </c>
      <c r="B76" s="248" t="s">
        <v>1631</v>
      </c>
      <c r="C76" s="249" t="s">
        <v>1691</v>
      </c>
      <c r="D76" s="254" t="s">
        <v>911</v>
      </c>
      <c r="E76" s="255">
        <v>44785</v>
      </c>
      <c r="F76" s="253" t="s">
        <v>1032</v>
      </c>
      <c r="G76" s="250">
        <v>22.36</v>
      </c>
      <c r="H76" s="250">
        <v>6</v>
      </c>
      <c r="I76" s="252">
        <f t="shared" si="2"/>
        <v>134.16</v>
      </c>
      <c r="N76" s="219">
        <v>44757</v>
      </c>
      <c r="O76" s="219" t="s">
        <v>1139</v>
      </c>
      <c r="P76" s="67" t="s">
        <v>1382</v>
      </c>
      <c r="Q76" s="219" t="s">
        <v>673</v>
      </c>
      <c r="R76" s="68">
        <v>5.82</v>
      </c>
      <c r="S76" s="68">
        <v>-58.2</v>
      </c>
      <c r="T76" s="219" t="s">
        <v>416</v>
      </c>
      <c r="U76" s="85" t="s">
        <v>1563</v>
      </c>
      <c r="V76" s="85" t="s">
        <v>929</v>
      </c>
    </row>
    <row r="77" spans="1:22">
      <c r="A77" s="231">
        <f t="shared" si="3"/>
        <v>72</v>
      </c>
      <c r="B77" s="248" t="s">
        <v>1631</v>
      </c>
      <c r="C77" s="283" t="s">
        <v>1692</v>
      </c>
      <c r="D77" s="254" t="s">
        <v>1626</v>
      </c>
      <c r="E77" s="255">
        <v>44785</v>
      </c>
      <c r="F77" s="253" t="s">
        <v>1032</v>
      </c>
      <c r="G77" s="250">
        <v>24.82</v>
      </c>
      <c r="H77" s="250">
        <v>6</v>
      </c>
      <c r="I77" s="252">
        <f t="shared" si="2"/>
        <v>148.92000000000002</v>
      </c>
      <c r="J77" s="260"/>
      <c r="N77" s="219">
        <v>44757</v>
      </c>
      <c r="O77" s="219" t="s">
        <v>1033</v>
      </c>
      <c r="P77" s="67" t="s">
        <v>1383</v>
      </c>
      <c r="Q77" s="219" t="s">
        <v>673</v>
      </c>
      <c r="R77" s="68">
        <v>5.82</v>
      </c>
      <c r="S77" s="68">
        <v>-116.4</v>
      </c>
      <c r="T77" s="219" t="s">
        <v>416</v>
      </c>
      <c r="U77" s="85" t="s">
        <v>1564</v>
      </c>
      <c r="V77" s="85" t="s">
        <v>929</v>
      </c>
    </row>
    <row r="78" spans="1:22">
      <c r="A78" s="231">
        <f t="shared" si="3"/>
        <v>73</v>
      </c>
      <c r="B78" s="248" t="s">
        <v>1631</v>
      </c>
      <c r="C78" s="283" t="s">
        <v>1468</v>
      </c>
      <c r="D78" s="254" t="s">
        <v>1024</v>
      </c>
      <c r="E78" s="255">
        <v>44788</v>
      </c>
      <c r="F78" s="253" t="s">
        <v>929</v>
      </c>
      <c r="G78" s="250">
        <v>40</v>
      </c>
      <c r="H78" s="250">
        <v>6.1</v>
      </c>
      <c r="I78" s="252">
        <f t="shared" si="2"/>
        <v>244</v>
      </c>
      <c r="N78" s="219">
        <v>44757</v>
      </c>
      <c r="O78" s="219" t="s">
        <v>1384</v>
      </c>
      <c r="P78" s="67" t="s">
        <v>1385</v>
      </c>
      <c r="Q78" s="219" t="s">
        <v>673</v>
      </c>
      <c r="R78" s="68">
        <v>5.82</v>
      </c>
      <c r="S78" s="68">
        <v>-465.6</v>
      </c>
      <c r="T78" s="219" t="s">
        <v>416</v>
      </c>
      <c r="U78" s="85" t="s">
        <v>1565</v>
      </c>
      <c r="V78" s="85" t="s">
        <v>929</v>
      </c>
    </row>
    <row r="79" spans="1:22">
      <c r="A79" s="231">
        <f t="shared" si="3"/>
        <v>74</v>
      </c>
      <c r="B79" s="248" t="s">
        <v>1631</v>
      </c>
      <c r="C79" s="283" t="s">
        <v>1468</v>
      </c>
      <c r="D79" s="254" t="s">
        <v>1024</v>
      </c>
      <c r="E79" s="255">
        <v>44788</v>
      </c>
      <c r="F79" s="253" t="s">
        <v>1032</v>
      </c>
      <c r="G79" s="250">
        <v>9.81</v>
      </c>
      <c r="H79" s="250">
        <v>6.1</v>
      </c>
      <c r="I79" s="252">
        <f t="shared" si="2"/>
        <v>59.841000000000001</v>
      </c>
      <c r="J79" s="260"/>
      <c r="N79" s="219">
        <v>44757</v>
      </c>
      <c r="O79" s="219" t="s">
        <v>1386</v>
      </c>
      <c r="P79" s="67" t="s">
        <v>1387</v>
      </c>
      <c r="Q79" s="219" t="s">
        <v>673</v>
      </c>
      <c r="R79" s="68">
        <v>5.82</v>
      </c>
      <c r="S79" s="68">
        <v>-87.300000000000011</v>
      </c>
      <c r="T79" s="219" t="s">
        <v>416</v>
      </c>
      <c r="U79" s="85" t="s">
        <v>1566</v>
      </c>
      <c r="V79" s="85" t="s">
        <v>929</v>
      </c>
    </row>
    <row r="80" spans="1:22">
      <c r="A80" s="231">
        <f t="shared" si="3"/>
        <v>75</v>
      </c>
      <c r="B80" s="248" t="s">
        <v>1631</v>
      </c>
      <c r="C80" s="249" t="s">
        <v>1692</v>
      </c>
      <c r="D80" s="254" t="s">
        <v>1626</v>
      </c>
      <c r="E80" s="255">
        <v>44788</v>
      </c>
      <c r="F80" s="253" t="s">
        <v>929</v>
      </c>
      <c r="G80" s="250">
        <v>10</v>
      </c>
      <c r="H80" s="250">
        <v>6.1</v>
      </c>
      <c r="I80" s="252">
        <f t="shared" si="2"/>
        <v>61</v>
      </c>
      <c r="N80" s="219">
        <v>44760</v>
      </c>
      <c r="O80" s="219" t="s">
        <v>1197</v>
      </c>
      <c r="P80" s="67" t="s">
        <v>1389</v>
      </c>
      <c r="Q80" s="219" t="s">
        <v>673</v>
      </c>
      <c r="R80" s="68">
        <v>5.82</v>
      </c>
      <c r="S80" s="68">
        <v>-93.12</v>
      </c>
      <c r="T80" s="219" t="s">
        <v>416</v>
      </c>
      <c r="U80" s="85" t="s">
        <v>1567</v>
      </c>
      <c r="V80" s="85" t="s">
        <v>929</v>
      </c>
    </row>
    <row r="81" spans="1:22">
      <c r="A81" s="231">
        <f t="shared" si="3"/>
        <v>76</v>
      </c>
      <c r="B81" s="248" t="s">
        <v>1634</v>
      </c>
      <c r="C81" s="249" t="s">
        <v>1223</v>
      </c>
      <c r="D81" s="254" t="s">
        <v>1693</v>
      </c>
      <c r="E81" s="255">
        <v>44789</v>
      </c>
      <c r="F81" s="253" t="s">
        <v>929</v>
      </c>
      <c r="G81" s="250">
        <v>115</v>
      </c>
      <c r="H81" s="250">
        <v>6.1</v>
      </c>
      <c r="I81" s="252">
        <f t="shared" si="2"/>
        <v>701.5</v>
      </c>
      <c r="J81" s="85">
        <f>6.15*5</f>
        <v>30.75</v>
      </c>
      <c r="N81" s="219">
        <v>44761</v>
      </c>
      <c r="O81" s="219" t="s">
        <v>1290</v>
      </c>
      <c r="P81" s="67" t="s">
        <v>1316</v>
      </c>
      <c r="Q81" s="219" t="s">
        <v>673</v>
      </c>
      <c r="R81" s="68">
        <v>5.84</v>
      </c>
      <c r="S81" s="68">
        <v>1168</v>
      </c>
      <c r="T81" s="219" t="s">
        <v>416</v>
      </c>
      <c r="U81" s="85" t="s">
        <v>1568</v>
      </c>
      <c r="V81" s="85" t="s">
        <v>929</v>
      </c>
    </row>
    <row r="82" spans="1:22">
      <c r="A82" s="231">
        <f t="shared" si="3"/>
        <v>77</v>
      </c>
      <c r="B82" s="248" t="s">
        <v>1631</v>
      </c>
      <c r="C82" s="249" t="s">
        <v>1413</v>
      </c>
      <c r="D82" s="254" t="s">
        <v>1065</v>
      </c>
      <c r="E82" s="255">
        <v>44789</v>
      </c>
      <c r="F82" s="253" t="s">
        <v>929</v>
      </c>
      <c r="G82" s="250">
        <v>100</v>
      </c>
      <c r="H82" s="250">
        <v>6.1</v>
      </c>
      <c r="I82" s="252">
        <f t="shared" si="2"/>
        <v>610</v>
      </c>
      <c r="N82" s="219">
        <v>44761</v>
      </c>
      <c r="O82" s="219" t="s">
        <v>1290</v>
      </c>
      <c r="P82" s="67" t="s">
        <v>1316</v>
      </c>
      <c r="Q82" s="219" t="s">
        <v>673</v>
      </c>
      <c r="R82" s="68">
        <v>5.84</v>
      </c>
      <c r="S82" s="68">
        <v>11.096</v>
      </c>
      <c r="T82" s="219" t="s">
        <v>416</v>
      </c>
      <c r="U82" s="85" t="s">
        <v>1568</v>
      </c>
      <c r="V82" s="85" t="s">
        <v>1032</v>
      </c>
    </row>
    <row r="83" spans="1:22">
      <c r="A83" s="231">
        <f t="shared" si="3"/>
        <v>78</v>
      </c>
      <c r="B83" s="248" t="s">
        <v>1634</v>
      </c>
      <c r="C83" s="249" t="s">
        <v>1300</v>
      </c>
      <c r="D83" s="254" t="s">
        <v>1694</v>
      </c>
      <c r="E83" s="255">
        <v>44789</v>
      </c>
      <c r="F83" s="253" t="s">
        <v>929</v>
      </c>
      <c r="G83" s="250">
        <f>30*5.5</f>
        <v>165</v>
      </c>
      <c r="H83" s="250">
        <v>6</v>
      </c>
      <c r="I83" s="252">
        <f t="shared" si="2"/>
        <v>990</v>
      </c>
      <c r="J83" s="261"/>
      <c r="N83" s="219">
        <v>44761</v>
      </c>
      <c r="O83" s="219" t="s">
        <v>301</v>
      </c>
      <c r="P83" s="67" t="s">
        <v>1299</v>
      </c>
      <c r="Q83" s="219" t="s">
        <v>673</v>
      </c>
      <c r="R83" s="68">
        <v>5.85</v>
      </c>
      <c r="S83" s="68">
        <v>585</v>
      </c>
      <c r="T83" s="219" t="s">
        <v>416</v>
      </c>
      <c r="U83" s="85" t="s">
        <v>1569</v>
      </c>
      <c r="V83" s="85" t="s">
        <v>1032</v>
      </c>
    </row>
    <row r="84" spans="1:22">
      <c r="A84" s="231">
        <f t="shared" si="3"/>
        <v>79</v>
      </c>
      <c r="B84" s="248" t="s">
        <v>1634</v>
      </c>
      <c r="C84" s="249" t="s">
        <v>1374</v>
      </c>
      <c r="D84" s="254" t="s">
        <v>1695</v>
      </c>
      <c r="E84" s="255">
        <v>44789</v>
      </c>
      <c r="F84" s="253" t="s">
        <v>929</v>
      </c>
      <c r="G84" s="250">
        <v>10</v>
      </c>
      <c r="H84" s="250">
        <v>6</v>
      </c>
      <c r="I84" s="252">
        <f t="shared" si="2"/>
        <v>60</v>
      </c>
      <c r="N84" s="219">
        <v>44761</v>
      </c>
      <c r="O84" s="219" t="s">
        <v>1077</v>
      </c>
      <c r="P84" s="67" t="s">
        <v>1338</v>
      </c>
      <c r="Q84" s="219" t="s">
        <v>673</v>
      </c>
      <c r="R84" s="68">
        <v>5.85</v>
      </c>
      <c r="S84" s="68">
        <v>2224.1699999999996</v>
      </c>
      <c r="T84" s="219" t="s">
        <v>416</v>
      </c>
      <c r="U84" s="85" t="s">
        <v>1570</v>
      </c>
      <c r="V84" s="85" t="s">
        <v>929</v>
      </c>
    </row>
    <row r="85" spans="1:22">
      <c r="A85" s="231">
        <f t="shared" si="3"/>
        <v>80</v>
      </c>
      <c r="B85" s="248" t="s">
        <v>1634</v>
      </c>
      <c r="C85" s="283" t="s">
        <v>1034</v>
      </c>
      <c r="D85" s="254" t="s">
        <v>1701</v>
      </c>
      <c r="E85" s="255">
        <v>44792</v>
      </c>
      <c r="F85" s="255" t="s">
        <v>929</v>
      </c>
      <c r="G85" s="284">
        <v>20</v>
      </c>
      <c r="H85" s="250">
        <v>6.15</v>
      </c>
      <c r="I85" s="252">
        <f t="shared" si="2"/>
        <v>123</v>
      </c>
      <c r="J85" s="261"/>
      <c r="N85" s="219">
        <v>44760</v>
      </c>
      <c r="O85" s="219" t="s">
        <v>1392</v>
      </c>
      <c r="P85" s="67" t="s">
        <v>1393</v>
      </c>
      <c r="Q85" s="219" t="s">
        <v>673</v>
      </c>
      <c r="R85" s="68">
        <v>5.85</v>
      </c>
      <c r="S85" s="68">
        <v>-1462.5</v>
      </c>
      <c r="T85" s="219" t="s">
        <v>416</v>
      </c>
      <c r="U85" s="85" t="s">
        <v>1571</v>
      </c>
      <c r="V85" s="85" t="s">
        <v>929</v>
      </c>
    </row>
    <row r="86" spans="1:22">
      <c r="A86" s="231">
        <f t="shared" si="3"/>
        <v>81</v>
      </c>
      <c r="B86" s="248" t="s">
        <v>1634</v>
      </c>
      <c r="C86" s="283" t="s">
        <v>944</v>
      </c>
      <c r="D86" s="254" t="s">
        <v>1701</v>
      </c>
      <c r="E86" s="255">
        <v>44792</v>
      </c>
      <c r="F86" s="257" t="s">
        <v>929</v>
      </c>
      <c r="G86" s="250">
        <v>20</v>
      </c>
      <c r="H86" s="250">
        <v>6.15</v>
      </c>
      <c r="I86" s="252">
        <f t="shared" si="2"/>
        <v>123</v>
      </c>
      <c r="N86" s="219">
        <v>44761</v>
      </c>
      <c r="O86" s="219" t="s">
        <v>1392</v>
      </c>
      <c r="P86" s="67" t="s">
        <v>1394</v>
      </c>
      <c r="Q86" s="219" t="s">
        <v>673</v>
      </c>
      <c r="R86" s="68">
        <v>5.85</v>
      </c>
      <c r="S86" s="68">
        <v>-1170</v>
      </c>
      <c r="T86" s="219" t="s">
        <v>416</v>
      </c>
      <c r="U86" s="85" t="s">
        <v>1572</v>
      </c>
      <c r="V86" s="85" t="s">
        <v>929</v>
      </c>
    </row>
    <row r="87" spans="1:22">
      <c r="A87" s="231">
        <f t="shared" si="3"/>
        <v>82</v>
      </c>
      <c r="B87" s="248" t="s">
        <v>1634</v>
      </c>
      <c r="C87" s="283" t="s">
        <v>1033</v>
      </c>
      <c r="D87" s="254" t="s">
        <v>1701</v>
      </c>
      <c r="E87" s="255">
        <v>44792</v>
      </c>
      <c r="F87" s="257" t="s">
        <v>929</v>
      </c>
      <c r="G87" s="250">
        <v>20</v>
      </c>
      <c r="H87" s="250">
        <v>6.15</v>
      </c>
      <c r="I87" s="252">
        <f t="shared" si="2"/>
        <v>123</v>
      </c>
      <c r="N87" s="219">
        <v>44761</v>
      </c>
      <c r="O87" s="219" t="s">
        <v>110</v>
      </c>
      <c r="P87" s="67" t="s">
        <v>1388</v>
      </c>
      <c r="Q87" s="219" t="s">
        <v>673</v>
      </c>
      <c r="R87" s="68">
        <v>5.85</v>
      </c>
      <c r="S87" s="68">
        <v>263.25</v>
      </c>
      <c r="T87" s="219" t="s">
        <v>416</v>
      </c>
      <c r="U87" s="85" t="s">
        <v>1573</v>
      </c>
      <c r="V87" s="85" t="s">
        <v>929</v>
      </c>
    </row>
    <row r="88" spans="1:22">
      <c r="A88" s="231">
        <f t="shared" si="3"/>
        <v>83</v>
      </c>
      <c r="B88" s="248" t="s">
        <v>1634</v>
      </c>
      <c r="C88" s="249" t="s">
        <v>1138</v>
      </c>
      <c r="D88" s="254" t="s">
        <v>1701</v>
      </c>
      <c r="E88" s="255">
        <v>44792</v>
      </c>
      <c r="F88" s="253" t="s">
        <v>929</v>
      </c>
      <c r="G88" s="250">
        <v>15</v>
      </c>
      <c r="H88" s="250">
        <v>6.15</v>
      </c>
      <c r="I88" s="252">
        <f t="shared" si="2"/>
        <v>92.25</v>
      </c>
      <c r="N88" s="219">
        <v>44761</v>
      </c>
      <c r="O88" s="219" t="s">
        <v>110</v>
      </c>
      <c r="P88" s="67" t="s">
        <v>1388</v>
      </c>
      <c r="Q88" s="219" t="s">
        <v>673</v>
      </c>
      <c r="R88" s="68">
        <v>5.85</v>
      </c>
      <c r="S88" s="68">
        <v>26.909999999999997</v>
      </c>
      <c r="T88" s="219" t="s">
        <v>416</v>
      </c>
      <c r="U88" s="85" t="s">
        <v>1573</v>
      </c>
      <c r="V88" s="85" t="s">
        <v>1032</v>
      </c>
    </row>
    <row r="89" spans="1:22">
      <c r="A89" s="231">
        <f t="shared" si="3"/>
        <v>84</v>
      </c>
      <c r="B89" s="248" t="s">
        <v>1634</v>
      </c>
      <c r="C89" s="249" t="s">
        <v>1124</v>
      </c>
      <c r="D89" s="254" t="s">
        <v>1701</v>
      </c>
      <c r="E89" s="255">
        <v>44792</v>
      </c>
      <c r="F89" s="253" t="s">
        <v>929</v>
      </c>
      <c r="G89" s="250">
        <v>80</v>
      </c>
      <c r="H89" s="250">
        <v>6.15</v>
      </c>
      <c r="I89" s="252">
        <f t="shared" si="2"/>
        <v>492</v>
      </c>
      <c r="N89" s="219">
        <v>44761</v>
      </c>
      <c r="O89" s="219" t="s">
        <v>1015</v>
      </c>
      <c r="P89" s="67" t="s">
        <v>1390</v>
      </c>
      <c r="Q89" s="219" t="s">
        <v>673</v>
      </c>
      <c r="R89" s="68">
        <v>5.85</v>
      </c>
      <c r="S89" s="68">
        <v>4680</v>
      </c>
      <c r="T89" s="219" t="s">
        <v>416</v>
      </c>
      <c r="U89" s="85" t="s">
        <v>1574</v>
      </c>
      <c r="V89" s="85" t="s">
        <v>929</v>
      </c>
    </row>
    <row r="90" spans="1:22">
      <c r="A90" s="231">
        <f t="shared" si="3"/>
        <v>85</v>
      </c>
      <c r="B90" s="248" t="s">
        <v>1634</v>
      </c>
      <c r="C90" s="249" t="s">
        <v>1125</v>
      </c>
      <c r="D90" s="254" t="s">
        <v>1701</v>
      </c>
      <c r="E90" s="255">
        <v>44792</v>
      </c>
      <c r="F90" s="253" t="s">
        <v>929</v>
      </c>
      <c r="G90" s="250">
        <v>5</v>
      </c>
      <c r="H90" s="250">
        <v>6.15</v>
      </c>
      <c r="I90" s="252">
        <f t="shared" si="2"/>
        <v>30.75</v>
      </c>
      <c r="N90" s="219">
        <v>44760</v>
      </c>
      <c r="O90" s="219" t="s">
        <v>1197</v>
      </c>
      <c r="P90" s="67" t="s">
        <v>1395</v>
      </c>
      <c r="Q90" s="219" t="s">
        <v>673</v>
      </c>
      <c r="R90" s="68">
        <v>5.85</v>
      </c>
      <c r="S90" s="68">
        <v>-93.6</v>
      </c>
      <c r="T90" s="219" t="s">
        <v>416</v>
      </c>
      <c r="U90" s="85" t="s">
        <v>1575</v>
      </c>
      <c r="V90" s="85" t="s">
        <v>929</v>
      </c>
    </row>
    <row r="91" spans="1:22">
      <c r="A91" s="231">
        <f t="shared" si="3"/>
        <v>86</v>
      </c>
      <c r="B91" s="248" t="s">
        <v>1634</v>
      </c>
      <c r="C91" s="249" t="s">
        <v>1139</v>
      </c>
      <c r="D91" s="254" t="s">
        <v>1701</v>
      </c>
      <c r="E91" s="255">
        <v>44792</v>
      </c>
      <c r="F91" s="253" t="s">
        <v>929</v>
      </c>
      <c r="G91" s="250">
        <v>10</v>
      </c>
      <c r="H91" s="250">
        <v>6.15</v>
      </c>
      <c r="I91" s="252">
        <f t="shared" si="2"/>
        <v>61.5</v>
      </c>
      <c r="J91" s="11"/>
      <c r="N91" s="219">
        <v>44761</v>
      </c>
      <c r="O91" s="219" t="s">
        <v>1217</v>
      </c>
      <c r="P91" s="67" t="s">
        <v>1391</v>
      </c>
      <c r="Q91" s="219" t="s">
        <v>673</v>
      </c>
      <c r="R91" s="68">
        <v>5.85</v>
      </c>
      <c r="S91" s="68">
        <v>228.91050000000001</v>
      </c>
      <c r="T91" s="219" t="s">
        <v>416</v>
      </c>
      <c r="U91" s="85" t="s">
        <v>1576</v>
      </c>
      <c r="V91" s="85" t="s">
        <v>1032</v>
      </c>
    </row>
    <row r="92" spans="1:22">
      <c r="A92" s="231">
        <f t="shared" si="3"/>
        <v>87</v>
      </c>
      <c r="B92" s="248" t="s">
        <v>1634</v>
      </c>
      <c r="C92" s="249" t="s">
        <v>1682</v>
      </c>
      <c r="D92" s="254" t="s">
        <v>1683</v>
      </c>
      <c r="E92" s="255">
        <v>44792</v>
      </c>
      <c r="F92" s="253" t="s">
        <v>929</v>
      </c>
      <c r="G92" s="250">
        <v>20</v>
      </c>
      <c r="H92" s="250">
        <v>6.15</v>
      </c>
      <c r="I92" s="252">
        <f t="shared" si="2"/>
        <v>123</v>
      </c>
      <c r="N92" s="219">
        <v>44761</v>
      </c>
      <c r="O92" s="219" t="s">
        <v>1332</v>
      </c>
      <c r="P92" s="67" t="s">
        <v>1396</v>
      </c>
      <c r="Q92" s="219" t="s">
        <v>673</v>
      </c>
      <c r="R92" s="68">
        <v>5.85</v>
      </c>
      <c r="S92" s="68">
        <v>117</v>
      </c>
      <c r="T92" s="219" t="s">
        <v>416</v>
      </c>
      <c r="U92" s="85" t="s">
        <v>1577</v>
      </c>
      <c r="V92" s="85" t="s">
        <v>929</v>
      </c>
    </row>
    <row r="93" spans="1:22">
      <c r="A93" s="231">
        <f t="shared" si="3"/>
        <v>88</v>
      </c>
      <c r="B93" s="248" t="s">
        <v>1634</v>
      </c>
      <c r="C93" s="283" t="s">
        <v>1033</v>
      </c>
      <c r="D93" s="254" t="s">
        <v>1684</v>
      </c>
      <c r="E93" s="255">
        <v>44792</v>
      </c>
      <c r="F93" s="257" t="s">
        <v>929</v>
      </c>
      <c r="G93" s="250">
        <v>50</v>
      </c>
      <c r="H93" s="250">
        <v>6.15</v>
      </c>
      <c r="I93" s="252">
        <f t="shared" si="2"/>
        <v>307.5</v>
      </c>
      <c r="N93" s="219">
        <v>44761</v>
      </c>
      <c r="O93" s="219" t="s">
        <v>1332</v>
      </c>
      <c r="P93" s="67" t="s">
        <v>1396</v>
      </c>
      <c r="Q93" s="219" t="s">
        <v>673</v>
      </c>
      <c r="R93" s="68">
        <v>5.85</v>
      </c>
      <c r="S93" s="68">
        <v>49.724999999999994</v>
      </c>
      <c r="T93" s="219" t="s">
        <v>416</v>
      </c>
      <c r="U93" s="85" t="s">
        <v>1577</v>
      </c>
      <c r="V93" s="85" t="s">
        <v>1032</v>
      </c>
    </row>
    <row r="94" spans="1:22">
      <c r="A94" s="231">
        <f t="shared" si="3"/>
        <v>89</v>
      </c>
      <c r="B94" s="248" t="s">
        <v>1631</v>
      </c>
      <c r="C94" s="283" t="s">
        <v>1410</v>
      </c>
      <c r="D94" s="254" t="s">
        <v>1110</v>
      </c>
      <c r="E94" s="255">
        <v>44792</v>
      </c>
      <c r="F94" s="255" t="s">
        <v>1032</v>
      </c>
      <c r="G94" s="250">
        <v>8.2000000000000028</v>
      </c>
      <c r="H94" s="250">
        <v>6.15</v>
      </c>
      <c r="I94" s="252">
        <f t="shared" ref="I94:I127" si="4">H94*G94</f>
        <v>50.430000000000021</v>
      </c>
      <c r="N94" s="219">
        <v>44761</v>
      </c>
      <c r="O94" s="219" t="s">
        <v>1024</v>
      </c>
      <c r="P94" s="67" t="s">
        <v>1317</v>
      </c>
      <c r="Q94" s="219" t="s">
        <v>673</v>
      </c>
      <c r="R94" s="68">
        <v>5.85</v>
      </c>
      <c r="S94" s="68">
        <v>234</v>
      </c>
      <c r="T94" s="219" t="s">
        <v>416</v>
      </c>
      <c r="U94" s="85" t="s">
        <v>1578</v>
      </c>
      <c r="V94" s="85" t="s">
        <v>929</v>
      </c>
    </row>
    <row r="95" spans="1:22">
      <c r="A95" s="231">
        <f t="shared" si="3"/>
        <v>90</v>
      </c>
      <c r="B95" s="248" t="s">
        <v>1631</v>
      </c>
      <c r="C95" s="283" t="s">
        <v>1702</v>
      </c>
      <c r="D95" s="254" t="s">
        <v>1398</v>
      </c>
      <c r="E95" s="255">
        <v>44792</v>
      </c>
      <c r="F95" s="253" t="s">
        <v>929</v>
      </c>
      <c r="G95" s="250">
        <v>10</v>
      </c>
      <c r="H95" s="250">
        <v>6.15</v>
      </c>
      <c r="I95" s="252">
        <f t="shared" si="4"/>
        <v>61.5</v>
      </c>
      <c r="N95" s="219">
        <v>44761</v>
      </c>
      <c r="O95" s="219" t="s">
        <v>1024</v>
      </c>
      <c r="P95" s="67" t="s">
        <v>1317</v>
      </c>
      <c r="Q95" s="219" t="s">
        <v>673</v>
      </c>
      <c r="R95" s="68">
        <v>5.85</v>
      </c>
      <c r="S95" s="68">
        <v>96.408000000000001</v>
      </c>
      <c r="T95" s="219" t="s">
        <v>416</v>
      </c>
      <c r="U95" s="85" t="s">
        <v>1578</v>
      </c>
      <c r="V95" s="85" t="s">
        <v>1032</v>
      </c>
    </row>
    <row r="96" spans="1:22">
      <c r="A96" s="231">
        <f t="shared" si="3"/>
        <v>91</v>
      </c>
      <c r="B96" s="248" t="s">
        <v>1631</v>
      </c>
      <c r="C96" s="283" t="s">
        <v>1702</v>
      </c>
      <c r="D96" s="254" t="s">
        <v>1398</v>
      </c>
      <c r="E96" s="255">
        <v>44792</v>
      </c>
      <c r="F96" s="253" t="s">
        <v>1032</v>
      </c>
      <c r="G96" s="250">
        <v>3.08</v>
      </c>
      <c r="H96" s="250">
        <v>6.15</v>
      </c>
      <c r="I96" s="252">
        <f t="shared" si="4"/>
        <v>18.942</v>
      </c>
      <c r="N96" s="219">
        <v>44761</v>
      </c>
      <c r="O96" s="219" t="s">
        <v>1109</v>
      </c>
      <c r="P96" s="67" t="s">
        <v>1205</v>
      </c>
      <c r="Q96" s="219" t="s">
        <v>673</v>
      </c>
      <c r="R96" s="68">
        <v>5.85</v>
      </c>
      <c r="S96" s="68">
        <v>87.75</v>
      </c>
      <c r="T96" s="219" t="s">
        <v>416</v>
      </c>
      <c r="U96" s="85" t="s">
        <v>1516</v>
      </c>
      <c r="V96" s="85" t="s">
        <v>929</v>
      </c>
    </row>
    <row r="97" spans="1:22">
      <c r="A97" s="231">
        <f t="shared" si="3"/>
        <v>92</v>
      </c>
      <c r="B97" s="248" t="s">
        <v>1631</v>
      </c>
      <c r="C97" s="283" t="s">
        <v>1703</v>
      </c>
      <c r="D97" s="254" t="s">
        <v>242</v>
      </c>
      <c r="E97" s="255">
        <v>44792</v>
      </c>
      <c r="F97" s="253" t="s">
        <v>929</v>
      </c>
      <c r="G97" s="250">
        <v>350</v>
      </c>
      <c r="H97" s="250">
        <v>6.15</v>
      </c>
      <c r="I97" s="252">
        <f t="shared" si="4"/>
        <v>2152.5</v>
      </c>
      <c r="N97" s="219">
        <v>44761</v>
      </c>
      <c r="O97" s="219" t="s">
        <v>1109</v>
      </c>
      <c r="P97" s="67" t="s">
        <v>1205</v>
      </c>
      <c r="Q97" s="219" t="s">
        <v>673</v>
      </c>
      <c r="R97" s="68">
        <v>5.85</v>
      </c>
      <c r="S97" s="68">
        <v>4.2704999999999993</v>
      </c>
      <c r="T97" s="219" t="s">
        <v>416</v>
      </c>
      <c r="U97" s="85" t="s">
        <v>1516</v>
      </c>
      <c r="V97" s="85" t="s">
        <v>1032</v>
      </c>
    </row>
    <row r="98" spans="1:22">
      <c r="A98" s="231">
        <f t="shared" si="3"/>
        <v>93</v>
      </c>
      <c r="B98" s="248" t="s">
        <v>1631</v>
      </c>
      <c r="C98" s="283" t="s">
        <v>1703</v>
      </c>
      <c r="D98" s="254" t="s">
        <v>242</v>
      </c>
      <c r="E98" s="255">
        <v>44792</v>
      </c>
      <c r="F98" s="253" t="s">
        <v>1032</v>
      </c>
      <c r="G98" s="250">
        <v>42.590000000000032</v>
      </c>
      <c r="H98" s="250">
        <v>6.15</v>
      </c>
      <c r="I98" s="252">
        <f t="shared" si="4"/>
        <v>261.92850000000021</v>
      </c>
      <c r="K98" s="260"/>
      <c r="N98" s="219">
        <v>44761</v>
      </c>
      <c r="O98" s="219" t="s">
        <v>1109</v>
      </c>
      <c r="P98" s="67" t="s">
        <v>1224</v>
      </c>
      <c r="Q98" s="219" t="s">
        <v>673</v>
      </c>
      <c r="R98" s="68">
        <v>5.85</v>
      </c>
      <c r="S98" s="68">
        <v>175.5</v>
      </c>
      <c r="T98" s="219" t="s">
        <v>416</v>
      </c>
      <c r="U98" s="85" t="s">
        <v>1579</v>
      </c>
      <c r="V98" s="85" t="s">
        <v>929</v>
      </c>
    </row>
    <row r="99" spans="1:22">
      <c r="A99" s="231">
        <f t="shared" si="3"/>
        <v>94</v>
      </c>
      <c r="B99" s="248" t="s">
        <v>1631</v>
      </c>
      <c r="C99" s="249" t="s">
        <v>1704</v>
      </c>
      <c r="D99" s="254" t="s">
        <v>1398</v>
      </c>
      <c r="E99" s="255">
        <v>44792</v>
      </c>
      <c r="F99" s="253" t="s">
        <v>929</v>
      </c>
      <c r="G99" s="250">
        <v>20</v>
      </c>
      <c r="H99" s="250">
        <v>6.15</v>
      </c>
      <c r="I99" s="252">
        <f t="shared" si="4"/>
        <v>123</v>
      </c>
      <c r="J99" s="260"/>
      <c r="N99" s="219">
        <v>44761</v>
      </c>
      <c r="O99" s="219" t="s">
        <v>1350</v>
      </c>
      <c r="P99" s="67" t="s">
        <v>1397</v>
      </c>
      <c r="Q99" s="219" t="s">
        <v>673</v>
      </c>
      <c r="R99" s="68">
        <v>5.85</v>
      </c>
      <c r="S99" s="68">
        <v>-146.25</v>
      </c>
      <c r="T99" s="219" t="s">
        <v>416</v>
      </c>
      <c r="U99" s="85" t="s">
        <v>1580</v>
      </c>
      <c r="V99" s="85" t="s">
        <v>929</v>
      </c>
    </row>
    <row r="100" spans="1:22">
      <c r="A100" s="231">
        <f t="shared" si="3"/>
        <v>95</v>
      </c>
      <c r="B100" s="248" t="s">
        <v>1634</v>
      </c>
      <c r="C100" s="283" t="s">
        <v>1686</v>
      </c>
      <c r="D100" s="254" t="s">
        <v>1705</v>
      </c>
      <c r="E100" s="255">
        <v>44792</v>
      </c>
      <c r="F100" s="253" t="s">
        <v>929</v>
      </c>
      <c r="G100" s="250">
        <f>34.7+1.3</f>
        <v>36</v>
      </c>
      <c r="H100" s="250">
        <v>6.15</v>
      </c>
      <c r="I100" s="252">
        <f t="shared" si="4"/>
        <v>221.4</v>
      </c>
      <c r="N100" s="219">
        <v>44761</v>
      </c>
      <c r="O100" s="219" t="s">
        <v>1401</v>
      </c>
      <c r="P100" s="67" t="s">
        <v>1403</v>
      </c>
      <c r="Q100" s="219" t="s">
        <v>673</v>
      </c>
      <c r="R100" s="68">
        <v>5.85</v>
      </c>
      <c r="S100" s="68">
        <v>-438.75</v>
      </c>
      <c r="T100" s="219" t="s">
        <v>416</v>
      </c>
      <c r="U100" s="85" t="s">
        <v>1581</v>
      </c>
      <c r="V100" s="85" t="s">
        <v>929</v>
      </c>
    </row>
    <row r="101" spans="1:22">
      <c r="A101" s="231">
        <f t="shared" si="3"/>
        <v>96</v>
      </c>
      <c r="B101" s="248" t="s">
        <v>1634</v>
      </c>
      <c r="C101" s="249" t="s">
        <v>1300</v>
      </c>
      <c r="D101" s="254" t="s">
        <v>1710</v>
      </c>
      <c r="E101" s="255">
        <v>44792</v>
      </c>
      <c r="F101" s="253" t="s">
        <v>929</v>
      </c>
      <c r="G101" s="250">
        <f>8*5.5</f>
        <v>44</v>
      </c>
      <c r="H101" s="250">
        <v>6</v>
      </c>
      <c r="I101" s="252">
        <f t="shared" si="4"/>
        <v>264</v>
      </c>
      <c r="N101" s="219">
        <v>44764</v>
      </c>
      <c r="O101" s="219" t="s">
        <v>1034</v>
      </c>
      <c r="P101" s="67" t="s">
        <v>1402</v>
      </c>
      <c r="Q101" s="219" t="s">
        <v>673</v>
      </c>
      <c r="R101" s="68">
        <v>5.82</v>
      </c>
      <c r="S101" s="68">
        <v>-116.4</v>
      </c>
      <c r="T101" s="219" t="s">
        <v>416</v>
      </c>
      <c r="U101" s="85" t="s">
        <v>1582</v>
      </c>
      <c r="V101" s="85" t="s">
        <v>929</v>
      </c>
    </row>
    <row r="102" spans="1:22">
      <c r="A102" s="231">
        <f t="shared" si="3"/>
        <v>97</v>
      </c>
      <c r="B102" s="248" t="s">
        <v>1634</v>
      </c>
      <c r="C102" s="283" t="s">
        <v>1655</v>
      </c>
      <c r="D102" s="254" t="s">
        <v>1716</v>
      </c>
      <c r="E102" s="255">
        <v>44792</v>
      </c>
      <c r="F102" s="253" t="s">
        <v>929</v>
      </c>
      <c r="G102" s="284">
        <v>100</v>
      </c>
      <c r="H102" s="250">
        <v>6.15</v>
      </c>
      <c r="I102" s="252">
        <f t="shared" si="4"/>
        <v>615</v>
      </c>
      <c r="N102" s="219">
        <v>44764</v>
      </c>
      <c r="O102" s="219" t="s">
        <v>944</v>
      </c>
      <c r="P102" s="67" t="s">
        <v>1402</v>
      </c>
      <c r="Q102" s="219" t="s">
        <v>673</v>
      </c>
      <c r="R102" s="68">
        <v>5.82</v>
      </c>
      <c r="S102" s="68">
        <v>-116.4</v>
      </c>
      <c r="T102" s="219" t="s">
        <v>416</v>
      </c>
      <c r="U102" s="85" t="s">
        <v>1583</v>
      </c>
      <c r="V102" s="85" t="s">
        <v>929</v>
      </c>
    </row>
    <row r="103" spans="1:22">
      <c r="A103" s="231">
        <f t="shared" si="3"/>
        <v>98</v>
      </c>
      <c r="B103" s="248" t="s">
        <v>1631</v>
      </c>
      <c r="C103" s="283" t="s">
        <v>1718</v>
      </c>
      <c r="D103" s="254" t="s">
        <v>237</v>
      </c>
      <c r="E103" s="255">
        <v>44792</v>
      </c>
      <c r="F103" s="257" t="s">
        <v>929</v>
      </c>
      <c r="G103" s="250">
        <v>110</v>
      </c>
      <c r="H103" s="250">
        <v>6.15</v>
      </c>
      <c r="I103" s="252">
        <f t="shared" si="4"/>
        <v>676.5</v>
      </c>
      <c r="N103" s="219">
        <v>44764</v>
      </c>
      <c r="O103" s="219" t="s">
        <v>1033</v>
      </c>
      <c r="P103" s="67" t="s">
        <v>1402</v>
      </c>
      <c r="Q103" s="219" t="s">
        <v>673</v>
      </c>
      <c r="R103" s="68">
        <v>5.82</v>
      </c>
      <c r="S103" s="68">
        <v>-116.4</v>
      </c>
      <c r="T103" s="219" t="s">
        <v>416</v>
      </c>
      <c r="U103" s="85" t="s">
        <v>1584</v>
      </c>
      <c r="V103" s="85" t="s">
        <v>929</v>
      </c>
    </row>
    <row r="104" spans="1:22">
      <c r="A104" s="231">
        <f t="shared" si="3"/>
        <v>99</v>
      </c>
      <c r="B104" s="248" t="s">
        <v>1631</v>
      </c>
      <c r="C104" s="283" t="s">
        <v>1718</v>
      </c>
      <c r="D104" s="254" t="s">
        <v>237</v>
      </c>
      <c r="E104" s="255">
        <v>44792</v>
      </c>
      <c r="F104" s="257" t="s">
        <v>1032</v>
      </c>
      <c r="G104" s="250">
        <v>10.5</v>
      </c>
      <c r="H104" s="250">
        <v>6.15</v>
      </c>
      <c r="I104" s="252">
        <f t="shared" si="4"/>
        <v>64.575000000000003</v>
      </c>
      <c r="N104" s="219">
        <v>44764</v>
      </c>
      <c r="O104" s="219" t="s">
        <v>1138</v>
      </c>
      <c r="P104" s="67" t="s">
        <v>1402</v>
      </c>
      <c r="Q104" s="219" t="s">
        <v>673</v>
      </c>
      <c r="R104" s="68">
        <v>5.82</v>
      </c>
      <c r="S104" s="68">
        <v>-87.300000000000011</v>
      </c>
      <c r="T104" s="219" t="s">
        <v>416</v>
      </c>
      <c r="U104" s="85" t="s">
        <v>1585</v>
      </c>
      <c r="V104" s="85" t="s">
        <v>929</v>
      </c>
    </row>
    <row r="105" spans="1:22">
      <c r="A105" s="231">
        <f t="shared" si="3"/>
        <v>100</v>
      </c>
      <c r="B105" s="248" t="s">
        <v>1631</v>
      </c>
      <c r="C105" s="249" t="s">
        <v>1719</v>
      </c>
      <c r="D105" s="254" t="s">
        <v>821</v>
      </c>
      <c r="E105" s="255">
        <v>44798</v>
      </c>
      <c r="F105" s="253" t="s">
        <v>1032</v>
      </c>
      <c r="G105" s="250">
        <v>363.3</v>
      </c>
      <c r="H105" s="250">
        <v>7.83</v>
      </c>
      <c r="I105" s="252">
        <f t="shared" si="4"/>
        <v>2844.6390000000001</v>
      </c>
      <c r="N105" s="219">
        <v>44764</v>
      </c>
      <c r="O105" s="219" t="s">
        <v>1124</v>
      </c>
      <c r="P105" s="67" t="s">
        <v>1402</v>
      </c>
      <c r="Q105" s="219" t="s">
        <v>673</v>
      </c>
      <c r="R105" s="68">
        <v>5.82</v>
      </c>
      <c r="S105" s="68">
        <v>-465.6</v>
      </c>
      <c r="T105" s="219" t="s">
        <v>416</v>
      </c>
      <c r="U105" s="85" t="s">
        <v>1586</v>
      </c>
      <c r="V105" s="85" t="s">
        <v>929</v>
      </c>
    </row>
    <row r="106" spans="1:22">
      <c r="A106" s="231">
        <f t="shared" si="3"/>
        <v>101</v>
      </c>
      <c r="B106" s="248" t="s">
        <v>1631</v>
      </c>
      <c r="C106" s="249" t="s">
        <v>1720</v>
      </c>
      <c r="D106" s="254" t="s">
        <v>1038</v>
      </c>
      <c r="E106" s="255">
        <v>44792</v>
      </c>
      <c r="F106" s="253" t="s">
        <v>1032</v>
      </c>
      <c r="G106" s="250">
        <v>105.65</v>
      </c>
      <c r="H106" s="250">
        <v>6.3</v>
      </c>
      <c r="I106" s="252">
        <f t="shared" si="4"/>
        <v>665.59500000000003</v>
      </c>
      <c r="J106" s="261"/>
      <c r="N106" s="219">
        <v>44764</v>
      </c>
      <c r="O106" s="219" t="s">
        <v>1125</v>
      </c>
      <c r="P106" s="67" t="s">
        <v>1402</v>
      </c>
      <c r="Q106" s="219" t="s">
        <v>673</v>
      </c>
      <c r="R106" s="68">
        <v>5.82</v>
      </c>
      <c r="S106" s="68">
        <v>-29.1</v>
      </c>
      <c r="T106" s="219" t="s">
        <v>416</v>
      </c>
      <c r="U106" s="85" t="s">
        <v>1587</v>
      </c>
      <c r="V106" s="85" t="s">
        <v>929</v>
      </c>
    </row>
    <row r="107" spans="1:22">
      <c r="A107" s="231">
        <f t="shared" si="3"/>
        <v>102</v>
      </c>
      <c r="B107" s="248" t="s">
        <v>1631</v>
      </c>
      <c r="C107" s="249" t="s">
        <v>1721</v>
      </c>
      <c r="D107" s="254" t="s">
        <v>1038</v>
      </c>
      <c r="E107" s="255">
        <v>44792</v>
      </c>
      <c r="F107" s="253" t="s">
        <v>1032</v>
      </c>
      <c r="G107" s="250">
        <v>55.9</v>
      </c>
      <c r="H107" s="250">
        <v>6.3</v>
      </c>
      <c r="I107" s="252">
        <f t="shared" si="4"/>
        <v>352.16999999999996</v>
      </c>
      <c r="J107" s="260"/>
      <c r="N107" s="219">
        <v>44764</v>
      </c>
      <c r="O107" s="219" t="s">
        <v>1139</v>
      </c>
      <c r="P107" s="67" t="s">
        <v>1402</v>
      </c>
      <c r="Q107" s="219" t="s">
        <v>673</v>
      </c>
      <c r="R107" s="68">
        <v>5.82</v>
      </c>
      <c r="S107" s="68">
        <v>-58.2</v>
      </c>
      <c r="T107" s="219" t="s">
        <v>416</v>
      </c>
      <c r="U107" s="85" t="s">
        <v>1588</v>
      </c>
      <c r="V107" s="85" t="s">
        <v>929</v>
      </c>
    </row>
    <row r="108" spans="1:22">
      <c r="A108" s="231">
        <f t="shared" si="3"/>
        <v>103</v>
      </c>
      <c r="B108" s="248" t="s">
        <v>1631</v>
      </c>
      <c r="C108" s="249" t="s">
        <v>1722</v>
      </c>
      <c r="D108" s="254" t="s">
        <v>1038</v>
      </c>
      <c r="E108" s="255">
        <v>44797</v>
      </c>
      <c r="F108" s="253" t="s">
        <v>1032</v>
      </c>
      <c r="G108" s="250">
        <v>17.600000000000001</v>
      </c>
      <c r="H108" s="250">
        <v>6.3</v>
      </c>
      <c r="I108" s="252">
        <f t="shared" si="4"/>
        <v>110.88000000000001</v>
      </c>
      <c r="J108" s="260"/>
      <c r="N108" s="219">
        <v>44764</v>
      </c>
      <c r="O108" s="219" t="s">
        <v>1065</v>
      </c>
      <c r="P108" s="67" t="s">
        <v>1228</v>
      </c>
      <c r="Q108" s="219" t="s">
        <v>673</v>
      </c>
      <c r="R108" s="68">
        <v>5.86</v>
      </c>
      <c r="S108" s="68">
        <v>234.4</v>
      </c>
      <c r="T108" s="219" t="s">
        <v>416</v>
      </c>
      <c r="U108" s="85" t="s">
        <v>1544</v>
      </c>
      <c r="V108" s="85" t="s">
        <v>1032</v>
      </c>
    </row>
    <row r="109" spans="1:22">
      <c r="A109" s="231">
        <f t="shared" si="3"/>
        <v>104</v>
      </c>
      <c r="B109" s="248" t="s">
        <v>1631</v>
      </c>
      <c r="C109" s="249" t="s">
        <v>1717</v>
      </c>
      <c r="D109" s="254" t="s">
        <v>1038</v>
      </c>
      <c r="E109" s="255">
        <v>44798</v>
      </c>
      <c r="F109" s="255" t="s">
        <v>1032</v>
      </c>
      <c r="G109" s="250">
        <v>120.85</v>
      </c>
      <c r="H109" s="250">
        <v>7.01</v>
      </c>
      <c r="I109" s="252">
        <f t="shared" si="4"/>
        <v>847.15849999999989</v>
      </c>
      <c r="J109" s="260"/>
      <c r="N109" s="219">
        <v>44764</v>
      </c>
      <c r="O109" s="219" t="s">
        <v>1065</v>
      </c>
      <c r="P109" s="67" t="s">
        <v>1404</v>
      </c>
      <c r="Q109" s="219" t="s">
        <v>673</v>
      </c>
      <c r="R109" s="68">
        <v>5.86</v>
      </c>
      <c r="S109" s="68">
        <v>351.6</v>
      </c>
      <c r="T109" s="219" t="s">
        <v>416</v>
      </c>
      <c r="U109" s="85" t="s">
        <v>1589</v>
      </c>
      <c r="V109" s="85" t="s">
        <v>1032</v>
      </c>
    </row>
    <row r="110" spans="1:22">
      <c r="A110" s="231">
        <f t="shared" si="3"/>
        <v>105</v>
      </c>
      <c r="B110" s="248" t="s">
        <v>1634</v>
      </c>
      <c r="C110" s="283" t="s">
        <v>1034</v>
      </c>
      <c r="D110" s="254" t="s">
        <v>1723</v>
      </c>
      <c r="E110" s="255">
        <v>44799</v>
      </c>
      <c r="F110" s="255" t="s">
        <v>1032</v>
      </c>
      <c r="G110" s="284">
        <v>20</v>
      </c>
      <c r="H110" s="250">
        <v>8.5</v>
      </c>
      <c r="I110" s="252">
        <f t="shared" si="4"/>
        <v>170</v>
      </c>
      <c r="J110" s="391"/>
      <c r="N110" s="219">
        <v>44764</v>
      </c>
      <c r="O110" s="219" t="s">
        <v>1083</v>
      </c>
      <c r="P110" s="67" t="s">
        <v>1405</v>
      </c>
      <c r="Q110" s="219" t="s">
        <v>673</v>
      </c>
      <c r="R110" s="68">
        <v>5.86</v>
      </c>
      <c r="S110" s="68">
        <v>163.78700000000001</v>
      </c>
      <c r="T110" s="219" t="s">
        <v>416</v>
      </c>
      <c r="U110" s="85" t="s">
        <v>1590</v>
      </c>
      <c r="V110" s="85" t="s">
        <v>1032</v>
      </c>
    </row>
    <row r="111" spans="1:22">
      <c r="A111" s="231">
        <f t="shared" si="3"/>
        <v>106</v>
      </c>
      <c r="B111" s="248" t="s">
        <v>1634</v>
      </c>
      <c r="C111" s="283" t="s">
        <v>1034</v>
      </c>
      <c r="D111" s="254" t="s">
        <v>1724</v>
      </c>
      <c r="E111" s="255">
        <v>44799</v>
      </c>
      <c r="F111" s="257" t="s">
        <v>1032</v>
      </c>
      <c r="G111" s="250">
        <v>90</v>
      </c>
      <c r="H111" s="250">
        <v>8.5</v>
      </c>
      <c r="I111" s="252">
        <f t="shared" si="4"/>
        <v>765</v>
      </c>
      <c r="J111" s="391"/>
      <c r="N111" s="219">
        <v>44767</v>
      </c>
      <c r="O111" s="219" t="s">
        <v>1015</v>
      </c>
      <c r="P111" s="67" t="s">
        <v>1406</v>
      </c>
      <c r="Q111" s="219" t="s">
        <v>673</v>
      </c>
      <c r="R111" s="68">
        <v>5.86</v>
      </c>
      <c r="S111" s="68">
        <v>152.7116</v>
      </c>
      <c r="T111" s="219" t="s">
        <v>416</v>
      </c>
      <c r="U111" s="85" t="s">
        <v>1591</v>
      </c>
      <c r="V111" s="85" t="s">
        <v>1032</v>
      </c>
    </row>
    <row r="112" spans="1:22">
      <c r="A112" s="231">
        <f t="shared" si="3"/>
        <v>107</v>
      </c>
      <c r="B112" s="248" t="s">
        <v>1634</v>
      </c>
      <c r="C112" s="283" t="s">
        <v>944</v>
      </c>
      <c r="D112" s="254" t="s">
        <v>1723</v>
      </c>
      <c r="E112" s="255">
        <v>44799</v>
      </c>
      <c r="F112" s="257" t="s">
        <v>1032</v>
      </c>
      <c r="G112" s="250">
        <v>20</v>
      </c>
      <c r="H112" s="250">
        <v>8.5</v>
      </c>
      <c r="I112" s="252">
        <f t="shared" ref="I112:I113" si="5">H112*G112</f>
        <v>170</v>
      </c>
      <c r="J112" s="317"/>
      <c r="N112" s="219">
        <v>44767</v>
      </c>
      <c r="O112" s="219" t="s">
        <v>1015</v>
      </c>
      <c r="P112" s="67" t="s">
        <v>1390</v>
      </c>
      <c r="Q112" s="219" t="s">
        <v>673</v>
      </c>
      <c r="R112" s="68">
        <v>5.86</v>
      </c>
      <c r="S112" s="68">
        <v>2461.2000000000003</v>
      </c>
      <c r="T112" s="219" t="s">
        <v>416</v>
      </c>
      <c r="U112" s="85" t="s">
        <v>1574</v>
      </c>
      <c r="V112" s="85" t="s">
        <v>929</v>
      </c>
    </row>
    <row r="113" spans="1:22">
      <c r="A113" s="231">
        <f t="shared" si="3"/>
        <v>108</v>
      </c>
      <c r="B113" s="248" t="s">
        <v>1634</v>
      </c>
      <c r="C113" s="283" t="s">
        <v>944</v>
      </c>
      <c r="D113" s="254" t="s">
        <v>1724</v>
      </c>
      <c r="E113" s="255">
        <v>44799</v>
      </c>
      <c r="F113" s="257" t="s">
        <v>929</v>
      </c>
      <c r="G113" s="250">
        <v>70</v>
      </c>
      <c r="H113" s="250">
        <v>8.5</v>
      </c>
      <c r="I113" s="252">
        <f t="shared" si="5"/>
        <v>595</v>
      </c>
      <c r="J113" s="318"/>
      <c r="N113" s="219">
        <v>44768</v>
      </c>
      <c r="O113" s="219" t="s">
        <v>470</v>
      </c>
      <c r="P113" s="67" t="s">
        <v>1408</v>
      </c>
      <c r="Q113" s="219" t="s">
        <v>673</v>
      </c>
      <c r="R113" s="68">
        <v>5.86</v>
      </c>
      <c r="S113" s="68">
        <v>1089.374</v>
      </c>
      <c r="T113" s="219" t="s">
        <v>416</v>
      </c>
      <c r="U113" s="85" t="s">
        <v>1592</v>
      </c>
      <c r="V113" s="85" t="s">
        <v>1032</v>
      </c>
    </row>
    <row r="114" spans="1:22">
      <c r="A114" s="231">
        <f t="shared" si="3"/>
        <v>109</v>
      </c>
      <c r="B114" s="248" t="s">
        <v>1634</v>
      </c>
      <c r="C114" s="283" t="s">
        <v>1033</v>
      </c>
      <c r="D114" s="254" t="s">
        <v>1723</v>
      </c>
      <c r="E114" s="255">
        <v>44799</v>
      </c>
      <c r="F114" s="257" t="s">
        <v>1032</v>
      </c>
      <c r="G114" s="250">
        <v>20</v>
      </c>
      <c r="H114" s="250">
        <v>8.5</v>
      </c>
      <c r="I114" s="252">
        <f t="shared" si="4"/>
        <v>170</v>
      </c>
      <c r="N114" s="219">
        <v>44768</v>
      </c>
      <c r="O114" s="219" t="s">
        <v>242</v>
      </c>
      <c r="P114" s="67" t="s">
        <v>1407</v>
      </c>
      <c r="Q114" s="219" t="s">
        <v>673</v>
      </c>
      <c r="R114" s="68">
        <v>5.86</v>
      </c>
      <c r="S114" s="68">
        <v>1582.2</v>
      </c>
      <c r="T114" s="219" t="s">
        <v>416</v>
      </c>
      <c r="U114" s="85" t="s">
        <v>1593</v>
      </c>
      <c r="V114" s="85" t="s">
        <v>929</v>
      </c>
    </row>
    <row r="115" spans="1:22">
      <c r="A115" s="231">
        <f t="shared" si="3"/>
        <v>110</v>
      </c>
      <c r="B115" s="248" t="s">
        <v>1634</v>
      </c>
      <c r="C115" s="283" t="s">
        <v>1033</v>
      </c>
      <c r="D115" s="254" t="s">
        <v>1725</v>
      </c>
      <c r="E115" s="255">
        <v>44799</v>
      </c>
      <c r="F115" s="257" t="s">
        <v>1032</v>
      </c>
      <c r="G115" s="250">
        <v>20</v>
      </c>
      <c r="H115" s="250">
        <v>8.5</v>
      </c>
      <c r="I115" s="252">
        <f t="shared" si="4"/>
        <v>170</v>
      </c>
      <c r="J115" s="260"/>
      <c r="N115" s="219">
        <v>44768</v>
      </c>
      <c r="O115" s="219" t="s">
        <v>242</v>
      </c>
      <c r="P115" s="67" t="s">
        <v>1407</v>
      </c>
      <c r="Q115" s="219" t="s">
        <v>673</v>
      </c>
      <c r="R115" s="68">
        <v>5.86</v>
      </c>
      <c r="S115" s="68">
        <v>19.865400000000001</v>
      </c>
      <c r="T115" s="219" t="s">
        <v>416</v>
      </c>
      <c r="U115" s="85" t="s">
        <v>1593</v>
      </c>
      <c r="V115" s="85" t="s">
        <v>1032</v>
      </c>
    </row>
    <row r="116" spans="1:22">
      <c r="A116" s="231">
        <f t="shared" si="3"/>
        <v>111</v>
      </c>
      <c r="B116" s="248" t="s">
        <v>1634</v>
      </c>
      <c r="C116" s="283" t="s">
        <v>1033</v>
      </c>
      <c r="D116" s="254" t="s">
        <v>1726</v>
      </c>
      <c r="E116" s="255">
        <v>44799</v>
      </c>
      <c r="F116" s="257" t="s">
        <v>1032</v>
      </c>
      <c r="G116" s="250">
        <v>40</v>
      </c>
      <c r="H116" s="250">
        <v>8.5</v>
      </c>
      <c r="I116" s="252">
        <f t="shared" ref="I116:I117" si="6">H116*G116</f>
        <v>340</v>
      </c>
      <c r="J116" s="260"/>
      <c r="N116" s="219">
        <v>44768</v>
      </c>
      <c r="O116" s="219" t="s">
        <v>1398</v>
      </c>
      <c r="P116" s="67" t="s">
        <v>1409</v>
      </c>
      <c r="Q116" s="219" t="s">
        <v>673</v>
      </c>
      <c r="R116" s="68">
        <v>5.86</v>
      </c>
      <c r="S116" s="68">
        <v>234.4</v>
      </c>
      <c r="T116" s="219" t="s">
        <v>416</v>
      </c>
      <c r="U116" s="85" t="s">
        <v>1594</v>
      </c>
      <c r="V116" s="85" t="s">
        <v>929</v>
      </c>
    </row>
    <row r="117" spans="1:22">
      <c r="A117" s="231">
        <f t="shared" si="3"/>
        <v>112</v>
      </c>
      <c r="B117" s="248" t="s">
        <v>1634</v>
      </c>
      <c r="C117" s="249" t="s">
        <v>1124</v>
      </c>
      <c r="D117" s="254" t="s">
        <v>1723</v>
      </c>
      <c r="E117" s="255">
        <v>44799</v>
      </c>
      <c r="F117" s="257" t="s">
        <v>1032</v>
      </c>
      <c r="G117" s="250">
        <v>80</v>
      </c>
      <c r="H117" s="250">
        <v>8.5</v>
      </c>
      <c r="I117" s="252">
        <f t="shared" si="6"/>
        <v>680</v>
      </c>
      <c r="J117" s="260"/>
      <c r="N117" s="219">
        <v>44768</v>
      </c>
      <c r="O117" s="219" t="s">
        <v>1398</v>
      </c>
      <c r="P117" s="67" t="s">
        <v>1409</v>
      </c>
      <c r="Q117" s="219" t="s">
        <v>673</v>
      </c>
      <c r="R117" s="68">
        <v>5.86</v>
      </c>
      <c r="S117" s="68">
        <v>36.390599999999999</v>
      </c>
      <c r="T117" s="219" t="s">
        <v>416</v>
      </c>
      <c r="U117" s="85" t="s">
        <v>1594</v>
      </c>
      <c r="V117" s="85" t="s">
        <v>1032</v>
      </c>
    </row>
    <row r="118" spans="1:22">
      <c r="A118" s="231">
        <f t="shared" si="3"/>
        <v>113</v>
      </c>
      <c r="B118" s="248" t="s">
        <v>1634</v>
      </c>
      <c r="C118" s="249" t="s">
        <v>1125</v>
      </c>
      <c r="D118" s="254" t="s">
        <v>1723</v>
      </c>
      <c r="E118" s="255">
        <v>44799</v>
      </c>
      <c r="F118" s="257" t="s">
        <v>1032</v>
      </c>
      <c r="G118" s="250">
        <v>5</v>
      </c>
      <c r="H118" s="250">
        <v>8.5</v>
      </c>
      <c r="I118" s="252">
        <f t="shared" si="4"/>
        <v>42.5</v>
      </c>
      <c r="J118" s="391"/>
      <c r="N118" s="219">
        <v>44768</v>
      </c>
      <c r="O118" s="219" t="s">
        <v>1098</v>
      </c>
      <c r="P118" s="67" t="s">
        <v>1410</v>
      </c>
      <c r="Q118" s="219" t="s">
        <v>673</v>
      </c>
      <c r="R118" s="68">
        <v>5.86</v>
      </c>
      <c r="S118" s="68">
        <v>131.02960000000002</v>
      </c>
      <c r="T118" s="219" t="s">
        <v>416</v>
      </c>
      <c r="U118" s="85" t="s">
        <v>1595</v>
      </c>
      <c r="V118" s="85" t="s">
        <v>1032</v>
      </c>
    </row>
    <row r="119" spans="1:22">
      <c r="A119" s="231">
        <f t="shared" si="3"/>
        <v>114</v>
      </c>
      <c r="B119" s="248" t="s">
        <v>1634</v>
      </c>
      <c r="C119" s="249" t="s">
        <v>1125</v>
      </c>
      <c r="D119" s="254" t="s">
        <v>1724</v>
      </c>
      <c r="E119" s="255">
        <v>44799</v>
      </c>
      <c r="F119" s="257" t="s">
        <v>1032</v>
      </c>
      <c r="G119" s="250">
        <v>25</v>
      </c>
      <c r="H119" s="250">
        <v>8.5</v>
      </c>
      <c r="I119" s="252">
        <f t="shared" si="4"/>
        <v>212.5</v>
      </c>
      <c r="J119" s="392"/>
      <c r="N119" s="219">
        <v>44769</v>
      </c>
      <c r="O119" s="219" t="s">
        <v>1401</v>
      </c>
      <c r="P119" s="67" t="s">
        <v>1411</v>
      </c>
      <c r="Q119" s="219" t="s">
        <v>673</v>
      </c>
      <c r="R119" s="68">
        <v>5.86</v>
      </c>
      <c r="S119" s="68">
        <v>-234.4</v>
      </c>
      <c r="T119" s="219" t="s">
        <v>416</v>
      </c>
      <c r="U119" s="85" t="s">
        <v>1596</v>
      </c>
      <c r="V119" s="85" t="s">
        <v>929</v>
      </c>
    </row>
    <row r="120" spans="1:22">
      <c r="A120" s="231">
        <f t="shared" si="3"/>
        <v>115</v>
      </c>
      <c r="B120" s="248" t="s">
        <v>1634</v>
      </c>
      <c r="C120" s="249" t="s">
        <v>1138</v>
      </c>
      <c r="D120" s="254" t="s">
        <v>1724</v>
      </c>
      <c r="E120" s="255">
        <v>44799</v>
      </c>
      <c r="F120" s="257" t="s">
        <v>1032</v>
      </c>
      <c r="G120" s="250">
        <f>12.5*3</f>
        <v>37.5</v>
      </c>
      <c r="H120" s="250">
        <v>8.5</v>
      </c>
      <c r="I120" s="252">
        <f t="shared" si="4"/>
        <v>318.75</v>
      </c>
      <c r="J120" s="261"/>
      <c r="N120" s="219">
        <v>44769</v>
      </c>
      <c r="O120" s="219" t="s">
        <v>1298</v>
      </c>
      <c r="P120" s="67" t="s">
        <v>1414</v>
      </c>
      <c r="Q120" s="219" t="s">
        <v>673</v>
      </c>
      <c r="R120" s="68">
        <v>5.86</v>
      </c>
      <c r="S120" s="68">
        <v>-117.2</v>
      </c>
      <c r="T120" s="219" t="s">
        <v>416</v>
      </c>
      <c r="U120" s="85" t="s">
        <v>1597</v>
      </c>
      <c r="V120" s="85" t="s">
        <v>929</v>
      </c>
    </row>
    <row r="121" spans="1:22">
      <c r="A121" s="231">
        <f t="shared" si="3"/>
        <v>116</v>
      </c>
      <c r="B121" s="248" t="s">
        <v>1634</v>
      </c>
      <c r="C121" s="249" t="s">
        <v>1139</v>
      </c>
      <c r="D121" s="254" t="s">
        <v>1724</v>
      </c>
      <c r="E121" s="255">
        <v>44799</v>
      </c>
      <c r="F121" s="257" t="s">
        <v>1032</v>
      </c>
      <c r="G121" s="250">
        <f>6.25*3</f>
        <v>18.75</v>
      </c>
      <c r="H121" s="250">
        <v>8.5</v>
      </c>
      <c r="I121" s="252">
        <f t="shared" si="4"/>
        <v>159.375</v>
      </c>
      <c r="J121" s="261"/>
      <c r="K121" s="319"/>
      <c r="N121" s="219">
        <v>44768</v>
      </c>
      <c r="O121" s="219" t="s">
        <v>617</v>
      </c>
      <c r="P121" s="67" t="s">
        <v>1415</v>
      </c>
      <c r="Q121" s="219" t="s">
        <v>673</v>
      </c>
      <c r="R121" s="68">
        <v>5.74</v>
      </c>
      <c r="S121" s="68">
        <v>721.86240000000009</v>
      </c>
      <c r="T121" s="219" t="s">
        <v>416</v>
      </c>
      <c r="U121" s="85" t="s">
        <v>1598</v>
      </c>
      <c r="V121" s="85" t="s">
        <v>929</v>
      </c>
    </row>
    <row r="122" spans="1:22">
      <c r="A122" s="231">
        <f t="shared" si="3"/>
        <v>117</v>
      </c>
      <c r="B122" s="248" t="s">
        <v>1631</v>
      </c>
      <c r="C122" s="310" t="s">
        <v>1727</v>
      </c>
      <c r="D122" s="254" t="s">
        <v>1077</v>
      </c>
      <c r="E122" s="255">
        <v>44799</v>
      </c>
      <c r="F122" s="253" t="s">
        <v>1032</v>
      </c>
      <c r="G122" s="250">
        <v>340</v>
      </c>
      <c r="H122" s="250">
        <v>7.84</v>
      </c>
      <c r="I122" s="252">
        <f t="shared" si="4"/>
        <v>2665.6</v>
      </c>
      <c r="N122" s="219">
        <v>44769</v>
      </c>
      <c r="O122" s="219" t="s">
        <v>617</v>
      </c>
      <c r="P122" s="67" t="s">
        <v>1413</v>
      </c>
      <c r="Q122" s="219" t="s">
        <v>673</v>
      </c>
      <c r="R122" s="68">
        <v>5.74</v>
      </c>
      <c r="S122" s="68">
        <v>2298.5255999999999</v>
      </c>
      <c r="T122" s="219" t="s">
        <v>416</v>
      </c>
      <c r="U122" s="85" t="s">
        <v>1599</v>
      </c>
      <c r="V122" s="85" t="s">
        <v>929</v>
      </c>
    </row>
    <row r="123" spans="1:22">
      <c r="A123" s="231">
        <f t="shared" si="3"/>
        <v>118</v>
      </c>
      <c r="B123" s="248" t="s">
        <v>1631</v>
      </c>
      <c r="C123" s="249" t="s">
        <v>1728</v>
      </c>
      <c r="D123" s="256" t="s">
        <v>1696</v>
      </c>
      <c r="E123" s="255">
        <v>44792</v>
      </c>
      <c r="F123" s="253" t="s">
        <v>1032</v>
      </c>
      <c r="G123" s="250">
        <v>83.85</v>
      </c>
      <c r="H123" s="250">
        <v>6.2960000000000003</v>
      </c>
      <c r="I123" s="252">
        <f t="shared" si="4"/>
        <v>527.91959999999995</v>
      </c>
      <c r="J123" s="260"/>
      <c r="N123" s="219">
        <v>44770</v>
      </c>
      <c r="O123" s="219" t="s">
        <v>1416</v>
      </c>
      <c r="P123" s="67" t="s">
        <v>1417</v>
      </c>
      <c r="Q123" s="219" t="s">
        <v>673</v>
      </c>
      <c r="R123" s="68">
        <v>5.74</v>
      </c>
      <c r="S123" s="68">
        <v>-2296</v>
      </c>
      <c r="T123" s="219" t="s">
        <v>416</v>
      </c>
      <c r="U123" s="85" t="s">
        <v>1600</v>
      </c>
      <c r="V123" s="85" t="s">
        <v>929</v>
      </c>
    </row>
    <row r="124" spans="1:22">
      <c r="A124" s="231">
        <f t="shared" si="3"/>
        <v>119</v>
      </c>
      <c r="B124" s="248" t="s">
        <v>1631</v>
      </c>
      <c r="C124" s="249" t="s">
        <v>1406</v>
      </c>
      <c r="D124" s="256" t="s">
        <v>1015</v>
      </c>
      <c r="E124" s="255">
        <v>44799</v>
      </c>
      <c r="F124" s="253" t="s">
        <v>1032</v>
      </c>
      <c r="G124" s="250">
        <v>39.96</v>
      </c>
      <c r="H124" s="250">
        <v>7.84</v>
      </c>
      <c r="I124" s="252">
        <f t="shared" si="4"/>
        <v>313.28640000000001</v>
      </c>
      <c r="N124" s="219">
        <v>44770</v>
      </c>
      <c r="O124" s="219" t="s">
        <v>1416</v>
      </c>
      <c r="P124" s="67" t="s">
        <v>1418</v>
      </c>
      <c r="Q124" s="219" t="s">
        <v>673</v>
      </c>
      <c r="R124" s="68">
        <v>5.74</v>
      </c>
      <c r="S124" s="68">
        <v>-229.60000000000002</v>
      </c>
      <c r="T124" s="219" t="s">
        <v>416</v>
      </c>
      <c r="U124" s="85" t="s">
        <v>1601</v>
      </c>
      <c r="V124" s="85" t="s">
        <v>929</v>
      </c>
    </row>
    <row r="125" spans="1:22">
      <c r="A125" s="231">
        <f t="shared" si="3"/>
        <v>120</v>
      </c>
      <c r="B125" s="248" t="s">
        <v>1631</v>
      </c>
      <c r="C125" s="249" t="s">
        <v>1453</v>
      </c>
      <c r="D125" s="256" t="s">
        <v>1096</v>
      </c>
      <c r="E125" s="255">
        <v>44799</v>
      </c>
      <c r="F125" s="255" t="s">
        <v>1032</v>
      </c>
      <c r="G125" s="250">
        <v>36.06</v>
      </c>
      <c r="H125" s="250">
        <v>7.84</v>
      </c>
      <c r="I125" s="252">
        <f t="shared" si="4"/>
        <v>282.71039999999999</v>
      </c>
      <c r="N125" s="219">
        <v>44770</v>
      </c>
      <c r="O125" s="219" t="s">
        <v>693</v>
      </c>
      <c r="P125" s="67" t="s">
        <v>1419</v>
      </c>
      <c r="Q125" s="219" t="s">
        <v>673</v>
      </c>
      <c r="R125" s="68">
        <v>5.89</v>
      </c>
      <c r="S125" s="68">
        <v>294.5</v>
      </c>
      <c r="T125" s="219" t="s">
        <v>416</v>
      </c>
      <c r="U125" s="85" t="s">
        <v>1602</v>
      </c>
      <c r="V125" s="85" t="s">
        <v>929</v>
      </c>
    </row>
    <row r="126" spans="1:22">
      <c r="A126" s="231">
        <f t="shared" si="3"/>
        <v>121</v>
      </c>
      <c r="B126" s="248" t="s">
        <v>1631</v>
      </c>
      <c r="C126" s="249" t="s">
        <v>1729</v>
      </c>
      <c r="D126" s="256" t="s">
        <v>850</v>
      </c>
      <c r="E126" s="255">
        <v>44799</v>
      </c>
      <c r="F126" s="255" t="s">
        <v>929</v>
      </c>
      <c r="G126" s="250">
        <v>391.3</v>
      </c>
      <c r="H126" s="250">
        <v>7.84</v>
      </c>
      <c r="I126" s="252">
        <f t="shared" si="4"/>
        <v>3067.7919999999999</v>
      </c>
      <c r="N126" s="219">
        <v>44770</v>
      </c>
      <c r="O126" s="219" t="s">
        <v>693</v>
      </c>
      <c r="P126" s="67" t="s">
        <v>1419</v>
      </c>
      <c r="Q126" s="219" t="s">
        <v>673</v>
      </c>
      <c r="R126" s="68">
        <v>5.89</v>
      </c>
      <c r="S126" s="68">
        <v>34.750999999999998</v>
      </c>
      <c r="T126" s="219" t="s">
        <v>416</v>
      </c>
      <c r="U126" s="85" t="s">
        <v>1602</v>
      </c>
      <c r="V126" s="85" t="s">
        <v>1032</v>
      </c>
    </row>
    <row r="127" spans="1:22">
      <c r="A127" s="231">
        <f t="shared" si="3"/>
        <v>122</v>
      </c>
      <c r="B127" s="248" t="s">
        <v>1634</v>
      </c>
      <c r="C127" s="283" t="s">
        <v>1300</v>
      </c>
      <c r="D127" s="254" t="s">
        <v>1730</v>
      </c>
      <c r="E127" s="255">
        <v>44799</v>
      </c>
      <c r="F127" s="257" t="s">
        <v>929</v>
      </c>
      <c r="G127" s="250">
        <f>60*5.5</f>
        <v>330</v>
      </c>
      <c r="H127" s="250">
        <v>7.84</v>
      </c>
      <c r="I127" s="252">
        <f t="shared" si="4"/>
        <v>2587.1999999999998</v>
      </c>
      <c r="N127" s="219">
        <v>44771</v>
      </c>
      <c r="O127" s="219" t="s">
        <v>944</v>
      </c>
      <c r="P127" s="67" t="s">
        <v>1420</v>
      </c>
      <c r="Q127" s="219" t="s">
        <v>673</v>
      </c>
      <c r="R127" s="68">
        <v>5.89</v>
      </c>
      <c r="S127" s="68">
        <v>-117.8</v>
      </c>
      <c r="T127" s="219" t="s">
        <v>416</v>
      </c>
      <c r="U127" s="85" t="s">
        <v>1603</v>
      </c>
      <c r="V127" s="85" t="s">
        <v>929</v>
      </c>
    </row>
    <row r="128" spans="1:22">
      <c r="A128" s="231">
        <f t="shared" si="3"/>
        <v>123</v>
      </c>
      <c r="B128" s="248" t="s">
        <v>1634</v>
      </c>
      <c r="C128" s="283" t="s">
        <v>1655</v>
      </c>
      <c r="D128" s="320" t="s">
        <v>1731</v>
      </c>
      <c r="E128" s="255">
        <v>44799</v>
      </c>
      <c r="F128" s="257" t="s">
        <v>929</v>
      </c>
      <c r="G128" s="250">
        <v>100</v>
      </c>
      <c r="H128" s="250">
        <v>7.84</v>
      </c>
      <c r="I128" s="252">
        <f t="shared" si="2"/>
        <v>784</v>
      </c>
      <c r="N128" s="219">
        <v>44771</v>
      </c>
      <c r="O128" s="219" t="s">
        <v>944</v>
      </c>
      <c r="P128" s="67" t="s">
        <v>1421</v>
      </c>
      <c r="Q128" s="219" t="s">
        <v>673</v>
      </c>
      <c r="R128" s="68">
        <v>5.89</v>
      </c>
      <c r="S128" s="68">
        <v>-1060.2</v>
      </c>
      <c r="T128" s="219" t="s">
        <v>416</v>
      </c>
      <c r="U128" s="85" t="s">
        <v>1604</v>
      </c>
      <c r="V128" s="85" t="s">
        <v>929</v>
      </c>
    </row>
    <row r="129" spans="1:22">
      <c r="A129" s="231">
        <f t="shared" si="3"/>
        <v>124</v>
      </c>
      <c r="B129" s="248" t="s">
        <v>1634</v>
      </c>
      <c r="C129" s="283" t="s">
        <v>1655</v>
      </c>
      <c r="D129" s="320" t="s">
        <v>1731</v>
      </c>
      <c r="E129" s="255">
        <v>44802</v>
      </c>
      <c r="F129" s="257" t="s">
        <v>929</v>
      </c>
      <c r="G129" s="250">
        <v>50</v>
      </c>
      <c r="H129" s="250">
        <v>7.85</v>
      </c>
      <c r="I129" s="252">
        <f t="shared" si="2"/>
        <v>392.5</v>
      </c>
      <c r="N129" s="219">
        <v>44771</v>
      </c>
      <c r="O129" s="219" t="s">
        <v>1034</v>
      </c>
      <c r="P129" s="67" t="s">
        <v>1420</v>
      </c>
      <c r="Q129" s="219" t="s">
        <v>673</v>
      </c>
      <c r="R129" s="68">
        <v>5.89</v>
      </c>
      <c r="S129" s="68">
        <v>-117.8</v>
      </c>
      <c r="T129" s="219" t="s">
        <v>416</v>
      </c>
      <c r="U129" s="85" t="s">
        <v>1605</v>
      </c>
      <c r="V129" s="85" t="s">
        <v>929</v>
      </c>
    </row>
    <row r="130" spans="1:22">
      <c r="A130" s="231">
        <f t="shared" si="3"/>
        <v>125</v>
      </c>
      <c r="B130" s="248" t="s">
        <v>1631</v>
      </c>
      <c r="C130" s="283" t="s">
        <v>1704</v>
      </c>
      <c r="D130" s="254" t="s">
        <v>1398</v>
      </c>
      <c r="E130" s="255">
        <v>44802</v>
      </c>
      <c r="F130" s="257" t="s">
        <v>929</v>
      </c>
      <c r="G130" s="250">
        <v>15.200000000000003</v>
      </c>
      <c r="H130" s="250">
        <v>7.85</v>
      </c>
      <c r="I130" s="252">
        <f t="shared" si="2"/>
        <v>119.32000000000002</v>
      </c>
      <c r="J130" s="261"/>
      <c r="N130" s="219">
        <v>44771</v>
      </c>
      <c r="O130" s="219" t="s">
        <v>1034</v>
      </c>
      <c r="P130" s="67" t="s">
        <v>1421</v>
      </c>
      <c r="Q130" s="219" t="s">
        <v>673</v>
      </c>
      <c r="R130" s="68">
        <v>5.89</v>
      </c>
      <c r="S130" s="68">
        <v>-1089.6499999999999</v>
      </c>
      <c r="T130" s="219" t="s">
        <v>416</v>
      </c>
      <c r="U130" s="85" t="s">
        <v>1606</v>
      </c>
      <c r="V130" s="85" t="s">
        <v>929</v>
      </c>
    </row>
    <row r="131" spans="1:22">
      <c r="A131" s="231">
        <f t="shared" si="3"/>
        <v>126</v>
      </c>
      <c r="B131" s="248" t="s">
        <v>1631</v>
      </c>
      <c r="C131" s="283" t="s">
        <v>1732</v>
      </c>
      <c r="D131" s="254" t="s">
        <v>1398</v>
      </c>
      <c r="E131" s="255">
        <v>44802</v>
      </c>
      <c r="F131" s="257" t="s">
        <v>929</v>
      </c>
      <c r="G131" s="250">
        <v>34.5</v>
      </c>
      <c r="H131" s="250">
        <v>7.85</v>
      </c>
      <c r="I131" s="252">
        <f t="shared" si="2"/>
        <v>270.82499999999999</v>
      </c>
      <c r="N131" s="219">
        <v>44771</v>
      </c>
      <c r="O131" s="219" t="s">
        <v>1034</v>
      </c>
      <c r="P131" s="67" t="s">
        <v>1422</v>
      </c>
      <c r="Q131" s="219" t="s">
        <v>673</v>
      </c>
      <c r="R131" s="68">
        <v>5.89</v>
      </c>
      <c r="S131" s="68">
        <v>-530.1</v>
      </c>
      <c r="T131" s="219" t="s">
        <v>416</v>
      </c>
      <c r="U131" s="85" t="s">
        <v>1607</v>
      </c>
      <c r="V131" s="85" t="s">
        <v>929</v>
      </c>
    </row>
    <row r="132" spans="1:22">
      <c r="A132" s="231">
        <f t="shared" si="3"/>
        <v>127</v>
      </c>
      <c r="B132" s="248" t="s">
        <v>1631</v>
      </c>
      <c r="C132" s="283" t="s">
        <v>1733</v>
      </c>
      <c r="D132" s="254" t="s">
        <v>850</v>
      </c>
      <c r="E132" s="255">
        <v>44802</v>
      </c>
      <c r="F132" s="257" t="s">
        <v>929</v>
      </c>
      <c r="G132" s="250">
        <v>65</v>
      </c>
      <c r="H132" s="250">
        <v>7.85</v>
      </c>
      <c r="I132" s="252">
        <f t="shared" si="2"/>
        <v>510.25</v>
      </c>
      <c r="N132" s="219">
        <v>44771</v>
      </c>
      <c r="O132" s="219" t="s">
        <v>1033</v>
      </c>
      <c r="P132" s="67" t="s">
        <v>1420</v>
      </c>
      <c r="Q132" s="219" t="s">
        <v>673</v>
      </c>
      <c r="R132" s="68">
        <v>5.89</v>
      </c>
      <c r="S132" s="68">
        <v>-117.8</v>
      </c>
      <c r="T132" s="219" t="s">
        <v>416</v>
      </c>
      <c r="U132" s="85" t="s">
        <v>1608</v>
      </c>
      <c r="V132" s="85" t="s">
        <v>929</v>
      </c>
    </row>
    <row r="133" spans="1:22">
      <c r="A133" s="231">
        <f t="shared" si="3"/>
        <v>128</v>
      </c>
      <c r="B133" s="248" t="s">
        <v>1631</v>
      </c>
      <c r="C133" s="283" t="s">
        <v>1733</v>
      </c>
      <c r="D133" s="254" t="s">
        <v>850</v>
      </c>
      <c r="E133" s="255">
        <v>44802</v>
      </c>
      <c r="F133" s="257" t="s">
        <v>1032</v>
      </c>
      <c r="G133" s="250">
        <v>7.3</v>
      </c>
      <c r="H133" s="250">
        <v>7.85</v>
      </c>
      <c r="I133" s="252">
        <f t="shared" si="2"/>
        <v>57.304999999999993</v>
      </c>
      <c r="N133" s="219">
        <v>44771</v>
      </c>
      <c r="O133" s="219" t="s">
        <v>1033</v>
      </c>
      <c r="P133" s="67" t="s">
        <v>1421</v>
      </c>
      <c r="Q133" s="219" t="s">
        <v>673</v>
      </c>
      <c r="R133" s="68">
        <v>5.89</v>
      </c>
      <c r="S133" s="68">
        <v>-618.44999999999993</v>
      </c>
      <c r="T133" s="219" t="s">
        <v>416</v>
      </c>
      <c r="U133" s="85" t="s">
        <v>1609</v>
      </c>
      <c r="V133" s="85" t="s">
        <v>929</v>
      </c>
    </row>
    <row r="134" spans="1:22" ht="14.25" customHeight="1">
      <c r="A134" s="231">
        <f t="shared" si="3"/>
        <v>129</v>
      </c>
      <c r="B134" s="248" t="s">
        <v>1631</v>
      </c>
      <c r="C134" s="283" t="s">
        <v>1734</v>
      </c>
      <c r="D134" s="254" t="s">
        <v>242</v>
      </c>
      <c r="E134" s="255">
        <v>44798</v>
      </c>
      <c r="F134" s="257" t="s">
        <v>1032</v>
      </c>
      <c r="G134" s="250">
        <v>109.2</v>
      </c>
      <c r="H134" s="250">
        <v>7.84</v>
      </c>
      <c r="I134" s="252">
        <f t="shared" ref="I134:I197" si="7">H134*G134</f>
        <v>856.12800000000004</v>
      </c>
      <c r="N134" s="219">
        <v>44771</v>
      </c>
      <c r="O134" s="219" t="s">
        <v>1033</v>
      </c>
      <c r="P134" s="67" t="s">
        <v>1423</v>
      </c>
      <c r="Q134" s="219" t="s">
        <v>673</v>
      </c>
      <c r="R134" s="68">
        <v>5.89</v>
      </c>
      <c r="S134" s="68">
        <v>-176.7</v>
      </c>
      <c r="T134" s="219" t="s">
        <v>416</v>
      </c>
      <c r="U134" s="85" t="s">
        <v>1610</v>
      </c>
      <c r="V134" s="85" t="s">
        <v>929</v>
      </c>
    </row>
    <row r="135" spans="1:22" ht="14.25" customHeight="1">
      <c r="A135" s="231">
        <f t="shared" si="3"/>
        <v>130</v>
      </c>
      <c r="B135" s="248" t="s">
        <v>1631</v>
      </c>
      <c r="C135" s="249" t="s">
        <v>1735</v>
      </c>
      <c r="D135" s="254" t="s">
        <v>470</v>
      </c>
      <c r="E135" s="255">
        <v>44797</v>
      </c>
      <c r="F135" s="257" t="s">
        <v>1032</v>
      </c>
      <c r="G135" s="250">
        <v>191</v>
      </c>
      <c r="H135" s="250">
        <v>7</v>
      </c>
      <c r="I135" s="252">
        <f t="shared" si="7"/>
        <v>1337</v>
      </c>
      <c r="K135" s="85">
        <f>1333.99/7</f>
        <v>190.57</v>
      </c>
      <c r="N135" s="219">
        <v>44771</v>
      </c>
      <c r="O135" s="219" t="s">
        <v>1138</v>
      </c>
      <c r="P135" s="67" t="s">
        <v>1420</v>
      </c>
      <c r="Q135" s="219" t="s">
        <v>673</v>
      </c>
      <c r="R135" s="68">
        <v>5.89</v>
      </c>
      <c r="S135" s="68">
        <v>-88.35</v>
      </c>
      <c r="T135" s="219" t="s">
        <v>416</v>
      </c>
      <c r="U135" s="85" t="s">
        <v>1611</v>
      </c>
      <c r="V135" s="85" t="s">
        <v>929</v>
      </c>
    </row>
    <row r="136" spans="1:22" ht="14.25" customHeight="1">
      <c r="A136" s="231">
        <f t="shared" ref="A136:A199" si="8">+A135+1</f>
        <v>131</v>
      </c>
      <c r="B136" s="248" t="s">
        <v>1631</v>
      </c>
      <c r="C136" s="249" t="s">
        <v>1735</v>
      </c>
      <c r="D136" s="254" t="s">
        <v>470</v>
      </c>
      <c r="E136" s="255">
        <v>44797</v>
      </c>
      <c r="F136" s="257" t="s">
        <v>929</v>
      </c>
      <c r="G136" s="250">
        <v>50</v>
      </c>
      <c r="H136" s="250">
        <v>7</v>
      </c>
      <c r="I136" s="252">
        <f t="shared" si="7"/>
        <v>350</v>
      </c>
      <c r="N136" s="219">
        <v>44771</v>
      </c>
      <c r="O136" s="219" t="s">
        <v>1138</v>
      </c>
      <c r="P136" s="67" t="s">
        <v>1421</v>
      </c>
      <c r="Q136" s="219" t="s">
        <v>673</v>
      </c>
      <c r="R136" s="68">
        <v>5.89</v>
      </c>
      <c r="S136" s="68">
        <v>-1060.2</v>
      </c>
      <c r="T136" s="219" t="s">
        <v>416</v>
      </c>
      <c r="U136" s="85" t="s">
        <v>1612</v>
      </c>
      <c r="V136" s="85" t="s">
        <v>929</v>
      </c>
    </row>
    <row r="137" spans="1:22" ht="14.25" customHeight="1">
      <c r="A137" s="231">
        <f t="shared" si="8"/>
        <v>132</v>
      </c>
      <c r="B137" s="248" t="s">
        <v>1631</v>
      </c>
      <c r="C137" s="249" t="s">
        <v>1736</v>
      </c>
      <c r="D137" s="254" t="s">
        <v>476</v>
      </c>
      <c r="E137" s="255">
        <v>44797</v>
      </c>
      <c r="F137" s="257" t="s">
        <v>929</v>
      </c>
      <c r="G137" s="250">
        <v>70</v>
      </c>
      <c r="H137" s="250">
        <v>7.21</v>
      </c>
      <c r="I137" s="252">
        <f t="shared" si="7"/>
        <v>504.7</v>
      </c>
      <c r="N137" s="219">
        <v>44771</v>
      </c>
      <c r="O137" s="219" t="s">
        <v>1138</v>
      </c>
      <c r="P137" s="67" t="s">
        <v>1423</v>
      </c>
      <c r="Q137" s="219" t="s">
        <v>673</v>
      </c>
      <c r="R137" s="68">
        <v>5.89</v>
      </c>
      <c r="S137" s="68">
        <v>-176.7</v>
      </c>
      <c r="T137" s="219" t="s">
        <v>416</v>
      </c>
      <c r="U137" s="85" t="s">
        <v>1613</v>
      </c>
      <c r="V137" s="85" t="s">
        <v>929</v>
      </c>
    </row>
    <row r="138" spans="1:22" ht="14.25" customHeight="1">
      <c r="A138" s="231">
        <f t="shared" si="8"/>
        <v>133</v>
      </c>
      <c r="B138" s="248" t="s">
        <v>1631</v>
      </c>
      <c r="C138" s="249" t="s">
        <v>1736</v>
      </c>
      <c r="D138" s="254" t="s">
        <v>476</v>
      </c>
      <c r="E138" s="255">
        <v>44797</v>
      </c>
      <c r="F138" s="257" t="s">
        <v>1032</v>
      </c>
      <c r="G138" s="250">
        <v>8</v>
      </c>
      <c r="H138" s="250">
        <v>7.21</v>
      </c>
      <c r="I138" s="252">
        <f t="shared" si="7"/>
        <v>57.68</v>
      </c>
      <c r="N138" s="219">
        <v>44771</v>
      </c>
      <c r="O138" s="219" t="s">
        <v>1139</v>
      </c>
      <c r="P138" s="67" t="s">
        <v>1420</v>
      </c>
      <c r="Q138" s="219" t="s">
        <v>673</v>
      </c>
      <c r="R138" s="68">
        <v>5.89</v>
      </c>
      <c r="S138" s="68">
        <v>-58.9</v>
      </c>
      <c r="T138" s="219" t="s">
        <v>416</v>
      </c>
      <c r="U138" s="85" t="s">
        <v>1614</v>
      </c>
      <c r="V138" s="85" t="s">
        <v>929</v>
      </c>
    </row>
    <row r="139" spans="1:22" ht="14.25" customHeight="1">
      <c r="A139" s="231">
        <f t="shared" si="8"/>
        <v>134</v>
      </c>
      <c r="B139" s="248" t="s">
        <v>1631</v>
      </c>
      <c r="C139" s="249" t="s">
        <v>1737</v>
      </c>
      <c r="D139" s="254" t="s">
        <v>301</v>
      </c>
      <c r="E139" s="255">
        <v>44793</v>
      </c>
      <c r="F139" s="257" t="s">
        <v>1032</v>
      </c>
      <c r="G139" s="250">
        <v>39.130000000000003</v>
      </c>
      <c r="H139" s="250">
        <v>6.2</v>
      </c>
      <c r="I139" s="252">
        <f t="shared" si="7"/>
        <v>242.60600000000002</v>
      </c>
      <c r="N139" s="219">
        <v>44771</v>
      </c>
      <c r="O139" s="219" t="s">
        <v>1139</v>
      </c>
      <c r="P139" s="67" t="s">
        <v>1421</v>
      </c>
      <c r="Q139" s="219" t="s">
        <v>673</v>
      </c>
      <c r="R139" s="68">
        <v>5.89</v>
      </c>
      <c r="S139" s="68">
        <v>-530.1</v>
      </c>
      <c r="T139" s="219" t="s">
        <v>416</v>
      </c>
      <c r="U139" s="85" t="s">
        <v>1615</v>
      </c>
      <c r="V139" s="85" t="s">
        <v>929</v>
      </c>
    </row>
    <row r="140" spans="1:22" ht="14.25" customHeight="1">
      <c r="A140" s="231">
        <f t="shared" si="8"/>
        <v>135</v>
      </c>
      <c r="B140" s="248"/>
      <c r="C140" s="249"/>
      <c r="D140" s="254"/>
      <c r="E140" s="255"/>
      <c r="F140" s="257"/>
      <c r="G140" s="250"/>
      <c r="H140" s="250"/>
      <c r="I140" s="252">
        <f t="shared" si="7"/>
        <v>0</v>
      </c>
      <c r="N140" s="219">
        <v>44771</v>
      </c>
      <c r="O140" s="219" t="s">
        <v>1139</v>
      </c>
      <c r="P140" s="67" t="s">
        <v>1423</v>
      </c>
      <c r="Q140" s="219" t="s">
        <v>673</v>
      </c>
      <c r="R140" s="68">
        <v>5.89</v>
      </c>
      <c r="S140" s="68">
        <v>-147.25</v>
      </c>
      <c r="T140" s="219" t="s">
        <v>416</v>
      </c>
      <c r="U140" s="85" t="s">
        <v>1616</v>
      </c>
      <c r="V140" s="85" t="s">
        <v>929</v>
      </c>
    </row>
    <row r="141" spans="1:22" ht="14.25" customHeight="1">
      <c r="A141" s="231">
        <f t="shared" si="8"/>
        <v>136</v>
      </c>
      <c r="B141" s="248"/>
      <c r="C141" s="249"/>
      <c r="D141" s="254"/>
      <c r="E141" s="255"/>
      <c r="F141" s="257"/>
      <c r="G141" s="250"/>
      <c r="H141" s="250"/>
      <c r="I141" s="252">
        <f t="shared" si="7"/>
        <v>0</v>
      </c>
      <c r="N141" s="219">
        <v>44771</v>
      </c>
      <c r="O141" s="219" t="s">
        <v>1125</v>
      </c>
      <c r="P141" s="67" t="s">
        <v>1420</v>
      </c>
      <c r="Q141" s="219" t="s">
        <v>673</v>
      </c>
      <c r="R141" s="68">
        <v>5.89</v>
      </c>
      <c r="S141" s="68">
        <v>-29.45</v>
      </c>
      <c r="T141" s="219" t="s">
        <v>416</v>
      </c>
      <c r="U141" s="85" t="s">
        <v>1617</v>
      </c>
      <c r="V141" s="85" t="s">
        <v>929</v>
      </c>
    </row>
    <row r="142" spans="1:22" ht="14.25" customHeight="1">
      <c r="A142" s="231">
        <f t="shared" si="8"/>
        <v>137</v>
      </c>
      <c r="B142" s="248"/>
      <c r="C142" s="249"/>
      <c r="D142" s="254"/>
      <c r="E142" s="255"/>
      <c r="F142" s="257"/>
      <c r="G142" s="250"/>
      <c r="H142" s="250"/>
      <c r="I142" s="252">
        <f t="shared" si="7"/>
        <v>0</v>
      </c>
      <c r="K142" s="85" t="s">
        <v>1424</v>
      </c>
      <c r="N142" s="219">
        <v>44771</v>
      </c>
      <c r="O142" s="219" t="s">
        <v>1125</v>
      </c>
      <c r="P142" s="67" t="s">
        <v>1421</v>
      </c>
      <c r="Q142" s="219" t="s">
        <v>673</v>
      </c>
      <c r="R142" s="68">
        <v>5.89</v>
      </c>
      <c r="S142" s="68">
        <v>-530.1</v>
      </c>
      <c r="T142" s="219" t="s">
        <v>416</v>
      </c>
      <c r="U142" s="85" t="s">
        <v>1618</v>
      </c>
      <c r="V142" s="85" t="s">
        <v>929</v>
      </c>
    </row>
    <row r="143" spans="1:22">
      <c r="A143" s="231">
        <f t="shared" si="8"/>
        <v>138</v>
      </c>
      <c r="B143" s="248"/>
      <c r="C143" s="249"/>
      <c r="D143" s="254"/>
      <c r="E143" s="255"/>
      <c r="F143" s="257"/>
      <c r="G143" s="250"/>
      <c r="H143" s="250"/>
      <c r="I143" s="252">
        <f t="shared" si="7"/>
        <v>0</v>
      </c>
      <c r="L143" s="85" t="s">
        <v>1425</v>
      </c>
      <c r="M143" s="85" t="s">
        <v>1426</v>
      </c>
      <c r="N143" s="219">
        <v>44771</v>
      </c>
      <c r="O143" s="219" t="s">
        <v>1125</v>
      </c>
      <c r="P143" s="67" t="s">
        <v>1423</v>
      </c>
      <c r="Q143" s="219" t="s">
        <v>673</v>
      </c>
      <c r="R143" s="68">
        <v>5.89</v>
      </c>
      <c r="S143" s="68">
        <v>-147.25</v>
      </c>
      <c r="T143" s="219" t="s">
        <v>416</v>
      </c>
      <c r="U143" s="85" t="s">
        <v>1619</v>
      </c>
      <c r="V143" s="85" t="s">
        <v>929</v>
      </c>
    </row>
    <row r="144" spans="1:22">
      <c r="A144" s="231">
        <f t="shared" si="8"/>
        <v>139</v>
      </c>
      <c r="B144" s="248"/>
      <c r="C144" s="249"/>
      <c r="D144" s="254"/>
      <c r="E144" s="255"/>
      <c r="F144" s="257"/>
      <c r="G144" s="250"/>
      <c r="H144" s="250"/>
      <c r="I144" s="252">
        <f t="shared" si="7"/>
        <v>0</v>
      </c>
      <c r="K144" s="85" t="s">
        <v>944</v>
      </c>
      <c r="L144" s="261">
        <f>SUM(G127:G128)</f>
        <v>430</v>
      </c>
      <c r="M144" s="85">
        <v>10</v>
      </c>
      <c r="N144" s="219">
        <v>44771</v>
      </c>
      <c r="O144" s="219" t="s">
        <v>1124</v>
      </c>
      <c r="P144" s="67" t="s">
        <v>1420</v>
      </c>
      <c r="Q144" s="68" t="s">
        <v>673</v>
      </c>
      <c r="R144" s="68">
        <v>5.89</v>
      </c>
      <c r="S144" s="68">
        <v>-471.2</v>
      </c>
      <c r="T144" s="219" t="s">
        <v>416</v>
      </c>
      <c r="U144" s="85" t="s">
        <v>1620</v>
      </c>
      <c r="V144" s="85" t="s">
        <v>929</v>
      </c>
    </row>
    <row r="145" spans="1:22">
      <c r="A145" s="231">
        <f t="shared" si="8"/>
        <v>140</v>
      </c>
      <c r="B145" s="248"/>
      <c r="C145" s="283"/>
      <c r="D145" s="254"/>
      <c r="E145" s="255"/>
      <c r="F145" s="257"/>
      <c r="G145" s="250"/>
      <c r="H145" s="250"/>
      <c r="I145" s="252">
        <f t="shared" si="7"/>
        <v>0</v>
      </c>
      <c r="K145" s="308" t="s">
        <v>1034</v>
      </c>
      <c r="L145" s="261">
        <f>SUM(G129:G131)</f>
        <v>99.7</v>
      </c>
      <c r="N145" s="219">
        <v>44771</v>
      </c>
      <c r="O145" s="219" t="s">
        <v>1033</v>
      </c>
      <c r="P145" s="67" t="s">
        <v>1427</v>
      </c>
      <c r="Q145" s="68" t="s">
        <v>673</v>
      </c>
      <c r="R145" s="68">
        <v>5.89</v>
      </c>
      <c r="S145" s="68">
        <v>-117.8</v>
      </c>
      <c r="T145" s="219" t="s">
        <v>416</v>
      </c>
      <c r="U145" s="85" t="s">
        <v>1621</v>
      </c>
      <c r="V145" s="85" t="s">
        <v>929</v>
      </c>
    </row>
    <row r="146" spans="1:22">
      <c r="A146" s="231">
        <f t="shared" si="8"/>
        <v>141</v>
      </c>
      <c r="B146" s="248"/>
      <c r="C146" s="249"/>
      <c r="D146" s="254"/>
      <c r="E146" s="255"/>
      <c r="F146" s="253"/>
      <c r="G146" s="250"/>
      <c r="H146" s="250"/>
      <c r="I146" s="252">
        <f t="shared" si="7"/>
        <v>0</v>
      </c>
      <c r="K146" s="85" t="s">
        <v>1033</v>
      </c>
      <c r="L146" s="261">
        <f>SUM(G132:G134)+G145</f>
        <v>181.5</v>
      </c>
      <c r="M146" s="85">
        <v>10</v>
      </c>
      <c r="N146" s="219">
        <v>44771</v>
      </c>
      <c r="O146" s="219" t="s">
        <v>1109</v>
      </c>
      <c r="P146" s="67" t="s">
        <v>1224</v>
      </c>
      <c r="Q146" s="68" t="s">
        <v>673</v>
      </c>
      <c r="R146" s="68">
        <v>5.89</v>
      </c>
      <c r="S146" s="68">
        <v>129.57999999999998</v>
      </c>
      <c r="T146" s="219" t="s">
        <v>416</v>
      </c>
      <c r="U146" s="85" t="s">
        <v>1579</v>
      </c>
      <c r="V146" s="85" t="s">
        <v>929</v>
      </c>
    </row>
    <row r="147" spans="1:22">
      <c r="A147" s="231">
        <f t="shared" si="8"/>
        <v>142</v>
      </c>
      <c r="B147" s="248"/>
      <c r="C147" s="249"/>
      <c r="D147" s="254"/>
      <c r="E147" s="255"/>
      <c r="F147" s="253"/>
      <c r="G147" s="250"/>
      <c r="H147" s="250"/>
      <c r="I147" s="252">
        <f t="shared" si="7"/>
        <v>0</v>
      </c>
      <c r="J147" s="260"/>
      <c r="K147" s="309" t="s">
        <v>1138</v>
      </c>
      <c r="L147" s="261">
        <f>SUM(G135:G137)</f>
        <v>311</v>
      </c>
      <c r="N147" s="219">
        <v>44771</v>
      </c>
      <c r="O147" s="219" t="s">
        <v>1109</v>
      </c>
      <c r="P147" s="67" t="s">
        <v>1428</v>
      </c>
      <c r="Q147" s="68" t="s">
        <v>673</v>
      </c>
      <c r="R147" s="68">
        <v>5.89</v>
      </c>
      <c r="S147" s="68">
        <v>294.5</v>
      </c>
      <c r="T147" s="219" t="s">
        <v>416</v>
      </c>
      <c r="U147" s="85" t="s">
        <v>1622</v>
      </c>
      <c r="V147" s="85" t="s">
        <v>929</v>
      </c>
    </row>
    <row r="148" spans="1:22">
      <c r="A148" s="231">
        <f t="shared" si="8"/>
        <v>143</v>
      </c>
      <c r="B148" s="248"/>
      <c r="C148" s="249"/>
      <c r="D148" s="254"/>
      <c r="E148" s="255"/>
      <c r="F148" s="253"/>
      <c r="G148" s="250"/>
      <c r="H148" s="250"/>
      <c r="I148" s="252">
        <f t="shared" si="7"/>
        <v>0</v>
      </c>
      <c r="K148" s="23" t="s">
        <v>1139</v>
      </c>
      <c r="L148" s="261">
        <f>SUM(G138:G140)</f>
        <v>47.13</v>
      </c>
      <c r="N148" s="219">
        <v>44771</v>
      </c>
      <c r="O148" s="219" t="s">
        <v>1109</v>
      </c>
      <c r="P148" s="67" t="s">
        <v>1428</v>
      </c>
      <c r="Q148" s="68" t="s">
        <v>673</v>
      </c>
      <c r="R148" s="68">
        <v>5.89</v>
      </c>
      <c r="S148" s="68">
        <v>11.190999999999999</v>
      </c>
      <c r="T148" s="219" t="s">
        <v>416</v>
      </c>
      <c r="U148" s="85" t="s">
        <v>1622</v>
      </c>
      <c r="V148" s="85" t="s">
        <v>1032</v>
      </c>
    </row>
    <row r="149" spans="1:22">
      <c r="A149" s="231">
        <f t="shared" si="8"/>
        <v>144</v>
      </c>
      <c r="B149" s="248"/>
      <c r="C149" s="249"/>
      <c r="D149" s="254"/>
      <c r="E149" s="255"/>
      <c r="F149" s="253"/>
      <c r="G149" s="250"/>
      <c r="H149" s="250"/>
      <c r="I149" s="252">
        <f t="shared" si="7"/>
        <v>0</v>
      </c>
      <c r="J149" s="260"/>
      <c r="K149" s="23" t="s">
        <v>1125</v>
      </c>
      <c r="L149" s="261">
        <f>SUM(G141:G143)</f>
        <v>0</v>
      </c>
      <c r="M149" s="260">
        <v>5</v>
      </c>
      <c r="N149" s="219">
        <v>44771</v>
      </c>
      <c r="O149" s="219" t="s">
        <v>1109</v>
      </c>
      <c r="P149" s="67" t="s">
        <v>1428</v>
      </c>
      <c r="Q149" s="68" t="s">
        <v>673</v>
      </c>
      <c r="R149" s="68">
        <v>5.89</v>
      </c>
      <c r="S149" s="68">
        <v>235.6</v>
      </c>
      <c r="T149" s="219" t="s">
        <v>416</v>
      </c>
      <c r="U149" s="85" t="s">
        <v>1622</v>
      </c>
      <c r="V149" s="85" t="s">
        <v>929</v>
      </c>
    </row>
    <row r="150" spans="1:22">
      <c r="A150" s="231">
        <f t="shared" si="8"/>
        <v>145</v>
      </c>
      <c r="B150" s="248"/>
      <c r="C150" s="249"/>
      <c r="D150" s="254"/>
      <c r="E150" s="255"/>
      <c r="F150" s="253"/>
      <c r="G150" s="250"/>
      <c r="H150" s="250"/>
      <c r="I150" s="252">
        <f t="shared" si="7"/>
        <v>0</v>
      </c>
      <c r="J150" s="260"/>
      <c r="N150" s="219">
        <v>44771</v>
      </c>
      <c r="O150" s="219" t="s">
        <v>1350</v>
      </c>
      <c r="P150" s="67" t="s">
        <v>1429</v>
      </c>
      <c r="Q150" s="219" t="s">
        <v>673</v>
      </c>
      <c r="R150" s="68">
        <v>5.89</v>
      </c>
      <c r="S150" s="68">
        <v>-294.5</v>
      </c>
      <c r="T150" s="219" t="s">
        <v>416</v>
      </c>
      <c r="U150" s="85" t="s">
        <v>1623</v>
      </c>
      <c r="V150" s="85" t="s">
        <v>929</v>
      </c>
    </row>
    <row r="151" spans="1:22">
      <c r="A151" s="231">
        <f t="shared" si="8"/>
        <v>146</v>
      </c>
      <c r="B151" s="248"/>
      <c r="C151" s="249"/>
      <c r="D151" s="254"/>
      <c r="E151" s="255"/>
      <c r="F151" s="253"/>
      <c r="G151" s="250"/>
      <c r="H151" s="250"/>
      <c r="I151" s="252">
        <f t="shared" si="7"/>
        <v>0</v>
      </c>
      <c r="N151" s="219">
        <v>44771</v>
      </c>
      <c r="O151" s="219" t="s">
        <v>1431</v>
      </c>
      <c r="P151" s="67" t="s">
        <v>1432</v>
      </c>
      <c r="Q151" s="219" t="s">
        <v>673</v>
      </c>
      <c r="R151" s="68">
        <v>5.89</v>
      </c>
      <c r="S151" s="68">
        <v>-176.7</v>
      </c>
      <c r="T151" s="219" t="s">
        <v>416</v>
      </c>
      <c r="U151" s="85" t="s">
        <v>1624</v>
      </c>
      <c r="V151" s="85" t="s">
        <v>929</v>
      </c>
    </row>
    <row r="152" spans="1:22">
      <c r="A152" s="231">
        <f t="shared" si="8"/>
        <v>147</v>
      </c>
      <c r="B152" s="248"/>
      <c r="C152" s="249"/>
      <c r="D152" s="256"/>
      <c r="E152" s="255"/>
      <c r="F152" s="253"/>
      <c r="G152" s="250"/>
      <c r="H152" s="250"/>
      <c r="I152" s="252">
        <f t="shared" si="7"/>
        <v>0</v>
      </c>
      <c r="N152" s="219">
        <v>44771</v>
      </c>
      <c r="O152" s="219" t="s">
        <v>1300</v>
      </c>
      <c r="P152" s="67" t="s">
        <v>1433</v>
      </c>
      <c r="Q152" s="219" t="s">
        <v>673</v>
      </c>
      <c r="R152" s="68">
        <v>5.89</v>
      </c>
      <c r="S152" s="68">
        <v>-647.9</v>
      </c>
      <c r="T152" s="219" t="s">
        <v>416</v>
      </c>
      <c r="U152" s="85" t="s">
        <v>1625</v>
      </c>
      <c r="V152" s="85" t="s">
        <v>929</v>
      </c>
    </row>
    <row r="153" spans="1:22">
      <c r="A153" s="231">
        <f t="shared" si="8"/>
        <v>148</v>
      </c>
      <c r="B153" s="248"/>
      <c r="C153" s="249"/>
      <c r="D153" s="254"/>
      <c r="E153" s="253"/>
      <c r="F153" s="255"/>
      <c r="G153" s="250"/>
      <c r="H153" s="250"/>
      <c r="I153" s="252">
        <f t="shared" si="7"/>
        <v>0</v>
      </c>
      <c r="N153" s="219" t="s">
        <v>418</v>
      </c>
      <c r="O153" s="219" t="s">
        <v>418</v>
      </c>
      <c r="P153" s="67" t="s">
        <v>418</v>
      </c>
      <c r="Q153" s="219" t="s">
        <v>418</v>
      </c>
      <c r="R153" s="68" t="s">
        <v>418</v>
      </c>
      <c r="S153" s="68" t="s">
        <v>418</v>
      </c>
      <c r="T153" s="219" t="s">
        <v>418</v>
      </c>
      <c r="U153" s="85" t="s">
        <v>418</v>
      </c>
      <c r="V153" s="85" t="s">
        <v>418</v>
      </c>
    </row>
    <row r="154" spans="1:22">
      <c r="A154" s="231">
        <f t="shared" si="8"/>
        <v>149</v>
      </c>
      <c r="B154" s="248"/>
      <c r="C154" s="249"/>
      <c r="D154" s="254"/>
      <c r="E154" s="255"/>
      <c r="F154" s="255"/>
      <c r="G154" s="250"/>
      <c r="H154" s="250"/>
      <c r="I154" s="252">
        <f t="shared" si="7"/>
        <v>0</v>
      </c>
      <c r="N154" s="219" t="s">
        <v>418</v>
      </c>
      <c r="O154" s="219" t="s">
        <v>418</v>
      </c>
      <c r="P154" s="67" t="s">
        <v>418</v>
      </c>
      <c r="Q154" s="219" t="s">
        <v>418</v>
      </c>
      <c r="R154" s="68" t="s">
        <v>418</v>
      </c>
      <c r="S154" s="68" t="s">
        <v>418</v>
      </c>
      <c r="T154" s="219" t="s">
        <v>418</v>
      </c>
      <c r="U154" s="85" t="s">
        <v>418</v>
      </c>
      <c r="V154" s="85" t="s">
        <v>418</v>
      </c>
    </row>
    <row r="155" spans="1:22">
      <c r="A155" s="231">
        <f t="shared" si="8"/>
        <v>150</v>
      </c>
      <c r="B155" s="248"/>
      <c r="C155" s="249"/>
      <c r="D155" s="254"/>
      <c r="E155" s="255"/>
      <c r="F155" s="255"/>
      <c r="G155" s="250"/>
      <c r="H155" s="250"/>
      <c r="I155" s="252">
        <f t="shared" si="7"/>
        <v>0</v>
      </c>
      <c r="N155" s="219" t="s">
        <v>418</v>
      </c>
      <c r="O155" s="219" t="s">
        <v>418</v>
      </c>
      <c r="P155" s="67" t="s">
        <v>418</v>
      </c>
      <c r="Q155" s="219" t="s">
        <v>418</v>
      </c>
      <c r="R155" s="68" t="s">
        <v>418</v>
      </c>
      <c r="S155" s="68" t="s">
        <v>418</v>
      </c>
      <c r="T155" s="219" t="s">
        <v>418</v>
      </c>
      <c r="U155" s="85" t="s">
        <v>418</v>
      </c>
      <c r="V155" s="85" t="s">
        <v>418</v>
      </c>
    </row>
    <row r="156" spans="1:22">
      <c r="A156" s="231">
        <f t="shared" si="8"/>
        <v>151</v>
      </c>
      <c r="B156" s="248"/>
      <c r="C156" s="249"/>
      <c r="D156" s="254"/>
      <c r="E156" s="255"/>
      <c r="F156" s="255"/>
      <c r="G156" s="250"/>
      <c r="H156" s="250"/>
      <c r="I156" s="252">
        <f t="shared" si="7"/>
        <v>0</v>
      </c>
      <c r="N156" s="219" t="s">
        <v>418</v>
      </c>
      <c r="O156" s="219" t="s">
        <v>418</v>
      </c>
      <c r="P156" s="67" t="s">
        <v>418</v>
      </c>
      <c r="Q156" s="219" t="s">
        <v>418</v>
      </c>
      <c r="R156" s="68" t="s">
        <v>418</v>
      </c>
      <c r="S156" s="68" t="s">
        <v>418</v>
      </c>
      <c r="T156" s="219" t="s">
        <v>418</v>
      </c>
      <c r="U156" s="85" t="s">
        <v>418</v>
      </c>
      <c r="V156" s="85" t="s">
        <v>418</v>
      </c>
    </row>
    <row r="157" spans="1:22">
      <c r="A157" s="231">
        <f t="shared" si="8"/>
        <v>152</v>
      </c>
      <c r="B157" s="248"/>
      <c r="C157" s="249"/>
      <c r="D157" s="254"/>
      <c r="E157" s="255"/>
      <c r="F157" s="255"/>
      <c r="G157" s="250"/>
      <c r="H157" s="250"/>
      <c r="I157" s="252">
        <f t="shared" si="7"/>
        <v>0</v>
      </c>
      <c r="N157" s="219" t="s">
        <v>418</v>
      </c>
      <c r="O157" s="219" t="s">
        <v>418</v>
      </c>
      <c r="P157" s="67" t="s">
        <v>418</v>
      </c>
      <c r="Q157" s="219" t="s">
        <v>418</v>
      </c>
      <c r="R157" s="68" t="s">
        <v>418</v>
      </c>
      <c r="S157" s="68" t="s">
        <v>418</v>
      </c>
      <c r="T157" s="219" t="s">
        <v>418</v>
      </c>
      <c r="U157" s="85" t="s">
        <v>418</v>
      </c>
      <c r="V157" s="85" t="s">
        <v>418</v>
      </c>
    </row>
    <row r="158" spans="1:22">
      <c r="A158" s="231">
        <f t="shared" si="8"/>
        <v>153</v>
      </c>
      <c r="B158" s="248"/>
      <c r="C158" s="249"/>
      <c r="D158" s="254"/>
      <c r="E158" s="255"/>
      <c r="F158" s="255"/>
      <c r="G158" s="250"/>
      <c r="H158" s="250"/>
      <c r="I158" s="252">
        <f t="shared" si="7"/>
        <v>0</v>
      </c>
      <c r="N158" s="219" t="s">
        <v>418</v>
      </c>
      <c r="O158" s="219" t="s">
        <v>418</v>
      </c>
      <c r="P158" s="67" t="s">
        <v>418</v>
      </c>
      <c r="Q158" s="219" t="s">
        <v>418</v>
      </c>
      <c r="R158" s="68" t="s">
        <v>418</v>
      </c>
      <c r="S158" s="68" t="s">
        <v>418</v>
      </c>
      <c r="T158" s="219" t="s">
        <v>418</v>
      </c>
      <c r="U158" s="85" t="s">
        <v>418</v>
      </c>
      <c r="V158" s="85" t="s">
        <v>418</v>
      </c>
    </row>
    <row r="159" spans="1:22">
      <c r="A159" s="231">
        <f t="shared" si="8"/>
        <v>154</v>
      </c>
      <c r="B159" s="248"/>
      <c r="C159" s="249"/>
      <c r="D159" s="254"/>
      <c r="E159" s="255"/>
      <c r="F159" s="255"/>
      <c r="G159" s="250"/>
      <c r="H159" s="250"/>
      <c r="I159" s="252">
        <f t="shared" si="7"/>
        <v>0</v>
      </c>
      <c r="N159" s="219" t="s">
        <v>418</v>
      </c>
      <c r="O159" s="219" t="s">
        <v>418</v>
      </c>
      <c r="P159" s="67" t="s">
        <v>418</v>
      </c>
      <c r="Q159" s="219" t="s">
        <v>418</v>
      </c>
      <c r="R159" s="68" t="s">
        <v>418</v>
      </c>
      <c r="S159" s="68" t="s">
        <v>418</v>
      </c>
      <c r="T159" s="219" t="s">
        <v>418</v>
      </c>
      <c r="U159" s="85" t="s">
        <v>418</v>
      </c>
      <c r="V159" s="85" t="s">
        <v>418</v>
      </c>
    </row>
    <row r="160" spans="1:22">
      <c r="A160" s="231">
        <f t="shared" si="8"/>
        <v>155</v>
      </c>
      <c r="B160" s="248"/>
      <c r="C160" s="249"/>
      <c r="D160" s="254"/>
      <c r="E160" s="255"/>
      <c r="F160" s="255"/>
      <c r="G160" s="250"/>
      <c r="H160" s="250"/>
      <c r="I160" s="252">
        <f t="shared" si="7"/>
        <v>0</v>
      </c>
      <c r="N160" s="219" t="s">
        <v>418</v>
      </c>
      <c r="O160" s="219" t="s">
        <v>418</v>
      </c>
      <c r="P160" s="67" t="s">
        <v>418</v>
      </c>
      <c r="Q160" s="219" t="s">
        <v>418</v>
      </c>
      <c r="R160" s="68" t="s">
        <v>418</v>
      </c>
      <c r="S160" s="68" t="s">
        <v>418</v>
      </c>
      <c r="T160" s="219" t="s">
        <v>418</v>
      </c>
      <c r="U160" s="85" t="s">
        <v>418</v>
      </c>
      <c r="V160" s="85" t="s">
        <v>418</v>
      </c>
    </row>
    <row r="161" spans="1:22">
      <c r="A161" s="231">
        <f t="shared" si="8"/>
        <v>156</v>
      </c>
      <c r="B161" s="248"/>
      <c r="C161" s="249"/>
      <c r="D161" s="254"/>
      <c r="E161" s="255"/>
      <c r="F161" s="255"/>
      <c r="G161" s="250"/>
      <c r="H161" s="250"/>
      <c r="I161" s="252">
        <f t="shared" si="7"/>
        <v>0</v>
      </c>
      <c r="N161" s="219" t="s">
        <v>418</v>
      </c>
      <c r="O161" s="219" t="s">
        <v>418</v>
      </c>
      <c r="P161" s="67" t="s">
        <v>418</v>
      </c>
      <c r="Q161" s="219" t="s">
        <v>418</v>
      </c>
      <c r="R161" s="68" t="s">
        <v>418</v>
      </c>
      <c r="S161" s="68" t="s">
        <v>418</v>
      </c>
      <c r="T161" s="219" t="s">
        <v>418</v>
      </c>
      <c r="U161" s="85" t="s">
        <v>418</v>
      </c>
      <c r="V161" s="85" t="s">
        <v>418</v>
      </c>
    </row>
    <row r="162" spans="1:22">
      <c r="A162" s="231">
        <f t="shared" si="8"/>
        <v>157</v>
      </c>
      <c r="B162" s="248"/>
      <c r="C162" s="249"/>
      <c r="D162" s="254"/>
      <c r="E162" s="253"/>
      <c r="F162" s="253"/>
      <c r="G162" s="250"/>
      <c r="H162" s="250"/>
      <c r="I162" s="252">
        <f t="shared" si="7"/>
        <v>0</v>
      </c>
      <c r="N162" s="219" t="s">
        <v>418</v>
      </c>
      <c r="O162" s="219" t="s">
        <v>418</v>
      </c>
      <c r="P162" s="67" t="s">
        <v>418</v>
      </c>
      <c r="Q162" s="219" t="s">
        <v>418</v>
      </c>
      <c r="R162" s="68" t="s">
        <v>418</v>
      </c>
      <c r="S162" s="68" t="s">
        <v>418</v>
      </c>
      <c r="T162" s="219" t="s">
        <v>418</v>
      </c>
      <c r="U162" s="85" t="s">
        <v>418</v>
      </c>
      <c r="V162" s="85" t="s">
        <v>418</v>
      </c>
    </row>
    <row r="163" spans="1:22">
      <c r="A163" s="231">
        <f t="shared" si="8"/>
        <v>158</v>
      </c>
      <c r="B163" s="248"/>
      <c r="C163" s="249"/>
      <c r="D163" s="254"/>
      <c r="E163" s="253"/>
      <c r="F163" s="253"/>
      <c r="G163" s="250"/>
      <c r="H163" s="250"/>
      <c r="I163" s="252">
        <f t="shared" si="7"/>
        <v>0</v>
      </c>
      <c r="N163" s="219" t="s">
        <v>418</v>
      </c>
      <c r="O163" s="219" t="s">
        <v>418</v>
      </c>
      <c r="P163" s="67" t="s">
        <v>418</v>
      </c>
      <c r="Q163" s="219" t="s">
        <v>418</v>
      </c>
      <c r="R163" s="68" t="s">
        <v>418</v>
      </c>
      <c r="S163" s="68" t="s">
        <v>418</v>
      </c>
      <c r="T163" s="219" t="s">
        <v>418</v>
      </c>
      <c r="U163" s="85" t="s">
        <v>418</v>
      </c>
      <c r="V163" s="85" t="s">
        <v>418</v>
      </c>
    </row>
    <row r="164" spans="1:22">
      <c r="A164" s="231">
        <f t="shared" si="8"/>
        <v>159</v>
      </c>
      <c r="B164" s="248"/>
      <c r="C164" s="283"/>
      <c r="D164" s="254"/>
      <c r="E164" s="253"/>
      <c r="F164" s="253"/>
      <c r="G164" s="250"/>
      <c r="H164" s="250"/>
      <c r="I164" s="252">
        <f t="shared" si="7"/>
        <v>0</v>
      </c>
      <c r="N164" s="219" t="s">
        <v>418</v>
      </c>
      <c r="O164" s="219" t="s">
        <v>418</v>
      </c>
      <c r="P164" s="67" t="s">
        <v>418</v>
      </c>
      <c r="Q164" s="219" t="s">
        <v>418</v>
      </c>
      <c r="R164" s="68" t="s">
        <v>418</v>
      </c>
      <c r="S164" s="68" t="s">
        <v>418</v>
      </c>
      <c r="T164" s="219" t="s">
        <v>418</v>
      </c>
      <c r="U164" s="85" t="s">
        <v>418</v>
      </c>
      <c r="V164" s="85" t="s">
        <v>418</v>
      </c>
    </row>
    <row r="165" spans="1:22">
      <c r="A165" s="231">
        <f t="shared" si="8"/>
        <v>160</v>
      </c>
      <c r="B165" s="248"/>
      <c r="C165" s="283"/>
      <c r="D165" s="254"/>
      <c r="E165" s="253"/>
      <c r="F165" s="253"/>
      <c r="G165" s="250"/>
      <c r="H165" s="250"/>
      <c r="I165" s="252">
        <f t="shared" si="7"/>
        <v>0</v>
      </c>
      <c r="N165" s="219" t="s">
        <v>418</v>
      </c>
      <c r="O165" s="219" t="s">
        <v>418</v>
      </c>
      <c r="P165" s="67" t="s">
        <v>418</v>
      </c>
      <c r="Q165" s="219" t="s">
        <v>418</v>
      </c>
      <c r="R165" s="68" t="s">
        <v>418</v>
      </c>
      <c r="S165" s="68" t="s">
        <v>418</v>
      </c>
      <c r="T165" s="219" t="s">
        <v>418</v>
      </c>
      <c r="U165" s="85" t="s">
        <v>418</v>
      </c>
      <c r="V165" s="85" t="s">
        <v>418</v>
      </c>
    </row>
    <row r="166" spans="1:22">
      <c r="A166" s="231">
        <f t="shared" si="8"/>
        <v>161</v>
      </c>
      <c r="B166" s="248"/>
      <c r="C166" s="283"/>
      <c r="D166" s="254"/>
      <c r="E166" s="253"/>
      <c r="F166" s="253"/>
      <c r="G166" s="250"/>
      <c r="H166" s="250"/>
      <c r="I166" s="252">
        <f t="shared" si="7"/>
        <v>0</v>
      </c>
      <c r="N166" s="219" t="s">
        <v>418</v>
      </c>
      <c r="O166" s="219" t="s">
        <v>418</v>
      </c>
      <c r="P166" s="67" t="s">
        <v>418</v>
      </c>
      <c r="Q166" s="219" t="s">
        <v>418</v>
      </c>
      <c r="R166" s="68" t="s">
        <v>418</v>
      </c>
      <c r="S166" s="68" t="s">
        <v>418</v>
      </c>
      <c r="T166" s="219" t="s">
        <v>418</v>
      </c>
      <c r="U166" s="85" t="s">
        <v>418</v>
      </c>
      <c r="V166" s="85" t="s">
        <v>418</v>
      </c>
    </row>
    <row r="167" spans="1:22">
      <c r="A167" s="231">
        <f t="shared" si="8"/>
        <v>162</v>
      </c>
      <c r="B167" s="248"/>
      <c r="C167" s="283"/>
      <c r="D167" s="254"/>
      <c r="E167" s="253"/>
      <c r="F167" s="253"/>
      <c r="G167" s="250"/>
      <c r="H167" s="250"/>
      <c r="I167" s="252">
        <f t="shared" si="7"/>
        <v>0</v>
      </c>
      <c r="N167" s="219" t="s">
        <v>418</v>
      </c>
      <c r="O167" s="219" t="s">
        <v>418</v>
      </c>
      <c r="P167" s="67" t="s">
        <v>418</v>
      </c>
      <c r="Q167" s="219" t="s">
        <v>418</v>
      </c>
      <c r="R167" s="68" t="s">
        <v>418</v>
      </c>
      <c r="S167" s="68" t="s">
        <v>418</v>
      </c>
      <c r="T167" s="219" t="s">
        <v>418</v>
      </c>
      <c r="U167" s="85" t="s">
        <v>418</v>
      </c>
      <c r="V167" s="85" t="s">
        <v>418</v>
      </c>
    </row>
    <row r="168" spans="1:22">
      <c r="A168" s="231">
        <f t="shared" si="8"/>
        <v>163</v>
      </c>
      <c r="B168" s="248"/>
      <c r="C168" s="283"/>
      <c r="D168" s="254"/>
      <c r="E168" s="253"/>
      <c r="F168" s="253"/>
      <c r="G168" s="250"/>
      <c r="H168" s="250"/>
      <c r="I168" s="252">
        <f t="shared" si="7"/>
        <v>0</v>
      </c>
      <c r="N168" s="219" t="s">
        <v>418</v>
      </c>
      <c r="O168" s="219" t="s">
        <v>418</v>
      </c>
      <c r="P168" s="67" t="s">
        <v>418</v>
      </c>
      <c r="Q168" s="219" t="s">
        <v>418</v>
      </c>
      <c r="R168" s="68" t="s">
        <v>418</v>
      </c>
      <c r="S168" s="68" t="s">
        <v>418</v>
      </c>
      <c r="T168" s="219" t="s">
        <v>418</v>
      </c>
      <c r="U168" s="85" t="s">
        <v>418</v>
      </c>
      <c r="V168" s="85" t="s">
        <v>418</v>
      </c>
    </row>
    <row r="169" spans="1:22">
      <c r="A169" s="231">
        <f t="shared" si="8"/>
        <v>164</v>
      </c>
      <c r="B169" s="248"/>
      <c r="C169" s="283"/>
      <c r="D169" s="254"/>
      <c r="E169" s="253"/>
      <c r="F169" s="253"/>
      <c r="G169" s="250"/>
      <c r="H169" s="250"/>
      <c r="I169" s="252">
        <f t="shared" si="7"/>
        <v>0</v>
      </c>
      <c r="N169" s="219" t="s">
        <v>418</v>
      </c>
      <c r="O169" s="219" t="s">
        <v>418</v>
      </c>
      <c r="P169" s="67" t="s">
        <v>418</v>
      </c>
      <c r="Q169" s="219" t="s">
        <v>418</v>
      </c>
      <c r="R169" s="68" t="s">
        <v>418</v>
      </c>
      <c r="S169" s="68" t="s">
        <v>418</v>
      </c>
      <c r="T169" s="219" t="s">
        <v>418</v>
      </c>
      <c r="U169" s="85" t="s">
        <v>418</v>
      </c>
      <c r="V169" s="85" t="s">
        <v>418</v>
      </c>
    </row>
    <row r="170" spans="1:22">
      <c r="A170" s="231">
        <f t="shared" si="8"/>
        <v>165</v>
      </c>
      <c r="B170" s="248"/>
      <c r="C170" s="283"/>
      <c r="D170" s="254"/>
      <c r="E170" s="253"/>
      <c r="F170" s="253"/>
      <c r="G170" s="250"/>
      <c r="H170" s="250"/>
      <c r="I170" s="252">
        <f t="shared" si="7"/>
        <v>0</v>
      </c>
      <c r="N170" s="219" t="s">
        <v>418</v>
      </c>
      <c r="O170" s="219" t="s">
        <v>418</v>
      </c>
      <c r="P170" s="67" t="s">
        <v>418</v>
      </c>
      <c r="Q170" s="219" t="s">
        <v>418</v>
      </c>
      <c r="R170" s="68" t="s">
        <v>418</v>
      </c>
      <c r="S170" s="68" t="s">
        <v>418</v>
      </c>
      <c r="T170" s="219" t="s">
        <v>418</v>
      </c>
      <c r="U170" s="85" t="s">
        <v>418</v>
      </c>
      <c r="V170" s="85" t="s">
        <v>418</v>
      </c>
    </row>
    <row r="171" spans="1:22">
      <c r="A171" s="231">
        <f t="shared" si="8"/>
        <v>166</v>
      </c>
      <c r="B171" s="248"/>
      <c r="C171" s="249"/>
      <c r="D171" s="254"/>
      <c r="E171" s="253"/>
      <c r="F171" s="255"/>
      <c r="G171" s="250"/>
      <c r="H171" s="250"/>
      <c r="I171" s="252">
        <f t="shared" si="7"/>
        <v>0</v>
      </c>
      <c r="N171" s="219" t="s">
        <v>418</v>
      </c>
      <c r="O171" s="219" t="s">
        <v>418</v>
      </c>
      <c r="P171" s="67" t="s">
        <v>418</v>
      </c>
      <c r="Q171" s="219" t="s">
        <v>418</v>
      </c>
      <c r="R171" s="68" t="s">
        <v>418</v>
      </c>
      <c r="S171" s="68" t="s">
        <v>418</v>
      </c>
      <c r="T171" s="219" t="s">
        <v>418</v>
      </c>
      <c r="U171" s="85" t="s">
        <v>418</v>
      </c>
      <c r="V171" s="85" t="s">
        <v>418</v>
      </c>
    </row>
    <row r="172" spans="1:22">
      <c r="A172" s="231">
        <f t="shared" si="8"/>
        <v>167</v>
      </c>
      <c r="B172" s="248"/>
      <c r="C172" s="249"/>
      <c r="D172" s="254"/>
      <c r="E172" s="253"/>
      <c r="F172" s="255"/>
      <c r="G172" s="250"/>
      <c r="H172" s="250"/>
      <c r="I172" s="252">
        <f t="shared" si="7"/>
        <v>0</v>
      </c>
      <c r="N172" s="219" t="s">
        <v>418</v>
      </c>
      <c r="O172" s="219" t="s">
        <v>418</v>
      </c>
      <c r="P172" s="67" t="s">
        <v>418</v>
      </c>
      <c r="Q172" s="219" t="s">
        <v>418</v>
      </c>
      <c r="R172" s="68" t="s">
        <v>418</v>
      </c>
      <c r="S172" s="68" t="s">
        <v>418</v>
      </c>
      <c r="T172" s="219" t="s">
        <v>418</v>
      </c>
      <c r="U172" s="85" t="s">
        <v>418</v>
      </c>
      <c r="V172" s="85" t="s">
        <v>418</v>
      </c>
    </row>
    <row r="173" spans="1:22">
      <c r="A173" s="231">
        <f t="shared" si="8"/>
        <v>168</v>
      </c>
      <c r="B173" s="248"/>
      <c r="C173" s="249"/>
      <c r="D173" s="254"/>
      <c r="E173" s="253"/>
      <c r="F173" s="255"/>
      <c r="G173" s="250"/>
      <c r="H173" s="250"/>
      <c r="I173" s="252">
        <f t="shared" si="7"/>
        <v>0</v>
      </c>
      <c r="N173" s="219" t="s">
        <v>418</v>
      </c>
      <c r="O173" s="219" t="s">
        <v>418</v>
      </c>
      <c r="P173" s="67" t="s">
        <v>418</v>
      </c>
      <c r="Q173" s="219" t="s">
        <v>418</v>
      </c>
      <c r="R173" s="68" t="s">
        <v>418</v>
      </c>
      <c r="S173" s="68" t="s">
        <v>418</v>
      </c>
      <c r="T173" s="219" t="s">
        <v>418</v>
      </c>
      <c r="U173" s="85" t="s">
        <v>418</v>
      </c>
      <c r="V173" s="85" t="s">
        <v>418</v>
      </c>
    </row>
    <row r="174" spans="1:22">
      <c r="A174" s="231">
        <f t="shared" si="8"/>
        <v>169</v>
      </c>
      <c r="B174" s="248"/>
      <c r="C174" s="249"/>
      <c r="D174" s="254"/>
      <c r="E174" s="253"/>
      <c r="F174" s="255"/>
      <c r="G174" s="250"/>
      <c r="H174" s="250"/>
      <c r="I174" s="252">
        <f t="shared" si="7"/>
        <v>0</v>
      </c>
      <c r="N174" s="219" t="s">
        <v>418</v>
      </c>
      <c r="O174" s="219" t="s">
        <v>418</v>
      </c>
      <c r="P174" s="67" t="s">
        <v>418</v>
      </c>
      <c r="Q174" s="219" t="s">
        <v>418</v>
      </c>
      <c r="R174" s="68" t="s">
        <v>418</v>
      </c>
      <c r="S174" s="68" t="s">
        <v>418</v>
      </c>
      <c r="T174" s="219" t="s">
        <v>418</v>
      </c>
      <c r="U174" s="85" t="s">
        <v>418</v>
      </c>
      <c r="V174" s="85" t="s">
        <v>418</v>
      </c>
    </row>
    <row r="175" spans="1:22">
      <c r="A175" s="231">
        <f t="shared" si="8"/>
        <v>170</v>
      </c>
      <c r="B175" s="248"/>
      <c r="C175" s="249"/>
      <c r="D175" s="254"/>
      <c r="E175" s="253"/>
      <c r="F175" s="255"/>
      <c r="G175" s="250"/>
      <c r="H175" s="250"/>
      <c r="I175" s="252">
        <f t="shared" si="7"/>
        <v>0</v>
      </c>
      <c r="N175" s="219" t="s">
        <v>418</v>
      </c>
      <c r="O175" s="219" t="s">
        <v>418</v>
      </c>
      <c r="P175" s="67" t="s">
        <v>418</v>
      </c>
      <c r="Q175" s="219" t="s">
        <v>418</v>
      </c>
      <c r="R175" s="68" t="s">
        <v>418</v>
      </c>
      <c r="S175" s="68" t="s">
        <v>418</v>
      </c>
      <c r="T175" s="219" t="s">
        <v>418</v>
      </c>
      <c r="U175" s="85" t="s">
        <v>418</v>
      </c>
      <c r="V175" s="85" t="s">
        <v>418</v>
      </c>
    </row>
    <row r="176" spans="1:22">
      <c r="A176" s="231">
        <f t="shared" si="8"/>
        <v>171</v>
      </c>
      <c r="B176" s="248"/>
      <c r="C176" s="249"/>
      <c r="D176" s="254"/>
      <c r="E176" s="255"/>
      <c r="F176" s="255"/>
      <c r="G176" s="250"/>
      <c r="H176" s="250"/>
      <c r="I176" s="252">
        <f t="shared" si="7"/>
        <v>0</v>
      </c>
      <c r="N176" s="219" t="s">
        <v>418</v>
      </c>
      <c r="O176" s="219" t="s">
        <v>418</v>
      </c>
      <c r="P176" s="67" t="s">
        <v>418</v>
      </c>
      <c r="Q176" s="219" t="s">
        <v>418</v>
      </c>
      <c r="R176" s="68" t="s">
        <v>418</v>
      </c>
      <c r="S176" s="68" t="s">
        <v>418</v>
      </c>
      <c r="T176" s="219" t="s">
        <v>418</v>
      </c>
      <c r="U176" s="85" t="s">
        <v>418</v>
      </c>
      <c r="V176" s="85" t="s">
        <v>418</v>
      </c>
    </row>
    <row r="177" spans="1:22">
      <c r="A177" s="231">
        <f t="shared" si="8"/>
        <v>172</v>
      </c>
      <c r="B177" s="248"/>
      <c r="C177" s="249"/>
      <c r="D177" s="254"/>
      <c r="E177" s="255"/>
      <c r="F177" s="255"/>
      <c r="G177" s="250"/>
      <c r="H177" s="250"/>
      <c r="I177" s="252">
        <f t="shared" si="7"/>
        <v>0</v>
      </c>
      <c r="N177" s="219" t="s">
        <v>418</v>
      </c>
      <c r="O177" s="219" t="s">
        <v>418</v>
      </c>
      <c r="P177" s="67" t="s">
        <v>418</v>
      </c>
      <c r="Q177" s="219" t="s">
        <v>418</v>
      </c>
      <c r="R177" s="68" t="s">
        <v>418</v>
      </c>
      <c r="S177" s="68" t="s">
        <v>418</v>
      </c>
      <c r="T177" s="219" t="s">
        <v>418</v>
      </c>
      <c r="U177" s="85" t="s">
        <v>418</v>
      </c>
      <c r="V177" s="85" t="s">
        <v>418</v>
      </c>
    </row>
    <row r="178" spans="1:22">
      <c r="A178" s="231">
        <f t="shared" si="8"/>
        <v>173</v>
      </c>
      <c r="B178" s="248"/>
      <c r="C178" s="249"/>
      <c r="D178" s="254"/>
      <c r="E178" s="255"/>
      <c r="F178" s="255"/>
      <c r="G178" s="250"/>
      <c r="H178" s="250"/>
      <c r="I178" s="252">
        <f t="shared" si="7"/>
        <v>0</v>
      </c>
      <c r="N178" s="219" t="s">
        <v>418</v>
      </c>
      <c r="O178" s="219" t="s">
        <v>418</v>
      </c>
      <c r="P178" s="67" t="s">
        <v>418</v>
      </c>
      <c r="Q178" s="219" t="s">
        <v>418</v>
      </c>
      <c r="R178" s="68" t="s">
        <v>418</v>
      </c>
      <c r="S178" s="68" t="s">
        <v>418</v>
      </c>
      <c r="T178" s="219" t="s">
        <v>418</v>
      </c>
      <c r="U178" s="85" t="s">
        <v>418</v>
      </c>
      <c r="V178" s="85" t="s">
        <v>418</v>
      </c>
    </row>
    <row r="179" spans="1:22">
      <c r="A179" s="231">
        <f t="shared" si="8"/>
        <v>174</v>
      </c>
      <c r="B179" s="248"/>
      <c r="C179" s="249"/>
      <c r="D179" s="254"/>
      <c r="E179" s="255"/>
      <c r="F179" s="255"/>
      <c r="G179" s="250"/>
      <c r="H179" s="250"/>
      <c r="I179" s="252">
        <f t="shared" si="7"/>
        <v>0</v>
      </c>
      <c r="N179" s="219" t="s">
        <v>418</v>
      </c>
      <c r="O179" s="219" t="s">
        <v>418</v>
      </c>
      <c r="P179" s="67" t="s">
        <v>418</v>
      </c>
      <c r="Q179" s="219" t="s">
        <v>418</v>
      </c>
      <c r="R179" s="68" t="s">
        <v>418</v>
      </c>
      <c r="S179" s="68" t="s">
        <v>418</v>
      </c>
      <c r="T179" s="219" t="s">
        <v>418</v>
      </c>
      <c r="U179" s="85" t="s">
        <v>418</v>
      </c>
      <c r="V179" s="85" t="s">
        <v>418</v>
      </c>
    </row>
    <row r="180" spans="1:22">
      <c r="A180" s="231">
        <f t="shared" si="8"/>
        <v>175</v>
      </c>
      <c r="B180" s="248"/>
      <c r="C180" s="249"/>
      <c r="D180" s="254"/>
      <c r="E180" s="255"/>
      <c r="F180" s="255"/>
      <c r="G180" s="250"/>
      <c r="H180" s="250"/>
      <c r="I180" s="252">
        <f t="shared" si="7"/>
        <v>0</v>
      </c>
      <c r="N180" s="219" t="s">
        <v>418</v>
      </c>
      <c r="O180" s="219" t="s">
        <v>418</v>
      </c>
      <c r="P180" s="67" t="s">
        <v>418</v>
      </c>
      <c r="Q180" s="219" t="s">
        <v>418</v>
      </c>
      <c r="R180" s="68" t="s">
        <v>418</v>
      </c>
      <c r="S180" s="68" t="s">
        <v>418</v>
      </c>
      <c r="T180" s="219" t="s">
        <v>418</v>
      </c>
      <c r="U180" s="85" t="s">
        <v>418</v>
      </c>
      <c r="V180" s="85" t="s">
        <v>418</v>
      </c>
    </row>
    <row r="181" spans="1:22">
      <c r="A181" s="231">
        <f t="shared" si="8"/>
        <v>176</v>
      </c>
      <c r="B181" s="248"/>
      <c r="C181" s="249"/>
      <c r="D181" s="254"/>
      <c r="E181" s="255"/>
      <c r="F181" s="255"/>
      <c r="G181" s="250"/>
      <c r="H181" s="250"/>
      <c r="I181" s="252">
        <f t="shared" si="7"/>
        <v>0</v>
      </c>
      <c r="N181" s="219" t="s">
        <v>418</v>
      </c>
      <c r="O181" s="219" t="s">
        <v>418</v>
      </c>
      <c r="P181" s="67" t="s">
        <v>418</v>
      </c>
      <c r="Q181" s="219" t="s">
        <v>418</v>
      </c>
      <c r="R181" s="68" t="s">
        <v>418</v>
      </c>
      <c r="S181" s="68" t="s">
        <v>418</v>
      </c>
      <c r="T181" s="219" t="s">
        <v>418</v>
      </c>
      <c r="U181" s="85" t="s">
        <v>418</v>
      </c>
      <c r="V181" s="85" t="s">
        <v>418</v>
      </c>
    </row>
    <row r="182" spans="1:22">
      <c r="A182" s="231">
        <f t="shared" si="8"/>
        <v>177</v>
      </c>
      <c r="B182" s="248"/>
      <c r="C182" s="249"/>
      <c r="D182" s="254"/>
      <c r="E182" s="255"/>
      <c r="F182" s="255"/>
      <c r="G182" s="250"/>
      <c r="H182" s="250"/>
      <c r="I182" s="252">
        <f t="shared" si="7"/>
        <v>0</v>
      </c>
      <c r="N182" s="219" t="s">
        <v>418</v>
      </c>
      <c r="O182" s="219" t="s">
        <v>418</v>
      </c>
      <c r="P182" s="67" t="s">
        <v>418</v>
      </c>
      <c r="Q182" s="219" t="s">
        <v>418</v>
      </c>
      <c r="R182" s="68" t="s">
        <v>418</v>
      </c>
      <c r="S182" s="68" t="s">
        <v>418</v>
      </c>
      <c r="T182" s="219" t="s">
        <v>418</v>
      </c>
      <c r="U182" s="85" t="s">
        <v>418</v>
      </c>
      <c r="V182" s="85" t="s">
        <v>418</v>
      </c>
    </row>
    <row r="183" spans="1:22">
      <c r="A183" s="231">
        <f t="shared" si="8"/>
        <v>178</v>
      </c>
      <c r="B183" s="248"/>
      <c r="C183" s="249"/>
      <c r="D183" s="254"/>
      <c r="E183" s="255"/>
      <c r="F183" s="255"/>
      <c r="G183" s="250"/>
      <c r="H183" s="250"/>
      <c r="I183" s="252">
        <f t="shared" si="7"/>
        <v>0</v>
      </c>
      <c r="N183" s="219" t="s">
        <v>418</v>
      </c>
      <c r="O183" s="219" t="s">
        <v>418</v>
      </c>
      <c r="P183" s="67" t="s">
        <v>418</v>
      </c>
      <c r="Q183" s="219" t="s">
        <v>418</v>
      </c>
      <c r="R183" s="68" t="s">
        <v>418</v>
      </c>
      <c r="S183" s="68" t="s">
        <v>418</v>
      </c>
      <c r="T183" s="219" t="s">
        <v>418</v>
      </c>
      <c r="U183" s="85" t="s">
        <v>418</v>
      </c>
      <c r="V183" s="85" t="s">
        <v>418</v>
      </c>
    </row>
    <row r="184" spans="1:22">
      <c r="A184" s="231">
        <f t="shared" si="8"/>
        <v>179</v>
      </c>
      <c r="B184" s="248"/>
      <c r="C184" s="249"/>
      <c r="D184" s="254"/>
      <c r="E184" s="255"/>
      <c r="F184" s="255"/>
      <c r="G184" s="250"/>
      <c r="H184" s="250"/>
      <c r="I184" s="252">
        <f t="shared" si="7"/>
        <v>0</v>
      </c>
      <c r="N184" s="219" t="s">
        <v>418</v>
      </c>
      <c r="O184" s="219" t="s">
        <v>418</v>
      </c>
      <c r="P184" s="67" t="s">
        <v>418</v>
      </c>
      <c r="Q184" s="219" t="s">
        <v>418</v>
      </c>
      <c r="R184" s="68" t="s">
        <v>418</v>
      </c>
      <c r="S184" s="68" t="s">
        <v>418</v>
      </c>
      <c r="T184" s="219" t="s">
        <v>418</v>
      </c>
      <c r="U184" s="85" t="s">
        <v>418</v>
      </c>
      <c r="V184" s="85" t="s">
        <v>418</v>
      </c>
    </row>
    <row r="185" spans="1:22">
      <c r="A185" s="231">
        <f t="shared" si="8"/>
        <v>180</v>
      </c>
      <c r="B185" s="248"/>
      <c r="C185" s="249"/>
      <c r="D185" s="254"/>
      <c r="E185" s="255"/>
      <c r="F185" s="255"/>
      <c r="G185" s="250"/>
      <c r="H185" s="250"/>
      <c r="I185" s="252">
        <f t="shared" si="7"/>
        <v>0</v>
      </c>
      <c r="N185" s="219" t="s">
        <v>418</v>
      </c>
      <c r="O185" s="219" t="s">
        <v>418</v>
      </c>
      <c r="P185" s="67" t="s">
        <v>418</v>
      </c>
      <c r="Q185" s="219" t="s">
        <v>418</v>
      </c>
      <c r="R185" s="68" t="s">
        <v>418</v>
      </c>
      <c r="S185" s="68" t="s">
        <v>418</v>
      </c>
      <c r="T185" s="219" t="s">
        <v>418</v>
      </c>
      <c r="U185" s="85" t="s">
        <v>418</v>
      </c>
      <c r="V185" s="85" t="s">
        <v>418</v>
      </c>
    </row>
    <row r="186" spans="1:22">
      <c r="A186" s="231">
        <f t="shared" si="8"/>
        <v>181</v>
      </c>
      <c r="B186" s="248"/>
      <c r="C186" s="249"/>
      <c r="D186" s="254"/>
      <c r="E186" s="255"/>
      <c r="F186" s="255"/>
      <c r="G186" s="250"/>
      <c r="H186" s="250"/>
      <c r="I186" s="252">
        <f t="shared" si="7"/>
        <v>0</v>
      </c>
      <c r="N186" s="219" t="s">
        <v>418</v>
      </c>
      <c r="O186" s="219" t="s">
        <v>418</v>
      </c>
      <c r="P186" s="67" t="s">
        <v>418</v>
      </c>
      <c r="Q186" s="219" t="s">
        <v>418</v>
      </c>
      <c r="R186" s="68" t="s">
        <v>418</v>
      </c>
      <c r="S186" s="68" t="s">
        <v>418</v>
      </c>
      <c r="T186" s="219" t="s">
        <v>418</v>
      </c>
      <c r="U186" s="85" t="s">
        <v>418</v>
      </c>
      <c r="V186" s="85" t="s">
        <v>418</v>
      </c>
    </row>
    <row r="187" spans="1:22">
      <c r="A187" s="231">
        <f t="shared" si="8"/>
        <v>182</v>
      </c>
      <c r="B187" s="248"/>
      <c r="C187" s="249"/>
      <c r="D187" s="254"/>
      <c r="E187" s="255"/>
      <c r="F187" s="255"/>
      <c r="G187" s="250"/>
      <c r="H187" s="250"/>
      <c r="I187" s="252">
        <f t="shared" si="7"/>
        <v>0</v>
      </c>
      <c r="N187" s="219" t="s">
        <v>418</v>
      </c>
      <c r="O187" s="219" t="s">
        <v>418</v>
      </c>
      <c r="P187" s="67" t="s">
        <v>418</v>
      </c>
      <c r="Q187" s="219" t="s">
        <v>418</v>
      </c>
      <c r="R187" s="68" t="s">
        <v>418</v>
      </c>
      <c r="S187" s="68" t="s">
        <v>418</v>
      </c>
      <c r="T187" s="219" t="s">
        <v>418</v>
      </c>
      <c r="U187" s="85" t="s">
        <v>418</v>
      </c>
      <c r="V187" s="85" t="s">
        <v>418</v>
      </c>
    </row>
    <row r="188" spans="1:22">
      <c r="A188" s="231">
        <f t="shared" si="8"/>
        <v>183</v>
      </c>
      <c r="B188" s="248"/>
      <c r="C188" s="249"/>
      <c r="D188" s="254"/>
      <c r="E188" s="255"/>
      <c r="F188" s="255"/>
      <c r="G188" s="250"/>
      <c r="H188" s="250"/>
      <c r="I188" s="252">
        <f t="shared" si="7"/>
        <v>0</v>
      </c>
      <c r="N188" s="219" t="s">
        <v>418</v>
      </c>
      <c r="O188" s="219" t="s">
        <v>418</v>
      </c>
      <c r="P188" s="67" t="s">
        <v>418</v>
      </c>
      <c r="Q188" s="219" t="s">
        <v>418</v>
      </c>
      <c r="R188" s="68" t="s">
        <v>418</v>
      </c>
      <c r="S188" s="68" t="s">
        <v>418</v>
      </c>
      <c r="T188" s="219" t="s">
        <v>418</v>
      </c>
      <c r="U188" s="85" t="s">
        <v>418</v>
      </c>
      <c r="V188" s="85" t="s">
        <v>418</v>
      </c>
    </row>
    <row r="189" spans="1:22">
      <c r="A189" s="231">
        <f t="shared" si="8"/>
        <v>184</v>
      </c>
      <c r="B189" s="248"/>
      <c r="C189" s="249"/>
      <c r="D189" s="256"/>
      <c r="E189" s="255"/>
      <c r="F189" s="253"/>
      <c r="G189" s="250"/>
      <c r="H189" s="250"/>
      <c r="I189" s="252">
        <f t="shared" si="7"/>
        <v>0</v>
      </c>
      <c r="N189" s="219" t="s">
        <v>418</v>
      </c>
      <c r="O189" s="219" t="s">
        <v>418</v>
      </c>
      <c r="P189" s="67" t="s">
        <v>418</v>
      </c>
      <c r="Q189" s="219" t="s">
        <v>418</v>
      </c>
      <c r="R189" s="68" t="s">
        <v>418</v>
      </c>
      <c r="S189" s="68" t="s">
        <v>418</v>
      </c>
      <c r="T189" s="219" t="s">
        <v>418</v>
      </c>
      <c r="U189" s="85" t="s">
        <v>418</v>
      </c>
      <c r="V189" s="85" t="s">
        <v>418</v>
      </c>
    </row>
    <row r="190" spans="1:22">
      <c r="A190" s="231">
        <f t="shared" si="8"/>
        <v>185</v>
      </c>
      <c r="B190" s="248"/>
      <c r="C190" s="249"/>
      <c r="D190" s="254"/>
      <c r="E190" s="255"/>
      <c r="F190" s="255"/>
      <c r="G190" s="250"/>
      <c r="H190" s="250"/>
      <c r="I190" s="252">
        <f t="shared" si="7"/>
        <v>0</v>
      </c>
      <c r="N190" s="219" t="s">
        <v>418</v>
      </c>
      <c r="O190" s="219" t="s">
        <v>418</v>
      </c>
      <c r="P190" s="67" t="s">
        <v>418</v>
      </c>
      <c r="Q190" s="219" t="s">
        <v>418</v>
      </c>
      <c r="R190" s="68" t="s">
        <v>418</v>
      </c>
      <c r="S190" s="68" t="s">
        <v>418</v>
      </c>
      <c r="T190" s="219" t="s">
        <v>418</v>
      </c>
      <c r="U190" s="85" t="s">
        <v>418</v>
      </c>
      <c r="V190" s="85" t="s">
        <v>418</v>
      </c>
    </row>
    <row r="191" spans="1:22">
      <c r="A191" s="231">
        <f t="shared" si="8"/>
        <v>186</v>
      </c>
      <c r="B191" s="248"/>
      <c r="C191" s="249"/>
      <c r="D191" s="254"/>
      <c r="E191" s="255"/>
      <c r="F191" s="255"/>
      <c r="G191" s="250"/>
      <c r="H191" s="250"/>
      <c r="I191" s="252">
        <f t="shared" si="7"/>
        <v>0</v>
      </c>
      <c r="N191" s="219" t="s">
        <v>418</v>
      </c>
      <c r="O191" s="219" t="s">
        <v>418</v>
      </c>
      <c r="P191" s="67" t="s">
        <v>418</v>
      </c>
      <c r="Q191" s="219" t="s">
        <v>418</v>
      </c>
      <c r="R191" s="68" t="s">
        <v>418</v>
      </c>
      <c r="S191" s="68" t="s">
        <v>418</v>
      </c>
      <c r="T191" s="219" t="s">
        <v>418</v>
      </c>
      <c r="U191" s="85" t="s">
        <v>418</v>
      </c>
      <c r="V191" s="85" t="s">
        <v>418</v>
      </c>
    </row>
    <row r="192" spans="1:22">
      <c r="A192" s="231">
        <f t="shared" si="8"/>
        <v>187</v>
      </c>
      <c r="B192" s="248"/>
      <c r="C192" s="249"/>
      <c r="D192" s="254"/>
      <c r="E192" s="255"/>
      <c r="F192" s="255"/>
      <c r="G192" s="250"/>
      <c r="H192" s="250"/>
      <c r="I192" s="252">
        <f t="shared" si="7"/>
        <v>0</v>
      </c>
      <c r="N192" s="219" t="s">
        <v>418</v>
      </c>
      <c r="O192" s="219" t="s">
        <v>418</v>
      </c>
      <c r="P192" s="67" t="s">
        <v>418</v>
      </c>
      <c r="Q192" s="219" t="s">
        <v>418</v>
      </c>
      <c r="R192" s="68" t="s">
        <v>418</v>
      </c>
      <c r="S192" s="68" t="s">
        <v>418</v>
      </c>
      <c r="T192" s="219" t="s">
        <v>418</v>
      </c>
      <c r="U192" s="85" t="s">
        <v>418</v>
      </c>
      <c r="V192" s="85" t="s">
        <v>418</v>
      </c>
    </row>
    <row r="193" spans="1:22">
      <c r="A193" s="231">
        <f t="shared" si="8"/>
        <v>188</v>
      </c>
      <c r="B193" s="248"/>
      <c r="C193" s="249"/>
      <c r="D193" s="254"/>
      <c r="E193" s="255"/>
      <c r="F193" s="255"/>
      <c r="G193" s="250"/>
      <c r="H193" s="250"/>
      <c r="I193" s="252">
        <f t="shared" si="7"/>
        <v>0</v>
      </c>
      <c r="N193" s="219" t="s">
        <v>418</v>
      </c>
      <c r="O193" s="219" t="s">
        <v>418</v>
      </c>
      <c r="P193" s="67" t="s">
        <v>418</v>
      </c>
      <c r="Q193" s="219" t="s">
        <v>418</v>
      </c>
      <c r="R193" s="68" t="s">
        <v>418</v>
      </c>
      <c r="S193" s="68" t="s">
        <v>418</v>
      </c>
      <c r="T193" s="219" t="s">
        <v>418</v>
      </c>
      <c r="U193" s="85" t="s">
        <v>418</v>
      </c>
      <c r="V193" s="85" t="s">
        <v>418</v>
      </c>
    </row>
    <row r="194" spans="1:22">
      <c r="A194" s="231">
        <f t="shared" si="8"/>
        <v>189</v>
      </c>
      <c r="B194" s="248"/>
      <c r="C194" s="249"/>
      <c r="D194" s="254"/>
      <c r="E194" s="255"/>
      <c r="F194" s="255"/>
      <c r="G194" s="250"/>
      <c r="H194" s="250"/>
      <c r="I194" s="252">
        <f t="shared" si="7"/>
        <v>0</v>
      </c>
      <c r="N194" s="219" t="s">
        <v>418</v>
      </c>
      <c r="O194" s="219" t="s">
        <v>418</v>
      </c>
      <c r="P194" s="67" t="s">
        <v>418</v>
      </c>
      <c r="Q194" s="219" t="s">
        <v>418</v>
      </c>
      <c r="R194" s="68" t="s">
        <v>418</v>
      </c>
      <c r="S194" s="68" t="s">
        <v>418</v>
      </c>
      <c r="T194" s="219" t="s">
        <v>418</v>
      </c>
      <c r="U194" s="85" t="s">
        <v>418</v>
      </c>
      <c r="V194" s="85" t="s">
        <v>418</v>
      </c>
    </row>
    <row r="195" spans="1:22">
      <c r="A195" s="231">
        <f t="shared" si="8"/>
        <v>190</v>
      </c>
      <c r="B195" s="248"/>
      <c r="C195" s="249"/>
      <c r="D195" s="254"/>
      <c r="E195" s="255"/>
      <c r="F195" s="255"/>
      <c r="G195" s="250"/>
      <c r="H195" s="250"/>
      <c r="I195" s="252">
        <f t="shared" si="7"/>
        <v>0</v>
      </c>
      <c r="N195" s="219" t="s">
        <v>418</v>
      </c>
      <c r="O195" s="219" t="s">
        <v>418</v>
      </c>
      <c r="P195" s="67" t="s">
        <v>418</v>
      </c>
      <c r="Q195" s="219" t="s">
        <v>418</v>
      </c>
      <c r="R195" s="68" t="s">
        <v>418</v>
      </c>
      <c r="S195" s="68" t="s">
        <v>418</v>
      </c>
      <c r="T195" s="219" t="s">
        <v>418</v>
      </c>
      <c r="U195" s="85" t="s">
        <v>418</v>
      </c>
      <c r="V195" s="85" t="s">
        <v>418</v>
      </c>
    </row>
    <row r="196" spans="1:22">
      <c r="A196" s="231">
        <f t="shared" si="8"/>
        <v>191</v>
      </c>
      <c r="B196" s="248"/>
      <c r="C196" s="249"/>
      <c r="D196" s="254"/>
      <c r="E196" s="255"/>
      <c r="F196" s="255"/>
      <c r="G196" s="250"/>
      <c r="H196" s="250"/>
      <c r="I196" s="252">
        <f t="shared" si="7"/>
        <v>0</v>
      </c>
      <c r="N196" s="219" t="s">
        <v>418</v>
      </c>
      <c r="O196" s="219" t="s">
        <v>418</v>
      </c>
      <c r="P196" s="67" t="s">
        <v>418</v>
      </c>
      <c r="Q196" s="219" t="s">
        <v>418</v>
      </c>
      <c r="R196" s="68" t="s">
        <v>418</v>
      </c>
      <c r="S196" s="68" t="s">
        <v>418</v>
      </c>
      <c r="T196" s="219" t="s">
        <v>418</v>
      </c>
      <c r="U196" s="85" t="s">
        <v>418</v>
      </c>
      <c r="V196" s="85" t="s">
        <v>418</v>
      </c>
    </row>
    <row r="197" spans="1:22">
      <c r="A197" s="231">
        <f t="shared" si="8"/>
        <v>192</v>
      </c>
      <c r="B197" s="248"/>
      <c r="C197" s="249"/>
      <c r="D197" s="254"/>
      <c r="E197" s="255"/>
      <c r="F197" s="255"/>
      <c r="G197" s="250"/>
      <c r="H197" s="250"/>
      <c r="I197" s="252">
        <f t="shared" si="7"/>
        <v>0</v>
      </c>
      <c r="N197" s="219" t="s">
        <v>418</v>
      </c>
      <c r="O197" s="219" t="s">
        <v>418</v>
      </c>
      <c r="P197" s="67" t="s">
        <v>418</v>
      </c>
      <c r="Q197" s="219" t="s">
        <v>418</v>
      </c>
      <c r="R197" s="68" t="s">
        <v>418</v>
      </c>
      <c r="S197" s="68" t="s">
        <v>418</v>
      </c>
      <c r="T197" s="219" t="s">
        <v>418</v>
      </c>
      <c r="U197" s="85" t="s">
        <v>418</v>
      </c>
      <c r="V197" s="85" t="s">
        <v>418</v>
      </c>
    </row>
    <row r="198" spans="1:22">
      <c r="A198" s="231">
        <f t="shared" si="8"/>
        <v>193</v>
      </c>
      <c r="B198" s="248"/>
      <c r="C198" s="249"/>
      <c r="D198" s="254"/>
      <c r="E198" s="255"/>
      <c r="F198" s="255"/>
      <c r="G198" s="250"/>
      <c r="H198" s="250"/>
      <c r="I198" s="252">
        <f t="shared" ref="I198:I211" si="9">H198*G198</f>
        <v>0</v>
      </c>
      <c r="N198" s="219" t="s">
        <v>418</v>
      </c>
      <c r="O198" s="219" t="s">
        <v>418</v>
      </c>
      <c r="P198" s="67" t="s">
        <v>418</v>
      </c>
      <c r="Q198" s="219" t="s">
        <v>418</v>
      </c>
      <c r="R198" s="68" t="s">
        <v>418</v>
      </c>
      <c r="S198" s="68" t="s">
        <v>418</v>
      </c>
      <c r="T198" s="219" t="s">
        <v>418</v>
      </c>
      <c r="U198" s="85" t="s">
        <v>418</v>
      </c>
      <c r="V198" s="85" t="s">
        <v>418</v>
      </c>
    </row>
    <row r="199" spans="1:22">
      <c r="A199" s="231">
        <f t="shared" si="8"/>
        <v>194</v>
      </c>
      <c r="B199" s="248"/>
      <c r="C199" s="249"/>
      <c r="D199" s="254"/>
      <c r="E199" s="255"/>
      <c r="F199" s="255"/>
      <c r="G199" s="250"/>
      <c r="H199" s="250"/>
      <c r="I199" s="252">
        <f t="shared" si="9"/>
        <v>0</v>
      </c>
      <c r="N199" s="219" t="s">
        <v>418</v>
      </c>
      <c r="O199" s="219" t="s">
        <v>418</v>
      </c>
      <c r="P199" s="67" t="s">
        <v>418</v>
      </c>
      <c r="Q199" s="219" t="s">
        <v>418</v>
      </c>
      <c r="R199" s="68" t="s">
        <v>418</v>
      </c>
      <c r="S199" s="68" t="s">
        <v>418</v>
      </c>
      <c r="T199" s="219" t="s">
        <v>418</v>
      </c>
      <c r="U199" s="85" t="s">
        <v>418</v>
      </c>
      <c r="V199" s="85" t="s">
        <v>418</v>
      </c>
    </row>
    <row r="200" spans="1:22">
      <c r="A200" s="231">
        <f t="shared" ref="A200:A211" si="10">+A199+1</f>
        <v>195</v>
      </c>
      <c r="B200" s="248"/>
      <c r="C200" s="249"/>
      <c r="D200" s="254"/>
      <c r="E200" s="253"/>
      <c r="F200" s="253"/>
      <c r="G200" s="250"/>
      <c r="H200" s="250"/>
      <c r="I200" s="252">
        <f t="shared" si="9"/>
        <v>0</v>
      </c>
      <c r="N200" s="219" t="s">
        <v>418</v>
      </c>
      <c r="O200" s="219" t="s">
        <v>418</v>
      </c>
      <c r="P200" s="67" t="s">
        <v>418</v>
      </c>
      <c r="Q200" s="219" t="s">
        <v>418</v>
      </c>
      <c r="R200" s="68" t="s">
        <v>418</v>
      </c>
      <c r="S200" s="68" t="s">
        <v>418</v>
      </c>
      <c r="T200" s="219" t="s">
        <v>418</v>
      </c>
      <c r="U200" s="85" t="s">
        <v>418</v>
      </c>
      <c r="V200" s="85" t="s">
        <v>418</v>
      </c>
    </row>
    <row r="201" spans="1:22">
      <c r="A201" s="231">
        <f t="shared" si="10"/>
        <v>196</v>
      </c>
      <c r="B201" s="248"/>
      <c r="C201" s="283"/>
      <c r="D201" s="254"/>
      <c r="E201" s="253"/>
      <c r="F201" s="253"/>
      <c r="G201" s="250"/>
      <c r="H201" s="250"/>
      <c r="I201" s="252">
        <f t="shared" si="9"/>
        <v>0</v>
      </c>
      <c r="N201" s="219" t="s">
        <v>418</v>
      </c>
      <c r="O201" s="219" t="s">
        <v>418</v>
      </c>
      <c r="P201" s="67" t="s">
        <v>418</v>
      </c>
      <c r="Q201" s="219" t="s">
        <v>418</v>
      </c>
      <c r="R201" s="68" t="s">
        <v>418</v>
      </c>
      <c r="S201" s="68" t="s">
        <v>418</v>
      </c>
      <c r="T201" s="219" t="s">
        <v>418</v>
      </c>
      <c r="U201" s="85" t="s">
        <v>418</v>
      </c>
      <c r="V201" s="85" t="s">
        <v>418</v>
      </c>
    </row>
    <row r="202" spans="1:22">
      <c r="A202" s="231">
        <f t="shared" si="10"/>
        <v>197</v>
      </c>
      <c r="B202" s="248"/>
      <c r="C202" s="249"/>
      <c r="D202" s="254"/>
      <c r="E202" s="253"/>
      <c r="F202" s="253"/>
      <c r="G202" s="250"/>
      <c r="H202" s="250"/>
      <c r="I202" s="252">
        <f t="shared" si="9"/>
        <v>0</v>
      </c>
      <c r="N202" s="219" t="s">
        <v>418</v>
      </c>
      <c r="O202" s="219" t="s">
        <v>418</v>
      </c>
      <c r="P202" s="67" t="s">
        <v>418</v>
      </c>
      <c r="Q202" s="219" t="s">
        <v>418</v>
      </c>
      <c r="R202" s="68" t="s">
        <v>418</v>
      </c>
      <c r="S202" s="68" t="s">
        <v>418</v>
      </c>
      <c r="T202" s="219" t="s">
        <v>418</v>
      </c>
      <c r="U202" s="85" t="s">
        <v>418</v>
      </c>
      <c r="V202" s="85" t="s">
        <v>418</v>
      </c>
    </row>
    <row r="203" spans="1:22">
      <c r="A203" s="231">
        <f t="shared" si="10"/>
        <v>198</v>
      </c>
      <c r="B203" s="248"/>
      <c r="C203" s="249"/>
      <c r="D203" s="254"/>
      <c r="E203" s="253"/>
      <c r="F203" s="253"/>
      <c r="G203" s="250"/>
      <c r="H203" s="250"/>
      <c r="I203" s="252">
        <f t="shared" si="9"/>
        <v>0</v>
      </c>
      <c r="N203" s="219" t="s">
        <v>418</v>
      </c>
      <c r="O203" s="219" t="s">
        <v>418</v>
      </c>
      <c r="P203" s="67" t="s">
        <v>418</v>
      </c>
      <c r="Q203" s="219" t="s">
        <v>418</v>
      </c>
      <c r="R203" s="68" t="s">
        <v>418</v>
      </c>
      <c r="S203" s="68" t="s">
        <v>418</v>
      </c>
      <c r="T203" s="219" t="s">
        <v>418</v>
      </c>
      <c r="U203" s="85" t="s">
        <v>418</v>
      </c>
      <c r="V203" s="85" t="s">
        <v>418</v>
      </c>
    </row>
    <row r="204" spans="1:22">
      <c r="A204" s="231">
        <f t="shared" si="10"/>
        <v>199</v>
      </c>
      <c r="B204" s="248"/>
      <c r="C204" s="249"/>
      <c r="D204" s="254"/>
      <c r="E204" s="253"/>
      <c r="F204" s="253"/>
      <c r="G204" s="250"/>
      <c r="H204" s="250"/>
      <c r="I204" s="252">
        <f t="shared" si="9"/>
        <v>0</v>
      </c>
      <c r="N204" s="219" t="s">
        <v>418</v>
      </c>
      <c r="O204" s="219" t="s">
        <v>418</v>
      </c>
      <c r="P204" s="67" t="s">
        <v>418</v>
      </c>
      <c r="Q204" s="219" t="s">
        <v>418</v>
      </c>
      <c r="R204" s="68" t="s">
        <v>418</v>
      </c>
      <c r="S204" s="68" t="s">
        <v>418</v>
      </c>
      <c r="T204" s="219" t="s">
        <v>418</v>
      </c>
      <c r="U204" s="85" t="s">
        <v>418</v>
      </c>
      <c r="V204" s="85" t="s">
        <v>418</v>
      </c>
    </row>
    <row r="205" spans="1:22">
      <c r="A205" s="231">
        <f t="shared" si="10"/>
        <v>200</v>
      </c>
      <c r="B205" s="248"/>
      <c r="C205" s="249"/>
      <c r="D205" s="254"/>
      <c r="E205" s="253"/>
      <c r="F205" s="257"/>
      <c r="G205" s="250"/>
      <c r="H205" s="250"/>
      <c r="I205" s="252">
        <f t="shared" si="9"/>
        <v>0</v>
      </c>
      <c r="N205" s="219" t="s">
        <v>418</v>
      </c>
      <c r="O205" s="219" t="s">
        <v>418</v>
      </c>
      <c r="P205" s="67" t="s">
        <v>418</v>
      </c>
      <c r="Q205" s="219" t="s">
        <v>418</v>
      </c>
      <c r="R205" s="68" t="s">
        <v>418</v>
      </c>
      <c r="S205" s="68" t="s">
        <v>418</v>
      </c>
      <c r="T205" s="219" t="s">
        <v>418</v>
      </c>
      <c r="U205" s="85" t="s">
        <v>418</v>
      </c>
      <c r="V205" s="85" t="s">
        <v>418</v>
      </c>
    </row>
    <row r="206" spans="1:22">
      <c r="A206" s="231">
        <f t="shared" si="10"/>
        <v>201</v>
      </c>
      <c r="B206" s="248"/>
      <c r="C206" s="249"/>
      <c r="D206" s="254"/>
      <c r="E206" s="253"/>
      <c r="F206" s="257"/>
      <c r="G206" s="250"/>
      <c r="H206" s="250"/>
      <c r="I206" s="252">
        <f t="shared" si="9"/>
        <v>0</v>
      </c>
      <c r="N206" s="219" t="s">
        <v>418</v>
      </c>
      <c r="O206" s="219" t="s">
        <v>418</v>
      </c>
      <c r="P206" s="67" t="s">
        <v>418</v>
      </c>
      <c r="Q206" s="219" t="s">
        <v>418</v>
      </c>
      <c r="R206" s="68" t="s">
        <v>418</v>
      </c>
      <c r="S206" s="68" t="s">
        <v>418</v>
      </c>
      <c r="T206" s="219" t="s">
        <v>418</v>
      </c>
      <c r="U206" s="85" t="s">
        <v>418</v>
      </c>
      <c r="V206" s="85" t="s">
        <v>418</v>
      </c>
    </row>
    <row r="207" spans="1:22">
      <c r="A207" s="231">
        <f t="shared" si="10"/>
        <v>202</v>
      </c>
      <c r="B207" s="248"/>
      <c r="C207" s="249"/>
      <c r="D207" s="254"/>
      <c r="E207" s="253"/>
      <c r="F207" s="253"/>
      <c r="G207" s="250"/>
      <c r="H207" s="250"/>
      <c r="I207" s="252">
        <f t="shared" si="9"/>
        <v>0</v>
      </c>
      <c r="N207" s="219" t="s">
        <v>418</v>
      </c>
      <c r="O207" s="219" t="s">
        <v>418</v>
      </c>
      <c r="P207" s="67" t="s">
        <v>418</v>
      </c>
      <c r="Q207" s="219" t="s">
        <v>418</v>
      </c>
      <c r="R207" s="68" t="s">
        <v>418</v>
      </c>
      <c r="S207" s="68" t="s">
        <v>418</v>
      </c>
      <c r="T207" s="219" t="s">
        <v>418</v>
      </c>
      <c r="U207" s="85" t="s">
        <v>418</v>
      </c>
      <c r="V207" s="85" t="s">
        <v>418</v>
      </c>
    </row>
    <row r="208" spans="1:22">
      <c r="A208" s="231">
        <f t="shared" si="10"/>
        <v>203</v>
      </c>
      <c r="B208" s="248"/>
      <c r="C208" s="249"/>
      <c r="D208" s="254"/>
      <c r="E208" s="253"/>
      <c r="F208" s="253"/>
      <c r="G208" s="250"/>
      <c r="H208" s="250"/>
      <c r="I208" s="252">
        <f t="shared" si="9"/>
        <v>0</v>
      </c>
      <c r="N208" s="219" t="s">
        <v>418</v>
      </c>
      <c r="O208" s="219" t="s">
        <v>418</v>
      </c>
      <c r="P208" s="67" t="s">
        <v>418</v>
      </c>
      <c r="Q208" s="219" t="s">
        <v>418</v>
      </c>
      <c r="R208" s="68" t="s">
        <v>418</v>
      </c>
      <c r="S208" s="68" t="s">
        <v>418</v>
      </c>
      <c r="T208" s="219" t="s">
        <v>418</v>
      </c>
      <c r="U208" s="85" t="s">
        <v>418</v>
      </c>
      <c r="V208" s="85" t="s">
        <v>418</v>
      </c>
    </row>
    <row r="209" spans="1:22">
      <c r="A209" s="231">
        <f t="shared" si="10"/>
        <v>204</v>
      </c>
      <c r="B209" s="248"/>
      <c r="C209" s="249"/>
      <c r="D209" s="254"/>
      <c r="E209" s="253"/>
      <c r="F209" s="253"/>
      <c r="G209" s="250"/>
      <c r="H209" s="250"/>
      <c r="I209" s="252">
        <f t="shared" si="9"/>
        <v>0</v>
      </c>
      <c r="N209" s="219" t="s">
        <v>418</v>
      </c>
      <c r="O209" s="219" t="s">
        <v>418</v>
      </c>
      <c r="P209" s="67" t="s">
        <v>418</v>
      </c>
      <c r="Q209" s="219" t="s">
        <v>418</v>
      </c>
      <c r="R209" s="68" t="s">
        <v>418</v>
      </c>
      <c r="S209" s="68" t="s">
        <v>418</v>
      </c>
      <c r="T209" s="219" t="s">
        <v>418</v>
      </c>
      <c r="U209" s="85" t="s">
        <v>418</v>
      </c>
      <c r="V209" s="85" t="s">
        <v>418</v>
      </c>
    </row>
    <row r="210" spans="1:22">
      <c r="A210" s="231">
        <f t="shared" si="10"/>
        <v>205</v>
      </c>
      <c r="B210" s="248"/>
      <c r="C210" s="249"/>
      <c r="D210" s="254"/>
      <c r="E210" s="255"/>
      <c r="F210" s="255"/>
      <c r="G210" s="250"/>
      <c r="H210" s="250"/>
      <c r="I210" s="252">
        <f t="shared" si="9"/>
        <v>0</v>
      </c>
      <c r="N210" s="219" t="s">
        <v>418</v>
      </c>
      <c r="O210" s="219" t="s">
        <v>418</v>
      </c>
      <c r="P210" s="67" t="s">
        <v>418</v>
      </c>
      <c r="Q210" s="219" t="s">
        <v>418</v>
      </c>
      <c r="R210" s="68" t="s">
        <v>418</v>
      </c>
      <c r="S210" s="68" t="s">
        <v>418</v>
      </c>
      <c r="T210" s="219" t="s">
        <v>418</v>
      </c>
      <c r="U210" s="85" t="s">
        <v>418</v>
      </c>
      <c r="V210" s="85" t="s">
        <v>418</v>
      </c>
    </row>
    <row r="211" spans="1:22">
      <c r="A211" s="231">
        <f t="shared" si="10"/>
        <v>206</v>
      </c>
      <c r="B211" s="248"/>
      <c r="C211" s="249"/>
      <c r="D211" s="254"/>
      <c r="E211" s="255"/>
      <c r="F211" s="255"/>
      <c r="G211" s="250"/>
      <c r="H211" s="250"/>
      <c r="I211" s="252">
        <f t="shared" si="9"/>
        <v>0</v>
      </c>
      <c r="N211" s="219" t="s">
        <v>418</v>
      </c>
      <c r="O211" s="219" t="s">
        <v>418</v>
      </c>
      <c r="P211" s="67" t="s">
        <v>418</v>
      </c>
      <c r="Q211" s="219" t="s">
        <v>418</v>
      </c>
      <c r="R211" s="68" t="s">
        <v>418</v>
      </c>
      <c r="S211" s="68" t="s">
        <v>418</v>
      </c>
      <c r="T211" s="219" t="s">
        <v>418</v>
      </c>
      <c r="U211" s="85" t="s">
        <v>418</v>
      </c>
      <c r="V211" s="85" t="s">
        <v>418</v>
      </c>
    </row>
    <row r="213" spans="1:22">
      <c r="D213" s="251" t="str">
        <f>IF(C213="","",VLOOKUP(C213,'RELACION VTAS - CHS'!F:H,3,FALSE))</f>
        <v/>
      </c>
      <c r="E213" s="251" t="str">
        <f>IF(C213="","",VLOOKUP(C213,'RELACION VTAS - CHS'!F:H,2,FALSE))</f>
        <v/>
      </c>
      <c r="G213" s="251" t="str">
        <f>IF(C213="","",VLOOKUP(C213,'RELACION VTAS - CHS'!F:V,16,FALSE))</f>
        <v/>
      </c>
      <c r="H213" s="251">
        <f>IF($C213="",0,VLOOKUP($C213,COBRANZA!$B$7:$H$201,7,FALSE))</f>
        <v>0</v>
      </c>
      <c r="N213" s="224" t="str">
        <f>IF($B213="","",E213)</f>
        <v/>
      </c>
      <c r="O213" s="224" t="str">
        <f>IF($B213="","",IF(B213="INGRESO",D213,C213))</f>
        <v/>
      </c>
      <c r="P213" s="73" t="str">
        <f>IF($B213="","",IF(B213="INGRESO",C213,D213))</f>
        <v/>
      </c>
      <c r="Q213" s="224" t="str">
        <f>IF($B213="","","EFECTIVO")</f>
        <v/>
      </c>
      <c r="R213" s="225" t="str">
        <f>IF($B213="","",H213)</f>
        <v/>
      </c>
      <c r="S213" s="225" t="str">
        <f>IF($B213="","",IF($B213="INGRESO",I213,-I213))</f>
        <v/>
      </c>
      <c r="T213" s="224" t="str">
        <f>IF($B213="","","CORO")</f>
        <v/>
      </c>
      <c r="U213" s="224" t="str">
        <f>IF($B213="","",CONCATENATE(O213,P213))</f>
        <v/>
      </c>
      <c r="V213" s="225" t="str">
        <f>IF($B213="","",F213)</f>
        <v/>
      </c>
    </row>
    <row r="214" spans="1:22">
      <c r="I214" s="251">
        <f>H214*G214</f>
        <v>0</v>
      </c>
    </row>
    <row r="222" spans="1:22">
      <c r="L222" s="260"/>
    </row>
  </sheetData>
  <autoFilter ref="B5:I211"/>
  <mergeCells count="2">
    <mergeCell ref="J110:J111"/>
    <mergeCell ref="J118:J119"/>
  </mergeCells>
  <conditionalFormatting sqref="D14 F156 D171:D172 F171:F172 D174 F174 D176:F179 D181:F184 D186:F186 D190:F190 D188 D192:F193 D195:F195 D197:F197 D196 D198:D199 F199">
    <cfRule type="expression" dxfId="10791" priority="33212">
      <formula>IF(#REF!="FICTICIO",1,0)</formula>
    </cfRule>
  </conditionalFormatting>
  <conditionalFormatting sqref="D14">
    <cfRule type="expression" dxfId="10790" priority="33268">
      <formula>IF(#REF!="FICTICIO",1,0)</formula>
    </cfRule>
  </conditionalFormatting>
  <conditionalFormatting sqref="D213:G213">
    <cfRule type="expression" dxfId="10789" priority="23085">
      <formula>IF(#REF!="FICTICIO",1,0)</formula>
    </cfRule>
  </conditionalFormatting>
  <conditionalFormatting sqref="I214">
    <cfRule type="expression" dxfId="10788" priority="23084">
      <formula>IF(#REF!="FICTICIO",1,0)</formula>
    </cfRule>
  </conditionalFormatting>
  <conditionalFormatting sqref="H213">
    <cfRule type="expression" dxfId="10787" priority="23083">
      <formula>IF(#REF!="FICTICIO",1,0)</formula>
    </cfRule>
  </conditionalFormatting>
  <conditionalFormatting sqref="D156">
    <cfRule type="expression" dxfId="10786" priority="21826">
      <formula>IF(#REF!="FICTICIO",1,0)</formula>
    </cfRule>
  </conditionalFormatting>
  <conditionalFormatting sqref="D39">
    <cfRule type="expression" dxfId="10785" priority="21803">
      <formula>IF(#REF!="FICTICIO",1,0)</formula>
    </cfRule>
  </conditionalFormatting>
  <conditionalFormatting sqref="D39">
    <cfRule type="expression" dxfId="10784" priority="21804">
      <formula>IF(#REF!="FICTICIO",1,0)</formula>
    </cfRule>
  </conditionalFormatting>
  <conditionalFormatting sqref="D211:F211">
    <cfRule type="expression" dxfId="10783" priority="21381">
      <formula>IF(#REF!="FICTICIO",1,0)</formula>
    </cfRule>
  </conditionalFormatting>
  <conditionalFormatting sqref="D48">
    <cfRule type="expression" dxfId="10782" priority="21260">
      <formula>IF(#REF!="FICTICIO",1,0)</formula>
    </cfRule>
  </conditionalFormatting>
  <conditionalFormatting sqref="D48">
    <cfRule type="expression" dxfId="10781" priority="21261">
      <formula>IF(#REF!="FICTICIO",1,0)</formula>
    </cfRule>
  </conditionalFormatting>
  <conditionalFormatting sqref="D48">
    <cfRule type="expression" dxfId="10780" priority="21256">
      <formula>IF(#REF!="FICTICIO",1,0)</formula>
    </cfRule>
  </conditionalFormatting>
  <conditionalFormatting sqref="D48">
    <cfRule type="expression" dxfId="10779" priority="21257">
      <formula>IF(#REF!="FICTICIO",1,0)</formula>
    </cfRule>
  </conditionalFormatting>
  <conditionalFormatting sqref="D147">
    <cfRule type="expression" dxfId="10778" priority="20871">
      <formula>IF(#REF!="FICTICIO",1,0)</formula>
    </cfRule>
  </conditionalFormatting>
  <conditionalFormatting sqref="D147">
    <cfRule type="expression" dxfId="10777" priority="20861">
      <formula>IF(#REF!="FICTICIO",1,0)</formula>
    </cfRule>
  </conditionalFormatting>
  <conditionalFormatting sqref="F154">
    <cfRule type="expression" dxfId="10776" priority="20752">
      <formula>IF(#REF!="FICTICIO",1,0)</formula>
    </cfRule>
  </conditionalFormatting>
  <conditionalFormatting sqref="D154">
    <cfRule type="expression" dxfId="10775" priority="20751">
      <formula>IF(#REF!="FICTICIO",1,0)</formula>
    </cfRule>
  </conditionalFormatting>
  <conditionalFormatting sqref="E154">
    <cfRule type="expression" dxfId="10774" priority="20750">
      <formula>IF(#REF!="FICTICIO",1,0)</formula>
    </cfRule>
  </conditionalFormatting>
  <conditionalFormatting sqref="E154">
    <cfRule type="expression" dxfId="10773" priority="20749">
      <formula>IF(#REF!="FICTICIO",1,0)</formula>
    </cfRule>
  </conditionalFormatting>
  <conditionalFormatting sqref="D157 F157">
    <cfRule type="expression" dxfId="10772" priority="20744">
      <formula>IF(#REF!="FICTICIO",1,0)</formula>
    </cfRule>
  </conditionalFormatting>
  <conditionalFormatting sqref="D158 F158">
    <cfRule type="expression" dxfId="10771" priority="20741">
      <formula>IF(#REF!="FICTICIO",1,0)</formula>
    </cfRule>
  </conditionalFormatting>
  <conditionalFormatting sqref="D159">
    <cfRule type="expression" dxfId="10770" priority="20740">
      <formula>IF(#REF!="FICTICIO",1,0)</formula>
    </cfRule>
  </conditionalFormatting>
  <conditionalFormatting sqref="D160">
    <cfRule type="expression" dxfId="10769" priority="20736">
      <formula>IF(#REF!="FICTICIO",1,0)</formula>
    </cfRule>
  </conditionalFormatting>
  <conditionalFormatting sqref="F159:F160">
    <cfRule type="expression" dxfId="10768" priority="20729">
      <formula>IF(#REF!="FICTICIO",1,0)</formula>
    </cfRule>
  </conditionalFormatting>
  <conditionalFormatting sqref="D11">
    <cfRule type="expression" dxfId="10767" priority="19866">
      <formula>IF(#REF!="FICTICIO",1,0)</formula>
    </cfRule>
  </conditionalFormatting>
  <conditionalFormatting sqref="D11">
    <cfRule type="expression" dxfId="10766" priority="19867">
      <formula>IF(#REF!="FICTICIO",1,0)</formula>
    </cfRule>
  </conditionalFormatting>
  <conditionalFormatting sqref="D37">
    <cfRule type="expression" dxfId="10765" priority="19714">
      <formula>IF(#REF!="FICTICIO",1,0)</formula>
    </cfRule>
  </conditionalFormatting>
  <conditionalFormatting sqref="D37">
    <cfRule type="expression" dxfId="10764" priority="19715">
      <formula>IF(#REF!="FICTICIO",1,0)</formula>
    </cfRule>
  </conditionalFormatting>
  <conditionalFormatting sqref="D37">
    <cfRule type="expression" dxfId="10763" priority="19638">
      <formula>IF(#REF!="FICTICIO",1,0)</formula>
    </cfRule>
  </conditionalFormatting>
  <conditionalFormatting sqref="D37">
    <cfRule type="expression" dxfId="10762" priority="19639">
      <formula>IF(#REF!="FICTICIO",1,0)</formula>
    </cfRule>
  </conditionalFormatting>
  <conditionalFormatting sqref="D94">
    <cfRule type="expression" dxfId="10761" priority="19223">
      <formula>IF(#REF!="FICTICIO",1,0)</formula>
    </cfRule>
  </conditionalFormatting>
  <conditionalFormatting sqref="D94">
    <cfRule type="expression" dxfId="10760" priority="19224">
      <formula>IF(#REF!="FICTICIO",1,0)</formula>
    </cfRule>
  </conditionalFormatting>
  <conditionalFormatting sqref="D123">
    <cfRule type="expression" dxfId="10759" priority="18450">
      <formula>IF(#REF!="FICTICIO",1,0)</formula>
    </cfRule>
  </conditionalFormatting>
  <conditionalFormatting sqref="D123">
    <cfRule type="expression" dxfId="10758" priority="18451">
      <formula>IF(#REF!="FICTICIO",1,0)</formula>
    </cfRule>
  </conditionalFormatting>
  <conditionalFormatting sqref="D146">
    <cfRule type="expression" dxfId="10757" priority="18213">
      <formula>IF(#REF!="FICTICIO",1,0)</formula>
    </cfRule>
  </conditionalFormatting>
  <conditionalFormatting sqref="D146">
    <cfRule type="expression" dxfId="10756" priority="18214">
      <formula>IF(#REF!="FICTICIO",1,0)</formula>
    </cfRule>
  </conditionalFormatting>
  <conditionalFormatting sqref="D146">
    <cfRule type="expression" dxfId="10755" priority="18179">
      <formula>IF(#REF!="FICTICIO",1,0)</formula>
    </cfRule>
  </conditionalFormatting>
  <conditionalFormatting sqref="D146">
    <cfRule type="expression" dxfId="10754" priority="18180">
      <formula>IF(#REF!="FICTICIO",1,0)</formula>
    </cfRule>
  </conditionalFormatting>
  <conditionalFormatting sqref="F146">
    <cfRule type="expression" dxfId="10753" priority="18171">
      <formula>IF(#REF!="FICTICIO",1,0)</formula>
    </cfRule>
  </conditionalFormatting>
  <conditionalFormatting sqref="D146">
    <cfRule type="expression" dxfId="10752" priority="18169">
      <formula>IF(#REF!="FICTICIO",1,0)</formula>
    </cfRule>
  </conditionalFormatting>
  <conditionalFormatting sqref="D146">
    <cfRule type="expression" dxfId="10751" priority="18170">
      <formula>IF(#REF!="FICTICIO",1,0)</formula>
    </cfRule>
  </conditionalFormatting>
  <conditionalFormatting sqref="D146">
    <cfRule type="expression" dxfId="10750" priority="18167">
      <formula>IF(#REF!="FICTICIO",1,0)</formula>
    </cfRule>
  </conditionalFormatting>
  <conditionalFormatting sqref="D146">
    <cfRule type="expression" dxfId="10749" priority="18168">
      <formula>IF(#REF!="FICTICIO",1,0)</formula>
    </cfRule>
  </conditionalFormatting>
  <conditionalFormatting sqref="D146">
    <cfRule type="expression" dxfId="10748" priority="18165">
      <formula>IF(#REF!="FICTICIO",1,0)</formula>
    </cfRule>
  </conditionalFormatting>
  <conditionalFormatting sqref="D146">
    <cfRule type="expression" dxfId="10747" priority="18166">
      <formula>IF(#REF!="FICTICIO",1,0)</formula>
    </cfRule>
  </conditionalFormatting>
  <conditionalFormatting sqref="D146">
    <cfRule type="expression" dxfId="10746" priority="18163">
      <formula>IF(#REF!="FICTICIO",1,0)</formula>
    </cfRule>
  </conditionalFormatting>
  <conditionalFormatting sqref="D146">
    <cfRule type="expression" dxfId="10745" priority="18164">
      <formula>IF(#REF!="FICTICIO",1,0)</formula>
    </cfRule>
  </conditionalFormatting>
  <conditionalFormatting sqref="D146">
    <cfRule type="expression" dxfId="10744" priority="18161">
      <formula>IF(#REF!="FICTICIO",1,0)</formula>
    </cfRule>
  </conditionalFormatting>
  <conditionalFormatting sqref="D146">
    <cfRule type="expression" dxfId="10743" priority="18162">
      <formula>IF(#REF!="FICTICIO",1,0)</formula>
    </cfRule>
  </conditionalFormatting>
  <conditionalFormatting sqref="D146">
    <cfRule type="expression" dxfId="10742" priority="18159">
      <formula>IF(#REF!="FICTICIO",1,0)</formula>
    </cfRule>
  </conditionalFormatting>
  <conditionalFormatting sqref="D146">
    <cfRule type="expression" dxfId="10741" priority="18160">
      <formula>IF(#REF!="FICTICIO",1,0)</formula>
    </cfRule>
  </conditionalFormatting>
  <conditionalFormatting sqref="F147">
    <cfRule type="expression" dxfId="10740" priority="18104">
      <formula>IF(#REF!="FICTICIO",1,0)</formula>
    </cfRule>
  </conditionalFormatting>
  <conditionalFormatting sqref="D210:F210">
    <cfRule type="expression" dxfId="10739" priority="18103">
      <formula>IF(#REF!="FICTICIO",1,0)</formula>
    </cfRule>
  </conditionalFormatting>
  <conditionalFormatting sqref="D8">
    <cfRule type="expression" dxfId="10738" priority="18095">
      <formula>IF(#REF!="FICTICIO",1,0)</formula>
    </cfRule>
  </conditionalFormatting>
  <conditionalFormatting sqref="D8">
    <cfRule type="expression" dxfId="10737" priority="18096">
      <formula>IF(#REF!="FICTICIO",1,0)</formula>
    </cfRule>
  </conditionalFormatting>
  <conditionalFormatting sqref="F8">
    <cfRule type="expression" dxfId="10736" priority="18094">
      <formula>IF(#REF!="FICTICIO",1,0)</formula>
    </cfRule>
  </conditionalFormatting>
  <conditionalFormatting sqref="F8">
    <cfRule type="expression" dxfId="10735" priority="18092">
      <formula>IF(#REF!="FICTICIO",1,0)</formula>
    </cfRule>
  </conditionalFormatting>
  <conditionalFormatting sqref="F8">
    <cfRule type="expression" dxfId="10734" priority="18093">
      <formula>IF(#REF!="FICTICIO",1,0)</formula>
    </cfRule>
  </conditionalFormatting>
  <conditionalFormatting sqref="D10">
    <cfRule type="expression" dxfId="10733" priority="18078">
      <formula>IF(#REF!="FICTICIO",1,0)</formula>
    </cfRule>
  </conditionalFormatting>
  <conditionalFormatting sqref="D10">
    <cfRule type="expression" dxfId="10732" priority="18079">
      <formula>IF(#REF!="FICTICIO",1,0)</formula>
    </cfRule>
  </conditionalFormatting>
  <conditionalFormatting sqref="F14">
    <cfRule type="expression" dxfId="10731" priority="18044">
      <formula>IF(#REF!="FICTICIO",1,0)</formula>
    </cfRule>
  </conditionalFormatting>
  <conditionalFormatting sqref="D16">
    <cfRule type="expression" dxfId="10730" priority="18036">
      <formula>IF(#REF!="FICTICIO",1,0)</formula>
    </cfRule>
  </conditionalFormatting>
  <conditionalFormatting sqref="D16">
    <cfRule type="expression" dxfId="10729" priority="18037">
      <formula>IF(#REF!="FICTICIO",1,0)</formula>
    </cfRule>
  </conditionalFormatting>
  <conditionalFormatting sqref="F16">
    <cfRule type="expression" dxfId="10728" priority="18035">
      <formula>IF(#REF!="FICTICIO",1,0)</formula>
    </cfRule>
  </conditionalFormatting>
  <conditionalFormatting sqref="E16">
    <cfRule type="expression" dxfId="10727" priority="18031">
      <formula>IF(#REF!="FICTICIO",1,0)</formula>
    </cfRule>
  </conditionalFormatting>
  <conditionalFormatting sqref="E16">
    <cfRule type="expression" dxfId="10726" priority="18030">
      <formula>IF(#REF!="FICTICIO",1,0)</formula>
    </cfRule>
  </conditionalFormatting>
  <conditionalFormatting sqref="E16">
    <cfRule type="expression" dxfId="10725" priority="18029">
      <formula>IF(#REF!="FICTICIO",1,0)</formula>
    </cfRule>
  </conditionalFormatting>
  <conditionalFormatting sqref="E16">
    <cfRule type="expression" dxfId="10724" priority="18034">
      <formula>IF(#REF!="FICTICIO",1,0)</formula>
    </cfRule>
  </conditionalFormatting>
  <conditionalFormatting sqref="E16">
    <cfRule type="expression" dxfId="10723" priority="18033">
      <formula>IF(#REF!="FICTICIO",1,0)</formula>
    </cfRule>
  </conditionalFormatting>
  <conditionalFormatting sqref="E16">
    <cfRule type="expression" dxfId="10722" priority="18032">
      <formula>IF(#REF!="FICTICIO",1,0)</formula>
    </cfRule>
  </conditionalFormatting>
  <conditionalFormatting sqref="E16">
    <cfRule type="expression" dxfId="10721" priority="17995">
      <formula>IF(#REF!="FICTICIO",1,0)</formula>
    </cfRule>
  </conditionalFormatting>
  <conditionalFormatting sqref="E16">
    <cfRule type="expression" dxfId="10720" priority="17994">
      <formula>IF(#REF!="FICTICIO",1,0)</formula>
    </cfRule>
  </conditionalFormatting>
  <conditionalFormatting sqref="E16">
    <cfRule type="expression" dxfId="10719" priority="17993">
      <formula>IF(#REF!="FICTICIO",1,0)</formula>
    </cfRule>
  </conditionalFormatting>
  <conditionalFormatting sqref="E16">
    <cfRule type="expression" dxfId="10718" priority="17998">
      <formula>IF(#REF!="FICTICIO",1,0)</formula>
    </cfRule>
  </conditionalFormatting>
  <conditionalFormatting sqref="E16">
    <cfRule type="expression" dxfId="10717" priority="17997">
      <formula>IF(#REF!="FICTICIO",1,0)</formula>
    </cfRule>
  </conditionalFormatting>
  <conditionalFormatting sqref="E16">
    <cfRule type="expression" dxfId="10716" priority="17996">
      <formula>IF(#REF!="FICTICIO",1,0)</formula>
    </cfRule>
  </conditionalFormatting>
  <conditionalFormatting sqref="D43">
    <cfRule type="expression" dxfId="10715" priority="17888">
      <formula>IF(#REF!="FICTICIO",1,0)</formula>
    </cfRule>
  </conditionalFormatting>
  <conditionalFormatting sqref="D43">
    <cfRule type="expression" dxfId="10714" priority="17889">
      <formula>IF(#REF!="FICTICIO",1,0)</formula>
    </cfRule>
  </conditionalFormatting>
  <conditionalFormatting sqref="D43">
    <cfRule type="expression" dxfId="10713" priority="17886">
      <formula>IF(#REF!="FICTICIO",1,0)</formula>
    </cfRule>
  </conditionalFormatting>
  <conditionalFormatting sqref="D43">
    <cfRule type="expression" dxfId="10712" priority="17887">
      <formula>IF(#REF!="FICTICIO",1,0)</formula>
    </cfRule>
  </conditionalFormatting>
  <conditionalFormatting sqref="D43">
    <cfRule type="expression" dxfId="10711" priority="17883">
      <formula>IF(#REF!="FICTICIO",1,0)</formula>
    </cfRule>
  </conditionalFormatting>
  <conditionalFormatting sqref="D43">
    <cfRule type="expression" dxfId="10710" priority="17884">
      <formula>IF(#REF!="FICTICIO",1,0)</formula>
    </cfRule>
  </conditionalFormatting>
  <conditionalFormatting sqref="D43">
    <cfRule type="expression" dxfId="10709" priority="17881">
      <formula>IF(#REF!="FICTICIO",1,0)</formula>
    </cfRule>
  </conditionalFormatting>
  <conditionalFormatting sqref="D43">
    <cfRule type="expression" dxfId="10708" priority="17882">
      <formula>IF(#REF!="FICTICIO",1,0)</formula>
    </cfRule>
  </conditionalFormatting>
  <conditionalFormatting sqref="D46">
    <cfRule type="expression" dxfId="10707" priority="17822">
      <formula>IF(#REF!="FICTICIO",1,0)</formula>
    </cfRule>
  </conditionalFormatting>
  <conditionalFormatting sqref="D46">
    <cfRule type="expression" dxfId="10706" priority="17823">
      <formula>IF(#REF!="FICTICIO",1,0)</formula>
    </cfRule>
  </conditionalFormatting>
  <conditionalFormatting sqref="D46">
    <cfRule type="expression" dxfId="10705" priority="17820">
      <formula>IF(#REF!="FICTICIO",1,0)</formula>
    </cfRule>
  </conditionalFormatting>
  <conditionalFormatting sqref="D46">
    <cfRule type="expression" dxfId="10704" priority="17821">
      <formula>IF(#REF!="FICTICIO",1,0)</formula>
    </cfRule>
  </conditionalFormatting>
  <conditionalFormatting sqref="D46">
    <cfRule type="expression" dxfId="10703" priority="17817">
      <formula>IF(#REF!="FICTICIO",1,0)</formula>
    </cfRule>
  </conditionalFormatting>
  <conditionalFormatting sqref="D46">
    <cfRule type="expression" dxfId="10702" priority="17818">
      <formula>IF(#REF!="FICTICIO",1,0)</formula>
    </cfRule>
  </conditionalFormatting>
  <conditionalFormatting sqref="D46">
    <cfRule type="expression" dxfId="10701" priority="17815">
      <formula>IF(#REF!="FICTICIO",1,0)</formula>
    </cfRule>
  </conditionalFormatting>
  <conditionalFormatting sqref="D46">
    <cfRule type="expression" dxfId="10700" priority="17816">
      <formula>IF(#REF!="FICTICIO",1,0)</formula>
    </cfRule>
  </conditionalFormatting>
  <conditionalFormatting sqref="F46">
    <cfRule type="expression" dxfId="10699" priority="17811">
      <formula>IF(#REF!="FICTICIO",1,0)</formula>
    </cfRule>
  </conditionalFormatting>
  <conditionalFormatting sqref="D47">
    <cfRule type="expression" dxfId="10698" priority="17800">
      <formula>IF(#REF!="FICTICIO",1,0)</formula>
    </cfRule>
  </conditionalFormatting>
  <conditionalFormatting sqref="D47">
    <cfRule type="expression" dxfId="10697" priority="17801">
      <formula>IF(#REF!="FICTICIO",1,0)</formula>
    </cfRule>
  </conditionalFormatting>
  <conditionalFormatting sqref="D47">
    <cfRule type="expression" dxfId="10696" priority="17798">
      <formula>IF(#REF!="FICTICIO",1,0)</formula>
    </cfRule>
  </conditionalFormatting>
  <conditionalFormatting sqref="D47">
    <cfRule type="expression" dxfId="10695" priority="17799">
      <formula>IF(#REF!="FICTICIO",1,0)</formula>
    </cfRule>
  </conditionalFormatting>
  <conditionalFormatting sqref="D47">
    <cfRule type="expression" dxfId="10694" priority="17795">
      <formula>IF(#REF!="FICTICIO",1,0)</formula>
    </cfRule>
  </conditionalFormatting>
  <conditionalFormatting sqref="D47">
    <cfRule type="expression" dxfId="10693" priority="17796">
      <formula>IF(#REF!="FICTICIO",1,0)</formula>
    </cfRule>
  </conditionalFormatting>
  <conditionalFormatting sqref="D47">
    <cfRule type="expression" dxfId="10692" priority="17793">
      <formula>IF(#REF!="FICTICIO",1,0)</formula>
    </cfRule>
  </conditionalFormatting>
  <conditionalFormatting sqref="D47">
    <cfRule type="expression" dxfId="10691" priority="17794">
      <formula>IF(#REF!="FICTICIO",1,0)</formula>
    </cfRule>
  </conditionalFormatting>
  <conditionalFormatting sqref="F60">
    <cfRule type="expression" dxfId="10690" priority="17720">
      <formula>IF(#REF!="FICTICIO",1,0)</formula>
    </cfRule>
  </conditionalFormatting>
  <conditionalFormatting sqref="D94 D96 D98">
    <cfRule type="expression" dxfId="10689" priority="17275">
      <formula>IF(#REF!="FICTICIO",1,0)</formula>
    </cfRule>
  </conditionalFormatting>
  <conditionalFormatting sqref="D94 D96 D98">
    <cfRule type="expression" dxfId="10688" priority="17276">
      <formula>IF(#REF!="FICTICIO",1,0)</formula>
    </cfRule>
  </conditionalFormatting>
  <conditionalFormatting sqref="D94 D96 D98">
    <cfRule type="expression" dxfId="10687" priority="17273">
      <formula>IF(#REF!="FICTICIO",1,0)</formula>
    </cfRule>
  </conditionalFormatting>
  <conditionalFormatting sqref="D94 D96 D98">
    <cfRule type="expression" dxfId="10686" priority="17274">
      <formula>IF(#REF!="FICTICIO",1,0)</formula>
    </cfRule>
  </conditionalFormatting>
  <conditionalFormatting sqref="D94 D96 D98">
    <cfRule type="expression" dxfId="10685" priority="17270">
      <formula>IF(#REF!="FICTICIO",1,0)</formula>
    </cfRule>
  </conditionalFormatting>
  <conditionalFormatting sqref="D94 D96 D98">
    <cfRule type="expression" dxfId="10684" priority="17271">
      <formula>IF(#REF!="FICTICIO",1,0)</formula>
    </cfRule>
  </conditionalFormatting>
  <conditionalFormatting sqref="D94 D96 D98">
    <cfRule type="expression" dxfId="10683" priority="17268">
      <formula>IF(#REF!="FICTICIO",1,0)</formula>
    </cfRule>
  </conditionalFormatting>
  <conditionalFormatting sqref="D94 D96 D98">
    <cfRule type="expression" dxfId="10682" priority="17269">
      <formula>IF(#REF!="FICTICIO",1,0)</formula>
    </cfRule>
  </conditionalFormatting>
  <conditionalFormatting sqref="F94">
    <cfRule type="expression" dxfId="10681" priority="17264">
      <formula>IF(#REF!="FICTICIO",1,0)</formula>
    </cfRule>
  </conditionalFormatting>
  <conditionalFormatting sqref="D96">
    <cfRule type="expression" dxfId="10680" priority="17231">
      <formula>IF(#REF!="FICTICIO",1,0)</formula>
    </cfRule>
  </conditionalFormatting>
  <conditionalFormatting sqref="D96">
    <cfRule type="expression" dxfId="10679" priority="17232">
      <formula>IF(#REF!="FICTICIO",1,0)</formula>
    </cfRule>
  </conditionalFormatting>
  <conditionalFormatting sqref="D96">
    <cfRule type="expression" dxfId="10678" priority="17229">
      <formula>IF(#REF!="FICTICIO",1,0)</formula>
    </cfRule>
  </conditionalFormatting>
  <conditionalFormatting sqref="D96">
    <cfRule type="expression" dxfId="10677" priority="17230">
      <formula>IF(#REF!="FICTICIO",1,0)</formula>
    </cfRule>
  </conditionalFormatting>
  <conditionalFormatting sqref="D96">
    <cfRule type="expression" dxfId="10676" priority="17226">
      <formula>IF(#REF!="FICTICIO",1,0)</formula>
    </cfRule>
  </conditionalFormatting>
  <conditionalFormatting sqref="D96">
    <cfRule type="expression" dxfId="10675" priority="17227">
      <formula>IF(#REF!="FICTICIO",1,0)</formula>
    </cfRule>
  </conditionalFormatting>
  <conditionalFormatting sqref="D96">
    <cfRule type="expression" dxfId="10674" priority="17224">
      <formula>IF(#REF!="FICTICIO",1,0)</formula>
    </cfRule>
  </conditionalFormatting>
  <conditionalFormatting sqref="D96">
    <cfRule type="expression" dxfId="10673" priority="17225">
      <formula>IF(#REF!="FICTICIO",1,0)</formula>
    </cfRule>
  </conditionalFormatting>
  <conditionalFormatting sqref="F96">
    <cfRule type="expression" dxfId="10672" priority="17220">
      <formula>IF(#REF!="FICTICIO",1,0)</formula>
    </cfRule>
  </conditionalFormatting>
  <conditionalFormatting sqref="D98">
    <cfRule type="expression" dxfId="10671" priority="17166">
      <formula>IF(#REF!="FICTICIO",1,0)</formula>
    </cfRule>
  </conditionalFormatting>
  <conditionalFormatting sqref="D98">
    <cfRule type="expression" dxfId="10670" priority="17167">
      <formula>IF(#REF!="FICTICIO",1,0)</formula>
    </cfRule>
  </conditionalFormatting>
  <conditionalFormatting sqref="D98">
    <cfRule type="expression" dxfId="10669" priority="17164">
      <formula>IF(#REF!="FICTICIO",1,0)</formula>
    </cfRule>
  </conditionalFormatting>
  <conditionalFormatting sqref="D98">
    <cfRule type="expression" dxfId="10668" priority="17165">
      <formula>IF(#REF!="FICTICIO",1,0)</formula>
    </cfRule>
  </conditionalFormatting>
  <conditionalFormatting sqref="D98">
    <cfRule type="expression" dxfId="10667" priority="17161">
      <formula>IF(#REF!="FICTICIO",1,0)</formula>
    </cfRule>
  </conditionalFormatting>
  <conditionalFormatting sqref="D98">
    <cfRule type="expression" dxfId="10666" priority="17162">
      <formula>IF(#REF!="FICTICIO",1,0)</formula>
    </cfRule>
  </conditionalFormatting>
  <conditionalFormatting sqref="D98">
    <cfRule type="expression" dxfId="10665" priority="17159">
      <formula>IF(#REF!="FICTICIO",1,0)</formula>
    </cfRule>
  </conditionalFormatting>
  <conditionalFormatting sqref="D98">
    <cfRule type="expression" dxfId="10664" priority="17160">
      <formula>IF(#REF!="FICTICIO",1,0)</formula>
    </cfRule>
  </conditionalFormatting>
  <conditionalFormatting sqref="D98">
    <cfRule type="expression" dxfId="10663" priority="17145">
      <formula>IF(#REF!="FICTICIO",1,0)</formula>
    </cfRule>
  </conditionalFormatting>
  <conditionalFormatting sqref="D98">
    <cfRule type="expression" dxfId="10662" priority="17146">
      <formula>IF(#REF!="FICTICIO",1,0)</formula>
    </cfRule>
  </conditionalFormatting>
  <conditionalFormatting sqref="D98">
    <cfRule type="expression" dxfId="10661" priority="17143">
      <formula>IF(#REF!="FICTICIO",1,0)</formula>
    </cfRule>
  </conditionalFormatting>
  <conditionalFormatting sqref="D98">
    <cfRule type="expression" dxfId="10660" priority="17144">
      <formula>IF(#REF!="FICTICIO",1,0)</formula>
    </cfRule>
  </conditionalFormatting>
  <conditionalFormatting sqref="D98">
    <cfRule type="expression" dxfId="10659" priority="17140">
      <formula>IF(#REF!="FICTICIO",1,0)</formula>
    </cfRule>
  </conditionalFormatting>
  <conditionalFormatting sqref="D98">
    <cfRule type="expression" dxfId="10658" priority="17141">
      <formula>IF(#REF!="FICTICIO",1,0)</formula>
    </cfRule>
  </conditionalFormatting>
  <conditionalFormatting sqref="D98">
    <cfRule type="expression" dxfId="10657" priority="17138">
      <formula>IF(#REF!="FICTICIO",1,0)</formula>
    </cfRule>
  </conditionalFormatting>
  <conditionalFormatting sqref="D98">
    <cfRule type="expression" dxfId="10656" priority="17139">
      <formula>IF(#REF!="FICTICIO",1,0)</formula>
    </cfRule>
  </conditionalFormatting>
  <conditionalFormatting sqref="D99">
    <cfRule type="expression" dxfId="10655" priority="17132">
      <formula>IF(#REF!="FICTICIO",1,0)</formula>
    </cfRule>
  </conditionalFormatting>
  <conditionalFormatting sqref="D99">
    <cfRule type="expression" dxfId="10654" priority="17133">
      <formula>IF(#REF!="FICTICIO",1,0)</formula>
    </cfRule>
  </conditionalFormatting>
  <conditionalFormatting sqref="D99">
    <cfRule type="expression" dxfId="10653" priority="17130">
      <formula>IF(#REF!="FICTICIO",1,0)</formula>
    </cfRule>
  </conditionalFormatting>
  <conditionalFormatting sqref="D99">
    <cfRule type="expression" dxfId="10652" priority="17131">
      <formula>IF(#REF!="FICTICIO",1,0)</formula>
    </cfRule>
  </conditionalFormatting>
  <conditionalFormatting sqref="D99">
    <cfRule type="expression" dxfId="10651" priority="17128">
      <formula>IF(#REF!="FICTICIO",1,0)</formula>
    </cfRule>
  </conditionalFormatting>
  <conditionalFormatting sqref="D99">
    <cfRule type="expression" dxfId="10650" priority="17129">
      <formula>IF(#REF!="FICTICIO",1,0)</formula>
    </cfRule>
  </conditionalFormatting>
  <conditionalFormatting sqref="D99">
    <cfRule type="expression" dxfId="10649" priority="17126">
      <formula>IF(#REF!="FICTICIO",1,0)</formula>
    </cfRule>
  </conditionalFormatting>
  <conditionalFormatting sqref="D99">
    <cfRule type="expression" dxfId="10648" priority="17127">
      <formula>IF(#REF!="FICTICIO",1,0)</formula>
    </cfRule>
  </conditionalFormatting>
  <conditionalFormatting sqref="D98">
    <cfRule type="expression" dxfId="10647" priority="17089">
      <formula>IF(#REF!="FICTICIO",1,0)</formula>
    </cfRule>
  </conditionalFormatting>
  <conditionalFormatting sqref="D98">
    <cfRule type="expression" dxfId="10646" priority="17090">
      <formula>IF(#REF!="FICTICIO",1,0)</formula>
    </cfRule>
  </conditionalFormatting>
  <conditionalFormatting sqref="D98">
    <cfRule type="expression" dxfId="10645" priority="17087">
      <formula>IF(#REF!="FICTICIO",1,0)</formula>
    </cfRule>
  </conditionalFormatting>
  <conditionalFormatting sqref="D98">
    <cfRule type="expression" dxfId="10644" priority="17088">
      <formula>IF(#REF!="FICTICIO",1,0)</formula>
    </cfRule>
  </conditionalFormatting>
  <conditionalFormatting sqref="D98">
    <cfRule type="expression" dxfId="10643" priority="17085">
      <formula>IF(#REF!="FICTICIO",1,0)</formula>
    </cfRule>
  </conditionalFormatting>
  <conditionalFormatting sqref="D98">
    <cfRule type="expression" dxfId="10642" priority="17086">
      <formula>IF(#REF!="FICTICIO",1,0)</formula>
    </cfRule>
  </conditionalFormatting>
  <conditionalFormatting sqref="D98">
    <cfRule type="expression" dxfId="10641" priority="17083">
      <formula>IF(#REF!="FICTICIO",1,0)</formula>
    </cfRule>
  </conditionalFormatting>
  <conditionalFormatting sqref="D98">
    <cfRule type="expression" dxfId="10640" priority="17084">
      <formula>IF(#REF!="FICTICIO",1,0)</formula>
    </cfRule>
  </conditionalFormatting>
  <conditionalFormatting sqref="D99">
    <cfRule type="expression" dxfId="10639" priority="17081">
      <formula>IF(#REF!="FICTICIO",1,0)</formula>
    </cfRule>
  </conditionalFormatting>
  <conditionalFormatting sqref="D99">
    <cfRule type="expression" dxfId="10638" priority="17082">
      <formula>IF(#REF!="FICTICIO",1,0)</formula>
    </cfRule>
  </conditionalFormatting>
  <conditionalFormatting sqref="D99">
    <cfRule type="expression" dxfId="10637" priority="17079">
      <formula>IF(#REF!="FICTICIO",1,0)</formula>
    </cfRule>
  </conditionalFormatting>
  <conditionalFormatting sqref="D99">
    <cfRule type="expression" dxfId="10636" priority="17080">
      <formula>IF(#REF!="FICTICIO",1,0)</formula>
    </cfRule>
  </conditionalFormatting>
  <conditionalFormatting sqref="D99">
    <cfRule type="expression" dxfId="10635" priority="17077">
      <formula>IF(#REF!="FICTICIO",1,0)</formula>
    </cfRule>
  </conditionalFormatting>
  <conditionalFormatting sqref="D99">
    <cfRule type="expression" dxfId="10634" priority="17078">
      <formula>IF(#REF!="FICTICIO",1,0)</formula>
    </cfRule>
  </conditionalFormatting>
  <conditionalFormatting sqref="D99">
    <cfRule type="expression" dxfId="10633" priority="17075">
      <formula>IF(#REF!="FICTICIO",1,0)</formula>
    </cfRule>
  </conditionalFormatting>
  <conditionalFormatting sqref="D99">
    <cfRule type="expression" dxfId="10632" priority="17076">
      <formula>IF(#REF!="FICTICIO",1,0)</formula>
    </cfRule>
  </conditionalFormatting>
  <conditionalFormatting sqref="D99">
    <cfRule type="expression" dxfId="10631" priority="17073">
      <formula>IF(#REF!="FICTICIO",1,0)</formula>
    </cfRule>
  </conditionalFormatting>
  <conditionalFormatting sqref="D99">
    <cfRule type="expression" dxfId="10630" priority="17074">
      <formula>IF(#REF!="FICTICIO",1,0)</formula>
    </cfRule>
  </conditionalFormatting>
  <conditionalFormatting sqref="D99">
    <cfRule type="expression" dxfId="10629" priority="17071">
      <formula>IF(#REF!="FICTICIO",1,0)</formula>
    </cfRule>
  </conditionalFormatting>
  <conditionalFormatting sqref="D99">
    <cfRule type="expression" dxfId="10628" priority="17072">
      <formula>IF(#REF!="FICTICIO",1,0)</formula>
    </cfRule>
  </conditionalFormatting>
  <conditionalFormatting sqref="D99">
    <cfRule type="expression" dxfId="10627" priority="17069">
      <formula>IF(#REF!="FICTICIO",1,0)</formula>
    </cfRule>
  </conditionalFormatting>
  <conditionalFormatting sqref="D99">
    <cfRule type="expression" dxfId="10626" priority="17070">
      <formula>IF(#REF!="FICTICIO",1,0)</formula>
    </cfRule>
  </conditionalFormatting>
  <conditionalFormatting sqref="D99">
    <cfRule type="expression" dxfId="10625" priority="17067">
      <formula>IF(#REF!="FICTICIO",1,0)</formula>
    </cfRule>
  </conditionalFormatting>
  <conditionalFormatting sqref="D99">
    <cfRule type="expression" dxfId="10624" priority="17068">
      <formula>IF(#REF!="FICTICIO",1,0)</formula>
    </cfRule>
  </conditionalFormatting>
  <conditionalFormatting sqref="D99">
    <cfRule type="expression" dxfId="10623" priority="17065">
      <formula>IF(#REF!="FICTICIO",1,0)</formula>
    </cfRule>
  </conditionalFormatting>
  <conditionalFormatting sqref="D99">
    <cfRule type="expression" dxfId="10622" priority="17066">
      <formula>IF(#REF!="FICTICIO",1,0)</formula>
    </cfRule>
  </conditionalFormatting>
  <conditionalFormatting sqref="D99">
    <cfRule type="expression" dxfId="10621" priority="17063">
      <formula>IF(#REF!="FICTICIO",1,0)</formula>
    </cfRule>
  </conditionalFormatting>
  <conditionalFormatting sqref="D99">
    <cfRule type="expression" dxfId="10620" priority="17064">
      <formula>IF(#REF!="FICTICIO",1,0)</formula>
    </cfRule>
  </conditionalFormatting>
  <conditionalFormatting sqref="D99">
    <cfRule type="expression" dxfId="10619" priority="17061">
      <formula>IF(#REF!="FICTICIO",1,0)</formula>
    </cfRule>
  </conditionalFormatting>
  <conditionalFormatting sqref="D99">
    <cfRule type="expression" dxfId="10618" priority="17062">
      <formula>IF(#REF!="FICTICIO",1,0)</formula>
    </cfRule>
  </conditionalFormatting>
  <conditionalFormatting sqref="D99">
    <cfRule type="expression" dxfId="10617" priority="17059">
      <formula>IF(#REF!="FICTICIO",1,0)</formula>
    </cfRule>
  </conditionalFormatting>
  <conditionalFormatting sqref="D99">
    <cfRule type="expression" dxfId="10616" priority="17060">
      <formula>IF(#REF!="FICTICIO",1,0)</formula>
    </cfRule>
  </conditionalFormatting>
  <conditionalFormatting sqref="E8">
    <cfRule type="expression" dxfId="10615" priority="16631">
      <formula>IF(#REF!="FICTICIO",1,0)</formula>
    </cfRule>
  </conditionalFormatting>
  <conditionalFormatting sqref="E8">
    <cfRule type="expression" dxfId="10614" priority="16630">
      <formula>IF(#REF!="FICTICIO",1,0)</formula>
    </cfRule>
  </conditionalFormatting>
  <conditionalFormatting sqref="E8">
    <cfRule type="expression" dxfId="10613" priority="16629">
      <formula>IF(#REF!="FICTICIO",1,0)</formula>
    </cfRule>
  </conditionalFormatting>
  <conditionalFormatting sqref="E8">
    <cfRule type="expression" dxfId="10612" priority="16634">
      <formula>IF(#REF!="FICTICIO",1,0)</formula>
    </cfRule>
  </conditionalFormatting>
  <conditionalFormatting sqref="E8">
    <cfRule type="expression" dxfId="10611" priority="16633">
      <formula>IF(#REF!="FICTICIO",1,0)</formula>
    </cfRule>
  </conditionalFormatting>
  <conditionalFormatting sqref="E8">
    <cfRule type="expression" dxfId="10610" priority="16632">
      <formula>IF(#REF!="FICTICIO",1,0)</formula>
    </cfRule>
  </conditionalFormatting>
  <conditionalFormatting sqref="E11">
    <cfRule type="expression" dxfId="10609" priority="16608">
      <formula>IF(#REF!="FICTICIO",1,0)</formula>
    </cfRule>
  </conditionalFormatting>
  <conditionalFormatting sqref="E11">
    <cfRule type="expression" dxfId="10608" priority="16607">
      <formula>IF(#REF!="FICTICIO",1,0)</formula>
    </cfRule>
  </conditionalFormatting>
  <conditionalFormatting sqref="E11">
    <cfRule type="expression" dxfId="10607" priority="16606">
      <formula>IF(#REF!="FICTICIO",1,0)</formula>
    </cfRule>
  </conditionalFormatting>
  <conditionalFormatting sqref="E11">
    <cfRule type="expression" dxfId="10606" priority="16611">
      <formula>IF(#REF!="FICTICIO",1,0)</formula>
    </cfRule>
  </conditionalFormatting>
  <conditionalFormatting sqref="E11">
    <cfRule type="expression" dxfId="10605" priority="16610">
      <formula>IF(#REF!="FICTICIO",1,0)</formula>
    </cfRule>
  </conditionalFormatting>
  <conditionalFormatting sqref="E11">
    <cfRule type="expression" dxfId="10604" priority="16609">
      <formula>IF(#REF!="FICTICIO",1,0)</formula>
    </cfRule>
  </conditionalFormatting>
  <conditionalFormatting sqref="D13:D14 D16">
    <cfRule type="expression" dxfId="10603" priority="16598">
      <formula>IF(#REF!="FICTICIO",1,0)</formula>
    </cfRule>
  </conditionalFormatting>
  <conditionalFormatting sqref="D13:D14 D16">
    <cfRule type="expression" dxfId="10602" priority="16599">
      <formula>IF(#REF!="FICTICIO",1,0)</formula>
    </cfRule>
  </conditionalFormatting>
  <conditionalFormatting sqref="F15">
    <cfRule type="expression" dxfId="10601" priority="16583">
      <formula>IF(#REF!="FICTICIO",1,0)</formula>
    </cfRule>
  </conditionalFormatting>
  <conditionalFormatting sqref="D26">
    <cfRule type="expression" dxfId="10600" priority="16543">
      <formula>IF(#REF!="FICTICIO",1,0)</formula>
    </cfRule>
  </conditionalFormatting>
  <conditionalFormatting sqref="D26">
    <cfRule type="expression" dxfId="10599" priority="16544">
      <formula>IF(#REF!="FICTICIO",1,0)</formula>
    </cfRule>
  </conditionalFormatting>
  <conditionalFormatting sqref="D26">
    <cfRule type="expression" dxfId="10598" priority="16539">
      <formula>IF(#REF!="FICTICIO",1,0)</formula>
    </cfRule>
  </conditionalFormatting>
  <conditionalFormatting sqref="D26">
    <cfRule type="expression" dxfId="10597" priority="16540">
      <formula>IF(#REF!="FICTICIO",1,0)</formula>
    </cfRule>
  </conditionalFormatting>
  <conditionalFormatting sqref="D35">
    <cfRule type="expression" dxfId="10596" priority="16523">
      <formula>IF(#REF!="FICTICIO",1,0)</formula>
    </cfRule>
  </conditionalFormatting>
  <conditionalFormatting sqref="D35">
    <cfRule type="expression" dxfId="10595" priority="16524">
      <formula>IF(#REF!="FICTICIO",1,0)</formula>
    </cfRule>
  </conditionalFormatting>
  <conditionalFormatting sqref="D35">
    <cfRule type="expression" dxfId="10594" priority="16521">
      <formula>IF(#REF!="FICTICIO",1,0)</formula>
    </cfRule>
  </conditionalFormatting>
  <conditionalFormatting sqref="D35">
    <cfRule type="expression" dxfId="10593" priority="16522">
      <formula>IF(#REF!="FICTICIO",1,0)</formula>
    </cfRule>
  </conditionalFormatting>
  <conditionalFormatting sqref="D35">
    <cfRule type="expression" dxfId="10592" priority="16517">
      <formula>IF(#REF!="FICTICIO",1,0)</formula>
    </cfRule>
  </conditionalFormatting>
  <conditionalFormatting sqref="F37">
    <cfRule type="expression" dxfId="10591" priority="16476">
      <formula>IF(#REF!="FICTICIO",1,0)</formula>
    </cfRule>
  </conditionalFormatting>
  <conditionalFormatting sqref="F37">
    <cfRule type="expression" dxfId="10590" priority="16477">
      <formula>IF(#REF!="FICTICIO",1,0)</formula>
    </cfRule>
  </conditionalFormatting>
  <conditionalFormatting sqref="F39">
    <cfRule type="expression" dxfId="10589" priority="16446">
      <formula>IF(#REF!="FICTICIO",1,0)</formula>
    </cfRule>
  </conditionalFormatting>
  <conditionalFormatting sqref="F39">
    <cfRule type="expression" dxfId="10588" priority="16447">
      <formula>IF(#REF!="FICTICIO",1,0)</formula>
    </cfRule>
  </conditionalFormatting>
  <conditionalFormatting sqref="D77:D78 D80">
    <cfRule type="expression" dxfId="10587" priority="16097">
      <formula>IF(#REF!="FICTICIO",1,0)</formula>
    </cfRule>
  </conditionalFormatting>
  <conditionalFormatting sqref="D77:D78 D80">
    <cfRule type="expression" dxfId="10586" priority="16098">
      <formula>IF(#REF!="FICTICIO",1,0)</formula>
    </cfRule>
  </conditionalFormatting>
  <conditionalFormatting sqref="D77:D78 D80">
    <cfRule type="expression" dxfId="10585" priority="16095">
      <formula>IF(#REF!="FICTICIO",1,0)</formula>
    </cfRule>
  </conditionalFormatting>
  <conditionalFormatting sqref="D77:D78 D80">
    <cfRule type="expression" dxfId="10584" priority="16096">
      <formula>IF(#REF!="FICTICIO",1,0)</formula>
    </cfRule>
  </conditionalFormatting>
  <conditionalFormatting sqref="F77">
    <cfRule type="expression" dxfId="10583" priority="16093">
      <formula>IF(#REF!="FICTICIO",1,0)</formula>
    </cfRule>
  </conditionalFormatting>
  <conditionalFormatting sqref="F77">
    <cfRule type="expression" dxfId="10582" priority="16094">
      <formula>IF(#REF!="FICTICIO",1,0)</formula>
    </cfRule>
  </conditionalFormatting>
  <conditionalFormatting sqref="D80">
    <cfRule type="expression" dxfId="10581" priority="16084">
      <formula>IF(#REF!="FICTICIO",1,0)</formula>
    </cfRule>
  </conditionalFormatting>
  <conditionalFormatting sqref="D80">
    <cfRule type="expression" dxfId="10580" priority="16085">
      <formula>IF(#REF!="FICTICIO",1,0)</formula>
    </cfRule>
  </conditionalFormatting>
  <conditionalFormatting sqref="F80">
    <cfRule type="expression" dxfId="10579" priority="16083">
      <formula>IF(#REF!="FICTICIO",1,0)</formula>
    </cfRule>
  </conditionalFormatting>
  <conditionalFormatting sqref="D78">
    <cfRule type="expression" dxfId="10578" priority="16064">
      <formula>IF(#REF!="FICTICIO",1,0)</formula>
    </cfRule>
  </conditionalFormatting>
  <conditionalFormatting sqref="D78">
    <cfRule type="expression" dxfId="10577" priority="16065">
      <formula>IF(#REF!="FICTICIO",1,0)</formula>
    </cfRule>
  </conditionalFormatting>
  <conditionalFormatting sqref="D78">
    <cfRule type="expression" dxfId="10576" priority="16062">
      <formula>IF(#REF!="FICTICIO",1,0)</formula>
    </cfRule>
  </conditionalFormatting>
  <conditionalFormatting sqref="D78">
    <cfRule type="expression" dxfId="10575" priority="16063">
      <formula>IF(#REF!="FICTICIO",1,0)</formula>
    </cfRule>
  </conditionalFormatting>
  <conditionalFormatting sqref="D84">
    <cfRule type="expression" dxfId="10574" priority="16025">
      <formula>IF(#REF!="FICTICIO",1,0)</formula>
    </cfRule>
  </conditionalFormatting>
  <conditionalFormatting sqref="D84">
    <cfRule type="expression" dxfId="10573" priority="16026">
      <formula>IF(#REF!="FICTICIO",1,0)</formula>
    </cfRule>
  </conditionalFormatting>
  <conditionalFormatting sqref="D84">
    <cfRule type="expression" dxfId="10572" priority="16023">
      <formula>IF(#REF!="FICTICIO",1,0)</formula>
    </cfRule>
  </conditionalFormatting>
  <conditionalFormatting sqref="D84">
    <cfRule type="expression" dxfId="10571" priority="16024">
      <formula>IF(#REF!="FICTICIO",1,0)</formula>
    </cfRule>
  </conditionalFormatting>
  <conditionalFormatting sqref="D84">
    <cfRule type="expression" dxfId="10570" priority="16019">
      <formula>IF(#REF!="FICTICIO",1,0)</formula>
    </cfRule>
  </conditionalFormatting>
  <conditionalFormatting sqref="D124">
    <cfRule type="expression" dxfId="10569" priority="15340">
      <formula>IF(#REF!="FICTICIO",1,0)</formula>
    </cfRule>
  </conditionalFormatting>
  <conditionalFormatting sqref="D124">
    <cfRule type="expression" dxfId="10568" priority="15341">
      <formula>IF(#REF!="FICTICIO",1,0)</formula>
    </cfRule>
  </conditionalFormatting>
  <conditionalFormatting sqref="D128">
    <cfRule type="expression" dxfId="10567" priority="15235">
      <formula>IF(#REF!="FICTICIO",1,0)</formula>
    </cfRule>
  </conditionalFormatting>
  <conditionalFormatting sqref="F149">
    <cfRule type="expression" dxfId="10566" priority="14564">
      <formula>IF(#REF!="FICTICIO",1,0)</formula>
    </cfRule>
  </conditionalFormatting>
  <conditionalFormatting sqref="F149">
    <cfRule type="expression" dxfId="10565" priority="14563">
      <formula>IF(#REF!="FICTICIO",1,0)</formula>
    </cfRule>
  </conditionalFormatting>
  <conditionalFormatting sqref="D149">
    <cfRule type="expression" dxfId="10564" priority="14560">
      <formula>IF(#REF!="FICTICIO",1,0)</formula>
    </cfRule>
  </conditionalFormatting>
  <conditionalFormatting sqref="D149">
    <cfRule type="expression" dxfId="10563" priority="14561">
      <formula>IF(#REF!="FICTICIO",1,0)</formula>
    </cfRule>
  </conditionalFormatting>
  <conditionalFormatting sqref="D149">
    <cfRule type="expression" dxfId="10562" priority="14562">
      <formula>IF(#REF!="FICTICIO",1,0)</formula>
    </cfRule>
  </conditionalFormatting>
  <conditionalFormatting sqref="D149">
    <cfRule type="expression" dxfId="10561" priority="14558">
      <formula>IF(#REF!="FICTICIO",1,0)</formula>
    </cfRule>
  </conditionalFormatting>
  <conditionalFormatting sqref="D149">
    <cfRule type="expression" dxfId="10560" priority="14559">
      <formula>IF(#REF!="FICTICIO",1,0)</formula>
    </cfRule>
  </conditionalFormatting>
  <conditionalFormatting sqref="D151">
    <cfRule type="expression" dxfId="10559" priority="14423">
      <formula>IF(#REF!="FICTICIO",1,0)</formula>
    </cfRule>
  </conditionalFormatting>
  <conditionalFormatting sqref="D151">
    <cfRule type="expression" dxfId="10558" priority="14415">
      <formula>IF(#REF!="FICTICIO",1,0)</formula>
    </cfRule>
  </conditionalFormatting>
  <conditionalFormatting sqref="D153 F153">
    <cfRule type="expression" dxfId="10557" priority="14250">
      <formula>IF(#REF!="FICTICIO",1,0)</formula>
    </cfRule>
  </conditionalFormatting>
  <conditionalFormatting sqref="D153">
    <cfRule type="expression" dxfId="10556" priority="14249">
      <formula>IF(#REF!="FICTICIO",1,0)</formula>
    </cfRule>
  </conditionalFormatting>
  <conditionalFormatting sqref="E153">
    <cfRule type="expression" dxfId="10555" priority="14240">
      <formula>IF(#REF!="FICTICIO",1,0)</formula>
    </cfRule>
  </conditionalFormatting>
  <conditionalFormatting sqref="E153">
    <cfRule type="expression" dxfId="10554" priority="14239">
      <formula>IF(#REF!="FICTICIO",1,0)</formula>
    </cfRule>
  </conditionalFormatting>
  <conditionalFormatting sqref="E153">
    <cfRule type="expression" dxfId="10553" priority="14237">
      <formula>IF(#REF!="FICTICIO",1,0)</formula>
    </cfRule>
  </conditionalFormatting>
  <conditionalFormatting sqref="E153">
    <cfRule type="expression" dxfId="10552" priority="14238">
      <formula>IF(#REF!="FICTICIO",1,0)</formula>
    </cfRule>
  </conditionalFormatting>
  <conditionalFormatting sqref="E153">
    <cfRule type="expression" dxfId="10551" priority="14248">
      <formula>IF(#REF!="FICTICIO",1,0)</formula>
    </cfRule>
  </conditionalFormatting>
  <conditionalFormatting sqref="E153">
    <cfRule type="expression" dxfId="10550" priority="14247">
      <formula>IF(#REF!="FICTICIO",1,0)</formula>
    </cfRule>
  </conditionalFormatting>
  <conditionalFormatting sqref="E153">
    <cfRule type="expression" dxfId="10549" priority="14246">
      <formula>IF(#REF!="FICTICIO",1,0)</formula>
    </cfRule>
  </conditionalFormatting>
  <conditionalFormatting sqref="E153">
    <cfRule type="expression" dxfId="10548" priority="14245">
      <formula>IF(#REF!="FICTICIO",1,0)</formula>
    </cfRule>
  </conditionalFormatting>
  <conditionalFormatting sqref="E153">
    <cfRule type="expression" dxfId="10547" priority="14244">
      <formula>IF(#REF!="FICTICIO",1,0)</formula>
    </cfRule>
  </conditionalFormatting>
  <conditionalFormatting sqref="E153">
    <cfRule type="expression" dxfId="10546" priority="14243">
      <formula>IF(#REF!="FICTICIO",1,0)</formula>
    </cfRule>
  </conditionalFormatting>
  <conditionalFormatting sqref="E153">
    <cfRule type="expression" dxfId="10545" priority="14242">
      <formula>IF(#REF!="FICTICIO",1,0)</formula>
    </cfRule>
  </conditionalFormatting>
  <conditionalFormatting sqref="E153">
    <cfRule type="expression" dxfId="10544" priority="14241">
      <formula>IF(#REF!="FICTICIO",1,0)</formula>
    </cfRule>
  </conditionalFormatting>
  <conditionalFormatting sqref="E153">
    <cfRule type="expression" dxfId="10543" priority="14236">
      <formula>IF(#REF!="FICTICIO",1,0)</formula>
    </cfRule>
  </conditionalFormatting>
  <conditionalFormatting sqref="E153">
    <cfRule type="expression" dxfId="10542" priority="14235">
      <formula>IF(#REF!="FICTICIO",1,0)</formula>
    </cfRule>
  </conditionalFormatting>
  <conditionalFormatting sqref="E153">
    <cfRule type="expression" dxfId="10541" priority="14234">
      <formula>IF(#REF!="FICTICIO",1,0)</formula>
    </cfRule>
  </conditionalFormatting>
  <conditionalFormatting sqref="E153">
    <cfRule type="expression" dxfId="10540" priority="14233">
      <formula>IF(#REF!="FICTICIO",1,0)</formula>
    </cfRule>
  </conditionalFormatting>
  <conditionalFormatting sqref="E153">
    <cfRule type="expression" dxfId="10539" priority="14232">
      <formula>IF(#REF!="FICTICIO",1,0)</formula>
    </cfRule>
  </conditionalFormatting>
  <conditionalFormatting sqref="E153">
    <cfRule type="expression" dxfId="10538" priority="14231">
      <formula>IF(#REF!="FICTICIO",1,0)</formula>
    </cfRule>
  </conditionalFormatting>
  <conditionalFormatting sqref="E153">
    <cfRule type="expression" dxfId="10537" priority="14230">
      <formula>IF(#REF!="FICTICIO",1,0)</formula>
    </cfRule>
  </conditionalFormatting>
  <conditionalFormatting sqref="E153">
    <cfRule type="expression" dxfId="10536" priority="14229">
      <formula>IF(#REF!="FICTICIO",1,0)</formula>
    </cfRule>
  </conditionalFormatting>
  <conditionalFormatting sqref="E153">
    <cfRule type="expression" dxfId="10535" priority="14228">
      <formula>IF(#REF!="FICTICIO",1,0)</formula>
    </cfRule>
  </conditionalFormatting>
  <conditionalFormatting sqref="E153">
    <cfRule type="expression" dxfId="10534" priority="14227">
      <formula>IF(#REF!="FICTICIO",1,0)</formula>
    </cfRule>
  </conditionalFormatting>
  <conditionalFormatting sqref="E153">
    <cfRule type="expression" dxfId="10533" priority="14226">
      <formula>IF(#REF!="FICTICIO",1,0)</formula>
    </cfRule>
  </conditionalFormatting>
  <conditionalFormatting sqref="E153">
    <cfRule type="expression" dxfId="10532" priority="14225">
      <formula>IF(#REF!="FICTICIO",1,0)</formula>
    </cfRule>
  </conditionalFormatting>
  <conditionalFormatting sqref="E153">
    <cfRule type="expression" dxfId="10531" priority="14224">
      <formula>IF(#REF!="FICTICIO",1,0)</formula>
    </cfRule>
  </conditionalFormatting>
  <conditionalFormatting sqref="E153">
    <cfRule type="expression" dxfId="10530" priority="14223">
      <formula>IF(#REF!="FICTICIO",1,0)</formula>
    </cfRule>
  </conditionalFormatting>
  <conditionalFormatting sqref="E153">
    <cfRule type="expression" dxfId="10529" priority="14222">
      <formula>IF(#REF!="FICTICIO",1,0)</formula>
    </cfRule>
  </conditionalFormatting>
  <conditionalFormatting sqref="E153">
    <cfRule type="expression" dxfId="10528" priority="14221">
      <formula>IF(#REF!="FICTICIO",1,0)</formula>
    </cfRule>
  </conditionalFormatting>
  <conditionalFormatting sqref="E153">
    <cfRule type="expression" dxfId="10527" priority="14220">
      <formula>IF(#REF!="FICTICIO",1,0)</formula>
    </cfRule>
  </conditionalFormatting>
  <conditionalFormatting sqref="E153">
    <cfRule type="expression" dxfId="10526" priority="14219">
      <formula>IF(#REF!="FICTICIO",1,0)</formula>
    </cfRule>
  </conditionalFormatting>
  <conditionalFormatting sqref="E153">
    <cfRule type="expression" dxfId="10525" priority="14217">
      <formula>IF(#REF!="FICTICIO",1,0)</formula>
    </cfRule>
  </conditionalFormatting>
  <conditionalFormatting sqref="E153">
    <cfRule type="expression" dxfId="10524" priority="14218">
      <formula>IF(#REF!="FICTICIO",1,0)</formula>
    </cfRule>
  </conditionalFormatting>
  <conditionalFormatting sqref="E153">
    <cfRule type="expression" dxfId="10523" priority="14216">
      <formula>IF(#REF!="FICTICIO",1,0)</formula>
    </cfRule>
  </conditionalFormatting>
  <conditionalFormatting sqref="E153">
    <cfRule type="expression" dxfId="10522" priority="14215">
      <formula>IF(#REF!="FICTICIO",1,0)</formula>
    </cfRule>
  </conditionalFormatting>
  <conditionalFormatting sqref="E153">
    <cfRule type="expression" dxfId="10521" priority="14214">
      <formula>IF(#REF!="FICTICIO",1,0)</formula>
    </cfRule>
  </conditionalFormatting>
  <conditionalFormatting sqref="E153">
    <cfRule type="expression" dxfId="10520" priority="14213">
      <formula>IF(#REF!="FICTICIO",1,0)</formula>
    </cfRule>
  </conditionalFormatting>
  <conditionalFormatting sqref="E153">
    <cfRule type="expression" dxfId="10519" priority="14212">
      <formula>IF(#REF!="FICTICIO",1,0)</formula>
    </cfRule>
  </conditionalFormatting>
  <conditionalFormatting sqref="E153">
    <cfRule type="expression" dxfId="10518" priority="14211">
      <formula>IF(#REF!="FICTICIO",1,0)</formula>
    </cfRule>
  </conditionalFormatting>
  <conditionalFormatting sqref="E153">
    <cfRule type="expression" dxfId="10517" priority="14210">
      <formula>IF(#REF!="FICTICIO",1,0)</formula>
    </cfRule>
  </conditionalFormatting>
  <conditionalFormatting sqref="E153">
    <cfRule type="expression" dxfId="10516" priority="14209">
      <formula>IF(#REF!="FICTICIO",1,0)</formula>
    </cfRule>
  </conditionalFormatting>
  <conditionalFormatting sqref="E153">
    <cfRule type="expression" dxfId="10515" priority="14208">
      <formula>IF(#REF!="FICTICIO",1,0)</formula>
    </cfRule>
  </conditionalFormatting>
  <conditionalFormatting sqref="E153">
    <cfRule type="expression" dxfId="10514" priority="14207">
      <formula>IF(#REF!="FICTICIO",1,0)</formula>
    </cfRule>
  </conditionalFormatting>
  <conditionalFormatting sqref="E153">
    <cfRule type="expression" dxfId="10513" priority="14206">
      <formula>IF(#REF!="FICTICIO",1,0)</formula>
    </cfRule>
  </conditionalFormatting>
  <conditionalFormatting sqref="E153">
    <cfRule type="expression" dxfId="10512" priority="14205">
      <formula>IF(#REF!="FICTICIO",1,0)</formula>
    </cfRule>
  </conditionalFormatting>
  <conditionalFormatting sqref="E153">
    <cfRule type="expression" dxfId="10511" priority="14204">
      <formula>IF(#REF!="FICTICIO",1,0)</formula>
    </cfRule>
  </conditionalFormatting>
  <conditionalFormatting sqref="E153">
    <cfRule type="expression" dxfId="10510" priority="14203">
      <formula>IF(#REF!="FICTICIO",1,0)</formula>
    </cfRule>
  </conditionalFormatting>
  <conditionalFormatting sqref="E153">
    <cfRule type="expression" dxfId="10509" priority="14202">
      <formula>IF(#REF!="FICTICIO",1,0)</formula>
    </cfRule>
  </conditionalFormatting>
  <conditionalFormatting sqref="E153">
    <cfRule type="expression" dxfId="10508" priority="14201">
      <formula>IF(#REF!="FICTICIO",1,0)</formula>
    </cfRule>
  </conditionalFormatting>
  <conditionalFormatting sqref="E153">
    <cfRule type="expression" dxfId="10507" priority="14200">
      <formula>IF(#REF!="FICTICIO",1,0)</formula>
    </cfRule>
  </conditionalFormatting>
  <conditionalFormatting sqref="E153">
    <cfRule type="expression" dxfId="10506" priority="14199">
      <formula>IF(#REF!="FICTICIO",1,0)</formula>
    </cfRule>
  </conditionalFormatting>
  <conditionalFormatting sqref="E153">
    <cfRule type="expression" dxfId="10505" priority="14198">
      <formula>IF(#REF!="FICTICIO",1,0)</formula>
    </cfRule>
  </conditionalFormatting>
  <conditionalFormatting sqref="E153">
    <cfRule type="expression" dxfId="10504" priority="14197">
      <formula>IF(#REF!="FICTICIO",1,0)</formula>
    </cfRule>
  </conditionalFormatting>
  <conditionalFormatting sqref="E153">
    <cfRule type="expression" dxfId="10503" priority="14196">
      <formula>IF(#REF!="FICTICIO",1,0)</formula>
    </cfRule>
  </conditionalFormatting>
  <conditionalFormatting sqref="E153">
    <cfRule type="expression" dxfId="10502" priority="14194">
      <formula>IF(#REF!="FICTICIO",1,0)</formula>
    </cfRule>
  </conditionalFormatting>
  <conditionalFormatting sqref="E153">
    <cfRule type="expression" dxfId="10501" priority="14195">
      <formula>IF(#REF!="FICTICIO",1,0)</formula>
    </cfRule>
  </conditionalFormatting>
  <conditionalFormatting sqref="E153">
    <cfRule type="expression" dxfId="10500" priority="14193">
      <formula>IF(#REF!="FICTICIO",1,0)</formula>
    </cfRule>
  </conditionalFormatting>
  <conditionalFormatting sqref="E153">
    <cfRule type="expression" dxfId="10499" priority="14192">
      <formula>IF(#REF!="FICTICIO",1,0)</formula>
    </cfRule>
  </conditionalFormatting>
  <conditionalFormatting sqref="E153">
    <cfRule type="expression" dxfId="10498" priority="14191">
      <formula>IF(#REF!="FICTICIO",1,0)</formula>
    </cfRule>
  </conditionalFormatting>
  <conditionalFormatting sqref="E153">
    <cfRule type="expression" dxfId="10497" priority="14190">
      <formula>IF(#REF!="FICTICIO",1,0)</formula>
    </cfRule>
  </conditionalFormatting>
  <conditionalFormatting sqref="E153">
    <cfRule type="expression" dxfId="10496" priority="14189">
      <formula>IF(#REF!="FICTICIO",1,0)</formula>
    </cfRule>
  </conditionalFormatting>
  <conditionalFormatting sqref="E153">
    <cfRule type="expression" dxfId="10495" priority="14188">
      <formula>IF(#REF!="FICTICIO",1,0)</formula>
    </cfRule>
  </conditionalFormatting>
  <conditionalFormatting sqref="E153">
    <cfRule type="expression" dxfId="10494" priority="14187">
      <formula>IF(#REF!="FICTICIO",1,0)</formula>
    </cfRule>
  </conditionalFormatting>
  <conditionalFormatting sqref="E153">
    <cfRule type="expression" dxfId="10493" priority="14186">
      <formula>IF(#REF!="FICTICIO",1,0)</formula>
    </cfRule>
  </conditionalFormatting>
  <conditionalFormatting sqref="E153">
    <cfRule type="expression" dxfId="10492" priority="14185">
      <formula>IF(#REF!="FICTICIO",1,0)</formula>
    </cfRule>
  </conditionalFormatting>
  <conditionalFormatting sqref="E153">
    <cfRule type="expression" dxfId="10491" priority="14184">
      <formula>IF(#REF!="FICTICIO",1,0)</formula>
    </cfRule>
  </conditionalFormatting>
  <conditionalFormatting sqref="E153">
    <cfRule type="expression" dxfId="10490" priority="14182">
      <formula>IF(#REF!="FICTICIO",1,0)</formula>
    </cfRule>
  </conditionalFormatting>
  <conditionalFormatting sqref="E153">
    <cfRule type="expression" dxfId="10489" priority="14183">
      <formula>IF(#REF!="FICTICIO",1,0)</formula>
    </cfRule>
  </conditionalFormatting>
  <conditionalFormatting sqref="E153">
    <cfRule type="expression" dxfId="10488" priority="14173">
      <formula>IF(#REF!="FICTICIO",1,0)</formula>
    </cfRule>
  </conditionalFormatting>
  <conditionalFormatting sqref="E153">
    <cfRule type="expression" dxfId="10487" priority="14172">
      <formula>IF(#REF!="FICTICIO",1,0)</formula>
    </cfRule>
  </conditionalFormatting>
  <conditionalFormatting sqref="E153">
    <cfRule type="expression" dxfId="10486" priority="14170">
      <formula>IF(#REF!="FICTICIO",1,0)</formula>
    </cfRule>
  </conditionalFormatting>
  <conditionalFormatting sqref="E153">
    <cfRule type="expression" dxfId="10485" priority="14171">
      <formula>IF(#REF!="FICTICIO",1,0)</formula>
    </cfRule>
  </conditionalFormatting>
  <conditionalFormatting sqref="E153">
    <cfRule type="expression" dxfId="10484" priority="14181">
      <formula>IF(#REF!="FICTICIO",1,0)</formula>
    </cfRule>
  </conditionalFormatting>
  <conditionalFormatting sqref="E153">
    <cfRule type="expression" dxfId="10483" priority="14180">
      <formula>IF(#REF!="FICTICIO",1,0)</formula>
    </cfRule>
  </conditionalFormatting>
  <conditionalFormatting sqref="E153">
    <cfRule type="expression" dxfId="10482" priority="14179">
      <formula>IF(#REF!="FICTICIO",1,0)</formula>
    </cfRule>
  </conditionalFormatting>
  <conditionalFormatting sqref="E153">
    <cfRule type="expression" dxfId="10481" priority="14178">
      <formula>IF(#REF!="FICTICIO",1,0)</formula>
    </cfRule>
  </conditionalFormatting>
  <conditionalFormatting sqref="E153">
    <cfRule type="expression" dxfId="10480" priority="14177">
      <formula>IF(#REF!="FICTICIO",1,0)</formula>
    </cfRule>
  </conditionalFormatting>
  <conditionalFormatting sqref="E153">
    <cfRule type="expression" dxfId="10479" priority="14176">
      <formula>IF(#REF!="FICTICIO",1,0)</formula>
    </cfRule>
  </conditionalFormatting>
  <conditionalFormatting sqref="E153">
    <cfRule type="expression" dxfId="10478" priority="14175">
      <formula>IF(#REF!="FICTICIO",1,0)</formula>
    </cfRule>
  </conditionalFormatting>
  <conditionalFormatting sqref="E153">
    <cfRule type="expression" dxfId="10477" priority="14174">
      <formula>IF(#REF!="FICTICIO",1,0)</formula>
    </cfRule>
  </conditionalFormatting>
  <conditionalFormatting sqref="E153">
    <cfRule type="expression" dxfId="10476" priority="14169">
      <formula>IF(#REF!="FICTICIO",1,0)</formula>
    </cfRule>
  </conditionalFormatting>
  <conditionalFormatting sqref="E153">
    <cfRule type="expression" dxfId="10475" priority="14168">
      <formula>IF(#REF!="FICTICIO",1,0)</formula>
    </cfRule>
  </conditionalFormatting>
  <conditionalFormatting sqref="E153">
    <cfRule type="expression" dxfId="10474" priority="14167">
      <formula>IF(#REF!="FICTICIO",1,0)</formula>
    </cfRule>
  </conditionalFormatting>
  <conditionalFormatting sqref="E153">
    <cfRule type="expression" dxfId="10473" priority="14166">
      <formula>IF(#REF!="FICTICIO",1,0)</formula>
    </cfRule>
  </conditionalFormatting>
  <conditionalFormatting sqref="E153">
    <cfRule type="expression" dxfId="10472" priority="14165">
      <formula>IF(#REF!="FICTICIO",1,0)</formula>
    </cfRule>
  </conditionalFormatting>
  <conditionalFormatting sqref="E153">
    <cfRule type="expression" dxfId="10471" priority="14164">
      <formula>IF(#REF!="FICTICIO",1,0)</formula>
    </cfRule>
  </conditionalFormatting>
  <conditionalFormatting sqref="E153">
    <cfRule type="expression" dxfId="10470" priority="14163">
      <formula>IF(#REF!="FICTICIO",1,0)</formula>
    </cfRule>
  </conditionalFormatting>
  <conditionalFormatting sqref="E153">
    <cfRule type="expression" dxfId="10469" priority="14162">
      <formula>IF(#REF!="FICTICIO",1,0)</formula>
    </cfRule>
  </conditionalFormatting>
  <conditionalFormatting sqref="E153">
    <cfRule type="expression" dxfId="10468" priority="14161">
      <formula>IF(#REF!="FICTICIO",1,0)</formula>
    </cfRule>
  </conditionalFormatting>
  <conditionalFormatting sqref="E153">
    <cfRule type="expression" dxfId="10467" priority="14160">
      <formula>IF(#REF!="FICTICIO",1,0)</formula>
    </cfRule>
  </conditionalFormatting>
  <conditionalFormatting sqref="E153">
    <cfRule type="expression" dxfId="10466" priority="14159">
      <formula>IF(#REF!="FICTICIO",1,0)</formula>
    </cfRule>
  </conditionalFormatting>
  <conditionalFormatting sqref="E153">
    <cfRule type="expression" dxfId="10465" priority="14158">
      <formula>IF(#REF!="FICTICIO",1,0)</formula>
    </cfRule>
  </conditionalFormatting>
  <conditionalFormatting sqref="E153">
    <cfRule type="expression" dxfId="10464" priority="14157">
      <formula>IF(#REF!="FICTICIO",1,0)</formula>
    </cfRule>
  </conditionalFormatting>
  <conditionalFormatting sqref="E153">
    <cfRule type="expression" dxfId="10463" priority="14156">
      <formula>IF(#REF!="FICTICIO",1,0)</formula>
    </cfRule>
  </conditionalFormatting>
  <conditionalFormatting sqref="E153">
    <cfRule type="expression" dxfId="10462" priority="14155">
      <formula>IF(#REF!="FICTICIO",1,0)</formula>
    </cfRule>
  </conditionalFormatting>
  <conditionalFormatting sqref="E153">
    <cfRule type="expression" dxfId="10461" priority="14154">
      <formula>IF(#REF!="FICTICIO",1,0)</formula>
    </cfRule>
  </conditionalFormatting>
  <conditionalFormatting sqref="E153">
    <cfRule type="expression" dxfId="10460" priority="14153">
      <formula>IF(#REF!="FICTICIO",1,0)</formula>
    </cfRule>
  </conditionalFormatting>
  <conditionalFormatting sqref="E153">
    <cfRule type="expression" dxfId="10459" priority="14152">
      <formula>IF(#REF!="FICTICIO",1,0)</formula>
    </cfRule>
  </conditionalFormatting>
  <conditionalFormatting sqref="E153">
    <cfRule type="expression" dxfId="10458" priority="14150">
      <formula>IF(#REF!="FICTICIO",1,0)</formula>
    </cfRule>
  </conditionalFormatting>
  <conditionalFormatting sqref="E153">
    <cfRule type="expression" dxfId="10457" priority="14151">
      <formula>IF(#REF!="FICTICIO",1,0)</formula>
    </cfRule>
  </conditionalFormatting>
  <conditionalFormatting sqref="E153">
    <cfRule type="expression" dxfId="10456" priority="14149">
      <formula>IF(#REF!="FICTICIO",1,0)</formula>
    </cfRule>
  </conditionalFormatting>
  <conditionalFormatting sqref="E153">
    <cfRule type="expression" dxfId="10455" priority="14148">
      <formula>IF(#REF!="FICTICIO",1,0)</formula>
    </cfRule>
  </conditionalFormatting>
  <conditionalFormatting sqref="E153">
    <cfRule type="expression" dxfId="10454" priority="14147">
      <formula>IF(#REF!="FICTICIO",1,0)</formula>
    </cfRule>
  </conditionalFormatting>
  <conditionalFormatting sqref="E153">
    <cfRule type="expression" dxfId="10453" priority="14146">
      <formula>IF(#REF!="FICTICIO",1,0)</formula>
    </cfRule>
  </conditionalFormatting>
  <conditionalFormatting sqref="E153">
    <cfRule type="expression" dxfId="10452" priority="14145">
      <formula>IF(#REF!="FICTICIO",1,0)</formula>
    </cfRule>
  </conditionalFormatting>
  <conditionalFormatting sqref="E153">
    <cfRule type="expression" dxfId="10451" priority="14144">
      <formula>IF(#REF!="FICTICIO",1,0)</formula>
    </cfRule>
  </conditionalFormatting>
  <conditionalFormatting sqref="E153">
    <cfRule type="expression" dxfId="10450" priority="14143">
      <formula>IF(#REF!="FICTICIO",1,0)</formula>
    </cfRule>
  </conditionalFormatting>
  <conditionalFormatting sqref="E153">
    <cfRule type="expression" dxfId="10449" priority="14142">
      <formula>IF(#REF!="FICTICIO",1,0)</formula>
    </cfRule>
  </conditionalFormatting>
  <conditionalFormatting sqref="E153">
    <cfRule type="expression" dxfId="10448" priority="14141">
      <formula>IF(#REF!="FICTICIO",1,0)</formula>
    </cfRule>
  </conditionalFormatting>
  <conditionalFormatting sqref="E153">
    <cfRule type="expression" dxfId="10447" priority="14140">
      <formula>IF(#REF!="FICTICIO",1,0)</formula>
    </cfRule>
  </conditionalFormatting>
  <conditionalFormatting sqref="E153">
    <cfRule type="expression" dxfId="10446" priority="14139">
      <formula>IF(#REF!="FICTICIO",1,0)</formula>
    </cfRule>
  </conditionalFormatting>
  <conditionalFormatting sqref="E153">
    <cfRule type="expression" dxfId="10445" priority="14138">
      <formula>IF(#REF!="FICTICIO",1,0)</formula>
    </cfRule>
  </conditionalFormatting>
  <conditionalFormatting sqref="E153">
    <cfRule type="expression" dxfId="10444" priority="14137">
      <formula>IF(#REF!="FICTICIO",1,0)</formula>
    </cfRule>
  </conditionalFormatting>
  <conditionalFormatting sqref="E153">
    <cfRule type="expression" dxfId="10443" priority="14136">
      <formula>IF(#REF!="FICTICIO",1,0)</formula>
    </cfRule>
  </conditionalFormatting>
  <conditionalFormatting sqref="E153">
    <cfRule type="expression" dxfId="10442" priority="14135">
      <formula>IF(#REF!="FICTICIO",1,0)</formula>
    </cfRule>
  </conditionalFormatting>
  <conditionalFormatting sqref="E153">
    <cfRule type="expression" dxfId="10441" priority="14134">
      <formula>IF(#REF!="FICTICIO",1,0)</formula>
    </cfRule>
  </conditionalFormatting>
  <conditionalFormatting sqref="E153">
    <cfRule type="expression" dxfId="10440" priority="14133">
      <formula>IF(#REF!="FICTICIO",1,0)</formula>
    </cfRule>
  </conditionalFormatting>
  <conditionalFormatting sqref="E153">
    <cfRule type="expression" dxfId="10439" priority="14132">
      <formula>IF(#REF!="FICTICIO",1,0)</formula>
    </cfRule>
  </conditionalFormatting>
  <conditionalFormatting sqref="E153">
    <cfRule type="expression" dxfId="10438" priority="14131">
      <formula>IF(#REF!="FICTICIO",1,0)</formula>
    </cfRule>
  </conditionalFormatting>
  <conditionalFormatting sqref="E153">
    <cfRule type="expression" dxfId="10437" priority="14130">
      <formula>IF(#REF!="FICTICIO",1,0)</formula>
    </cfRule>
  </conditionalFormatting>
  <conditionalFormatting sqref="E153">
    <cfRule type="expression" dxfId="10436" priority="14129">
      <formula>IF(#REF!="FICTICIO",1,0)</formula>
    </cfRule>
  </conditionalFormatting>
  <conditionalFormatting sqref="E153">
    <cfRule type="expression" dxfId="10435" priority="14127">
      <formula>IF(#REF!="FICTICIO",1,0)</formula>
    </cfRule>
  </conditionalFormatting>
  <conditionalFormatting sqref="E153">
    <cfRule type="expression" dxfId="10434" priority="14128">
      <formula>IF(#REF!="FICTICIO",1,0)</formula>
    </cfRule>
  </conditionalFormatting>
  <conditionalFormatting sqref="E153">
    <cfRule type="expression" dxfId="10433" priority="14126">
      <formula>IF(#REF!="FICTICIO",1,0)</formula>
    </cfRule>
  </conditionalFormatting>
  <conditionalFormatting sqref="E153">
    <cfRule type="expression" dxfId="10432" priority="14125">
      <formula>IF(#REF!="FICTICIO",1,0)</formula>
    </cfRule>
  </conditionalFormatting>
  <conditionalFormatting sqref="E153">
    <cfRule type="expression" dxfId="10431" priority="14124">
      <formula>IF(#REF!="FICTICIO",1,0)</formula>
    </cfRule>
  </conditionalFormatting>
  <conditionalFormatting sqref="E153">
    <cfRule type="expression" dxfId="10430" priority="14123">
      <formula>IF(#REF!="FICTICIO",1,0)</formula>
    </cfRule>
  </conditionalFormatting>
  <conditionalFormatting sqref="E153">
    <cfRule type="expression" dxfId="10429" priority="14122">
      <formula>IF(#REF!="FICTICIO",1,0)</formula>
    </cfRule>
  </conditionalFormatting>
  <conditionalFormatting sqref="E153">
    <cfRule type="expression" dxfId="10428" priority="14121">
      <formula>IF(#REF!="FICTICIO",1,0)</formula>
    </cfRule>
  </conditionalFormatting>
  <conditionalFormatting sqref="E153">
    <cfRule type="expression" dxfId="10427" priority="14120">
      <formula>IF(#REF!="FICTICIO",1,0)</formula>
    </cfRule>
  </conditionalFormatting>
  <conditionalFormatting sqref="E153">
    <cfRule type="expression" dxfId="10426" priority="14119">
      <formula>IF(#REF!="FICTICIO",1,0)</formula>
    </cfRule>
  </conditionalFormatting>
  <conditionalFormatting sqref="E153">
    <cfRule type="expression" dxfId="10425" priority="14118">
      <formula>IF(#REF!="FICTICIO",1,0)</formula>
    </cfRule>
  </conditionalFormatting>
  <conditionalFormatting sqref="E153">
    <cfRule type="expression" dxfId="10424" priority="14117">
      <formula>IF(#REF!="FICTICIO",1,0)</formula>
    </cfRule>
  </conditionalFormatting>
  <conditionalFormatting sqref="E153">
    <cfRule type="expression" dxfId="10423" priority="14115">
      <formula>IF(#REF!="FICTICIO",1,0)</formula>
    </cfRule>
  </conditionalFormatting>
  <conditionalFormatting sqref="E153">
    <cfRule type="expression" dxfId="10422" priority="14116">
      <formula>IF(#REF!="FICTICIO",1,0)</formula>
    </cfRule>
  </conditionalFormatting>
  <conditionalFormatting sqref="E153">
    <cfRule type="expression" dxfId="10421" priority="14114">
      <formula>IF(#REF!="FICTICIO",1,0)</formula>
    </cfRule>
  </conditionalFormatting>
  <conditionalFormatting sqref="E153">
    <cfRule type="expression" dxfId="10420" priority="14113">
      <formula>IF(#REF!="FICTICIO",1,0)</formula>
    </cfRule>
  </conditionalFormatting>
  <conditionalFormatting sqref="E153">
    <cfRule type="expression" dxfId="10419" priority="14112">
      <formula>IF(#REF!="FICTICIO",1,0)</formula>
    </cfRule>
  </conditionalFormatting>
  <conditionalFormatting sqref="E153">
    <cfRule type="expression" dxfId="10418" priority="14111">
      <formula>IF(#REF!="FICTICIO",1,0)</formula>
    </cfRule>
  </conditionalFormatting>
  <conditionalFormatting sqref="E153">
    <cfRule type="expression" dxfId="10417" priority="14110">
      <formula>IF(#REF!="FICTICIO",1,0)</formula>
    </cfRule>
  </conditionalFormatting>
  <conditionalFormatting sqref="E153">
    <cfRule type="expression" dxfId="10416" priority="14109">
      <formula>IF(#REF!="FICTICIO",1,0)</formula>
    </cfRule>
  </conditionalFormatting>
  <conditionalFormatting sqref="E153">
    <cfRule type="expression" dxfId="10415" priority="14108">
      <formula>IF(#REF!="FICTICIO",1,0)</formula>
    </cfRule>
  </conditionalFormatting>
  <conditionalFormatting sqref="E153">
    <cfRule type="expression" dxfId="10414" priority="14107">
      <formula>IF(#REF!="FICTICIO",1,0)</formula>
    </cfRule>
  </conditionalFormatting>
  <conditionalFormatting sqref="E153">
    <cfRule type="expression" dxfId="10413" priority="14106">
      <formula>IF(#REF!="FICTICIO",1,0)</formula>
    </cfRule>
  </conditionalFormatting>
  <conditionalFormatting sqref="E153">
    <cfRule type="expression" dxfId="10412" priority="14105">
      <formula>IF(#REF!="FICTICIO",1,0)</formula>
    </cfRule>
  </conditionalFormatting>
  <conditionalFormatting sqref="E153">
    <cfRule type="expression" dxfId="10411" priority="14104">
      <formula>IF(#REF!="FICTICIO",1,0)</formula>
    </cfRule>
  </conditionalFormatting>
  <conditionalFormatting sqref="E153">
    <cfRule type="expression" dxfId="10410" priority="14103">
      <formula>IF(#REF!="FICTICIO",1,0)</formula>
    </cfRule>
  </conditionalFormatting>
  <conditionalFormatting sqref="E153">
    <cfRule type="expression" dxfId="10409" priority="14102">
      <formula>IF(#REF!="FICTICIO",1,0)</formula>
    </cfRule>
  </conditionalFormatting>
  <conditionalFormatting sqref="E153">
    <cfRule type="expression" dxfId="10408" priority="14101">
      <formula>IF(#REF!="FICTICIO",1,0)</formula>
    </cfRule>
  </conditionalFormatting>
  <conditionalFormatting sqref="E153">
    <cfRule type="expression" dxfId="10407" priority="14100">
      <formula>IF(#REF!="FICTICIO",1,0)</formula>
    </cfRule>
  </conditionalFormatting>
  <conditionalFormatting sqref="E153">
    <cfRule type="expression" dxfId="10406" priority="14099">
      <formula>IF(#REF!="FICTICIO",1,0)</formula>
    </cfRule>
  </conditionalFormatting>
  <conditionalFormatting sqref="E153">
    <cfRule type="expression" dxfId="10405" priority="14098">
      <formula>IF(#REF!="FICTICIO",1,0)</formula>
    </cfRule>
  </conditionalFormatting>
  <conditionalFormatting sqref="E153">
    <cfRule type="expression" dxfId="10404" priority="14097">
      <formula>IF(#REF!="FICTICIO",1,0)</formula>
    </cfRule>
  </conditionalFormatting>
  <conditionalFormatting sqref="F155">
    <cfRule type="expression" dxfId="10403" priority="14096">
      <formula>IF(#REF!="FICTICIO",1,0)</formula>
    </cfRule>
  </conditionalFormatting>
  <conditionalFormatting sqref="D155">
    <cfRule type="expression" dxfId="10402" priority="14095">
      <formula>IF(#REF!="FICTICIO",1,0)</formula>
    </cfRule>
  </conditionalFormatting>
  <conditionalFormatting sqref="E155">
    <cfRule type="expression" dxfId="10401" priority="14094">
      <formula>IF(#REF!="FICTICIO",1,0)</formula>
    </cfRule>
  </conditionalFormatting>
  <conditionalFormatting sqref="E155">
    <cfRule type="expression" dxfId="10400" priority="14093">
      <formula>IF(#REF!="FICTICIO",1,0)</formula>
    </cfRule>
  </conditionalFormatting>
  <conditionalFormatting sqref="E156">
    <cfRule type="expression" dxfId="10399" priority="14092">
      <formula>IF(#REF!="FICTICIO",1,0)</formula>
    </cfRule>
  </conditionalFormatting>
  <conditionalFormatting sqref="E156">
    <cfRule type="expression" dxfId="10398" priority="14091">
      <formula>IF(#REF!="FICTICIO",1,0)</formula>
    </cfRule>
  </conditionalFormatting>
  <conditionalFormatting sqref="E157">
    <cfRule type="expression" dxfId="10397" priority="14090">
      <formula>IF(#REF!="FICTICIO",1,0)</formula>
    </cfRule>
  </conditionalFormatting>
  <conditionalFormatting sqref="E157">
    <cfRule type="expression" dxfId="10396" priority="14089">
      <formula>IF(#REF!="FICTICIO",1,0)</formula>
    </cfRule>
  </conditionalFormatting>
  <conditionalFormatting sqref="E158">
    <cfRule type="expression" dxfId="10395" priority="14088">
      <formula>IF(#REF!="FICTICIO",1,0)</formula>
    </cfRule>
  </conditionalFormatting>
  <conditionalFormatting sqref="E158">
    <cfRule type="expression" dxfId="10394" priority="14087">
      <formula>IF(#REF!="FICTICIO",1,0)</formula>
    </cfRule>
  </conditionalFormatting>
  <conditionalFormatting sqref="E159">
    <cfRule type="expression" dxfId="10393" priority="14086">
      <formula>IF(#REF!="FICTICIO",1,0)</formula>
    </cfRule>
  </conditionalFormatting>
  <conditionalFormatting sqref="E159">
    <cfRule type="expression" dxfId="10392" priority="14085">
      <formula>IF(#REF!="FICTICIO",1,0)</formula>
    </cfRule>
  </conditionalFormatting>
  <conditionalFormatting sqref="E160">
    <cfRule type="expression" dxfId="10391" priority="14084">
      <formula>IF(#REF!="FICTICIO",1,0)</formula>
    </cfRule>
  </conditionalFormatting>
  <conditionalFormatting sqref="E160">
    <cfRule type="expression" dxfId="10390" priority="14083">
      <formula>IF(#REF!="FICTICIO",1,0)</formula>
    </cfRule>
  </conditionalFormatting>
  <conditionalFormatting sqref="D161">
    <cfRule type="expression" dxfId="10389" priority="14082">
      <formula>IF(#REF!="FICTICIO",1,0)</formula>
    </cfRule>
  </conditionalFormatting>
  <conditionalFormatting sqref="F161">
    <cfRule type="expression" dxfId="10388" priority="14081">
      <formula>IF(#REF!="FICTICIO",1,0)</formula>
    </cfRule>
  </conditionalFormatting>
  <conditionalFormatting sqref="E161">
    <cfRule type="expression" dxfId="10387" priority="14080">
      <formula>IF(#REF!="FICTICIO",1,0)</formula>
    </cfRule>
  </conditionalFormatting>
  <conditionalFormatting sqref="E161">
    <cfRule type="expression" dxfId="10386" priority="14079">
      <formula>IF(#REF!="FICTICIO",1,0)</formula>
    </cfRule>
  </conditionalFormatting>
  <conditionalFormatting sqref="D164">
    <cfRule type="expression" dxfId="10385" priority="14025">
      <formula>IF(#REF!="FICTICIO",1,0)</formula>
    </cfRule>
  </conditionalFormatting>
  <conditionalFormatting sqref="D164">
    <cfRule type="expression" dxfId="10384" priority="14026">
      <formula>IF(#REF!="FICTICIO",1,0)</formula>
    </cfRule>
  </conditionalFormatting>
  <conditionalFormatting sqref="D164">
    <cfRule type="expression" dxfId="10383" priority="14023">
      <formula>IF(#REF!="FICTICIO",1,0)</formula>
    </cfRule>
  </conditionalFormatting>
  <conditionalFormatting sqref="D164">
    <cfRule type="expression" dxfId="10382" priority="14024">
      <formula>IF(#REF!="FICTICIO",1,0)</formula>
    </cfRule>
  </conditionalFormatting>
  <conditionalFormatting sqref="D164">
    <cfRule type="expression" dxfId="10381" priority="14020">
      <formula>IF(#REF!="FICTICIO",1,0)</formula>
    </cfRule>
  </conditionalFormatting>
  <conditionalFormatting sqref="D164">
    <cfRule type="expression" dxfId="10380" priority="14021">
      <formula>IF(#REF!="FICTICIO",1,0)</formula>
    </cfRule>
  </conditionalFormatting>
  <conditionalFormatting sqref="D164">
    <cfRule type="expression" dxfId="10379" priority="14018">
      <formula>IF(#REF!="FICTICIO",1,0)</formula>
    </cfRule>
  </conditionalFormatting>
  <conditionalFormatting sqref="D164">
    <cfRule type="expression" dxfId="10378" priority="14019">
      <formula>IF(#REF!="FICTICIO",1,0)</formula>
    </cfRule>
  </conditionalFormatting>
  <conditionalFormatting sqref="E164">
    <cfRule type="expression" dxfId="10377" priority="14017">
      <formula>IF(#REF!="FICTICIO",1,0)</formula>
    </cfRule>
  </conditionalFormatting>
  <conditionalFormatting sqref="E164">
    <cfRule type="expression" dxfId="10376" priority="14016">
      <formula>IF(#REF!="FICTICIO",1,0)</formula>
    </cfRule>
  </conditionalFormatting>
  <conditionalFormatting sqref="E164">
    <cfRule type="expression" dxfId="10375" priority="14015">
      <formula>IF(#REF!="FICTICIO",1,0)</formula>
    </cfRule>
  </conditionalFormatting>
  <conditionalFormatting sqref="E164">
    <cfRule type="expression" dxfId="10374" priority="14014">
      <formula>IF(#REF!="FICTICIO",1,0)</formula>
    </cfRule>
  </conditionalFormatting>
  <conditionalFormatting sqref="E164">
    <cfRule type="expression" dxfId="10373" priority="14013">
      <formula>IF(#REF!="FICTICIO",1,0)</formula>
    </cfRule>
  </conditionalFormatting>
  <conditionalFormatting sqref="E164">
    <cfRule type="expression" dxfId="10372" priority="14012">
      <formula>IF(#REF!="FICTICIO",1,0)</formula>
    </cfRule>
  </conditionalFormatting>
  <conditionalFormatting sqref="E164">
    <cfRule type="expression" dxfId="10371" priority="14011">
      <formula>IF(#REF!="FICTICIO",1,0)</formula>
    </cfRule>
  </conditionalFormatting>
  <conditionalFormatting sqref="E164">
    <cfRule type="expression" dxfId="10370" priority="14010">
      <formula>IF(#REF!="FICTICIO",1,0)</formula>
    </cfRule>
  </conditionalFormatting>
  <conditionalFormatting sqref="E164">
    <cfRule type="expression" dxfId="10369" priority="14009">
      <formula>IF(#REF!="FICTICIO",1,0)</formula>
    </cfRule>
  </conditionalFormatting>
  <conditionalFormatting sqref="E164">
    <cfRule type="expression" dxfId="10368" priority="14008">
      <formula>IF(#REF!="FICTICIO",1,0)</formula>
    </cfRule>
  </conditionalFormatting>
  <conditionalFormatting sqref="E164">
    <cfRule type="expression" dxfId="10367" priority="14007">
      <formula>IF(#REF!="FICTICIO",1,0)</formula>
    </cfRule>
  </conditionalFormatting>
  <conditionalFormatting sqref="E164">
    <cfRule type="expression" dxfId="10366" priority="14006">
      <formula>IF(#REF!="FICTICIO",1,0)</formula>
    </cfRule>
  </conditionalFormatting>
  <conditionalFormatting sqref="E164">
    <cfRule type="expression" dxfId="10365" priority="14005">
      <formula>IF(#REF!="FICTICIO",1,0)</formula>
    </cfRule>
  </conditionalFormatting>
  <conditionalFormatting sqref="E164">
    <cfRule type="expression" dxfId="10364" priority="14004">
      <formula>IF(#REF!="FICTICIO",1,0)</formula>
    </cfRule>
  </conditionalFormatting>
  <conditionalFormatting sqref="E164">
    <cfRule type="expression" dxfId="10363" priority="14003">
      <formula>IF(#REF!="FICTICIO",1,0)</formula>
    </cfRule>
  </conditionalFormatting>
  <conditionalFormatting sqref="E164">
    <cfRule type="expression" dxfId="10362" priority="14002">
      <formula>IF(#REF!="FICTICIO",1,0)</formula>
    </cfRule>
  </conditionalFormatting>
  <conditionalFormatting sqref="E164">
    <cfRule type="expression" dxfId="10361" priority="14001">
      <formula>IF(#REF!="FICTICIO",1,0)</formula>
    </cfRule>
  </conditionalFormatting>
  <conditionalFormatting sqref="E164">
    <cfRule type="expression" dxfId="10360" priority="14000">
      <formula>IF(#REF!="FICTICIO",1,0)</formula>
    </cfRule>
  </conditionalFormatting>
  <conditionalFormatting sqref="E164">
    <cfRule type="expression" dxfId="10359" priority="13998">
      <formula>IF(#REF!="FICTICIO",1,0)</formula>
    </cfRule>
  </conditionalFormatting>
  <conditionalFormatting sqref="E164">
    <cfRule type="expression" dxfId="10358" priority="13999">
      <formula>IF(#REF!="FICTICIO",1,0)</formula>
    </cfRule>
  </conditionalFormatting>
  <conditionalFormatting sqref="E164">
    <cfRule type="expression" dxfId="10357" priority="13997">
      <formula>IF(#REF!="FICTICIO",1,0)</formula>
    </cfRule>
  </conditionalFormatting>
  <conditionalFormatting sqref="E164">
    <cfRule type="expression" dxfId="10356" priority="13996">
      <formula>IF(#REF!="FICTICIO",1,0)</formula>
    </cfRule>
  </conditionalFormatting>
  <conditionalFormatting sqref="E164">
    <cfRule type="expression" dxfId="10355" priority="13995">
      <formula>IF(#REF!="FICTICIO",1,0)</formula>
    </cfRule>
  </conditionalFormatting>
  <conditionalFormatting sqref="D164">
    <cfRule type="expression" dxfId="10354" priority="13993">
      <formula>IF(#REF!="FICTICIO",1,0)</formula>
    </cfRule>
  </conditionalFormatting>
  <conditionalFormatting sqref="D164">
    <cfRule type="expression" dxfId="10353" priority="13994">
      <formula>IF(#REF!="FICTICIO",1,0)</formula>
    </cfRule>
  </conditionalFormatting>
  <conditionalFormatting sqref="D164">
    <cfRule type="expression" dxfId="10352" priority="13991">
      <formula>IF(#REF!="FICTICIO",1,0)</formula>
    </cfRule>
  </conditionalFormatting>
  <conditionalFormatting sqref="D164">
    <cfRule type="expression" dxfId="10351" priority="13992">
      <formula>IF(#REF!="FICTICIO",1,0)</formula>
    </cfRule>
  </conditionalFormatting>
  <conditionalFormatting sqref="D164">
    <cfRule type="expression" dxfId="10350" priority="13989">
      <formula>IF(#REF!="FICTICIO",1,0)</formula>
    </cfRule>
  </conditionalFormatting>
  <conditionalFormatting sqref="D164">
    <cfRule type="expression" dxfId="10349" priority="13990">
      <formula>IF(#REF!="FICTICIO",1,0)</formula>
    </cfRule>
  </conditionalFormatting>
  <conditionalFormatting sqref="D164">
    <cfRule type="expression" dxfId="10348" priority="13987">
      <formula>IF(#REF!="FICTICIO",1,0)</formula>
    </cfRule>
  </conditionalFormatting>
  <conditionalFormatting sqref="D164">
    <cfRule type="expression" dxfId="10347" priority="13988">
      <formula>IF(#REF!="FICTICIO",1,0)</formula>
    </cfRule>
  </conditionalFormatting>
  <conditionalFormatting sqref="F164">
    <cfRule type="expression" dxfId="10346" priority="13986">
      <formula>IF(#REF!="FICTICIO",1,0)</formula>
    </cfRule>
  </conditionalFormatting>
  <conditionalFormatting sqref="E164">
    <cfRule type="expression" dxfId="10345" priority="13985">
      <formula>IF(#REF!="FICTICIO",1,0)</formula>
    </cfRule>
  </conditionalFormatting>
  <conditionalFormatting sqref="E164">
    <cfRule type="expression" dxfId="10344" priority="13984">
      <formula>IF(#REF!="FICTICIO",1,0)</formula>
    </cfRule>
  </conditionalFormatting>
  <conditionalFormatting sqref="E164">
    <cfRule type="expression" dxfId="10343" priority="13983">
      <formula>IF(#REF!="FICTICIO",1,0)</formula>
    </cfRule>
  </conditionalFormatting>
  <conditionalFormatting sqref="E164">
    <cfRule type="expression" dxfId="10342" priority="13982">
      <formula>IF(#REF!="FICTICIO",1,0)</formula>
    </cfRule>
  </conditionalFormatting>
  <conditionalFormatting sqref="E164">
    <cfRule type="expression" dxfId="10341" priority="13981">
      <formula>IF(#REF!="FICTICIO",1,0)</formula>
    </cfRule>
  </conditionalFormatting>
  <conditionalFormatting sqref="E164">
    <cfRule type="expression" dxfId="10340" priority="13980">
      <formula>IF(#REF!="FICTICIO",1,0)</formula>
    </cfRule>
  </conditionalFormatting>
  <conditionalFormatting sqref="E164">
    <cfRule type="expression" dxfId="10339" priority="13979">
      <formula>IF(#REF!="FICTICIO",1,0)</formula>
    </cfRule>
  </conditionalFormatting>
  <conditionalFormatting sqref="E164">
    <cfRule type="expression" dxfId="10338" priority="13978">
      <formula>IF(#REF!="FICTICIO",1,0)</formula>
    </cfRule>
  </conditionalFormatting>
  <conditionalFormatting sqref="E164">
    <cfRule type="expression" dxfId="10337" priority="13977">
      <formula>IF(#REF!="FICTICIO",1,0)</formula>
    </cfRule>
  </conditionalFormatting>
  <conditionalFormatting sqref="E164">
    <cfRule type="expression" dxfId="10336" priority="13976">
      <formula>IF(#REF!="FICTICIO",1,0)</formula>
    </cfRule>
  </conditionalFormatting>
  <conditionalFormatting sqref="E164">
    <cfRule type="expression" dxfId="10335" priority="13975">
      <formula>IF(#REF!="FICTICIO",1,0)</formula>
    </cfRule>
  </conditionalFormatting>
  <conditionalFormatting sqref="E164">
    <cfRule type="expression" dxfId="10334" priority="13974">
      <formula>IF(#REF!="FICTICIO",1,0)</formula>
    </cfRule>
  </conditionalFormatting>
  <conditionalFormatting sqref="E164">
    <cfRule type="expression" dxfId="10333" priority="13973">
      <formula>IF(#REF!="FICTICIO",1,0)</formula>
    </cfRule>
  </conditionalFormatting>
  <conditionalFormatting sqref="E164">
    <cfRule type="expression" dxfId="10332" priority="13972">
      <formula>IF(#REF!="FICTICIO",1,0)</formula>
    </cfRule>
  </conditionalFormatting>
  <conditionalFormatting sqref="E164">
    <cfRule type="expression" dxfId="10331" priority="13971">
      <formula>IF(#REF!="FICTICIO",1,0)</formula>
    </cfRule>
  </conditionalFormatting>
  <conditionalFormatting sqref="E164">
    <cfRule type="expression" dxfId="10330" priority="13970">
      <formula>IF(#REF!="FICTICIO",1,0)</formula>
    </cfRule>
  </conditionalFormatting>
  <conditionalFormatting sqref="E164">
    <cfRule type="expression" dxfId="10329" priority="13969">
      <formula>IF(#REF!="FICTICIO",1,0)</formula>
    </cfRule>
  </conditionalFormatting>
  <conditionalFormatting sqref="E164">
    <cfRule type="expression" dxfId="10328" priority="13968">
      <formula>IF(#REF!="FICTICIO",1,0)</formula>
    </cfRule>
  </conditionalFormatting>
  <conditionalFormatting sqref="E164">
    <cfRule type="expression" dxfId="10327" priority="13966">
      <formula>IF(#REF!="FICTICIO",1,0)</formula>
    </cfRule>
  </conditionalFormatting>
  <conditionalFormatting sqref="E164">
    <cfRule type="expression" dxfId="10326" priority="13967">
      <formula>IF(#REF!="FICTICIO",1,0)</formula>
    </cfRule>
  </conditionalFormatting>
  <conditionalFormatting sqref="E164">
    <cfRule type="expression" dxfId="10325" priority="13965">
      <formula>IF(#REF!="FICTICIO",1,0)</formula>
    </cfRule>
  </conditionalFormatting>
  <conditionalFormatting sqref="E164">
    <cfRule type="expression" dxfId="10324" priority="13964">
      <formula>IF(#REF!="FICTICIO",1,0)</formula>
    </cfRule>
  </conditionalFormatting>
  <conditionalFormatting sqref="E164">
    <cfRule type="expression" dxfId="10323" priority="13963">
      <formula>IF(#REF!="FICTICIO",1,0)</formula>
    </cfRule>
  </conditionalFormatting>
  <conditionalFormatting sqref="E164">
    <cfRule type="expression" dxfId="10322" priority="13926">
      <formula>IF(#REF!="FICTICIO",1,0)</formula>
    </cfRule>
  </conditionalFormatting>
  <conditionalFormatting sqref="E164">
    <cfRule type="expression" dxfId="10321" priority="13925">
      <formula>IF(#REF!="FICTICIO",1,0)</formula>
    </cfRule>
  </conditionalFormatting>
  <conditionalFormatting sqref="E164">
    <cfRule type="expression" dxfId="10320" priority="13924">
      <formula>IF(#REF!="FICTICIO",1,0)</formula>
    </cfRule>
  </conditionalFormatting>
  <conditionalFormatting sqref="E164">
    <cfRule type="expression" dxfId="10319" priority="13923">
      <formula>IF(#REF!="FICTICIO",1,0)</formula>
    </cfRule>
  </conditionalFormatting>
  <conditionalFormatting sqref="E164">
    <cfRule type="expression" dxfId="10318" priority="13922">
      <formula>IF(#REF!="FICTICIO",1,0)</formula>
    </cfRule>
  </conditionalFormatting>
  <conditionalFormatting sqref="E164">
    <cfRule type="expression" dxfId="10317" priority="13921">
      <formula>IF(#REF!="FICTICIO",1,0)</formula>
    </cfRule>
  </conditionalFormatting>
  <conditionalFormatting sqref="E164">
    <cfRule type="expression" dxfId="10316" priority="13920">
      <formula>IF(#REF!="FICTICIO",1,0)</formula>
    </cfRule>
  </conditionalFormatting>
  <conditionalFormatting sqref="E164">
    <cfRule type="expression" dxfId="10315" priority="13919">
      <formula>IF(#REF!="FICTICIO",1,0)</formula>
    </cfRule>
  </conditionalFormatting>
  <conditionalFormatting sqref="E164">
    <cfRule type="expression" dxfId="10314" priority="13918">
      <formula>IF(#REF!="FICTICIO",1,0)</formula>
    </cfRule>
  </conditionalFormatting>
  <conditionalFormatting sqref="E164">
    <cfRule type="expression" dxfId="10313" priority="13917">
      <formula>IF(#REF!="FICTICIO",1,0)</formula>
    </cfRule>
  </conditionalFormatting>
  <conditionalFormatting sqref="E164">
    <cfRule type="expression" dxfId="10312" priority="13916">
      <formula>IF(#REF!="FICTICIO",1,0)</formula>
    </cfRule>
  </conditionalFormatting>
  <conditionalFormatting sqref="E164">
    <cfRule type="expression" dxfId="10311" priority="13915">
      <formula>IF(#REF!="FICTICIO",1,0)</formula>
    </cfRule>
  </conditionalFormatting>
  <conditionalFormatting sqref="E164">
    <cfRule type="expression" dxfId="10310" priority="13914">
      <formula>IF(#REF!="FICTICIO",1,0)</formula>
    </cfRule>
  </conditionalFormatting>
  <conditionalFormatting sqref="E164">
    <cfRule type="expression" dxfId="10309" priority="13913">
      <formula>IF(#REF!="FICTICIO",1,0)</formula>
    </cfRule>
  </conditionalFormatting>
  <conditionalFormatting sqref="E164">
    <cfRule type="expression" dxfId="10308" priority="13912">
      <formula>IF(#REF!="FICTICIO",1,0)</formula>
    </cfRule>
  </conditionalFormatting>
  <conditionalFormatting sqref="E164">
    <cfRule type="expression" dxfId="10307" priority="13911">
      <formula>IF(#REF!="FICTICIO",1,0)</formula>
    </cfRule>
  </conditionalFormatting>
  <conditionalFormatting sqref="E164">
    <cfRule type="expression" dxfId="10306" priority="13910">
      <formula>IF(#REF!="FICTICIO",1,0)</formula>
    </cfRule>
  </conditionalFormatting>
  <conditionalFormatting sqref="E164">
    <cfRule type="expression" dxfId="10305" priority="13909">
      <formula>IF(#REF!="FICTICIO",1,0)</formula>
    </cfRule>
  </conditionalFormatting>
  <conditionalFormatting sqref="E164">
    <cfRule type="expression" dxfId="10304" priority="13907">
      <formula>IF(#REF!="FICTICIO",1,0)</formula>
    </cfRule>
  </conditionalFormatting>
  <conditionalFormatting sqref="E164">
    <cfRule type="expression" dxfId="10303" priority="13908">
      <formula>IF(#REF!="FICTICIO",1,0)</formula>
    </cfRule>
  </conditionalFormatting>
  <conditionalFormatting sqref="E164">
    <cfRule type="expression" dxfId="10302" priority="13906">
      <formula>IF(#REF!="FICTICIO",1,0)</formula>
    </cfRule>
  </conditionalFormatting>
  <conditionalFormatting sqref="E164">
    <cfRule type="expression" dxfId="10301" priority="13905">
      <formula>IF(#REF!="FICTICIO",1,0)</formula>
    </cfRule>
  </conditionalFormatting>
  <conditionalFormatting sqref="E164">
    <cfRule type="expression" dxfId="10300" priority="13904">
      <formula>IF(#REF!="FICTICIO",1,0)</formula>
    </cfRule>
  </conditionalFormatting>
  <conditionalFormatting sqref="D162">
    <cfRule type="expression" dxfId="10299" priority="13901">
      <formula>IF(#REF!="FICTICIO",1,0)</formula>
    </cfRule>
  </conditionalFormatting>
  <conditionalFormatting sqref="D162">
    <cfRule type="expression" dxfId="10298" priority="13902">
      <formula>IF(#REF!="FICTICIO",1,0)</formula>
    </cfRule>
  </conditionalFormatting>
  <conditionalFormatting sqref="D162">
    <cfRule type="expression" dxfId="10297" priority="13903">
      <formula>IF(#REF!="FICTICIO",1,0)</formula>
    </cfRule>
  </conditionalFormatting>
  <conditionalFormatting sqref="D162">
    <cfRule type="expression" dxfId="10296" priority="13899">
      <formula>IF(#REF!="FICTICIO",1,0)</formula>
    </cfRule>
  </conditionalFormatting>
  <conditionalFormatting sqref="D162">
    <cfRule type="expression" dxfId="10295" priority="13900">
      <formula>IF(#REF!="FICTICIO",1,0)</formula>
    </cfRule>
  </conditionalFormatting>
  <conditionalFormatting sqref="E162">
    <cfRule type="expression" dxfId="10294" priority="13890">
      <formula>IF(#REF!="FICTICIO",1,0)</formula>
    </cfRule>
  </conditionalFormatting>
  <conditionalFormatting sqref="E162">
    <cfRule type="expression" dxfId="10293" priority="13889">
      <formula>IF(#REF!="FICTICIO",1,0)</formula>
    </cfRule>
  </conditionalFormatting>
  <conditionalFormatting sqref="E162">
    <cfRule type="expression" dxfId="10292" priority="13887">
      <formula>IF(#REF!="FICTICIO",1,0)</formula>
    </cfRule>
  </conditionalFormatting>
  <conditionalFormatting sqref="E162">
    <cfRule type="expression" dxfId="10291" priority="13888">
      <formula>IF(#REF!="FICTICIO",1,0)</formula>
    </cfRule>
  </conditionalFormatting>
  <conditionalFormatting sqref="E162">
    <cfRule type="expression" dxfId="10290" priority="13898">
      <formula>IF(#REF!="FICTICIO",1,0)</formula>
    </cfRule>
  </conditionalFormatting>
  <conditionalFormatting sqref="E162">
    <cfRule type="expression" dxfId="10289" priority="13897">
      <formula>IF(#REF!="FICTICIO",1,0)</formula>
    </cfRule>
  </conditionalFormatting>
  <conditionalFormatting sqref="E162">
    <cfRule type="expression" dxfId="10288" priority="13896">
      <formula>IF(#REF!="FICTICIO",1,0)</formula>
    </cfRule>
  </conditionalFormatting>
  <conditionalFormatting sqref="E162">
    <cfRule type="expression" dxfId="10287" priority="13895">
      <formula>IF(#REF!="FICTICIO",1,0)</formula>
    </cfRule>
  </conditionalFormatting>
  <conditionalFormatting sqref="E162">
    <cfRule type="expression" dxfId="10286" priority="13894">
      <formula>IF(#REF!="FICTICIO",1,0)</formula>
    </cfRule>
  </conditionalFormatting>
  <conditionalFormatting sqref="E162">
    <cfRule type="expression" dxfId="10285" priority="13893">
      <formula>IF(#REF!="FICTICIO",1,0)</formula>
    </cfRule>
  </conditionalFormatting>
  <conditionalFormatting sqref="E162">
    <cfRule type="expression" dxfId="10284" priority="13892">
      <formula>IF(#REF!="FICTICIO",1,0)</formula>
    </cfRule>
  </conditionalFormatting>
  <conditionalFormatting sqref="E162">
    <cfRule type="expression" dxfId="10283" priority="13891">
      <formula>IF(#REF!="FICTICIO",1,0)</formula>
    </cfRule>
  </conditionalFormatting>
  <conditionalFormatting sqref="E162">
    <cfRule type="expression" dxfId="10282" priority="13886">
      <formula>IF(#REF!="FICTICIO",1,0)</formula>
    </cfRule>
  </conditionalFormatting>
  <conditionalFormatting sqref="E162">
    <cfRule type="expression" dxfId="10281" priority="13885">
      <formula>IF(#REF!="FICTICIO",1,0)</formula>
    </cfRule>
  </conditionalFormatting>
  <conditionalFormatting sqref="E162">
    <cfRule type="expression" dxfId="10280" priority="13884">
      <formula>IF(#REF!="FICTICIO",1,0)</formula>
    </cfRule>
  </conditionalFormatting>
  <conditionalFormatting sqref="E162">
    <cfRule type="expression" dxfId="10279" priority="13883">
      <formula>IF(#REF!="FICTICIO",1,0)</formula>
    </cfRule>
  </conditionalFormatting>
  <conditionalFormatting sqref="E162">
    <cfRule type="expression" dxfId="10278" priority="13882">
      <formula>IF(#REF!="FICTICIO",1,0)</formula>
    </cfRule>
  </conditionalFormatting>
  <conditionalFormatting sqref="E162">
    <cfRule type="expression" dxfId="10277" priority="13881">
      <formula>IF(#REF!="FICTICIO",1,0)</formula>
    </cfRule>
  </conditionalFormatting>
  <conditionalFormatting sqref="E162">
    <cfRule type="expression" dxfId="10276" priority="13880">
      <formula>IF(#REF!="FICTICIO",1,0)</formula>
    </cfRule>
  </conditionalFormatting>
  <conditionalFormatting sqref="E162">
    <cfRule type="expression" dxfId="10275" priority="13879">
      <formula>IF(#REF!="FICTICIO",1,0)</formula>
    </cfRule>
  </conditionalFormatting>
  <conditionalFormatting sqref="E162">
    <cfRule type="expression" dxfId="10274" priority="13878">
      <formula>IF(#REF!="FICTICIO",1,0)</formula>
    </cfRule>
  </conditionalFormatting>
  <conditionalFormatting sqref="E162">
    <cfRule type="expression" dxfId="10273" priority="13877">
      <formula>IF(#REF!="FICTICIO",1,0)</formula>
    </cfRule>
  </conditionalFormatting>
  <conditionalFormatting sqref="E162">
    <cfRule type="expression" dxfId="10272" priority="13876">
      <formula>IF(#REF!="FICTICIO",1,0)</formula>
    </cfRule>
  </conditionalFormatting>
  <conditionalFormatting sqref="E162">
    <cfRule type="expression" dxfId="10271" priority="13875">
      <formula>IF(#REF!="FICTICIO",1,0)</formula>
    </cfRule>
  </conditionalFormatting>
  <conditionalFormatting sqref="E162">
    <cfRule type="expression" dxfId="10270" priority="13874">
      <formula>IF(#REF!="FICTICIO",1,0)</formula>
    </cfRule>
  </conditionalFormatting>
  <conditionalFormatting sqref="E162">
    <cfRule type="expression" dxfId="10269" priority="13873">
      <formula>IF(#REF!="FICTICIO",1,0)</formula>
    </cfRule>
  </conditionalFormatting>
  <conditionalFormatting sqref="E162">
    <cfRule type="expression" dxfId="10268" priority="13872">
      <formula>IF(#REF!="FICTICIO",1,0)</formula>
    </cfRule>
  </conditionalFormatting>
  <conditionalFormatting sqref="E162">
    <cfRule type="expression" dxfId="10267" priority="13871">
      <formula>IF(#REF!="FICTICIO",1,0)</formula>
    </cfRule>
  </conditionalFormatting>
  <conditionalFormatting sqref="E162">
    <cfRule type="expression" dxfId="10266" priority="13870">
      <formula>IF(#REF!="FICTICIO",1,0)</formula>
    </cfRule>
  </conditionalFormatting>
  <conditionalFormatting sqref="E162">
    <cfRule type="expression" dxfId="10265" priority="13869">
      <formula>IF(#REF!="FICTICIO",1,0)</formula>
    </cfRule>
  </conditionalFormatting>
  <conditionalFormatting sqref="E162">
    <cfRule type="expression" dxfId="10264" priority="13867">
      <formula>IF(#REF!="FICTICIO",1,0)</formula>
    </cfRule>
  </conditionalFormatting>
  <conditionalFormatting sqref="E162">
    <cfRule type="expression" dxfId="10263" priority="13868">
      <formula>IF(#REF!="FICTICIO",1,0)</formula>
    </cfRule>
  </conditionalFormatting>
  <conditionalFormatting sqref="E162">
    <cfRule type="expression" dxfId="10262" priority="13866">
      <formula>IF(#REF!="FICTICIO",1,0)</formula>
    </cfRule>
  </conditionalFormatting>
  <conditionalFormatting sqref="E162">
    <cfRule type="expression" dxfId="10261" priority="13865">
      <formula>IF(#REF!="FICTICIO",1,0)</formula>
    </cfRule>
  </conditionalFormatting>
  <conditionalFormatting sqref="E162">
    <cfRule type="expression" dxfId="10260" priority="13864">
      <formula>IF(#REF!="FICTICIO",1,0)</formula>
    </cfRule>
  </conditionalFormatting>
  <conditionalFormatting sqref="E162">
    <cfRule type="expression" dxfId="10259" priority="13863">
      <formula>IF(#REF!="FICTICIO",1,0)</formula>
    </cfRule>
  </conditionalFormatting>
  <conditionalFormatting sqref="E162">
    <cfRule type="expression" dxfId="10258" priority="13862">
      <formula>IF(#REF!="FICTICIO",1,0)</formula>
    </cfRule>
  </conditionalFormatting>
  <conditionalFormatting sqref="E162">
    <cfRule type="expression" dxfId="10257" priority="13861">
      <formula>IF(#REF!="FICTICIO",1,0)</formula>
    </cfRule>
  </conditionalFormatting>
  <conditionalFormatting sqref="E162">
    <cfRule type="expression" dxfId="10256" priority="13860">
      <formula>IF(#REF!="FICTICIO",1,0)</formula>
    </cfRule>
  </conditionalFormatting>
  <conditionalFormatting sqref="E162">
    <cfRule type="expression" dxfId="10255" priority="13859">
      <formula>IF(#REF!="FICTICIO",1,0)</formula>
    </cfRule>
  </conditionalFormatting>
  <conditionalFormatting sqref="E162">
    <cfRule type="expression" dxfId="10254" priority="13858">
      <formula>IF(#REF!="FICTICIO",1,0)</formula>
    </cfRule>
  </conditionalFormatting>
  <conditionalFormatting sqref="E162">
    <cfRule type="expression" dxfId="10253" priority="13857">
      <formula>IF(#REF!="FICTICIO",1,0)</formula>
    </cfRule>
  </conditionalFormatting>
  <conditionalFormatting sqref="E162">
    <cfRule type="expression" dxfId="10252" priority="13856">
      <formula>IF(#REF!="FICTICIO",1,0)</formula>
    </cfRule>
  </conditionalFormatting>
  <conditionalFormatting sqref="E162">
    <cfRule type="expression" dxfId="10251" priority="13855">
      <formula>IF(#REF!="FICTICIO",1,0)</formula>
    </cfRule>
  </conditionalFormatting>
  <conditionalFormatting sqref="E162">
    <cfRule type="expression" dxfId="10250" priority="13854">
      <formula>IF(#REF!="FICTICIO",1,0)</formula>
    </cfRule>
  </conditionalFormatting>
  <conditionalFormatting sqref="E162">
    <cfRule type="expression" dxfId="10249" priority="13853">
      <formula>IF(#REF!="FICTICIO",1,0)</formula>
    </cfRule>
  </conditionalFormatting>
  <conditionalFormatting sqref="E162">
    <cfRule type="expression" dxfId="10248" priority="13852">
      <formula>IF(#REF!="FICTICIO",1,0)</formula>
    </cfRule>
  </conditionalFormatting>
  <conditionalFormatting sqref="E162">
    <cfRule type="expression" dxfId="10247" priority="13851">
      <formula>IF(#REF!="FICTICIO",1,0)</formula>
    </cfRule>
  </conditionalFormatting>
  <conditionalFormatting sqref="E162">
    <cfRule type="expression" dxfId="10246" priority="13850">
      <formula>IF(#REF!="FICTICIO",1,0)</formula>
    </cfRule>
  </conditionalFormatting>
  <conditionalFormatting sqref="E162">
    <cfRule type="expression" dxfId="10245" priority="13849">
      <formula>IF(#REF!="FICTICIO",1,0)</formula>
    </cfRule>
  </conditionalFormatting>
  <conditionalFormatting sqref="E162">
    <cfRule type="expression" dxfId="10244" priority="13848">
      <formula>IF(#REF!="FICTICIO",1,0)</formula>
    </cfRule>
  </conditionalFormatting>
  <conditionalFormatting sqref="E162">
    <cfRule type="expression" dxfId="10243" priority="13847">
      <formula>IF(#REF!="FICTICIO",1,0)</formula>
    </cfRule>
  </conditionalFormatting>
  <conditionalFormatting sqref="E162">
    <cfRule type="expression" dxfId="10242" priority="13846">
      <formula>IF(#REF!="FICTICIO",1,0)</formula>
    </cfRule>
  </conditionalFormatting>
  <conditionalFormatting sqref="E162">
    <cfRule type="expression" dxfId="10241" priority="13844">
      <formula>IF(#REF!="FICTICIO",1,0)</formula>
    </cfRule>
  </conditionalFormatting>
  <conditionalFormatting sqref="E162">
    <cfRule type="expression" dxfId="10240" priority="13845">
      <formula>IF(#REF!="FICTICIO",1,0)</formula>
    </cfRule>
  </conditionalFormatting>
  <conditionalFormatting sqref="E162">
    <cfRule type="expression" dxfId="10239" priority="13843">
      <formula>IF(#REF!="FICTICIO",1,0)</formula>
    </cfRule>
  </conditionalFormatting>
  <conditionalFormatting sqref="E162">
    <cfRule type="expression" dxfId="10238" priority="13842">
      <formula>IF(#REF!="FICTICIO",1,0)</formula>
    </cfRule>
  </conditionalFormatting>
  <conditionalFormatting sqref="E162">
    <cfRule type="expression" dxfId="10237" priority="13841">
      <formula>IF(#REF!="FICTICIO",1,0)</formula>
    </cfRule>
  </conditionalFormatting>
  <conditionalFormatting sqref="F162">
    <cfRule type="expression" dxfId="10236" priority="13840">
      <formula>IF(#REF!="FICTICIO",1,0)</formula>
    </cfRule>
  </conditionalFormatting>
  <conditionalFormatting sqref="F162">
    <cfRule type="expression" dxfId="10235" priority="13839">
      <formula>IF(#REF!="FICTICIO",1,0)</formula>
    </cfRule>
  </conditionalFormatting>
  <conditionalFormatting sqref="D163">
    <cfRule type="expression" dxfId="10234" priority="13836">
      <formula>IF(#REF!="FICTICIO",1,0)</formula>
    </cfRule>
  </conditionalFormatting>
  <conditionalFormatting sqref="D163">
    <cfRule type="expression" dxfId="10233" priority="13837">
      <formula>IF(#REF!="FICTICIO",1,0)</formula>
    </cfRule>
  </conditionalFormatting>
  <conditionalFormatting sqref="D163">
    <cfRule type="expression" dxfId="10232" priority="13838">
      <formula>IF(#REF!="FICTICIO",1,0)</formula>
    </cfRule>
  </conditionalFormatting>
  <conditionalFormatting sqref="D163">
    <cfRule type="expression" dxfId="10231" priority="13834">
      <formula>IF(#REF!="FICTICIO",1,0)</formula>
    </cfRule>
  </conditionalFormatting>
  <conditionalFormatting sqref="D163">
    <cfRule type="expression" dxfId="10230" priority="13835">
      <formula>IF(#REF!="FICTICIO",1,0)</formula>
    </cfRule>
  </conditionalFormatting>
  <conditionalFormatting sqref="E163">
    <cfRule type="expression" dxfId="10229" priority="13825">
      <formula>IF(#REF!="FICTICIO",1,0)</formula>
    </cfRule>
  </conditionalFormatting>
  <conditionalFormatting sqref="E163">
    <cfRule type="expression" dxfId="10228" priority="13824">
      <formula>IF(#REF!="FICTICIO",1,0)</formula>
    </cfRule>
  </conditionalFormatting>
  <conditionalFormatting sqref="E163">
    <cfRule type="expression" dxfId="10227" priority="13822">
      <formula>IF(#REF!="FICTICIO",1,0)</formula>
    </cfRule>
  </conditionalFormatting>
  <conditionalFormatting sqref="E163">
    <cfRule type="expression" dxfId="10226" priority="13823">
      <formula>IF(#REF!="FICTICIO",1,0)</formula>
    </cfRule>
  </conditionalFormatting>
  <conditionalFormatting sqref="E163">
    <cfRule type="expression" dxfId="10225" priority="13833">
      <formula>IF(#REF!="FICTICIO",1,0)</formula>
    </cfRule>
  </conditionalFormatting>
  <conditionalFormatting sqref="E163">
    <cfRule type="expression" dxfId="10224" priority="13832">
      <formula>IF(#REF!="FICTICIO",1,0)</formula>
    </cfRule>
  </conditionalFormatting>
  <conditionalFormatting sqref="E163">
    <cfRule type="expression" dxfId="10223" priority="13831">
      <formula>IF(#REF!="FICTICIO",1,0)</formula>
    </cfRule>
  </conditionalFormatting>
  <conditionalFormatting sqref="E163">
    <cfRule type="expression" dxfId="10222" priority="13830">
      <formula>IF(#REF!="FICTICIO",1,0)</formula>
    </cfRule>
  </conditionalFormatting>
  <conditionalFormatting sqref="E163">
    <cfRule type="expression" dxfId="10221" priority="13829">
      <formula>IF(#REF!="FICTICIO",1,0)</formula>
    </cfRule>
  </conditionalFormatting>
  <conditionalFormatting sqref="E163">
    <cfRule type="expression" dxfId="10220" priority="13828">
      <formula>IF(#REF!="FICTICIO",1,0)</formula>
    </cfRule>
  </conditionalFormatting>
  <conditionalFormatting sqref="E163">
    <cfRule type="expression" dxfId="10219" priority="13827">
      <formula>IF(#REF!="FICTICIO",1,0)</formula>
    </cfRule>
  </conditionalFormatting>
  <conditionalFormatting sqref="E163">
    <cfRule type="expression" dxfId="10218" priority="13826">
      <formula>IF(#REF!="FICTICIO",1,0)</formula>
    </cfRule>
  </conditionalFormatting>
  <conditionalFormatting sqref="E163">
    <cfRule type="expression" dxfId="10217" priority="13821">
      <formula>IF(#REF!="FICTICIO",1,0)</formula>
    </cfRule>
  </conditionalFormatting>
  <conditionalFormatting sqref="E163">
    <cfRule type="expression" dxfId="10216" priority="13820">
      <formula>IF(#REF!="FICTICIO",1,0)</formula>
    </cfRule>
  </conditionalFormatting>
  <conditionalFormatting sqref="E163">
    <cfRule type="expression" dxfId="10215" priority="13819">
      <formula>IF(#REF!="FICTICIO",1,0)</formula>
    </cfRule>
  </conditionalFormatting>
  <conditionalFormatting sqref="E163">
    <cfRule type="expression" dxfId="10214" priority="13818">
      <formula>IF(#REF!="FICTICIO",1,0)</formula>
    </cfRule>
  </conditionalFormatting>
  <conditionalFormatting sqref="E163">
    <cfRule type="expression" dxfId="10213" priority="13817">
      <formula>IF(#REF!="FICTICIO",1,0)</formula>
    </cfRule>
  </conditionalFormatting>
  <conditionalFormatting sqref="E163">
    <cfRule type="expression" dxfId="10212" priority="13816">
      <formula>IF(#REF!="FICTICIO",1,0)</formula>
    </cfRule>
  </conditionalFormatting>
  <conditionalFormatting sqref="E163">
    <cfRule type="expression" dxfId="10211" priority="13815">
      <formula>IF(#REF!="FICTICIO",1,0)</formula>
    </cfRule>
  </conditionalFormatting>
  <conditionalFormatting sqref="E163">
    <cfRule type="expression" dxfId="10210" priority="13814">
      <formula>IF(#REF!="FICTICIO",1,0)</formula>
    </cfRule>
  </conditionalFormatting>
  <conditionalFormatting sqref="E163">
    <cfRule type="expression" dxfId="10209" priority="13813">
      <formula>IF(#REF!="FICTICIO",1,0)</formula>
    </cfRule>
  </conditionalFormatting>
  <conditionalFormatting sqref="E163">
    <cfRule type="expression" dxfId="10208" priority="13812">
      <formula>IF(#REF!="FICTICIO",1,0)</formula>
    </cfRule>
  </conditionalFormatting>
  <conditionalFormatting sqref="E163">
    <cfRule type="expression" dxfId="10207" priority="13811">
      <formula>IF(#REF!="FICTICIO",1,0)</formula>
    </cfRule>
  </conditionalFormatting>
  <conditionalFormatting sqref="E163">
    <cfRule type="expression" dxfId="10206" priority="13810">
      <formula>IF(#REF!="FICTICIO",1,0)</formula>
    </cfRule>
  </conditionalFormatting>
  <conditionalFormatting sqref="E163">
    <cfRule type="expression" dxfId="10205" priority="13809">
      <formula>IF(#REF!="FICTICIO",1,0)</formula>
    </cfRule>
  </conditionalFormatting>
  <conditionalFormatting sqref="E163">
    <cfRule type="expression" dxfId="10204" priority="13808">
      <formula>IF(#REF!="FICTICIO",1,0)</formula>
    </cfRule>
  </conditionalFormatting>
  <conditionalFormatting sqref="E163">
    <cfRule type="expression" dxfId="10203" priority="13807">
      <formula>IF(#REF!="FICTICIO",1,0)</formula>
    </cfRule>
  </conditionalFormatting>
  <conditionalFormatting sqref="E163">
    <cfRule type="expression" dxfId="10202" priority="13806">
      <formula>IF(#REF!="FICTICIO",1,0)</formula>
    </cfRule>
  </conditionalFormatting>
  <conditionalFormatting sqref="E163">
    <cfRule type="expression" dxfId="10201" priority="13805">
      <formula>IF(#REF!="FICTICIO",1,0)</formula>
    </cfRule>
  </conditionalFormatting>
  <conditionalFormatting sqref="E163">
    <cfRule type="expression" dxfId="10200" priority="13804">
      <formula>IF(#REF!="FICTICIO",1,0)</formula>
    </cfRule>
  </conditionalFormatting>
  <conditionalFormatting sqref="E163">
    <cfRule type="expression" dxfId="10199" priority="13802">
      <formula>IF(#REF!="FICTICIO",1,0)</formula>
    </cfRule>
  </conditionalFormatting>
  <conditionalFormatting sqref="E163">
    <cfRule type="expression" dxfId="10198" priority="13803">
      <formula>IF(#REF!="FICTICIO",1,0)</formula>
    </cfRule>
  </conditionalFormatting>
  <conditionalFormatting sqref="E163">
    <cfRule type="expression" dxfId="10197" priority="13801">
      <formula>IF(#REF!="FICTICIO",1,0)</formula>
    </cfRule>
  </conditionalFormatting>
  <conditionalFormatting sqref="E163">
    <cfRule type="expression" dxfId="10196" priority="13800">
      <formula>IF(#REF!="FICTICIO",1,0)</formula>
    </cfRule>
  </conditionalFormatting>
  <conditionalFormatting sqref="E163">
    <cfRule type="expression" dxfId="10195" priority="13799">
      <formula>IF(#REF!="FICTICIO",1,0)</formula>
    </cfRule>
  </conditionalFormatting>
  <conditionalFormatting sqref="E163">
    <cfRule type="expression" dxfId="10194" priority="13798">
      <formula>IF(#REF!="FICTICIO",1,0)</formula>
    </cfRule>
  </conditionalFormatting>
  <conditionalFormatting sqref="E163">
    <cfRule type="expression" dxfId="10193" priority="13797">
      <formula>IF(#REF!="FICTICIO",1,0)</formula>
    </cfRule>
  </conditionalFormatting>
  <conditionalFormatting sqref="E163">
    <cfRule type="expression" dxfId="10192" priority="13796">
      <formula>IF(#REF!="FICTICIO",1,0)</formula>
    </cfRule>
  </conditionalFormatting>
  <conditionalFormatting sqref="E163">
    <cfRule type="expression" dxfId="10191" priority="13795">
      <formula>IF(#REF!="FICTICIO",1,0)</formula>
    </cfRule>
  </conditionalFormatting>
  <conditionalFormatting sqref="E163">
    <cfRule type="expression" dxfId="10190" priority="13794">
      <formula>IF(#REF!="FICTICIO",1,0)</formula>
    </cfRule>
  </conditionalFormatting>
  <conditionalFormatting sqref="E163">
    <cfRule type="expression" dxfId="10189" priority="13793">
      <formula>IF(#REF!="FICTICIO",1,0)</formula>
    </cfRule>
  </conditionalFormatting>
  <conditionalFormatting sqref="E163">
    <cfRule type="expression" dxfId="10188" priority="13792">
      <formula>IF(#REF!="FICTICIO",1,0)</formula>
    </cfRule>
  </conditionalFormatting>
  <conditionalFormatting sqref="E163">
    <cfRule type="expression" dxfId="10187" priority="13791">
      <formula>IF(#REF!="FICTICIO",1,0)</formula>
    </cfRule>
  </conditionalFormatting>
  <conditionalFormatting sqref="E163">
    <cfRule type="expression" dxfId="10186" priority="13790">
      <formula>IF(#REF!="FICTICIO",1,0)</formula>
    </cfRule>
  </conditionalFormatting>
  <conditionalFormatting sqref="E163">
    <cfRule type="expression" dxfId="10185" priority="13789">
      <formula>IF(#REF!="FICTICIO",1,0)</formula>
    </cfRule>
  </conditionalFormatting>
  <conditionalFormatting sqref="E163">
    <cfRule type="expression" dxfId="10184" priority="13788">
      <formula>IF(#REF!="FICTICIO",1,0)</formula>
    </cfRule>
  </conditionalFormatting>
  <conditionalFormatting sqref="E163">
    <cfRule type="expression" dxfId="10183" priority="13787">
      <formula>IF(#REF!="FICTICIO",1,0)</formula>
    </cfRule>
  </conditionalFormatting>
  <conditionalFormatting sqref="E163">
    <cfRule type="expression" dxfId="10182" priority="13786">
      <formula>IF(#REF!="FICTICIO",1,0)</formula>
    </cfRule>
  </conditionalFormatting>
  <conditionalFormatting sqref="E163">
    <cfRule type="expression" dxfId="10181" priority="13785">
      <formula>IF(#REF!="FICTICIO",1,0)</formula>
    </cfRule>
  </conditionalFormatting>
  <conditionalFormatting sqref="E163">
    <cfRule type="expression" dxfId="10180" priority="13784">
      <formula>IF(#REF!="FICTICIO",1,0)</formula>
    </cfRule>
  </conditionalFormatting>
  <conditionalFormatting sqref="E163">
    <cfRule type="expression" dxfId="10179" priority="13783">
      <formula>IF(#REF!="FICTICIO",1,0)</formula>
    </cfRule>
  </conditionalFormatting>
  <conditionalFormatting sqref="E163">
    <cfRule type="expression" dxfId="10178" priority="13782">
      <formula>IF(#REF!="FICTICIO",1,0)</formula>
    </cfRule>
  </conditionalFormatting>
  <conditionalFormatting sqref="E163">
    <cfRule type="expression" dxfId="10177" priority="13781">
      <formula>IF(#REF!="FICTICIO",1,0)</formula>
    </cfRule>
  </conditionalFormatting>
  <conditionalFormatting sqref="E163">
    <cfRule type="expression" dxfId="10176" priority="13779">
      <formula>IF(#REF!="FICTICIO",1,0)</formula>
    </cfRule>
  </conditionalFormatting>
  <conditionalFormatting sqref="E163">
    <cfRule type="expression" dxfId="10175" priority="13780">
      <formula>IF(#REF!="FICTICIO",1,0)</formula>
    </cfRule>
  </conditionalFormatting>
  <conditionalFormatting sqref="E163">
    <cfRule type="expression" dxfId="10174" priority="13778">
      <formula>IF(#REF!="FICTICIO",1,0)</formula>
    </cfRule>
  </conditionalFormatting>
  <conditionalFormatting sqref="E163">
    <cfRule type="expression" dxfId="10173" priority="13777">
      <formula>IF(#REF!="FICTICIO",1,0)</formula>
    </cfRule>
  </conditionalFormatting>
  <conditionalFormatting sqref="E163">
    <cfRule type="expression" dxfId="10172" priority="13776">
      <formula>IF(#REF!="FICTICIO",1,0)</formula>
    </cfRule>
  </conditionalFormatting>
  <conditionalFormatting sqref="F163">
    <cfRule type="expression" dxfId="10171" priority="13775">
      <formula>IF(#REF!="FICTICIO",1,0)</formula>
    </cfRule>
  </conditionalFormatting>
  <conditionalFormatting sqref="F163">
    <cfRule type="expression" dxfId="10170" priority="13774">
      <formula>IF(#REF!="FICTICIO",1,0)</formula>
    </cfRule>
  </conditionalFormatting>
  <conditionalFormatting sqref="D165">
    <cfRule type="expression" dxfId="10169" priority="13772">
      <formula>IF(#REF!="FICTICIO",1,0)</formula>
    </cfRule>
  </conditionalFormatting>
  <conditionalFormatting sqref="D165">
    <cfRule type="expression" dxfId="10168" priority="13773">
      <formula>IF(#REF!="FICTICIO",1,0)</formula>
    </cfRule>
  </conditionalFormatting>
  <conditionalFormatting sqref="D165">
    <cfRule type="expression" dxfId="10167" priority="13770">
      <formula>IF(#REF!="FICTICIO",1,0)</formula>
    </cfRule>
  </conditionalFormatting>
  <conditionalFormatting sqref="D165">
    <cfRule type="expression" dxfId="10166" priority="13771">
      <formula>IF(#REF!="FICTICIO",1,0)</formula>
    </cfRule>
  </conditionalFormatting>
  <conditionalFormatting sqref="D165">
    <cfRule type="expression" dxfId="10165" priority="13768">
      <formula>IF(#REF!="FICTICIO",1,0)</formula>
    </cfRule>
  </conditionalFormatting>
  <conditionalFormatting sqref="D165">
    <cfRule type="expression" dxfId="10164" priority="13769">
      <formula>IF(#REF!="FICTICIO",1,0)</formula>
    </cfRule>
  </conditionalFormatting>
  <conditionalFormatting sqref="D165">
    <cfRule type="expression" dxfId="10163" priority="13766">
      <formula>IF(#REF!="FICTICIO",1,0)</formula>
    </cfRule>
  </conditionalFormatting>
  <conditionalFormatting sqref="D165">
    <cfRule type="expression" dxfId="10162" priority="13767">
      <formula>IF(#REF!="FICTICIO",1,0)</formula>
    </cfRule>
  </conditionalFormatting>
  <conditionalFormatting sqref="E165">
    <cfRule type="expression" dxfId="10161" priority="13765">
      <formula>IF(#REF!="FICTICIO",1,0)</formula>
    </cfRule>
  </conditionalFormatting>
  <conditionalFormatting sqref="E165">
    <cfRule type="expression" dxfId="10160" priority="13764">
      <formula>IF(#REF!="FICTICIO",1,0)</formula>
    </cfRule>
  </conditionalFormatting>
  <conditionalFormatting sqref="E165">
    <cfRule type="expression" dxfId="10159" priority="13763">
      <formula>IF(#REF!="FICTICIO",1,0)</formula>
    </cfRule>
  </conditionalFormatting>
  <conditionalFormatting sqref="E165">
    <cfRule type="expression" dxfId="10158" priority="13762">
      <formula>IF(#REF!="FICTICIO",1,0)</formula>
    </cfRule>
  </conditionalFormatting>
  <conditionalFormatting sqref="E165">
    <cfRule type="expression" dxfId="10157" priority="13761">
      <formula>IF(#REF!="FICTICIO",1,0)</formula>
    </cfRule>
  </conditionalFormatting>
  <conditionalFormatting sqref="E165">
    <cfRule type="expression" dxfId="10156" priority="13760">
      <formula>IF(#REF!="FICTICIO",1,0)</formula>
    </cfRule>
  </conditionalFormatting>
  <conditionalFormatting sqref="E165">
    <cfRule type="expression" dxfId="10155" priority="13759">
      <formula>IF(#REF!="FICTICIO",1,0)</formula>
    </cfRule>
  </conditionalFormatting>
  <conditionalFormatting sqref="E165">
    <cfRule type="expression" dxfId="10154" priority="13758">
      <formula>IF(#REF!="FICTICIO",1,0)</formula>
    </cfRule>
  </conditionalFormatting>
  <conditionalFormatting sqref="E165">
    <cfRule type="expression" dxfId="10153" priority="13757">
      <formula>IF(#REF!="FICTICIO",1,0)</formula>
    </cfRule>
  </conditionalFormatting>
  <conditionalFormatting sqref="E165">
    <cfRule type="expression" dxfId="10152" priority="13756">
      <formula>IF(#REF!="FICTICIO",1,0)</formula>
    </cfRule>
  </conditionalFormatting>
  <conditionalFormatting sqref="E165">
    <cfRule type="expression" dxfId="10151" priority="13755">
      <formula>IF(#REF!="FICTICIO",1,0)</formula>
    </cfRule>
  </conditionalFormatting>
  <conditionalFormatting sqref="E165">
    <cfRule type="expression" dxfId="10150" priority="13754">
      <formula>IF(#REF!="FICTICIO",1,0)</formula>
    </cfRule>
  </conditionalFormatting>
  <conditionalFormatting sqref="E165">
    <cfRule type="expression" dxfId="10149" priority="13753">
      <formula>IF(#REF!="FICTICIO",1,0)</formula>
    </cfRule>
  </conditionalFormatting>
  <conditionalFormatting sqref="E165">
    <cfRule type="expression" dxfId="10148" priority="13752">
      <formula>IF(#REF!="FICTICIO",1,0)</formula>
    </cfRule>
  </conditionalFormatting>
  <conditionalFormatting sqref="E165">
    <cfRule type="expression" dxfId="10147" priority="13751">
      <formula>IF(#REF!="FICTICIO",1,0)</formula>
    </cfRule>
  </conditionalFormatting>
  <conditionalFormatting sqref="E165">
    <cfRule type="expression" dxfId="10146" priority="13750">
      <formula>IF(#REF!="FICTICIO",1,0)</formula>
    </cfRule>
  </conditionalFormatting>
  <conditionalFormatting sqref="E165">
    <cfRule type="expression" dxfId="10145" priority="13749">
      <formula>IF(#REF!="FICTICIO",1,0)</formula>
    </cfRule>
  </conditionalFormatting>
  <conditionalFormatting sqref="E165">
    <cfRule type="expression" dxfId="10144" priority="13748">
      <formula>IF(#REF!="FICTICIO",1,0)</formula>
    </cfRule>
  </conditionalFormatting>
  <conditionalFormatting sqref="E165">
    <cfRule type="expression" dxfId="10143" priority="13746">
      <formula>IF(#REF!="FICTICIO",1,0)</formula>
    </cfRule>
  </conditionalFormatting>
  <conditionalFormatting sqref="E165">
    <cfRule type="expression" dxfId="10142" priority="13747">
      <formula>IF(#REF!="FICTICIO",1,0)</formula>
    </cfRule>
  </conditionalFormatting>
  <conditionalFormatting sqref="E165">
    <cfRule type="expression" dxfId="10141" priority="13745">
      <formula>IF(#REF!="FICTICIO",1,0)</formula>
    </cfRule>
  </conditionalFormatting>
  <conditionalFormatting sqref="E165">
    <cfRule type="expression" dxfId="10140" priority="13744">
      <formula>IF(#REF!="FICTICIO",1,0)</formula>
    </cfRule>
  </conditionalFormatting>
  <conditionalFormatting sqref="E165">
    <cfRule type="expression" dxfId="10139" priority="13743">
      <formula>IF(#REF!="FICTICIO",1,0)</formula>
    </cfRule>
  </conditionalFormatting>
  <conditionalFormatting sqref="D165">
    <cfRule type="expression" dxfId="10138" priority="13741">
      <formula>IF(#REF!="FICTICIO",1,0)</formula>
    </cfRule>
  </conditionalFormatting>
  <conditionalFormatting sqref="D165">
    <cfRule type="expression" dxfId="10137" priority="13742">
      <formula>IF(#REF!="FICTICIO",1,0)</formula>
    </cfRule>
  </conditionalFormatting>
  <conditionalFormatting sqref="D165">
    <cfRule type="expression" dxfId="10136" priority="13739">
      <formula>IF(#REF!="FICTICIO",1,0)</formula>
    </cfRule>
  </conditionalFormatting>
  <conditionalFormatting sqref="D165">
    <cfRule type="expression" dxfId="10135" priority="13740">
      <formula>IF(#REF!="FICTICIO",1,0)</formula>
    </cfRule>
  </conditionalFormatting>
  <conditionalFormatting sqref="D165">
    <cfRule type="expression" dxfId="10134" priority="13737">
      <formula>IF(#REF!="FICTICIO",1,0)</formula>
    </cfRule>
  </conditionalFormatting>
  <conditionalFormatting sqref="D165">
    <cfRule type="expression" dxfId="10133" priority="13738">
      <formula>IF(#REF!="FICTICIO",1,0)</formula>
    </cfRule>
  </conditionalFormatting>
  <conditionalFormatting sqref="D165">
    <cfRule type="expression" dxfId="10132" priority="13735">
      <formula>IF(#REF!="FICTICIO",1,0)</formula>
    </cfRule>
  </conditionalFormatting>
  <conditionalFormatting sqref="D165">
    <cfRule type="expression" dxfId="10131" priority="13736">
      <formula>IF(#REF!="FICTICIO",1,0)</formula>
    </cfRule>
  </conditionalFormatting>
  <conditionalFormatting sqref="F165">
    <cfRule type="expression" dxfId="10130" priority="13734">
      <formula>IF(#REF!="FICTICIO",1,0)</formula>
    </cfRule>
  </conditionalFormatting>
  <conditionalFormatting sqref="E165">
    <cfRule type="expression" dxfId="10129" priority="13733">
      <formula>IF(#REF!="FICTICIO",1,0)</formula>
    </cfRule>
  </conditionalFormatting>
  <conditionalFormatting sqref="E165">
    <cfRule type="expression" dxfId="10128" priority="13732">
      <formula>IF(#REF!="FICTICIO",1,0)</formula>
    </cfRule>
  </conditionalFormatting>
  <conditionalFormatting sqref="E165">
    <cfRule type="expression" dxfId="10127" priority="13731">
      <formula>IF(#REF!="FICTICIO",1,0)</formula>
    </cfRule>
  </conditionalFormatting>
  <conditionalFormatting sqref="E165">
    <cfRule type="expression" dxfId="10126" priority="13730">
      <formula>IF(#REF!="FICTICIO",1,0)</formula>
    </cfRule>
  </conditionalFormatting>
  <conditionalFormatting sqref="E165">
    <cfRule type="expression" dxfId="10125" priority="13729">
      <formula>IF(#REF!="FICTICIO",1,0)</formula>
    </cfRule>
  </conditionalFormatting>
  <conditionalFormatting sqref="E165">
    <cfRule type="expression" dxfId="10124" priority="13728">
      <formula>IF(#REF!="FICTICIO",1,0)</formula>
    </cfRule>
  </conditionalFormatting>
  <conditionalFormatting sqref="E165">
    <cfRule type="expression" dxfId="10123" priority="13727">
      <formula>IF(#REF!="FICTICIO",1,0)</formula>
    </cfRule>
  </conditionalFormatting>
  <conditionalFormatting sqref="E165">
    <cfRule type="expression" dxfId="10122" priority="13726">
      <formula>IF(#REF!="FICTICIO",1,0)</formula>
    </cfRule>
  </conditionalFormatting>
  <conditionalFormatting sqref="E165">
    <cfRule type="expression" dxfId="10121" priority="13725">
      <formula>IF(#REF!="FICTICIO",1,0)</formula>
    </cfRule>
  </conditionalFormatting>
  <conditionalFormatting sqref="E165">
    <cfRule type="expression" dxfId="10120" priority="13724">
      <formula>IF(#REF!="FICTICIO",1,0)</formula>
    </cfRule>
  </conditionalFormatting>
  <conditionalFormatting sqref="E165">
    <cfRule type="expression" dxfId="10119" priority="13723">
      <formula>IF(#REF!="FICTICIO",1,0)</formula>
    </cfRule>
  </conditionalFormatting>
  <conditionalFormatting sqref="E165">
    <cfRule type="expression" dxfId="10118" priority="13722">
      <formula>IF(#REF!="FICTICIO",1,0)</formula>
    </cfRule>
  </conditionalFormatting>
  <conditionalFormatting sqref="E165">
    <cfRule type="expression" dxfId="10117" priority="13721">
      <formula>IF(#REF!="FICTICIO",1,0)</formula>
    </cfRule>
  </conditionalFormatting>
  <conditionalFormatting sqref="E165">
    <cfRule type="expression" dxfId="10116" priority="13720">
      <formula>IF(#REF!="FICTICIO",1,0)</formula>
    </cfRule>
  </conditionalFormatting>
  <conditionalFormatting sqref="E165">
    <cfRule type="expression" dxfId="10115" priority="13719">
      <formula>IF(#REF!="FICTICIO",1,0)</formula>
    </cfRule>
  </conditionalFormatting>
  <conditionalFormatting sqref="E165">
    <cfRule type="expression" dxfId="10114" priority="13718">
      <formula>IF(#REF!="FICTICIO",1,0)</formula>
    </cfRule>
  </conditionalFormatting>
  <conditionalFormatting sqref="E165">
    <cfRule type="expression" dxfId="10113" priority="13717">
      <formula>IF(#REF!="FICTICIO",1,0)</formula>
    </cfRule>
  </conditionalFormatting>
  <conditionalFormatting sqref="E165">
    <cfRule type="expression" dxfId="10112" priority="13716">
      <formula>IF(#REF!="FICTICIO",1,0)</formula>
    </cfRule>
  </conditionalFormatting>
  <conditionalFormatting sqref="E165">
    <cfRule type="expression" dxfId="10111" priority="13714">
      <formula>IF(#REF!="FICTICIO",1,0)</formula>
    </cfRule>
  </conditionalFormatting>
  <conditionalFormatting sqref="E165">
    <cfRule type="expression" dxfId="10110" priority="13715">
      <formula>IF(#REF!="FICTICIO",1,0)</formula>
    </cfRule>
  </conditionalFormatting>
  <conditionalFormatting sqref="E165">
    <cfRule type="expression" dxfId="10109" priority="13713">
      <formula>IF(#REF!="FICTICIO",1,0)</formula>
    </cfRule>
  </conditionalFormatting>
  <conditionalFormatting sqref="E165">
    <cfRule type="expression" dxfId="10108" priority="13712">
      <formula>IF(#REF!="FICTICIO",1,0)</formula>
    </cfRule>
  </conditionalFormatting>
  <conditionalFormatting sqref="E165">
    <cfRule type="expression" dxfId="10107" priority="13711">
      <formula>IF(#REF!="FICTICIO",1,0)</formula>
    </cfRule>
  </conditionalFormatting>
  <conditionalFormatting sqref="E165">
    <cfRule type="expression" dxfId="10106" priority="13710">
      <formula>IF(#REF!="FICTICIO",1,0)</formula>
    </cfRule>
  </conditionalFormatting>
  <conditionalFormatting sqref="E165">
    <cfRule type="expression" dxfId="10105" priority="13709">
      <formula>IF(#REF!="FICTICIO",1,0)</formula>
    </cfRule>
  </conditionalFormatting>
  <conditionalFormatting sqref="E165">
    <cfRule type="expression" dxfId="10104" priority="13708">
      <formula>IF(#REF!="FICTICIO",1,0)</formula>
    </cfRule>
  </conditionalFormatting>
  <conditionalFormatting sqref="E165">
    <cfRule type="expression" dxfId="10103" priority="13707">
      <formula>IF(#REF!="FICTICIO",1,0)</formula>
    </cfRule>
  </conditionalFormatting>
  <conditionalFormatting sqref="E165">
    <cfRule type="expression" dxfId="10102" priority="13706">
      <formula>IF(#REF!="FICTICIO",1,0)</formula>
    </cfRule>
  </conditionalFormatting>
  <conditionalFormatting sqref="E165">
    <cfRule type="expression" dxfId="10101" priority="13705">
      <formula>IF(#REF!="FICTICIO",1,0)</formula>
    </cfRule>
  </conditionalFormatting>
  <conditionalFormatting sqref="E165">
    <cfRule type="expression" dxfId="10100" priority="13704">
      <formula>IF(#REF!="FICTICIO",1,0)</formula>
    </cfRule>
  </conditionalFormatting>
  <conditionalFormatting sqref="E165">
    <cfRule type="expression" dxfId="10099" priority="13703">
      <formula>IF(#REF!="FICTICIO",1,0)</formula>
    </cfRule>
  </conditionalFormatting>
  <conditionalFormatting sqref="E165">
    <cfRule type="expression" dxfId="10098" priority="13702">
      <formula>IF(#REF!="FICTICIO",1,0)</formula>
    </cfRule>
  </conditionalFormatting>
  <conditionalFormatting sqref="E165">
    <cfRule type="expression" dxfId="10097" priority="13701">
      <formula>IF(#REF!="FICTICIO",1,0)</formula>
    </cfRule>
  </conditionalFormatting>
  <conditionalFormatting sqref="E165">
    <cfRule type="expression" dxfId="10096" priority="13700">
      <formula>IF(#REF!="FICTICIO",1,0)</formula>
    </cfRule>
  </conditionalFormatting>
  <conditionalFormatting sqref="E165">
    <cfRule type="expression" dxfId="10095" priority="13699">
      <formula>IF(#REF!="FICTICIO",1,0)</formula>
    </cfRule>
  </conditionalFormatting>
  <conditionalFormatting sqref="E165">
    <cfRule type="expression" dxfId="10094" priority="13698">
      <formula>IF(#REF!="FICTICIO",1,0)</formula>
    </cfRule>
  </conditionalFormatting>
  <conditionalFormatting sqref="E165">
    <cfRule type="expression" dxfId="10093" priority="13697">
      <formula>IF(#REF!="FICTICIO",1,0)</formula>
    </cfRule>
  </conditionalFormatting>
  <conditionalFormatting sqref="E165">
    <cfRule type="expression" dxfId="10092" priority="13696">
      <formula>IF(#REF!="FICTICIO",1,0)</formula>
    </cfRule>
  </conditionalFormatting>
  <conditionalFormatting sqref="E165">
    <cfRule type="expression" dxfId="10091" priority="13695">
      <formula>IF(#REF!="FICTICIO",1,0)</formula>
    </cfRule>
  </conditionalFormatting>
  <conditionalFormatting sqref="E165">
    <cfRule type="expression" dxfId="10090" priority="13694">
      <formula>IF(#REF!="FICTICIO",1,0)</formula>
    </cfRule>
  </conditionalFormatting>
  <conditionalFormatting sqref="E165">
    <cfRule type="expression" dxfId="10089" priority="13693">
      <formula>IF(#REF!="FICTICIO",1,0)</formula>
    </cfRule>
  </conditionalFormatting>
  <conditionalFormatting sqref="E165">
    <cfRule type="expression" dxfId="10088" priority="13691">
      <formula>IF(#REF!="FICTICIO",1,0)</formula>
    </cfRule>
  </conditionalFormatting>
  <conditionalFormatting sqref="E165">
    <cfRule type="expression" dxfId="10087" priority="13692">
      <formula>IF(#REF!="FICTICIO",1,0)</formula>
    </cfRule>
  </conditionalFormatting>
  <conditionalFormatting sqref="E165">
    <cfRule type="expression" dxfId="10086" priority="13690">
      <formula>IF(#REF!="FICTICIO",1,0)</formula>
    </cfRule>
  </conditionalFormatting>
  <conditionalFormatting sqref="E165">
    <cfRule type="expression" dxfId="10085" priority="13689">
      <formula>IF(#REF!="FICTICIO",1,0)</formula>
    </cfRule>
  </conditionalFormatting>
  <conditionalFormatting sqref="E165">
    <cfRule type="expression" dxfId="10084" priority="13688">
      <formula>IF(#REF!="FICTICIO",1,0)</formula>
    </cfRule>
  </conditionalFormatting>
  <conditionalFormatting sqref="D166">
    <cfRule type="expression" dxfId="10083" priority="13686">
      <formula>IF(#REF!="FICTICIO",1,0)</formula>
    </cfRule>
  </conditionalFormatting>
  <conditionalFormatting sqref="D166">
    <cfRule type="expression" dxfId="10082" priority="13687">
      <formula>IF(#REF!="FICTICIO",1,0)</formula>
    </cfRule>
  </conditionalFormatting>
  <conditionalFormatting sqref="D166">
    <cfRule type="expression" dxfId="10081" priority="13684">
      <formula>IF(#REF!="FICTICIO",1,0)</formula>
    </cfRule>
  </conditionalFormatting>
  <conditionalFormatting sqref="D166">
    <cfRule type="expression" dxfId="10080" priority="13685">
      <formula>IF(#REF!="FICTICIO",1,0)</formula>
    </cfRule>
  </conditionalFormatting>
  <conditionalFormatting sqref="D166">
    <cfRule type="expression" dxfId="10079" priority="13682">
      <formula>IF(#REF!="FICTICIO",1,0)</formula>
    </cfRule>
  </conditionalFormatting>
  <conditionalFormatting sqref="D166">
    <cfRule type="expression" dxfId="10078" priority="13683">
      <formula>IF(#REF!="FICTICIO",1,0)</formula>
    </cfRule>
  </conditionalFormatting>
  <conditionalFormatting sqref="D166">
    <cfRule type="expression" dxfId="10077" priority="13680">
      <formula>IF(#REF!="FICTICIO",1,0)</formula>
    </cfRule>
  </conditionalFormatting>
  <conditionalFormatting sqref="D166">
    <cfRule type="expression" dxfId="10076" priority="13681">
      <formula>IF(#REF!="FICTICIO",1,0)</formula>
    </cfRule>
  </conditionalFormatting>
  <conditionalFormatting sqref="E166">
    <cfRule type="expression" dxfId="10075" priority="13679">
      <formula>IF(#REF!="FICTICIO",1,0)</formula>
    </cfRule>
  </conditionalFormatting>
  <conditionalFormatting sqref="E166">
    <cfRule type="expression" dxfId="10074" priority="13678">
      <formula>IF(#REF!="FICTICIO",1,0)</formula>
    </cfRule>
  </conditionalFormatting>
  <conditionalFormatting sqref="E166">
    <cfRule type="expression" dxfId="10073" priority="13677">
      <formula>IF(#REF!="FICTICIO",1,0)</formula>
    </cfRule>
  </conditionalFormatting>
  <conditionalFormatting sqref="E166">
    <cfRule type="expression" dxfId="10072" priority="13676">
      <formula>IF(#REF!="FICTICIO",1,0)</formula>
    </cfRule>
  </conditionalFormatting>
  <conditionalFormatting sqref="E166">
    <cfRule type="expression" dxfId="10071" priority="13675">
      <formula>IF(#REF!="FICTICIO",1,0)</formula>
    </cfRule>
  </conditionalFormatting>
  <conditionalFormatting sqref="E166">
    <cfRule type="expression" dxfId="10070" priority="13674">
      <formula>IF(#REF!="FICTICIO",1,0)</formula>
    </cfRule>
  </conditionalFormatting>
  <conditionalFormatting sqref="E166">
    <cfRule type="expression" dxfId="10069" priority="13673">
      <formula>IF(#REF!="FICTICIO",1,0)</formula>
    </cfRule>
  </conditionalFormatting>
  <conditionalFormatting sqref="E166">
    <cfRule type="expression" dxfId="10068" priority="13672">
      <formula>IF(#REF!="FICTICIO",1,0)</formula>
    </cfRule>
  </conditionalFormatting>
  <conditionalFormatting sqref="E166">
    <cfRule type="expression" dxfId="10067" priority="13671">
      <formula>IF(#REF!="FICTICIO",1,0)</formula>
    </cfRule>
  </conditionalFormatting>
  <conditionalFormatting sqref="E166">
    <cfRule type="expression" dxfId="10066" priority="13670">
      <formula>IF(#REF!="FICTICIO",1,0)</formula>
    </cfRule>
  </conditionalFormatting>
  <conditionalFormatting sqref="E166">
    <cfRule type="expression" dxfId="10065" priority="13669">
      <formula>IF(#REF!="FICTICIO",1,0)</formula>
    </cfRule>
  </conditionalFormatting>
  <conditionalFormatting sqref="E166">
    <cfRule type="expression" dxfId="10064" priority="13668">
      <formula>IF(#REF!="FICTICIO",1,0)</formula>
    </cfRule>
  </conditionalFormatting>
  <conditionalFormatting sqref="E166">
    <cfRule type="expression" dxfId="10063" priority="13667">
      <formula>IF(#REF!="FICTICIO",1,0)</formula>
    </cfRule>
  </conditionalFormatting>
  <conditionalFormatting sqref="E166">
    <cfRule type="expression" dxfId="10062" priority="13666">
      <formula>IF(#REF!="FICTICIO",1,0)</formula>
    </cfRule>
  </conditionalFormatting>
  <conditionalFormatting sqref="E166">
    <cfRule type="expression" dxfId="10061" priority="13665">
      <formula>IF(#REF!="FICTICIO",1,0)</formula>
    </cfRule>
  </conditionalFormatting>
  <conditionalFormatting sqref="E166">
    <cfRule type="expression" dxfId="10060" priority="13664">
      <formula>IF(#REF!="FICTICIO",1,0)</formula>
    </cfRule>
  </conditionalFormatting>
  <conditionalFormatting sqref="E166">
    <cfRule type="expression" dxfId="10059" priority="13663">
      <formula>IF(#REF!="FICTICIO",1,0)</formula>
    </cfRule>
  </conditionalFormatting>
  <conditionalFormatting sqref="E166">
    <cfRule type="expression" dxfId="10058" priority="13662">
      <formula>IF(#REF!="FICTICIO",1,0)</formula>
    </cfRule>
  </conditionalFormatting>
  <conditionalFormatting sqref="E166">
    <cfRule type="expression" dxfId="10057" priority="13660">
      <formula>IF(#REF!="FICTICIO",1,0)</formula>
    </cfRule>
  </conditionalFormatting>
  <conditionalFormatting sqref="E166">
    <cfRule type="expression" dxfId="10056" priority="13661">
      <formula>IF(#REF!="FICTICIO",1,0)</formula>
    </cfRule>
  </conditionalFormatting>
  <conditionalFormatting sqref="E166">
    <cfRule type="expression" dxfId="10055" priority="13659">
      <formula>IF(#REF!="FICTICIO",1,0)</formula>
    </cfRule>
  </conditionalFormatting>
  <conditionalFormatting sqref="E166">
    <cfRule type="expression" dxfId="10054" priority="13658">
      <formula>IF(#REF!="FICTICIO",1,0)</formula>
    </cfRule>
  </conditionalFormatting>
  <conditionalFormatting sqref="E166">
    <cfRule type="expression" dxfId="10053" priority="13657">
      <formula>IF(#REF!="FICTICIO",1,0)</formula>
    </cfRule>
  </conditionalFormatting>
  <conditionalFormatting sqref="D166">
    <cfRule type="expression" dxfId="10052" priority="13655">
      <formula>IF(#REF!="FICTICIO",1,0)</formula>
    </cfRule>
  </conditionalFormatting>
  <conditionalFormatting sqref="D166">
    <cfRule type="expression" dxfId="10051" priority="13656">
      <formula>IF(#REF!="FICTICIO",1,0)</formula>
    </cfRule>
  </conditionalFormatting>
  <conditionalFormatting sqref="D166">
    <cfRule type="expression" dxfId="10050" priority="13653">
      <formula>IF(#REF!="FICTICIO",1,0)</formula>
    </cfRule>
  </conditionalFormatting>
  <conditionalFormatting sqref="D166">
    <cfRule type="expression" dxfId="10049" priority="13654">
      <formula>IF(#REF!="FICTICIO",1,0)</formula>
    </cfRule>
  </conditionalFormatting>
  <conditionalFormatting sqref="D166">
    <cfRule type="expression" dxfId="10048" priority="13651">
      <formula>IF(#REF!="FICTICIO",1,0)</formula>
    </cfRule>
  </conditionalFormatting>
  <conditionalFormatting sqref="D166">
    <cfRule type="expression" dxfId="10047" priority="13652">
      <formula>IF(#REF!="FICTICIO",1,0)</formula>
    </cfRule>
  </conditionalFormatting>
  <conditionalFormatting sqref="D166">
    <cfRule type="expression" dxfId="10046" priority="13649">
      <formula>IF(#REF!="FICTICIO",1,0)</formula>
    </cfRule>
  </conditionalFormatting>
  <conditionalFormatting sqref="D166">
    <cfRule type="expression" dxfId="10045" priority="13650">
      <formula>IF(#REF!="FICTICIO",1,0)</formula>
    </cfRule>
  </conditionalFormatting>
  <conditionalFormatting sqref="F166">
    <cfRule type="expression" dxfId="10044" priority="13648">
      <formula>IF(#REF!="FICTICIO",1,0)</formula>
    </cfRule>
  </conditionalFormatting>
  <conditionalFormatting sqref="E166">
    <cfRule type="expression" dxfId="10043" priority="13647">
      <formula>IF(#REF!="FICTICIO",1,0)</formula>
    </cfRule>
  </conditionalFormatting>
  <conditionalFormatting sqref="E166">
    <cfRule type="expression" dxfId="10042" priority="13646">
      <formula>IF(#REF!="FICTICIO",1,0)</formula>
    </cfRule>
  </conditionalFormatting>
  <conditionalFormatting sqref="E166">
    <cfRule type="expression" dxfId="10041" priority="13645">
      <formula>IF(#REF!="FICTICIO",1,0)</formula>
    </cfRule>
  </conditionalFormatting>
  <conditionalFormatting sqref="E166">
    <cfRule type="expression" dxfId="10040" priority="13644">
      <formula>IF(#REF!="FICTICIO",1,0)</formula>
    </cfRule>
  </conditionalFormatting>
  <conditionalFormatting sqref="E166">
    <cfRule type="expression" dxfId="10039" priority="13643">
      <formula>IF(#REF!="FICTICIO",1,0)</formula>
    </cfRule>
  </conditionalFormatting>
  <conditionalFormatting sqref="E166">
    <cfRule type="expression" dxfId="10038" priority="13642">
      <formula>IF(#REF!="FICTICIO",1,0)</formula>
    </cfRule>
  </conditionalFormatting>
  <conditionalFormatting sqref="E166">
    <cfRule type="expression" dxfId="10037" priority="13641">
      <formula>IF(#REF!="FICTICIO",1,0)</formula>
    </cfRule>
  </conditionalFormatting>
  <conditionalFormatting sqref="E166">
    <cfRule type="expression" dxfId="10036" priority="13640">
      <formula>IF(#REF!="FICTICIO",1,0)</formula>
    </cfRule>
  </conditionalFormatting>
  <conditionalFormatting sqref="E166">
    <cfRule type="expression" dxfId="10035" priority="13639">
      <formula>IF(#REF!="FICTICIO",1,0)</formula>
    </cfRule>
  </conditionalFormatting>
  <conditionalFormatting sqref="E166">
    <cfRule type="expression" dxfId="10034" priority="13638">
      <formula>IF(#REF!="FICTICIO",1,0)</formula>
    </cfRule>
  </conditionalFormatting>
  <conditionalFormatting sqref="E166">
    <cfRule type="expression" dxfId="10033" priority="13637">
      <formula>IF(#REF!="FICTICIO",1,0)</formula>
    </cfRule>
  </conditionalFormatting>
  <conditionalFormatting sqref="E166">
    <cfRule type="expression" dxfId="10032" priority="13636">
      <formula>IF(#REF!="FICTICIO",1,0)</formula>
    </cfRule>
  </conditionalFormatting>
  <conditionalFormatting sqref="E166">
    <cfRule type="expression" dxfId="10031" priority="13635">
      <formula>IF(#REF!="FICTICIO",1,0)</formula>
    </cfRule>
  </conditionalFormatting>
  <conditionalFormatting sqref="E166">
    <cfRule type="expression" dxfId="10030" priority="13634">
      <formula>IF(#REF!="FICTICIO",1,0)</formula>
    </cfRule>
  </conditionalFormatting>
  <conditionalFormatting sqref="E166">
    <cfRule type="expression" dxfId="10029" priority="13633">
      <formula>IF(#REF!="FICTICIO",1,0)</formula>
    </cfRule>
  </conditionalFormatting>
  <conditionalFormatting sqref="E166">
    <cfRule type="expression" dxfId="10028" priority="13632">
      <formula>IF(#REF!="FICTICIO",1,0)</formula>
    </cfRule>
  </conditionalFormatting>
  <conditionalFormatting sqref="E166">
    <cfRule type="expression" dxfId="10027" priority="13631">
      <formula>IF(#REF!="FICTICIO",1,0)</formula>
    </cfRule>
  </conditionalFormatting>
  <conditionalFormatting sqref="E166">
    <cfRule type="expression" dxfId="10026" priority="13630">
      <formula>IF(#REF!="FICTICIO",1,0)</formula>
    </cfRule>
  </conditionalFormatting>
  <conditionalFormatting sqref="E166">
    <cfRule type="expression" dxfId="10025" priority="13628">
      <formula>IF(#REF!="FICTICIO",1,0)</formula>
    </cfRule>
  </conditionalFormatting>
  <conditionalFormatting sqref="E166">
    <cfRule type="expression" dxfId="10024" priority="13629">
      <formula>IF(#REF!="FICTICIO",1,0)</formula>
    </cfRule>
  </conditionalFormatting>
  <conditionalFormatting sqref="E166">
    <cfRule type="expression" dxfId="10023" priority="13627">
      <formula>IF(#REF!="FICTICIO",1,0)</formula>
    </cfRule>
  </conditionalFormatting>
  <conditionalFormatting sqref="E166">
    <cfRule type="expression" dxfId="10022" priority="13626">
      <formula>IF(#REF!="FICTICIO",1,0)</formula>
    </cfRule>
  </conditionalFormatting>
  <conditionalFormatting sqref="E166">
    <cfRule type="expression" dxfId="10021" priority="13625">
      <formula>IF(#REF!="FICTICIO",1,0)</formula>
    </cfRule>
  </conditionalFormatting>
  <conditionalFormatting sqref="E166">
    <cfRule type="expression" dxfId="10020" priority="13624">
      <formula>IF(#REF!="FICTICIO",1,0)</formula>
    </cfRule>
  </conditionalFormatting>
  <conditionalFormatting sqref="E166">
    <cfRule type="expression" dxfId="10019" priority="13623">
      <formula>IF(#REF!="FICTICIO",1,0)</formula>
    </cfRule>
  </conditionalFormatting>
  <conditionalFormatting sqref="E166">
    <cfRule type="expression" dxfId="10018" priority="13622">
      <formula>IF(#REF!="FICTICIO",1,0)</formula>
    </cfRule>
  </conditionalFormatting>
  <conditionalFormatting sqref="E166">
    <cfRule type="expression" dxfId="10017" priority="13621">
      <formula>IF(#REF!="FICTICIO",1,0)</formula>
    </cfRule>
  </conditionalFormatting>
  <conditionalFormatting sqref="E166">
    <cfRule type="expression" dxfId="10016" priority="13620">
      <formula>IF(#REF!="FICTICIO",1,0)</formula>
    </cfRule>
  </conditionalFormatting>
  <conditionalFormatting sqref="E166">
    <cfRule type="expression" dxfId="10015" priority="13619">
      <formula>IF(#REF!="FICTICIO",1,0)</formula>
    </cfRule>
  </conditionalFormatting>
  <conditionalFormatting sqref="E166">
    <cfRule type="expression" dxfId="10014" priority="13618">
      <formula>IF(#REF!="FICTICIO",1,0)</formula>
    </cfRule>
  </conditionalFormatting>
  <conditionalFormatting sqref="E166">
    <cfRule type="expression" dxfId="10013" priority="13617">
      <formula>IF(#REF!="FICTICIO",1,0)</formula>
    </cfRule>
  </conditionalFormatting>
  <conditionalFormatting sqref="E166">
    <cfRule type="expression" dxfId="10012" priority="13616">
      <formula>IF(#REF!="FICTICIO",1,0)</formula>
    </cfRule>
  </conditionalFormatting>
  <conditionalFormatting sqref="E166">
    <cfRule type="expression" dxfId="10011" priority="13615">
      <formula>IF(#REF!="FICTICIO",1,0)</formula>
    </cfRule>
  </conditionalFormatting>
  <conditionalFormatting sqref="E166">
    <cfRule type="expression" dxfId="10010" priority="13614">
      <formula>IF(#REF!="FICTICIO",1,0)</formula>
    </cfRule>
  </conditionalFormatting>
  <conditionalFormatting sqref="E166">
    <cfRule type="expression" dxfId="10009" priority="13613">
      <formula>IF(#REF!="FICTICIO",1,0)</formula>
    </cfRule>
  </conditionalFormatting>
  <conditionalFormatting sqref="E166">
    <cfRule type="expression" dxfId="10008" priority="13612">
      <formula>IF(#REF!="FICTICIO",1,0)</formula>
    </cfRule>
  </conditionalFormatting>
  <conditionalFormatting sqref="E166">
    <cfRule type="expression" dxfId="10007" priority="13611">
      <formula>IF(#REF!="FICTICIO",1,0)</formula>
    </cfRule>
  </conditionalFormatting>
  <conditionalFormatting sqref="E166">
    <cfRule type="expression" dxfId="10006" priority="13610">
      <formula>IF(#REF!="FICTICIO",1,0)</formula>
    </cfRule>
  </conditionalFormatting>
  <conditionalFormatting sqref="E166">
    <cfRule type="expression" dxfId="10005" priority="13609">
      <formula>IF(#REF!="FICTICIO",1,0)</formula>
    </cfRule>
  </conditionalFormatting>
  <conditionalFormatting sqref="E166">
    <cfRule type="expression" dxfId="10004" priority="13608">
      <formula>IF(#REF!="FICTICIO",1,0)</formula>
    </cfRule>
  </conditionalFormatting>
  <conditionalFormatting sqref="E166">
    <cfRule type="expression" dxfId="10003" priority="13607">
      <formula>IF(#REF!="FICTICIO",1,0)</formula>
    </cfRule>
  </conditionalFormatting>
  <conditionalFormatting sqref="E166">
    <cfRule type="expression" dxfId="10002" priority="13605">
      <formula>IF(#REF!="FICTICIO",1,0)</formula>
    </cfRule>
  </conditionalFormatting>
  <conditionalFormatting sqref="E166">
    <cfRule type="expression" dxfId="10001" priority="13606">
      <formula>IF(#REF!="FICTICIO",1,0)</formula>
    </cfRule>
  </conditionalFormatting>
  <conditionalFormatting sqref="E166">
    <cfRule type="expression" dxfId="10000" priority="13604">
      <formula>IF(#REF!="FICTICIO",1,0)</formula>
    </cfRule>
  </conditionalFormatting>
  <conditionalFormatting sqref="E166">
    <cfRule type="expression" dxfId="9999" priority="13603">
      <formula>IF(#REF!="FICTICIO",1,0)</formula>
    </cfRule>
  </conditionalFormatting>
  <conditionalFormatting sqref="E166">
    <cfRule type="expression" dxfId="9998" priority="13602">
      <formula>IF(#REF!="FICTICIO",1,0)</formula>
    </cfRule>
  </conditionalFormatting>
  <conditionalFormatting sqref="D167">
    <cfRule type="expression" dxfId="9997" priority="13600">
      <formula>IF(#REF!="FICTICIO",1,0)</formula>
    </cfRule>
  </conditionalFormatting>
  <conditionalFormatting sqref="D167">
    <cfRule type="expression" dxfId="9996" priority="13601">
      <formula>IF(#REF!="FICTICIO",1,0)</formula>
    </cfRule>
  </conditionalFormatting>
  <conditionalFormatting sqref="D167">
    <cfRule type="expression" dxfId="9995" priority="13598">
      <formula>IF(#REF!="FICTICIO",1,0)</formula>
    </cfRule>
  </conditionalFormatting>
  <conditionalFormatting sqref="D167">
    <cfRule type="expression" dxfId="9994" priority="13599">
      <formula>IF(#REF!="FICTICIO",1,0)</formula>
    </cfRule>
  </conditionalFormatting>
  <conditionalFormatting sqref="D167">
    <cfRule type="expression" dxfId="9993" priority="13596">
      <formula>IF(#REF!="FICTICIO",1,0)</formula>
    </cfRule>
  </conditionalFormatting>
  <conditionalFormatting sqref="D167">
    <cfRule type="expression" dxfId="9992" priority="13597">
      <formula>IF(#REF!="FICTICIO",1,0)</formula>
    </cfRule>
  </conditionalFormatting>
  <conditionalFormatting sqref="D167">
    <cfRule type="expression" dxfId="9991" priority="13594">
      <formula>IF(#REF!="FICTICIO",1,0)</formula>
    </cfRule>
  </conditionalFormatting>
  <conditionalFormatting sqref="D167">
    <cfRule type="expression" dxfId="9990" priority="13595">
      <formula>IF(#REF!="FICTICIO",1,0)</formula>
    </cfRule>
  </conditionalFormatting>
  <conditionalFormatting sqref="E167">
    <cfRule type="expression" dxfId="9989" priority="13593">
      <formula>IF(#REF!="FICTICIO",1,0)</formula>
    </cfRule>
  </conditionalFormatting>
  <conditionalFormatting sqref="E167">
    <cfRule type="expression" dxfId="9988" priority="13592">
      <formula>IF(#REF!="FICTICIO",1,0)</formula>
    </cfRule>
  </conditionalFormatting>
  <conditionalFormatting sqref="E167">
    <cfRule type="expression" dxfId="9987" priority="13591">
      <formula>IF(#REF!="FICTICIO",1,0)</formula>
    </cfRule>
  </conditionalFormatting>
  <conditionalFormatting sqref="E167">
    <cfRule type="expression" dxfId="9986" priority="13590">
      <formula>IF(#REF!="FICTICIO",1,0)</formula>
    </cfRule>
  </conditionalFormatting>
  <conditionalFormatting sqref="E167">
    <cfRule type="expression" dxfId="9985" priority="13589">
      <formula>IF(#REF!="FICTICIO",1,0)</formula>
    </cfRule>
  </conditionalFormatting>
  <conditionalFormatting sqref="E167">
    <cfRule type="expression" dxfId="9984" priority="13588">
      <formula>IF(#REF!="FICTICIO",1,0)</formula>
    </cfRule>
  </conditionalFormatting>
  <conditionalFormatting sqref="E167">
    <cfRule type="expression" dxfId="9983" priority="13587">
      <formula>IF(#REF!="FICTICIO",1,0)</formula>
    </cfRule>
  </conditionalFormatting>
  <conditionalFormatting sqref="E167">
    <cfRule type="expression" dxfId="9982" priority="13586">
      <formula>IF(#REF!="FICTICIO",1,0)</formula>
    </cfRule>
  </conditionalFormatting>
  <conditionalFormatting sqref="E167">
    <cfRule type="expression" dxfId="9981" priority="13585">
      <formula>IF(#REF!="FICTICIO",1,0)</formula>
    </cfRule>
  </conditionalFormatting>
  <conditionalFormatting sqref="E167">
    <cfRule type="expression" dxfId="9980" priority="13584">
      <formula>IF(#REF!="FICTICIO",1,0)</formula>
    </cfRule>
  </conditionalFormatting>
  <conditionalFormatting sqref="E167">
    <cfRule type="expression" dxfId="9979" priority="13583">
      <formula>IF(#REF!="FICTICIO",1,0)</formula>
    </cfRule>
  </conditionalFormatting>
  <conditionalFormatting sqref="E167">
    <cfRule type="expression" dxfId="9978" priority="13582">
      <formula>IF(#REF!="FICTICIO",1,0)</formula>
    </cfRule>
  </conditionalFormatting>
  <conditionalFormatting sqref="E167">
    <cfRule type="expression" dxfId="9977" priority="13581">
      <formula>IF(#REF!="FICTICIO",1,0)</formula>
    </cfRule>
  </conditionalFormatting>
  <conditionalFormatting sqref="E167">
    <cfRule type="expression" dxfId="9976" priority="13580">
      <formula>IF(#REF!="FICTICIO",1,0)</formula>
    </cfRule>
  </conditionalFormatting>
  <conditionalFormatting sqref="E167">
    <cfRule type="expression" dxfId="9975" priority="13579">
      <formula>IF(#REF!="FICTICIO",1,0)</formula>
    </cfRule>
  </conditionalFormatting>
  <conditionalFormatting sqref="E167">
    <cfRule type="expression" dxfId="9974" priority="13578">
      <formula>IF(#REF!="FICTICIO",1,0)</formula>
    </cfRule>
  </conditionalFormatting>
  <conditionalFormatting sqref="E167">
    <cfRule type="expression" dxfId="9973" priority="13577">
      <formula>IF(#REF!="FICTICIO",1,0)</formula>
    </cfRule>
  </conditionalFormatting>
  <conditionalFormatting sqref="E167">
    <cfRule type="expression" dxfId="9972" priority="13576">
      <formula>IF(#REF!="FICTICIO",1,0)</formula>
    </cfRule>
  </conditionalFormatting>
  <conditionalFormatting sqref="E167">
    <cfRule type="expression" dxfId="9971" priority="13574">
      <formula>IF(#REF!="FICTICIO",1,0)</formula>
    </cfRule>
  </conditionalFormatting>
  <conditionalFormatting sqref="E167">
    <cfRule type="expression" dxfId="9970" priority="13575">
      <formula>IF(#REF!="FICTICIO",1,0)</formula>
    </cfRule>
  </conditionalFormatting>
  <conditionalFormatting sqref="E167">
    <cfRule type="expression" dxfId="9969" priority="13573">
      <formula>IF(#REF!="FICTICIO",1,0)</formula>
    </cfRule>
  </conditionalFormatting>
  <conditionalFormatting sqref="E167">
    <cfRule type="expression" dxfId="9968" priority="13572">
      <formula>IF(#REF!="FICTICIO",1,0)</formula>
    </cfRule>
  </conditionalFormatting>
  <conditionalFormatting sqref="E167">
    <cfRule type="expression" dxfId="9967" priority="13571">
      <formula>IF(#REF!="FICTICIO",1,0)</formula>
    </cfRule>
  </conditionalFormatting>
  <conditionalFormatting sqref="D167">
    <cfRule type="expression" dxfId="9966" priority="13569">
      <formula>IF(#REF!="FICTICIO",1,0)</formula>
    </cfRule>
  </conditionalFormatting>
  <conditionalFormatting sqref="D167">
    <cfRule type="expression" dxfId="9965" priority="13570">
      <formula>IF(#REF!="FICTICIO",1,0)</formula>
    </cfRule>
  </conditionalFormatting>
  <conditionalFormatting sqref="D167">
    <cfRule type="expression" dxfId="9964" priority="13567">
      <formula>IF(#REF!="FICTICIO",1,0)</formula>
    </cfRule>
  </conditionalFormatting>
  <conditionalFormatting sqref="D167">
    <cfRule type="expression" dxfId="9963" priority="13568">
      <formula>IF(#REF!="FICTICIO",1,0)</formula>
    </cfRule>
  </conditionalFormatting>
  <conditionalFormatting sqref="D167">
    <cfRule type="expression" dxfId="9962" priority="13565">
      <formula>IF(#REF!="FICTICIO",1,0)</formula>
    </cfRule>
  </conditionalFormatting>
  <conditionalFormatting sqref="D167">
    <cfRule type="expression" dxfId="9961" priority="13566">
      <formula>IF(#REF!="FICTICIO",1,0)</formula>
    </cfRule>
  </conditionalFormatting>
  <conditionalFormatting sqref="D167">
    <cfRule type="expression" dxfId="9960" priority="13563">
      <formula>IF(#REF!="FICTICIO",1,0)</formula>
    </cfRule>
  </conditionalFormatting>
  <conditionalFormatting sqref="D167">
    <cfRule type="expression" dxfId="9959" priority="13564">
      <formula>IF(#REF!="FICTICIO",1,0)</formula>
    </cfRule>
  </conditionalFormatting>
  <conditionalFormatting sqref="F167">
    <cfRule type="expression" dxfId="9958" priority="13562">
      <formula>IF(#REF!="FICTICIO",1,0)</formula>
    </cfRule>
  </conditionalFormatting>
  <conditionalFormatting sqref="E167">
    <cfRule type="expression" dxfId="9957" priority="13561">
      <formula>IF(#REF!="FICTICIO",1,0)</formula>
    </cfRule>
  </conditionalFormatting>
  <conditionalFormatting sqref="E167">
    <cfRule type="expression" dxfId="9956" priority="13560">
      <formula>IF(#REF!="FICTICIO",1,0)</formula>
    </cfRule>
  </conditionalFormatting>
  <conditionalFormatting sqref="E167">
    <cfRule type="expression" dxfId="9955" priority="13559">
      <formula>IF(#REF!="FICTICIO",1,0)</formula>
    </cfRule>
  </conditionalFormatting>
  <conditionalFormatting sqref="E167">
    <cfRule type="expression" dxfId="9954" priority="13558">
      <formula>IF(#REF!="FICTICIO",1,0)</formula>
    </cfRule>
  </conditionalFormatting>
  <conditionalFormatting sqref="E167">
    <cfRule type="expression" dxfId="9953" priority="13557">
      <formula>IF(#REF!="FICTICIO",1,0)</formula>
    </cfRule>
  </conditionalFormatting>
  <conditionalFormatting sqref="E167">
    <cfRule type="expression" dxfId="9952" priority="13556">
      <formula>IF(#REF!="FICTICIO",1,0)</formula>
    </cfRule>
  </conditionalFormatting>
  <conditionalFormatting sqref="E167">
    <cfRule type="expression" dxfId="9951" priority="13555">
      <formula>IF(#REF!="FICTICIO",1,0)</formula>
    </cfRule>
  </conditionalFormatting>
  <conditionalFormatting sqref="E167">
    <cfRule type="expression" dxfId="9950" priority="13554">
      <formula>IF(#REF!="FICTICIO",1,0)</formula>
    </cfRule>
  </conditionalFormatting>
  <conditionalFormatting sqref="E167">
    <cfRule type="expression" dxfId="9949" priority="13553">
      <formula>IF(#REF!="FICTICIO",1,0)</formula>
    </cfRule>
  </conditionalFormatting>
  <conditionalFormatting sqref="E167">
    <cfRule type="expression" dxfId="9948" priority="13552">
      <formula>IF(#REF!="FICTICIO",1,0)</formula>
    </cfRule>
  </conditionalFormatting>
  <conditionalFormatting sqref="E167">
    <cfRule type="expression" dxfId="9947" priority="13551">
      <formula>IF(#REF!="FICTICIO",1,0)</formula>
    </cfRule>
  </conditionalFormatting>
  <conditionalFormatting sqref="E167">
    <cfRule type="expression" dxfId="9946" priority="13550">
      <formula>IF(#REF!="FICTICIO",1,0)</formula>
    </cfRule>
  </conditionalFormatting>
  <conditionalFormatting sqref="E167">
    <cfRule type="expression" dxfId="9945" priority="13549">
      <formula>IF(#REF!="FICTICIO",1,0)</formula>
    </cfRule>
  </conditionalFormatting>
  <conditionalFormatting sqref="E167">
    <cfRule type="expression" dxfId="9944" priority="13548">
      <formula>IF(#REF!="FICTICIO",1,0)</formula>
    </cfRule>
  </conditionalFormatting>
  <conditionalFormatting sqref="E167">
    <cfRule type="expression" dxfId="9943" priority="13547">
      <formula>IF(#REF!="FICTICIO",1,0)</formula>
    </cfRule>
  </conditionalFormatting>
  <conditionalFormatting sqref="E167">
    <cfRule type="expression" dxfId="9942" priority="13546">
      <formula>IF(#REF!="FICTICIO",1,0)</formula>
    </cfRule>
  </conditionalFormatting>
  <conditionalFormatting sqref="E167">
    <cfRule type="expression" dxfId="9941" priority="13545">
      <formula>IF(#REF!="FICTICIO",1,0)</formula>
    </cfRule>
  </conditionalFormatting>
  <conditionalFormatting sqref="E167">
    <cfRule type="expression" dxfId="9940" priority="13544">
      <formula>IF(#REF!="FICTICIO",1,0)</formula>
    </cfRule>
  </conditionalFormatting>
  <conditionalFormatting sqref="E167">
    <cfRule type="expression" dxfId="9939" priority="13542">
      <formula>IF(#REF!="FICTICIO",1,0)</formula>
    </cfRule>
  </conditionalFormatting>
  <conditionalFormatting sqref="E167">
    <cfRule type="expression" dxfId="9938" priority="13543">
      <formula>IF(#REF!="FICTICIO",1,0)</formula>
    </cfRule>
  </conditionalFormatting>
  <conditionalFormatting sqref="E167">
    <cfRule type="expression" dxfId="9937" priority="13541">
      <formula>IF(#REF!="FICTICIO",1,0)</formula>
    </cfRule>
  </conditionalFormatting>
  <conditionalFormatting sqref="E167">
    <cfRule type="expression" dxfId="9936" priority="13540">
      <formula>IF(#REF!="FICTICIO",1,0)</formula>
    </cfRule>
  </conditionalFormatting>
  <conditionalFormatting sqref="E167">
    <cfRule type="expression" dxfId="9935" priority="13539">
      <formula>IF(#REF!="FICTICIO",1,0)</formula>
    </cfRule>
  </conditionalFormatting>
  <conditionalFormatting sqref="E167">
    <cfRule type="expression" dxfId="9934" priority="13538">
      <formula>IF(#REF!="FICTICIO",1,0)</formula>
    </cfRule>
  </conditionalFormatting>
  <conditionalFormatting sqref="E167">
    <cfRule type="expression" dxfId="9933" priority="13537">
      <formula>IF(#REF!="FICTICIO",1,0)</formula>
    </cfRule>
  </conditionalFormatting>
  <conditionalFormatting sqref="E167">
    <cfRule type="expression" dxfId="9932" priority="13536">
      <formula>IF(#REF!="FICTICIO",1,0)</formula>
    </cfRule>
  </conditionalFormatting>
  <conditionalFormatting sqref="E167">
    <cfRule type="expression" dxfId="9931" priority="13535">
      <formula>IF(#REF!="FICTICIO",1,0)</formula>
    </cfRule>
  </conditionalFormatting>
  <conditionalFormatting sqref="E167">
    <cfRule type="expression" dxfId="9930" priority="13534">
      <formula>IF(#REF!="FICTICIO",1,0)</formula>
    </cfRule>
  </conditionalFormatting>
  <conditionalFormatting sqref="E167">
    <cfRule type="expression" dxfId="9929" priority="13533">
      <formula>IF(#REF!="FICTICIO",1,0)</formula>
    </cfRule>
  </conditionalFormatting>
  <conditionalFormatting sqref="E167">
    <cfRule type="expression" dxfId="9928" priority="13532">
      <formula>IF(#REF!="FICTICIO",1,0)</formula>
    </cfRule>
  </conditionalFormatting>
  <conditionalFormatting sqref="E167">
    <cfRule type="expression" dxfId="9927" priority="13531">
      <formula>IF(#REF!="FICTICIO",1,0)</formula>
    </cfRule>
  </conditionalFormatting>
  <conditionalFormatting sqref="E167">
    <cfRule type="expression" dxfId="9926" priority="13530">
      <formula>IF(#REF!="FICTICIO",1,0)</formula>
    </cfRule>
  </conditionalFormatting>
  <conditionalFormatting sqref="E167">
    <cfRule type="expression" dxfId="9925" priority="13529">
      <formula>IF(#REF!="FICTICIO",1,0)</formula>
    </cfRule>
  </conditionalFormatting>
  <conditionalFormatting sqref="E167">
    <cfRule type="expression" dxfId="9924" priority="13528">
      <formula>IF(#REF!="FICTICIO",1,0)</formula>
    </cfRule>
  </conditionalFormatting>
  <conditionalFormatting sqref="E167">
    <cfRule type="expression" dxfId="9923" priority="13527">
      <formula>IF(#REF!="FICTICIO",1,0)</formula>
    </cfRule>
  </conditionalFormatting>
  <conditionalFormatting sqref="E167">
    <cfRule type="expression" dxfId="9922" priority="13526">
      <formula>IF(#REF!="FICTICIO",1,0)</formula>
    </cfRule>
  </conditionalFormatting>
  <conditionalFormatting sqref="E167">
    <cfRule type="expression" dxfId="9921" priority="13525">
      <formula>IF(#REF!="FICTICIO",1,0)</formula>
    </cfRule>
  </conditionalFormatting>
  <conditionalFormatting sqref="E167">
    <cfRule type="expression" dxfId="9920" priority="13524">
      <formula>IF(#REF!="FICTICIO",1,0)</formula>
    </cfRule>
  </conditionalFormatting>
  <conditionalFormatting sqref="E167">
    <cfRule type="expression" dxfId="9919" priority="13523">
      <formula>IF(#REF!="FICTICIO",1,0)</formula>
    </cfRule>
  </conditionalFormatting>
  <conditionalFormatting sqref="E167">
    <cfRule type="expression" dxfId="9918" priority="13522">
      <formula>IF(#REF!="FICTICIO",1,0)</formula>
    </cfRule>
  </conditionalFormatting>
  <conditionalFormatting sqref="E167">
    <cfRule type="expression" dxfId="9917" priority="13521">
      <formula>IF(#REF!="FICTICIO",1,0)</formula>
    </cfRule>
  </conditionalFormatting>
  <conditionalFormatting sqref="E167">
    <cfRule type="expression" dxfId="9916" priority="13519">
      <formula>IF(#REF!="FICTICIO",1,0)</formula>
    </cfRule>
  </conditionalFormatting>
  <conditionalFormatting sqref="E167">
    <cfRule type="expression" dxfId="9915" priority="13520">
      <formula>IF(#REF!="FICTICIO",1,0)</formula>
    </cfRule>
  </conditionalFormatting>
  <conditionalFormatting sqref="E167">
    <cfRule type="expression" dxfId="9914" priority="13518">
      <formula>IF(#REF!="FICTICIO",1,0)</formula>
    </cfRule>
  </conditionalFormatting>
  <conditionalFormatting sqref="E167">
    <cfRule type="expression" dxfId="9913" priority="13517">
      <formula>IF(#REF!="FICTICIO",1,0)</formula>
    </cfRule>
  </conditionalFormatting>
  <conditionalFormatting sqref="E167">
    <cfRule type="expression" dxfId="9912" priority="13516">
      <formula>IF(#REF!="FICTICIO",1,0)</formula>
    </cfRule>
  </conditionalFormatting>
  <conditionalFormatting sqref="D168">
    <cfRule type="expression" dxfId="9911" priority="13514">
      <formula>IF(#REF!="FICTICIO",1,0)</formula>
    </cfRule>
  </conditionalFormatting>
  <conditionalFormatting sqref="D168">
    <cfRule type="expression" dxfId="9910" priority="13515">
      <formula>IF(#REF!="FICTICIO",1,0)</formula>
    </cfRule>
  </conditionalFormatting>
  <conditionalFormatting sqref="D168">
    <cfRule type="expression" dxfId="9909" priority="13512">
      <formula>IF(#REF!="FICTICIO",1,0)</formula>
    </cfRule>
  </conditionalFormatting>
  <conditionalFormatting sqref="D168">
    <cfRule type="expression" dxfId="9908" priority="13513">
      <formula>IF(#REF!="FICTICIO",1,0)</formula>
    </cfRule>
  </conditionalFormatting>
  <conditionalFormatting sqref="D168">
    <cfRule type="expression" dxfId="9907" priority="13510">
      <formula>IF(#REF!="FICTICIO",1,0)</formula>
    </cfRule>
  </conditionalFormatting>
  <conditionalFormatting sqref="D168">
    <cfRule type="expression" dxfId="9906" priority="13511">
      <formula>IF(#REF!="FICTICIO",1,0)</formula>
    </cfRule>
  </conditionalFormatting>
  <conditionalFormatting sqref="D168">
    <cfRule type="expression" dxfId="9905" priority="13508">
      <formula>IF(#REF!="FICTICIO",1,0)</formula>
    </cfRule>
  </conditionalFormatting>
  <conditionalFormatting sqref="D168">
    <cfRule type="expression" dxfId="9904" priority="13509">
      <formula>IF(#REF!="FICTICIO",1,0)</formula>
    </cfRule>
  </conditionalFormatting>
  <conditionalFormatting sqref="E168">
    <cfRule type="expression" dxfId="9903" priority="13507">
      <formula>IF(#REF!="FICTICIO",1,0)</formula>
    </cfRule>
  </conditionalFormatting>
  <conditionalFormatting sqref="E168">
    <cfRule type="expression" dxfId="9902" priority="13506">
      <formula>IF(#REF!="FICTICIO",1,0)</formula>
    </cfRule>
  </conditionalFormatting>
  <conditionalFormatting sqref="E168">
    <cfRule type="expression" dxfId="9901" priority="13505">
      <formula>IF(#REF!="FICTICIO",1,0)</formula>
    </cfRule>
  </conditionalFormatting>
  <conditionalFormatting sqref="E168">
    <cfRule type="expression" dxfId="9900" priority="13504">
      <formula>IF(#REF!="FICTICIO",1,0)</formula>
    </cfRule>
  </conditionalFormatting>
  <conditionalFormatting sqref="E168">
    <cfRule type="expression" dxfId="9899" priority="13503">
      <formula>IF(#REF!="FICTICIO",1,0)</formula>
    </cfRule>
  </conditionalFormatting>
  <conditionalFormatting sqref="E168">
    <cfRule type="expression" dxfId="9898" priority="13502">
      <formula>IF(#REF!="FICTICIO",1,0)</formula>
    </cfRule>
  </conditionalFormatting>
  <conditionalFormatting sqref="E168">
    <cfRule type="expression" dxfId="9897" priority="13501">
      <formula>IF(#REF!="FICTICIO",1,0)</formula>
    </cfRule>
  </conditionalFormatting>
  <conditionalFormatting sqref="E168">
    <cfRule type="expression" dxfId="9896" priority="13500">
      <formula>IF(#REF!="FICTICIO",1,0)</formula>
    </cfRule>
  </conditionalFormatting>
  <conditionalFormatting sqref="E168">
    <cfRule type="expression" dxfId="9895" priority="13499">
      <formula>IF(#REF!="FICTICIO",1,0)</formula>
    </cfRule>
  </conditionalFormatting>
  <conditionalFormatting sqref="E168">
    <cfRule type="expression" dxfId="9894" priority="13498">
      <formula>IF(#REF!="FICTICIO",1,0)</formula>
    </cfRule>
  </conditionalFormatting>
  <conditionalFormatting sqref="E168">
    <cfRule type="expression" dxfId="9893" priority="13497">
      <formula>IF(#REF!="FICTICIO",1,0)</formula>
    </cfRule>
  </conditionalFormatting>
  <conditionalFormatting sqref="E168">
    <cfRule type="expression" dxfId="9892" priority="13496">
      <formula>IF(#REF!="FICTICIO",1,0)</formula>
    </cfRule>
  </conditionalFormatting>
  <conditionalFormatting sqref="E168">
    <cfRule type="expression" dxfId="9891" priority="13495">
      <formula>IF(#REF!="FICTICIO",1,0)</formula>
    </cfRule>
  </conditionalFormatting>
  <conditionalFormatting sqref="E168">
    <cfRule type="expression" dxfId="9890" priority="13494">
      <formula>IF(#REF!="FICTICIO",1,0)</formula>
    </cfRule>
  </conditionalFormatting>
  <conditionalFormatting sqref="E168">
    <cfRule type="expression" dxfId="9889" priority="13493">
      <formula>IF(#REF!="FICTICIO",1,0)</formula>
    </cfRule>
  </conditionalFormatting>
  <conditionalFormatting sqref="E168">
    <cfRule type="expression" dxfId="9888" priority="13492">
      <formula>IF(#REF!="FICTICIO",1,0)</formula>
    </cfRule>
  </conditionalFormatting>
  <conditionalFormatting sqref="E168">
    <cfRule type="expression" dxfId="9887" priority="13491">
      <formula>IF(#REF!="FICTICIO",1,0)</formula>
    </cfRule>
  </conditionalFormatting>
  <conditionalFormatting sqref="E168">
    <cfRule type="expression" dxfId="9886" priority="13490">
      <formula>IF(#REF!="FICTICIO",1,0)</formula>
    </cfRule>
  </conditionalFormatting>
  <conditionalFormatting sqref="E168">
    <cfRule type="expression" dxfId="9885" priority="13488">
      <formula>IF(#REF!="FICTICIO",1,0)</formula>
    </cfRule>
  </conditionalFormatting>
  <conditionalFormatting sqref="E168">
    <cfRule type="expression" dxfId="9884" priority="13489">
      <formula>IF(#REF!="FICTICIO",1,0)</formula>
    </cfRule>
  </conditionalFormatting>
  <conditionalFormatting sqref="E168">
    <cfRule type="expression" dxfId="9883" priority="13487">
      <formula>IF(#REF!="FICTICIO",1,0)</formula>
    </cfRule>
  </conditionalFormatting>
  <conditionalFormatting sqref="E168">
    <cfRule type="expression" dxfId="9882" priority="13486">
      <formula>IF(#REF!="FICTICIO",1,0)</formula>
    </cfRule>
  </conditionalFormatting>
  <conditionalFormatting sqref="E168">
    <cfRule type="expression" dxfId="9881" priority="13485">
      <formula>IF(#REF!="FICTICIO",1,0)</formula>
    </cfRule>
  </conditionalFormatting>
  <conditionalFormatting sqref="D168">
    <cfRule type="expression" dxfId="9880" priority="13483">
      <formula>IF(#REF!="FICTICIO",1,0)</formula>
    </cfRule>
  </conditionalFormatting>
  <conditionalFormatting sqref="D168">
    <cfRule type="expression" dxfId="9879" priority="13484">
      <formula>IF(#REF!="FICTICIO",1,0)</formula>
    </cfRule>
  </conditionalFormatting>
  <conditionalFormatting sqref="D168">
    <cfRule type="expression" dxfId="9878" priority="13481">
      <formula>IF(#REF!="FICTICIO",1,0)</formula>
    </cfRule>
  </conditionalFormatting>
  <conditionalFormatting sqref="D168">
    <cfRule type="expression" dxfId="9877" priority="13482">
      <formula>IF(#REF!="FICTICIO",1,0)</formula>
    </cfRule>
  </conditionalFormatting>
  <conditionalFormatting sqref="D168">
    <cfRule type="expression" dxfId="9876" priority="13479">
      <formula>IF(#REF!="FICTICIO",1,0)</formula>
    </cfRule>
  </conditionalFormatting>
  <conditionalFormatting sqref="D168">
    <cfRule type="expression" dxfId="9875" priority="13480">
      <formula>IF(#REF!="FICTICIO",1,0)</formula>
    </cfRule>
  </conditionalFormatting>
  <conditionalFormatting sqref="D168">
    <cfRule type="expression" dxfId="9874" priority="13477">
      <formula>IF(#REF!="FICTICIO",1,0)</formula>
    </cfRule>
  </conditionalFormatting>
  <conditionalFormatting sqref="D168">
    <cfRule type="expression" dxfId="9873" priority="13478">
      <formula>IF(#REF!="FICTICIO",1,0)</formula>
    </cfRule>
  </conditionalFormatting>
  <conditionalFormatting sqref="F168">
    <cfRule type="expression" dxfId="9872" priority="13476">
      <formula>IF(#REF!="FICTICIO",1,0)</formula>
    </cfRule>
  </conditionalFormatting>
  <conditionalFormatting sqref="E168">
    <cfRule type="expression" dxfId="9871" priority="13475">
      <formula>IF(#REF!="FICTICIO",1,0)</formula>
    </cfRule>
  </conditionalFormatting>
  <conditionalFormatting sqref="E168">
    <cfRule type="expression" dxfId="9870" priority="13474">
      <formula>IF(#REF!="FICTICIO",1,0)</formula>
    </cfRule>
  </conditionalFormatting>
  <conditionalFormatting sqref="E168">
    <cfRule type="expression" dxfId="9869" priority="13473">
      <formula>IF(#REF!="FICTICIO",1,0)</formula>
    </cfRule>
  </conditionalFormatting>
  <conditionalFormatting sqref="E168">
    <cfRule type="expression" dxfId="9868" priority="13472">
      <formula>IF(#REF!="FICTICIO",1,0)</formula>
    </cfRule>
  </conditionalFormatting>
  <conditionalFormatting sqref="E168">
    <cfRule type="expression" dxfId="9867" priority="13471">
      <formula>IF(#REF!="FICTICIO",1,0)</formula>
    </cfRule>
  </conditionalFormatting>
  <conditionalFormatting sqref="E168">
    <cfRule type="expression" dxfId="9866" priority="13470">
      <formula>IF(#REF!="FICTICIO",1,0)</formula>
    </cfRule>
  </conditionalFormatting>
  <conditionalFormatting sqref="E168">
    <cfRule type="expression" dxfId="9865" priority="13469">
      <formula>IF(#REF!="FICTICIO",1,0)</formula>
    </cfRule>
  </conditionalFormatting>
  <conditionalFormatting sqref="E168">
    <cfRule type="expression" dxfId="9864" priority="13468">
      <formula>IF(#REF!="FICTICIO",1,0)</formula>
    </cfRule>
  </conditionalFormatting>
  <conditionalFormatting sqref="E168">
    <cfRule type="expression" dxfId="9863" priority="13467">
      <formula>IF(#REF!="FICTICIO",1,0)</formula>
    </cfRule>
  </conditionalFormatting>
  <conditionalFormatting sqref="E168">
    <cfRule type="expression" dxfId="9862" priority="13466">
      <formula>IF(#REF!="FICTICIO",1,0)</formula>
    </cfRule>
  </conditionalFormatting>
  <conditionalFormatting sqref="E168">
    <cfRule type="expression" dxfId="9861" priority="13465">
      <formula>IF(#REF!="FICTICIO",1,0)</formula>
    </cfRule>
  </conditionalFormatting>
  <conditionalFormatting sqref="E168">
    <cfRule type="expression" dxfId="9860" priority="13464">
      <formula>IF(#REF!="FICTICIO",1,0)</formula>
    </cfRule>
  </conditionalFormatting>
  <conditionalFormatting sqref="E168">
    <cfRule type="expression" dxfId="9859" priority="13463">
      <formula>IF(#REF!="FICTICIO",1,0)</formula>
    </cfRule>
  </conditionalFormatting>
  <conditionalFormatting sqref="E168">
    <cfRule type="expression" dxfId="9858" priority="13462">
      <formula>IF(#REF!="FICTICIO",1,0)</formula>
    </cfRule>
  </conditionalFormatting>
  <conditionalFormatting sqref="E168">
    <cfRule type="expression" dxfId="9857" priority="13461">
      <formula>IF(#REF!="FICTICIO",1,0)</formula>
    </cfRule>
  </conditionalFormatting>
  <conditionalFormatting sqref="E168">
    <cfRule type="expression" dxfId="9856" priority="13460">
      <formula>IF(#REF!="FICTICIO",1,0)</formula>
    </cfRule>
  </conditionalFormatting>
  <conditionalFormatting sqref="E168">
    <cfRule type="expression" dxfId="9855" priority="13459">
      <formula>IF(#REF!="FICTICIO",1,0)</formula>
    </cfRule>
  </conditionalFormatting>
  <conditionalFormatting sqref="E168">
    <cfRule type="expression" dxfId="9854" priority="13458">
      <formula>IF(#REF!="FICTICIO",1,0)</formula>
    </cfRule>
  </conditionalFormatting>
  <conditionalFormatting sqref="E168">
    <cfRule type="expression" dxfId="9853" priority="13456">
      <formula>IF(#REF!="FICTICIO",1,0)</formula>
    </cfRule>
  </conditionalFormatting>
  <conditionalFormatting sqref="E168">
    <cfRule type="expression" dxfId="9852" priority="13457">
      <formula>IF(#REF!="FICTICIO",1,0)</formula>
    </cfRule>
  </conditionalFormatting>
  <conditionalFormatting sqref="E168">
    <cfRule type="expression" dxfId="9851" priority="13455">
      <formula>IF(#REF!="FICTICIO",1,0)</formula>
    </cfRule>
  </conditionalFormatting>
  <conditionalFormatting sqref="E168">
    <cfRule type="expression" dxfId="9850" priority="13454">
      <formula>IF(#REF!="FICTICIO",1,0)</formula>
    </cfRule>
  </conditionalFormatting>
  <conditionalFormatting sqref="E168">
    <cfRule type="expression" dxfId="9849" priority="13453">
      <formula>IF(#REF!="FICTICIO",1,0)</formula>
    </cfRule>
  </conditionalFormatting>
  <conditionalFormatting sqref="E168">
    <cfRule type="expression" dxfId="9848" priority="13452">
      <formula>IF(#REF!="FICTICIO",1,0)</formula>
    </cfRule>
  </conditionalFormatting>
  <conditionalFormatting sqref="E168">
    <cfRule type="expression" dxfId="9847" priority="13451">
      <formula>IF(#REF!="FICTICIO",1,0)</formula>
    </cfRule>
  </conditionalFormatting>
  <conditionalFormatting sqref="E168">
    <cfRule type="expression" dxfId="9846" priority="13450">
      <formula>IF(#REF!="FICTICIO",1,0)</formula>
    </cfRule>
  </conditionalFormatting>
  <conditionalFormatting sqref="E168">
    <cfRule type="expression" dxfId="9845" priority="13449">
      <formula>IF(#REF!="FICTICIO",1,0)</formula>
    </cfRule>
  </conditionalFormatting>
  <conditionalFormatting sqref="E168">
    <cfRule type="expression" dxfId="9844" priority="13448">
      <formula>IF(#REF!="FICTICIO",1,0)</formula>
    </cfRule>
  </conditionalFormatting>
  <conditionalFormatting sqref="E168">
    <cfRule type="expression" dxfId="9843" priority="13447">
      <formula>IF(#REF!="FICTICIO",1,0)</formula>
    </cfRule>
  </conditionalFormatting>
  <conditionalFormatting sqref="E168">
    <cfRule type="expression" dxfId="9842" priority="13446">
      <formula>IF(#REF!="FICTICIO",1,0)</formula>
    </cfRule>
  </conditionalFormatting>
  <conditionalFormatting sqref="E168">
    <cfRule type="expression" dxfId="9841" priority="13445">
      <formula>IF(#REF!="FICTICIO",1,0)</formula>
    </cfRule>
  </conditionalFormatting>
  <conditionalFormatting sqref="E168">
    <cfRule type="expression" dxfId="9840" priority="13444">
      <formula>IF(#REF!="FICTICIO",1,0)</formula>
    </cfRule>
  </conditionalFormatting>
  <conditionalFormatting sqref="E168">
    <cfRule type="expression" dxfId="9839" priority="13443">
      <formula>IF(#REF!="FICTICIO",1,0)</formula>
    </cfRule>
  </conditionalFormatting>
  <conditionalFormatting sqref="E168">
    <cfRule type="expression" dxfId="9838" priority="13442">
      <formula>IF(#REF!="FICTICIO",1,0)</formula>
    </cfRule>
  </conditionalFormatting>
  <conditionalFormatting sqref="E168">
    <cfRule type="expression" dxfId="9837" priority="13441">
      <formula>IF(#REF!="FICTICIO",1,0)</formula>
    </cfRule>
  </conditionalFormatting>
  <conditionalFormatting sqref="E168">
    <cfRule type="expression" dxfId="9836" priority="13440">
      <formula>IF(#REF!="FICTICIO",1,0)</formula>
    </cfRule>
  </conditionalFormatting>
  <conditionalFormatting sqref="E168">
    <cfRule type="expression" dxfId="9835" priority="13439">
      <formula>IF(#REF!="FICTICIO",1,0)</formula>
    </cfRule>
  </conditionalFormatting>
  <conditionalFormatting sqref="E168">
    <cfRule type="expression" dxfId="9834" priority="13438">
      <formula>IF(#REF!="FICTICIO",1,0)</formula>
    </cfRule>
  </conditionalFormatting>
  <conditionalFormatting sqref="E168">
    <cfRule type="expression" dxfId="9833" priority="13437">
      <formula>IF(#REF!="FICTICIO",1,0)</formula>
    </cfRule>
  </conditionalFormatting>
  <conditionalFormatting sqref="E168">
    <cfRule type="expression" dxfId="9832" priority="13436">
      <formula>IF(#REF!="FICTICIO",1,0)</formula>
    </cfRule>
  </conditionalFormatting>
  <conditionalFormatting sqref="E168">
    <cfRule type="expression" dxfId="9831" priority="13435">
      <formula>IF(#REF!="FICTICIO",1,0)</formula>
    </cfRule>
  </conditionalFormatting>
  <conditionalFormatting sqref="E168">
    <cfRule type="expression" dxfId="9830" priority="13433">
      <formula>IF(#REF!="FICTICIO",1,0)</formula>
    </cfRule>
  </conditionalFormatting>
  <conditionalFormatting sqref="E168">
    <cfRule type="expression" dxfId="9829" priority="13434">
      <formula>IF(#REF!="FICTICIO",1,0)</formula>
    </cfRule>
  </conditionalFormatting>
  <conditionalFormatting sqref="E168">
    <cfRule type="expression" dxfId="9828" priority="13432">
      <formula>IF(#REF!="FICTICIO",1,0)</formula>
    </cfRule>
  </conditionalFormatting>
  <conditionalFormatting sqref="E168">
    <cfRule type="expression" dxfId="9827" priority="13431">
      <formula>IF(#REF!="FICTICIO",1,0)</formula>
    </cfRule>
  </conditionalFormatting>
  <conditionalFormatting sqref="E168">
    <cfRule type="expression" dxfId="9826" priority="13430">
      <formula>IF(#REF!="FICTICIO",1,0)</formula>
    </cfRule>
  </conditionalFormatting>
  <conditionalFormatting sqref="D169">
    <cfRule type="expression" dxfId="9825" priority="13428">
      <formula>IF(#REF!="FICTICIO",1,0)</formula>
    </cfRule>
  </conditionalFormatting>
  <conditionalFormatting sqref="D169">
    <cfRule type="expression" dxfId="9824" priority="13429">
      <formula>IF(#REF!="FICTICIO",1,0)</formula>
    </cfRule>
  </conditionalFormatting>
  <conditionalFormatting sqref="D169">
    <cfRule type="expression" dxfId="9823" priority="13426">
      <formula>IF(#REF!="FICTICIO",1,0)</formula>
    </cfRule>
  </conditionalFormatting>
  <conditionalFormatting sqref="D169">
    <cfRule type="expression" dxfId="9822" priority="13427">
      <formula>IF(#REF!="FICTICIO",1,0)</formula>
    </cfRule>
  </conditionalFormatting>
  <conditionalFormatting sqref="D169">
    <cfRule type="expression" dxfId="9821" priority="13424">
      <formula>IF(#REF!="FICTICIO",1,0)</formula>
    </cfRule>
  </conditionalFormatting>
  <conditionalFormatting sqref="D169">
    <cfRule type="expression" dxfId="9820" priority="13425">
      <formula>IF(#REF!="FICTICIO",1,0)</formula>
    </cfRule>
  </conditionalFormatting>
  <conditionalFormatting sqref="D169">
    <cfRule type="expression" dxfId="9819" priority="13422">
      <formula>IF(#REF!="FICTICIO",1,0)</formula>
    </cfRule>
  </conditionalFormatting>
  <conditionalFormatting sqref="D169">
    <cfRule type="expression" dxfId="9818" priority="13423">
      <formula>IF(#REF!="FICTICIO",1,0)</formula>
    </cfRule>
  </conditionalFormatting>
  <conditionalFormatting sqref="E169">
    <cfRule type="expression" dxfId="9817" priority="13421">
      <formula>IF(#REF!="FICTICIO",1,0)</formula>
    </cfRule>
  </conditionalFormatting>
  <conditionalFormatting sqref="E169">
    <cfRule type="expression" dxfId="9816" priority="13420">
      <formula>IF(#REF!="FICTICIO",1,0)</formula>
    </cfRule>
  </conditionalFormatting>
  <conditionalFormatting sqref="E169">
    <cfRule type="expression" dxfId="9815" priority="13419">
      <formula>IF(#REF!="FICTICIO",1,0)</formula>
    </cfRule>
  </conditionalFormatting>
  <conditionalFormatting sqref="E169">
    <cfRule type="expression" dxfId="9814" priority="13418">
      <formula>IF(#REF!="FICTICIO",1,0)</formula>
    </cfRule>
  </conditionalFormatting>
  <conditionalFormatting sqref="E169">
    <cfRule type="expression" dxfId="9813" priority="13417">
      <formula>IF(#REF!="FICTICIO",1,0)</formula>
    </cfRule>
  </conditionalFormatting>
  <conditionalFormatting sqref="E169">
    <cfRule type="expression" dxfId="9812" priority="13416">
      <formula>IF(#REF!="FICTICIO",1,0)</formula>
    </cfRule>
  </conditionalFormatting>
  <conditionalFormatting sqref="E169">
    <cfRule type="expression" dxfId="9811" priority="13415">
      <formula>IF(#REF!="FICTICIO",1,0)</formula>
    </cfRule>
  </conditionalFormatting>
  <conditionalFormatting sqref="E169">
    <cfRule type="expression" dxfId="9810" priority="13414">
      <formula>IF(#REF!="FICTICIO",1,0)</formula>
    </cfRule>
  </conditionalFormatting>
  <conditionalFormatting sqref="E169">
    <cfRule type="expression" dxfId="9809" priority="13413">
      <formula>IF(#REF!="FICTICIO",1,0)</formula>
    </cfRule>
  </conditionalFormatting>
  <conditionalFormatting sqref="E169">
    <cfRule type="expression" dxfId="9808" priority="13412">
      <formula>IF(#REF!="FICTICIO",1,0)</formula>
    </cfRule>
  </conditionalFormatting>
  <conditionalFormatting sqref="E169">
    <cfRule type="expression" dxfId="9807" priority="13411">
      <formula>IF(#REF!="FICTICIO",1,0)</formula>
    </cfRule>
  </conditionalFormatting>
  <conditionalFormatting sqref="E169">
    <cfRule type="expression" dxfId="9806" priority="13410">
      <formula>IF(#REF!="FICTICIO",1,0)</formula>
    </cfRule>
  </conditionalFormatting>
  <conditionalFormatting sqref="E169">
    <cfRule type="expression" dxfId="9805" priority="13409">
      <formula>IF(#REF!="FICTICIO",1,0)</formula>
    </cfRule>
  </conditionalFormatting>
  <conditionalFormatting sqref="E169">
    <cfRule type="expression" dxfId="9804" priority="13408">
      <formula>IF(#REF!="FICTICIO",1,0)</formula>
    </cfRule>
  </conditionalFormatting>
  <conditionalFormatting sqref="E169">
    <cfRule type="expression" dxfId="9803" priority="13407">
      <formula>IF(#REF!="FICTICIO",1,0)</formula>
    </cfRule>
  </conditionalFormatting>
  <conditionalFormatting sqref="E169">
    <cfRule type="expression" dxfId="9802" priority="13406">
      <formula>IF(#REF!="FICTICIO",1,0)</formula>
    </cfRule>
  </conditionalFormatting>
  <conditionalFormatting sqref="E169">
    <cfRule type="expression" dxfId="9801" priority="13405">
      <formula>IF(#REF!="FICTICIO",1,0)</formula>
    </cfRule>
  </conditionalFormatting>
  <conditionalFormatting sqref="E169">
    <cfRule type="expression" dxfId="9800" priority="13404">
      <formula>IF(#REF!="FICTICIO",1,0)</formula>
    </cfRule>
  </conditionalFormatting>
  <conditionalFormatting sqref="E169">
    <cfRule type="expression" dxfId="9799" priority="13402">
      <formula>IF(#REF!="FICTICIO",1,0)</formula>
    </cfRule>
  </conditionalFormatting>
  <conditionalFormatting sqref="E169">
    <cfRule type="expression" dxfId="9798" priority="13403">
      <formula>IF(#REF!="FICTICIO",1,0)</formula>
    </cfRule>
  </conditionalFormatting>
  <conditionalFormatting sqref="E169">
    <cfRule type="expression" dxfId="9797" priority="13401">
      <formula>IF(#REF!="FICTICIO",1,0)</formula>
    </cfRule>
  </conditionalFormatting>
  <conditionalFormatting sqref="E169">
    <cfRule type="expression" dxfId="9796" priority="13400">
      <formula>IF(#REF!="FICTICIO",1,0)</formula>
    </cfRule>
  </conditionalFormatting>
  <conditionalFormatting sqref="E169">
    <cfRule type="expression" dxfId="9795" priority="13399">
      <formula>IF(#REF!="FICTICIO",1,0)</formula>
    </cfRule>
  </conditionalFormatting>
  <conditionalFormatting sqref="D169">
    <cfRule type="expression" dxfId="9794" priority="13397">
      <formula>IF(#REF!="FICTICIO",1,0)</formula>
    </cfRule>
  </conditionalFormatting>
  <conditionalFormatting sqref="D169">
    <cfRule type="expression" dxfId="9793" priority="13398">
      <formula>IF(#REF!="FICTICIO",1,0)</formula>
    </cfRule>
  </conditionalFormatting>
  <conditionalFormatting sqref="D169">
    <cfRule type="expression" dxfId="9792" priority="13395">
      <formula>IF(#REF!="FICTICIO",1,0)</formula>
    </cfRule>
  </conditionalFormatting>
  <conditionalFormatting sqref="D169">
    <cfRule type="expression" dxfId="9791" priority="13396">
      <formula>IF(#REF!="FICTICIO",1,0)</formula>
    </cfRule>
  </conditionalFormatting>
  <conditionalFormatting sqref="D169">
    <cfRule type="expression" dxfId="9790" priority="13393">
      <formula>IF(#REF!="FICTICIO",1,0)</formula>
    </cfRule>
  </conditionalFormatting>
  <conditionalFormatting sqref="D169">
    <cfRule type="expression" dxfId="9789" priority="13394">
      <formula>IF(#REF!="FICTICIO",1,0)</formula>
    </cfRule>
  </conditionalFormatting>
  <conditionalFormatting sqref="D169">
    <cfRule type="expression" dxfId="9788" priority="13391">
      <formula>IF(#REF!="FICTICIO",1,0)</formula>
    </cfRule>
  </conditionalFormatting>
  <conditionalFormatting sqref="D169">
    <cfRule type="expression" dxfId="9787" priority="13392">
      <formula>IF(#REF!="FICTICIO",1,0)</formula>
    </cfRule>
  </conditionalFormatting>
  <conditionalFormatting sqref="F169">
    <cfRule type="expression" dxfId="9786" priority="13390">
      <formula>IF(#REF!="FICTICIO",1,0)</formula>
    </cfRule>
  </conditionalFormatting>
  <conditionalFormatting sqref="E169">
    <cfRule type="expression" dxfId="9785" priority="13389">
      <formula>IF(#REF!="FICTICIO",1,0)</formula>
    </cfRule>
  </conditionalFormatting>
  <conditionalFormatting sqref="E169">
    <cfRule type="expression" dxfId="9784" priority="13388">
      <formula>IF(#REF!="FICTICIO",1,0)</formula>
    </cfRule>
  </conditionalFormatting>
  <conditionalFormatting sqref="E169">
    <cfRule type="expression" dxfId="9783" priority="13387">
      <formula>IF(#REF!="FICTICIO",1,0)</formula>
    </cfRule>
  </conditionalFormatting>
  <conditionalFormatting sqref="E169">
    <cfRule type="expression" dxfId="9782" priority="13386">
      <formula>IF(#REF!="FICTICIO",1,0)</formula>
    </cfRule>
  </conditionalFormatting>
  <conditionalFormatting sqref="E169">
    <cfRule type="expression" dxfId="9781" priority="13385">
      <formula>IF(#REF!="FICTICIO",1,0)</formula>
    </cfRule>
  </conditionalFormatting>
  <conditionalFormatting sqref="E169">
    <cfRule type="expression" dxfId="9780" priority="13384">
      <formula>IF(#REF!="FICTICIO",1,0)</formula>
    </cfRule>
  </conditionalFormatting>
  <conditionalFormatting sqref="E169">
    <cfRule type="expression" dxfId="9779" priority="13383">
      <formula>IF(#REF!="FICTICIO",1,0)</formula>
    </cfRule>
  </conditionalFormatting>
  <conditionalFormatting sqref="E169">
    <cfRule type="expression" dxfId="9778" priority="13382">
      <formula>IF(#REF!="FICTICIO",1,0)</formula>
    </cfRule>
  </conditionalFormatting>
  <conditionalFormatting sqref="E169">
    <cfRule type="expression" dxfId="9777" priority="13381">
      <formula>IF(#REF!="FICTICIO",1,0)</formula>
    </cfRule>
  </conditionalFormatting>
  <conditionalFormatting sqref="E169">
    <cfRule type="expression" dxfId="9776" priority="13380">
      <formula>IF(#REF!="FICTICIO",1,0)</formula>
    </cfRule>
  </conditionalFormatting>
  <conditionalFormatting sqref="E169">
    <cfRule type="expression" dxfId="9775" priority="13379">
      <formula>IF(#REF!="FICTICIO",1,0)</formula>
    </cfRule>
  </conditionalFormatting>
  <conditionalFormatting sqref="E169">
    <cfRule type="expression" dxfId="9774" priority="13378">
      <formula>IF(#REF!="FICTICIO",1,0)</formula>
    </cfRule>
  </conditionalFormatting>
  <conditionalFormatting sqref="E169">
    <cfRule type="expression" dxfId="9773" priority="13377">
      <formula>IF(#REF!="FICTICIO",1,0)</formula>
    </cfRule>
  </conditionalFormatting>
  <conditionalFormatting sqref="E169">
    <cfRule type="expression" dxfId="9772" priority="13376">
      <formula>IF(#REF!="FICTICIO",1,0)</formula>
    </cfRule>
  </conditionalFormatting>
  <conditionalFormatting sqref="E169">
    <cfRule type="expression" dxfId="9771" priority="13375">
      <formula>IF(#REF!="FICTICIO",1,0)</formula>
    </cfRule>
  </conditionalFormatting>
  <conditionalFormatting sqref="E169">
    <cfRule type="expression" dxfId="9770" priority="13374">
      <formula>IF(#REF!="FICTICIO",1,0)</formula>
    </cfRule>
  </conditionalFormatting>
  <conditionalFormatting sqref="E169">
    <cfRule type="expression" dxfId="9769" priority="13373">
      <formula>IF(#REF!="FICTICIO",1,0)</formula>
    </cfRule>
  </conditionalFormatting>
  <conditionalFormatting sqref="E169">
    <cfRule type="expression" dxfId="9768" priority="13372">
      <formula>IF(#REF!="FICTICIO",1,0)</formula>
    </cfRule>
  </conditionalFormatting>
  <conditionalFormatting sqref="E169">
    <cfRule type="expression" dxfId="9767" priority="13370">
      <formula>IF(#REF!="FICTICIO",1,0)</formula>
    </cfRule>
  </conditionalFormatting>
  <conditionalFormatting sqref="E169">
    <cfRule type="expression" dxfId="9766" priority="13371">
      <formula>IF(#REF!="FICTICIO",1,0)</formula>
    </cfRule>
  </conditionalFormatting>
  <conditionalFormatting sqref="E169">
    <cfRule type="expression" dxfId="9765" priority="13369">
      <formula>IF(#REF!="FICTICIO",1,0)</formula>
    </cfRule>
  </conditionalFormatting>
  <conditionalFormatting sqref="E169">
    <cfRule type="expression" dxfId="9764" priority="13368">
      <formula>IF(#REF!="FICTICIO",1,0)</formula>
    </cfRule>
  </conditionalFormatting>
  <conditionalFormatting sqref="E169">
    <cfRule type="expression" dxfId="9763" priority="13367">
      <formula>IF(#REF!="FICTICIO",1,0)</formula>
    </cfRule>
  </conditionalFormatting>
  <conditionalFormatting sqref="E169">
    <cfRule type="expression" dxfId="9762" priority="13366">
      <formula>IF(#REF!="FICTICIO",1,0)</formula>
    </cfRule>
  </conditionalFormatting>
  <conditionalFormatting sqref="E169">
    <cfRule type="expression" dxfId="9761" priority="13365">
      <formula>IF(#REF!="FICTICIO",1,0)</formula>
    </cfRule>
  </conditionalFormatting>
  <conditionalFormatting sqref="E169">
    <cfRule type="expression" dxfId="9760" priority="13364">
      <formula>IF(#REF!="FICTICIO",1,0)</formula>
    </cfRule>
  </conditionalFormatting>
  <conditionalFormatting sqref="E169">
    <cfRule type="expression" dxfId="9759" priority="13363">
      <formula>IF(#REF!="FICTICIO",1,0)</formula>
    </cfRule>
  </conditionalFormatting>
  <conditionalFormatting sqref="E169">
    <cfRule type="expression" dxfId="9758" priority="13362">
      <formula>IF(#REF!="FICTICIO",1,0)</formula>
    </cfRule>
  </conditionalFormatting>
  <conditionalFormatting sqref="E169">
    <cfRule type="expression" dxfId="9757" priority="13361">
      <formula>IF(#REF!="FICTICIO",1,0)</formula>
    </cfRule>
  </conditionalFormatting>
  <conditionalFormatting sqref="E169">
    <cfRule type="expression" dxfId="9756" priority="13360">
      <formula>IF(#REF!="FICTICIO",1,0)</formula>
    </cfRule>
  </conditionalFormatting>
  <conditionalFormatting sqref="E169">
    <cfRule type="expression" dxfId="9755" priority="13359">
      <formula>IF(#REF!="FICTICIO",1,0)</formula>
    </cfRule>
  </conditionalFormatting>
  <conditionalFormatting sqref="E169">
    <cfRule type="expression" dxfId="9754" priority="13358">
      <formula>IF(#REF!="FICTICIO",1,0)</formula>
    </cfRule>
  </conditionalFormatting>
  <conditionalFormatting sqref="E169">
    <cfRule type="expression" dxfId="9753" priority="13357">
      <formula>IF(#REF!="FICTICIO",1,0)</formula>
    </cfRule>
  </conditionalFormatting>
  <conditionalFormatting sqref="E169">
    <cfRule type="expression" dxfId="9752" priority="13356">
      <formula>IF(#REF!="FICTICIO",1,0)</formula>
    </cfRule>
  </conditionalFormatting>
  <conditionalFormatting sqref="E169">
    <cfRule type="expression" dxfId="9751" priority="13355">
      <formula>IF(#REF!="FICTICIO",1,0)</formula>
    </cfRule>
  </conditionalFormatting>
  <conditionalFormatting sqref="E169">
    <cfRule type="expression" dxfId="9750" priority="13354">
      <formula>IF(#REF!="FICTICIO",1,0)</formula>
    </cfRule>
  </conditionalFormatting>
  <conditionalFormatting sqref="E169">
    <cfRule type="expression" dxfId="9749" priority="13353">
      <formula>IF(#REF!="FICTICIO",1,0)</formula>
    </cfRule>
  </conditionalFormatting>
  <conditionalFormatting sqref="E169">
    <cfRule type="expression" dxfId="9748" priority="13352">
      <formula>IF(#REF!="FICTICIO",1,0)</formula>
    </cfRule>
  </conditionalFormatting>
  <conditionalFormatting sqref="E169">
    <cfRule type="expression" dxfId="9747" priority="13351">
      <formula>IF(#REF!="FICTICIO",1,0)</formula>
    </cfRule>
  </conditionalFormatting>
  <conditionalFormatting sqref="E169">
    <cfRule type="expression" dxfId="9746" priority="13350">
      <formula>IF(#REF!="FICTICIO",1,0)</formula>
    </cfRule>
  </conditionalFormatting>
  <conditionalFormatting sqref="E169">
    <cfRule type="expression" dxfId="9745" priority="13349">
      <formula>IF(#REF!="FICTICIO",1,0)</formula>
    </cfRule>
  </conditionalFormatting>
  <conditionalFormatting sqref="E169">
    <cfRule type="expression" dxfId="9744" priority="13347">
      <formula>IF(#REF!="FICTICIO",1,0)</formula>
    </cfRule>
  </conditionalFormatting>
  <conditionalFormatting sqref="E169">
    <cfRule type="expression" dxfId="9743" priority="13348">
      <formula>IF(#REF!="FICTICIO",1,0)</formula>
    </cfRule>
  </conditionalFormatting>
  <conditionalFormatting sqref="E169">
    <cfRule type="expression" dxfId="9742" priority="13346">
      <formula>IF(#REF!="FICTICIO",1,0)</formula>
    </cfRule>
  </conditionalFormatting>
  <conditionalFormatting sqref="E169">
    <cfRule type="expression" dxfId="9741" priority="13345">
      <formula>IF(#REF!="FICTICIO",1,0)</formula>
    </cfRule>
  </conditionalFormatting>
  <conditionalFormatting sqref="E169">
    <cfRule type="expression" dxfId="9740" priority="13344">
      <formula>IF(#REF!="FICTICIO",1,0)</formula>
    </cfRule>
  </conditionalFormatting>
  <conditionalFormatting sqref="D170">
    <cfRule type="expression" dxfId="9739" priority="13342">
      <formula>IF(#REF!="FICTICIO",1,0)</formula>
    </cfRule>
  </conditionalFormatting>
  <conditionalFormatting sqref="D170">
    <cfRule type="expression" dxfId="9738" priority="13343">
      <formula>IF(#REF!="FICTICIO",1,0)</formula>
    </cfRule>
  </conditionalFormatting>
  <conditionalFormatting sqref="D170">
    <cfRule type="expression" dxfId="9737" priority="13340">
      <formula>IF(#REF!="FICTICIO",1,0)</formula>
    </cfRule>
  </conditionalFormatting>
  <conditionalFormatting sqref="D170">
    <cfRule type="expression" dxfId="9736" priority="13341">
      <formula>IF(#REF!="FICTICIO",1,0)</formula>
    </cfRule>
  </conditionalFormatting>
  <conditionalFormatting sqref="D170">
    <cfRule type="expression" dxfId="9735" priority="13338">
      <formula>IF(#REF!="FICTICIO",1,0)</formula>
    </cfRule>
  </conditionalFormatting>
  <conditionalFormatting sqref="D170">
    <cfRule type="expression" dxfId="9734" priority="13339">
      <formula>IF(#REF!="FICTICIO",1,0)</formula>
    </cfRule>
  </conditionalFormatting>
  <conditionalFormatting sqref="D170">
    <cfRule type="expression" dxfId="9733" priority="13336">
      <formula>IF(#REF!="FICTICIO",1,0)</formula>
    </cfRule>
  </conditionalFormatting>
  <conditionalFormatting sqref="D170">
    <cfRule type="expression" dxfId="9732" priority="13337">
      <formula>IF(#REF!="FICTICIO",1,0)</formula>
    </cfRule>
  </conditionalFormatting>
  <conditionalFormatting sqref="E170">
    <cfRule type="expression" dxfId="9731" priority="13335">
      <formula>IF(#REF!="FICTICIO",1,0)</formula>
    </cfRule>
  </conditionalFormatting>
  <conditionalFormatting sqref="E170">
    <cfRule type="expression" dxfId="9730" priority="13334">
      <formula>IF(#REF!="FICTICIO",1,0)</formula>
    </cfRule>
  </conditionalFormatting>
  <conditionalFormatting sqref="E170">
    <cfRule type="expression" dxfId="9729" priority="13333">
      <formula>IF(#REF!="FICTICIO",1,0)</formula>
    </cfRule>
  </conditionalFormatting>
  <conditionalFormatting sqref="E170">
    <cfRule type="expression" dxfId="9728" priority="13332">
      <formula>IF(#REF!="FICTICIO",1,0)</formula>
    </cfRule>
  </conditionalFormatting>
  <conditionalFormatting sqref="E170">
    <cfRule type="expression" dxfId="9727" priority="13331">
      <formula>IF(#REF!="FICTICIO",1,0)</formula>
    </cfRule>
  </conditionalFormatting>
  <conditionalFormatting sqref="E170">
    <cfRule type="expression" dxfId="9726" priority="13330">
      <formula>IF(#REF!="FICTICIO",1,0)</formula>
    </cfRule>
  </conditionalFormatting>
  <conditionalFormatting sqref="E170">
    <cfRule type="expression" dxfId="9725" priority="13329">
      <formula>IF(#REF!="FICTICIO",1,0)</formula>
    </cfRule>
  </conditionalFormatting>
  <conditionalFormatting sqref="E170">
    <cfRule type="expression" dxfId="9724" priority="13328">
      <formula>IF(#REF!="FICTICIO",1,0)</formula>
    </cfRule>
  </conditionalFormatting>
  <conditionalFormatting sqref="E170">
    <cfRule type="expression" dxfId="9723" priority="13327">
      <formula>IF(#REF!="FICTICIO",1,0)</formula>
    </cfRule>
  </conditionalFormatting>
  <conditionalFormatting sqref="E170">
    <cfRule type="expression" dxfId="9722" priority="13326">
      <formula>IF(#REF!="FICTICIO",1,0)</formula>
    </cfRule>
  </conditionalFormatting>
  <conditionalFormatting sqref="E170">
    <cfRule type="expression" dxfId="9721" priority="13325">
      <formula>IF(#REF!="FICTICIO",1,0)</formula>
    </cfRule>
  </conditionalFormatting>
  <conditionalFormatting sqref="E170">
    <cfRule type="expression" dxfId="9720" priority="13324">
      <formula>IF(#REF!="FICTICIO",1,0)</formula>
    </cfRule>
  </conditionalFormatting>
  <conditionalFormatting sqref="E170">
    <cfRule type="expression" dxfId="9719" priority="13323">
      <formula>IF(#REF!="FICTICIO",1,0)</formula>
    </cfRule>
  </conditionalFormatting>
  <conditionalFormatting sqref="E170">
    <cfRule type="expression" dxfId="9718" priority="13322">
      <formula>IF(#REF!="FICTICIO",1,0)</formula>
    </cfRule>
  </conditionalFormatting>
  <conditionalFormatting sqref="E170">
    <cfRule type="expression" dxfId="9717" priority="13321">
      <formula>IF(#REF!="FICTICIO",1,0)</formula>
    </cfRule>
  </conditionalFormatting>
  <conditionalFormatting sqref="E170">
    <cfRule type="expression" dxfId="9716" priority="13320">
      <formula>IF(#REF!="FICTICIO",1,0)</formula>
    </cfRule>
  </conditionalFormatting>
  <conditionalFormatting sqref="E170">
    <cfRule type="expression" dxfId="9715" priority="13319">
      <formula>IF(#REF!="FICTICIO",1,0)</formula>
    </cfRule>
  </conditionalFormatting>
  <conditionalFormatting sqref="E170">
    <cfRule type="expression" dxfId="9714" priority="13318">
      <formula>IF(#REF!="FICTICIO",1,0)</formula>
    </cfRule>
  </conditionalFormatting>
  <conditionalFormatting sqref="E170">
    <cfRule type="expression" dxfId="9713" priority="13316">
      <formula>IF(#REF!="FICTICIO",1,0)</formula>
    </cfRule>
  </conditionalFormatting>
  <conditionalFormatting sqref="E170">
    <cfRule type="expression" dxfId="9712" priority="13317">
      <formula>IF(#REF!="FICTICIO",1,0)</formula>
    </cfRule>
  </conditionalFormatting>
  <conditionalFormatting sqref="E170">
    <cfRule type="expression" dxfId="9711" priority="13315">
      <formula>IF(#REF!="FICTICIO",1,0)</formula>
    </cfRule>
  </conditionalFormatting>
  <conditionalFormatting sqref="E170">
    <cfRule type="expression" dxfId="9710" priority="13314">
      <formula>IF(#REF!="FICTICIO",1,0)</formula>
    </cfRule>
  </conditionalFormatting>
  <conditionalFormatting sqref="E170">
    <cfRule type="expression" dxfId="9709" priority="13313">
      <formula>IF(#REF!="FICTICIO",1,0)</formula>
    </cfRule>
  </conditionalFormatting>
  <conditionalFormatting sqref="D170">
    <cfRule type="expression" dxfId="9708" priority="13311">
      <formula>IF(#REF!="FICTICIO",1,0)</formula>
    </cfRule>
  </conditionalFormatting>
  <conditionalFormatting sqref="D170">
    <cfRule type="expression" dxfId="9707" priority="13312">
      <formula>IF(#REF!="FICTICIO",1,0)</formula>
    </cfRule>
  </conditionalFormatting>
  <conditionalFormatting sqref="D170">
    <cfRule type="expression" dxfId="9706" priority="13309">
      <formula>IF(#REF!="FICTICIO",1,0)</formula>
    </cfRule>
  </conditionalFormatting>
  <conditionalFormatting sqref="D170">
    <cfRule type="expression" dxfId="9705" priority="13310">
      <formula>IF(#REF!="FICTICIO",1,0)</formula>
    </cfRule>
  </conditionalFormatting>
  <conditionalFormatting sqref="D170">
    <cfRule type="expression" dxfId="9704" priority="13307">
      <formula>IF(#REF!="FICTICIO",1,0)</formula>
    </cfRule>
  </conditionalFormatting>
  <conditionalFormatting sqref="D170">
    <cfRule type="expression" dxfId="9703" priority="13308">
      <formula>IF(#REF!="FICTICIO",1,0)</formula>
    </cfRule>
  </conditionalFormatting>
  <conditionalFormatting sqref="D170">
    <cfRule type="expression" dxfId="9702" priority="13305">
      <formula>IF(#REF!="FICTICIO",1,0)</formula>
    </cfRule>
  </conditionalFormatting>
  <conditionalFormatting sqref="D170">
    <cfRule type="expression" dxfId="9701" priority="13306">
      <formula>IF(#REF!="FICTICIO",1,0)</formula>
    </cfRule>
  </conditionalFormatting>
  <conditionalFormatting sqref="F170">
    <cfRule type="expression" dxfId="9700" priority="13304">
      <formula>IF(#REF!="FICTICIO",1,0)</formula>
    </cfRule>
  </conditionalFormatting>
  <conditionalFormatting sqref="E170">
    <cfRule type="expression" dxfId="9699" priority="13303">
      <formula>IF(#REF!="FICTICIO",1,0)</formula>
    </cfRule>
  </conditionalFormatting>
  <conditionalFormatting sqref="E170">
    <cfRule type="expression" dxfId="9698" priority="13302">
      <formula>IF(#REF!="FICTICIO",1,0)</formula>
    </cfRule>
  </conditionalFormatting>
  <conditionalFormatting sqref="E170">
    <cfRule type="expression" dxfId="9697" priority="13301">
      <formula>IF(#REF!="FICTICIO",1,0)</formula>
    </cfRule>
  </conditionalFormatting>
  <conditionalFormatting sqref="E170">
    <cfRule type="expression" dxfId="9696" priority="13300">
      <formula>IF(#REF!="FICTICIO",1,0)</formula>
    </cfRule>
  </conditionalFormatting>
  <conditionalFormatting sqref="E170">
    <cfRule type="expression" dxfId="9695" priority="13299">
      <formula>IF(#REF!="FICTICIO",1,0)</formula>
    </cfRule>
  </conditionalFormatting>
  <conditionalFormatting sqref="E170">
    <cfRule type="expression" dxfId="9694" priority="13298">
      <formula>IF(#REF!="FICTICIO",1,0)</formula>
    </cfRule>
  </conditionalFormatting>
  <conditionalFormatting sqref="E170">
    <cfRule type="expression" dxfId="9693" priority="13297">
      <formula>IF(#REF!="FICTICIO",1,0)</formula>
    </cfRule>
  </conditionalFormatting>
  <conditionalFormatting sqref="E170">
    <cfRule type="expression" dxfId="9692" priority="13296">
      <formula>IF(#REF!="FICTICIO",1,0)</formula>
    </cfRule>
  </conditionalFormatting>
  <conditionalFormatting sqref="E170">
    <cfRule type="expression" dxfId="9691" priority="13295">
      <formula>IF(#REF!="FICTICIO",1,0)</formula>
    </cfRule>
  </conditionalFormatting>
  <conditionalFormatting sqref="E170">
    <cfRule type="expression" dxfId="9690" priority="13294">
      <formula>IF(#REF!="FICTICIO",1,0)</formula>
    </cfRule>
  </conditionalFormatting>
  <conditionalFormatting sqref="E170">
    <cfRule type="expression" dxfId="9689" priority="13293">
      <formula>IF(#REF!="FICTICIO",1,0)</formula>
    </cfRule>
  </conditionalFormatting>
  <conditionalFormatting sqref="E170">
    <cfRule type="expression" dxfId="9688" priority="13292">
      <formula>IF(#REF!="FICTICIO",1,0)</formula>
    </cfRule>
  </conditionalFormatting>
  <conditionalFormatting sqref="E170">
    <cfRule type="expression" dxfId="9687" priority="13291">
      <formula>IF(#REF!="FICTICIO",1,0)</formula>
    </cfRule>
  </conditionalFormatting>
  <conditionalFormatting sqref="E170">
    <cfRule type="expression" dxfId="9686" priority="13290">
      <formula>IF(#REF!="FICTICIO",1,0)</formula>
    </cfRule>
  </conditionalFormatting>
  <conditionalFormatting sqref="E170">
    <cfRule type="expression" dxfId="9685" priority="13289">
      <formula>IF(#REF!="FICTICIO",1,0)</formula>
    </cfRule>
  </conditionalFormatting>
  <conditionalFormatting sqref="E170">
    <cfRule type="expression" dxfId="9684" priority="13288">
      <formula>IF(#REF!="FICTICIO",1,0)</formula>
    </cfRule>
  </conditionalFormatting>
  <conditionalFormatting sqref="E170">
    <cfRule type="expression" dxfId="9683" priority="13287">
      <formula>IF(#REF!="FICTICIO",1,0)</formula>
    </cfRule>
  </conditionalFormatting>
  <conditionalFormatting sqref="E170">
    <cfRule type="expression" dxfId="9682" priority="13286">
      <formula>IF(#REF!="FICTICIO",1,0)</formula>
    </cfRule>
  </conditionalFormatting>
  <conditionalFormatting sqref="E170">
    <cfRule type="expression" dxfId="9681" priority="13284">
      <formula>IF(#REF!="FICTICIO",1,0)</formula>
    </cfRule>
  </conditionalFormatting>
  <conditionalFormatting sqref="E170">
    <cfRule type="expression" dxfId="9680" priority="13285">
      <formula>IF(#REF!="FICTICIO",1,0)</formula>
    </cfRule>
  </conditionalFormatting>
  <conditionalFormatting sqref="E170">
    <cfRule type="expression" dxfId="9679" priority="13283">
      <formula>IF(#REF!="FICTICIO",1,0)</formula>
    </cfRule>
  </conditionalFormatting>
  <conditionalFormatting sqref="E170">
    <cfRule type="expression" dxfId="9678" priority="13282">
      <formula>IF(#REF!="FICTICIO",1,0)</formula>
    </cfRule>
  </conditionalFormatting>
  <conditionalFormatting sqref="E170">
    <cfRule type="expression" dxfId="9677" priority="13281">
      <formula>IF(#REF!="FICTICIO",1,0)</formula>
    </cfRule>
  </conditionalFormatting>
  <conditionalFormatting sqref="E170">
    <cfRule type="expression" dxfId="9676" priority="13280">
      <formula>IF(#REF!="FICTICIO",1,0)</formula>
    </cfRule>
  </conditionalFormatting>
  <conditionalFormatting sqref="E170">
    <cfRule type="expression" dxfId="9675" priority="13279">
      <formula>IF(#REF!="FICTICIO",1,0)</formula>
    </cfRule>
  </conditionalFormatting>
  <conditionalFormatting sqref="E170">
    <cfRule type="expression" dxfId="9674" priority="13278">
      <formula>IF(#REF!="FICTICIO",1,0)</formula>
    </cfRule>
  </conditionalFormatting>
  <conditionalFormatting sqref="E170">
    <cfRule type="expression" dxfId="9673" priority="13277">
      <formula>IF(#REF!="FICTICIO",1,0)</formula>
    </cfRule>
  </conditionalFormatting>
  <conditionalFormatting sqref="E170">
    <cfRule type="expression" dxfId="9672" priority="13276">
      <formula>IF(#REF!="FICTICIO",1,0)</formula>
    </cfRule>
  </conditionalFormatting>
  <conditionalFormatting sqref="E170">
    <cfRule type="expression" dxfId="9671" priority="13275">
      <formula>IF(#REF!="FICTICIO",1,0)</formula>
    </cfRule>
  </conditionalFormatting>
  <conditionalFormatting sqref="E170">
    <cfRule type="expression" dxfId="9670" priority="13274">
      <formula>IF(#REF!="FICTICIO",1,0)</formula>
    </cfRule>
  </conditionalFormatting>
  <conditionalFormatting sqref="E170">
    <cfRule type="expression" dxfId="9669" priority="13273">
      <formula>IF(#REF!="FICTICIO",1,0)</formula>
    </cfRule>
  </conditionalFormatting>
  <conditionalFormatting sqref="E170">
    <cfRule type="expression" dxfId="9668" priority="13272">
      <formula>IF(#REF!="FICTICIO",1,0)</formula>
    </cfRule>
  </conditionalFormatting>
  <conditionalFormatting sqref="E170">
    <cfRule type="expression" dxfId="9667" priority="13271">
      <formula>IF(#REF!="FICTICIO",1,0)</formula>
    </cfRule>
  </conditionalFormatting>
  <conditionalFormatting sqref="E170">
    <cfRule type="expression" dxfId="9666" priority="13270">
      <formula>IF(#REF!="FICTICIO",1,0)</formula>
    </cfRule>
  </conditionalFormatting>
  <conditionalFormatting sqref="E170">
    <cfRule type="expression" dxfId="9665" priority="13269">
      <formula>IF(#REF!="FICTICIO",1,0)</formula>
    </cfRule>
  </conditionalFormatting>
  <conditionalFormatting sqref="E170">
    <cfRule type="expression" dxfId="9664" priority="13268">
      <formula>IF(#REF!="FICTICIO",1,0)</formula>
    </cfRule>
  </conditionalFormatting>
  <conditionalFormatting sqref="E170">
    <cfRule type="expression" dxfId="9663" priority="13267">
      <formula>IF(#REF!="FICTICIO",1,0)</formula>
    </cfRule>
  </conditionalFormatting>
  <conditionalFormatting sqref="E170">
    <cfRule type="expression" dxfId="9662" priority="13266">
      <formula>IF(#REF!="FICTICIO",1,0)</formula>
    </cfRule>
  </conditionalFormatting>
  <conditionalFormatting sqref="E170">
    <cfRule type="expression" dxfId="9661" priority="13265">
      <formula>IF(#REF!="FICTICIO",1,0)</formula>
    </cfRule>
  </conditionalFormatting>
  <conditionalFormatting sqref="E170">
    <cfRule type="expression" dxfId="9660" priority="13264">
      <formula>IF(#REF!="FICTICIO",1,0)</formula>
    </cfRule>
  </conditionalFormatting>
  <conditionalFormatting sqref="E170">
    <cfRule type="expression" dxfId="9659" priority="13263">
      <formula>IF(#REF!="FICTICIO",1,0)</formula>
    </cfRule>
  </conditionalFormatting>
  <conditionalFormatting sqref="E170">
    <cfRule type="expression" dxfId="9658" priority="13261">
      <formula>IF(#REF!="FICTICIO",1,0)</formula>
    </cfRule>
  </conditionalFormatting>
  <conditionalFormatting sqref="E170">
    <cfRule type="expression" dxfId="9657" priority="13262">
      <formula>IF(#REF!="FICTICIO",1,0)</formula>
    </cfRule>
  </conditionalFormatting>
  <conditionalFormatting sqref="E170">
    <cfRule type="expression" dxfId="9656" priority="13260">
      <formula>IF(#REF!="FICTICIO",1,0)</formula>
    </cfRule>
  </conditionalFormatting>
  <conditionalFormatting sqref="E170">
    <cfRule type="expression" dxfId="9655" priority="13259">
      <formula>IF(#REF!="FICTICIO",1,0)</formula>
    </cfRule>
  </conditionalFormatting>
  <conditionalFormatting sqref="E170">
    <cfRule type="expression" dxfId="9654" priority="13258">
      <formula>IF(#REF!="FICTICIO",1,0)</formula>
    </cfRule>
  </conditionalFormatting>
  <conditionalFormatting sqref="E171">
    <cfRule type="expression" dxfId="9653" priority="13257">
      <formula>IF(#REF!="FICTICIO",1,0)</formula>
    </cfRule>
  </conditionalFormatting>
  <conditionalFormatting sqref="E171">
    <cfRule type="expression" dxfId="9652" priority="13256">
      <formula>IF(#REF!="FICTICIO",1,0)</formula>
    </cfRule>
  </conditionalFormatting>
  <conditionalFormatting sqref="E171">
    <cfRule type="expression" dxfId="9651" priority="13255">
      <formula>IF(#REF!="FICTICIO",1,0)</formula>
    </cfRule>
  </conditionalFormatting>
  <conditionalFormatting sqref="E171">
    <cfRule type="expression" dxfId="9650" priority="13254">
      <formula>IF(#REF!="FICTICIO",1,0)</formula>
    </cfRule>
  </conditionalFormatting>
  <conditionalFormatting sqref="E171">
    <cfRule type="expression" dxfId="9649" priority="13253">
      <formula>IF(#REF!="FICTICIO",1,0)</formula>
    </cfRule>
  </conditionalFormatting>
  <conditionalFormatting sqref="E171">
    <cfRule type="expression" dxfId="9648" priority="13252">
      <formula>IF(#REF!="FICTICIO",1,0)</formula>
    </cfRule>
  </conditionalFormatting>
  <conditionalFormatting sqref="E171">
    <cfRule type="expression" dxfId="9647" priority="13251">
      <formula>IF(#REF!="FICTICIO",1,0)</formula>
    </cfRule>
  </conditionalFormatting>
  <conditionalFormatting sqref="E171">
    <cfRule type="expression" dxfId="9646" priority="13250">
      <formula>IF(#REF!="FICTICIO",1,0)</formula>
    </cfRule>
  </conditionalFormatting>
  <conditionalFormatting sqref="E171">
    <cfRule type="expression" dxfId="9645" priority="13249">
      <formula>IF(#REF!="FICTICIO",1,0)</formula>
    </cfRule>
  </conditionalFormatting>
  <conditionalFormatting sqref="E171">
    <cfRule type="expression" dxfId="9644" priority="13248">
      <formula>IF(#REF!="FICTICIO",1,0)</formula>
    </cfRule>
  </conditionalFormatting>
  <conditionalFormatting sqref="E171">
    <cfRule type="expression" dxfId="9643" priority="13247">
      <formula>IF(#REF!="FICTICIO",1,0)</formula>
    </cfRule>
  </conditionalFormatting>
  <conditionalFormatting sqref="E171">
    <cfRule type="expression" dxfId="9642" priority="13246">
      <formula>IF(#REF!="FICTICIO",1,0)</formula>
    </cfRule>
  </conditionalFormatting>
  <conditionalFormatting sqref="E171">
    <cfRule type="expression" dxfId="9641" priority="13245">
      <formula>IF(#REF!="FICTICIO",1,0)</formula>
    </cfRule>
  </conditionalFormatting>
  <conditionalFormatting sqref="E171">
    <cfRule type="expression" dxfId="9640" priority="13244">
      <formula>IF(#REF!="FICTICIO",1,0)</formula>
    </cfRule>
  </conditionalFormatting>
  <conditionalFormatting sqref="E171">
    <cfRule type="expression" dxfId="9639" priority="13243">
      <formula>IF(#REF!="FICTICIO",1,0)</formula>
    </cfRule>
  </conditionalFormatting>
  <conditionalFormatting sqref="E171">
    <cfRule type="expression" dxfId="9638" priority="13242">
      <formula>IF(#REF!="FICTICIO",1,0)</formula>
    </cfRule>
  </conditionalFormatting>
  <conditionalFormatting sqref="E171">
    <cfRule type="expression" dxfId="9637" priority="13241">
      <formula>IF(#REF!="FICTICIO",1,0)</formula>
    </cfRule>
  </conditionalFormatting>
  <conditionalFormatting sqref="E171">
    <cfRule type="expression" dxfId="9636" priority="13240">
      <formula>IF(#REF!="FICTICIO",1,0)</formula>
    </cfRule>
  </conditionalFormatting>
  <conditionalFormatting sqref="E171">
    <cfRule type="expression" dxfId="9635" priority="13238">
      <formula>IF(#REF!="FICTICIO",1,0)</formula>
    </cfRule>
  </conditionalFormatting>
  <conditionalFormatting sqref="E171">
    <cfRule type="expression" dxfId="9634" priority="13239">
      <formula>IF(#REF!="FICTICIO",1,0)</formula>
    </cfRule>
  </conditionalFormatting>
  <conditionalFormatting sqref="E171">
    <cfRule type="expression" dxfId="9633" priority="13237">
      <formula>IF(#REF!="FICTICIO",1,0)</formula>
    </cfRule>
  </conditionalFormatting>
  <conditionalFormatting sqref="E171">
    <cfRule type="expression" dxfId="9632" priority="13236">
      <formula>IF(#REF!="FICTICIO",1,0)</formula>
    </cfRule>
  </conditionalFormatting>
  <conditionalFormatting sqref="E171">
    <cfRule type="expression" dxfId="9631" priority="13235">
      <formula>IF(#REF!="FICTICIO",1,0)</formula>
    </cfRule>
  </conditionalFormatting>
  <conditionalFormatting sqref="E171">
    <cfRule type="expression" dxfId="9630" priority="13234">
      <formula>IF(#REF!="FICTICIO",1,0)</formula>
    </cfRule>
  </conditionalFormatting>
  <conditionalFormatting sqref="E171">
    <cfRule type="expression" dxfId="9629" priority="13233">
      <formula>IF(#REF!="FICTICIO",1,0)</formula>
    </cfRule>
  </conditionalFormatting>
  <conditionalFormatting sqref="E171">
    <cfRule type="expression" dxfId="9628" priority="13232">
      <formula>IF(#REF!="FICTICIO",1,0)</formula>
    </cfRule>
  </conditionalFormatting>
  <conditionalFormatting sqref="E171">
    <cfRule type="expression" dxfId="9627" priority="13231">
      <formula>IF(#REF!="FICTICIO",1,0)</formula>
    </cfRule>
  </conditionalFormatting>
  <conditionalFormatting sqref="E171">
    <cfRule type="expression" dxfId="9626" priority="13230">
      <formula>IF(#REF!="FICTICIO",1,0)</formula>
    </cfRule>
  </conditionalFormatting>
  <conditionalFormatting sqref="E171">
    <cfRule type="expression" dxfId="9625" priority="13229">
      <formula>IF(#REF!="FICTICIO",1,0)</formula>
    </cfRule>
  </conditionalFormatting>
  <conditionalFormatting sqref="E171">
    <cfRule type="expression" dxfId="9624" priority="13228">
      <formula>IF(#REF!="FICTICIO",1,0)</formula>
    </cfRule>
  </conditionalFormatting>
  <conditionalFormatting sqref="E171">
    <cfRule type="expression" dxfId="9623" priority="13227">
      <formula>IF(#REF!="FICTICIO",1,0)</formula>
    </cfRule>
  </conditionalFormatting>
  <conditionalFormatting sqref="E171">
    <cfRule type="expression" dxfId="9622" priority="13226">
      <formula>IF(#REF!="FICTICIO",1,0)</formula>
    </cfRule>
  </conditionalFormatting>
  <conditionalFormatting sqref="E171">
    <cfRule type="expression" dxfId="9621" priority="13225">
      <formula>IF(#REF!="FICTICIO",1,0)</formula>
    </cfRule>
  </conditionalFormatting>
  <conditionalFormatting sqref="E171">
    <cfRule type="expression" dxfId="9620" priority="13224">
      <formula>IF(#REF!="FICTICIO",1,0)</formula>
    </cfRule>
  </conditionalFormatting>
  <conditionalFormatting sqref="E171">
    <cfRule type="expression" dxfId="9619" priority="13223">
      <formula>IF(#REF!="FICTICIO",1,0)</formula>
    </cfRule>
  </conditionalFormatting>
  <conditionalFormatting sqref="E171">
    <cfRule type="expression" dxfId="9618" priority="13222">
      <formula>IF(#REF!="FICTICIO",1,0)</formula>
    </cfRule>
  </conditionalFormatting>
  <conditionalFormatting sqref="E171">
    <cfRule type="expression" dxfId="9617" priority="13221">
      <formula>IF(#REF!="FICTICIO",1,0)</formula>
    </cfRule>
  </conditionalFormatting>
  <conditionalFormatting sqref="E171">
    <cfRule type="expression" dxfId="9616" priority="13220">
      <formula>IF(#REF!="FICTICIO",1,0)</formula>
    </cfRule>
  </conditionalFormatting>
  <conditionalFormatting sqref="E171">
    <cfRule type="expression" dxfId="9615" priority="13219">
      <formula>IF(#REF!="FICTICIO",1,0)</formula>
    </cfRule>
  </conditionalFormatting>
  <conditionalFormatting sqref="E171">
    <cfRule type="expression" dxfId="9614" priority="13218">
      <formula>IF(#REF!="FICTICIO",1,0)</formula>
    </cfRule>
  </conditionalFormatting>
  <conditionalFormatting sqref="E171">
    <cfRule type="expression" dxfId="9613" priority="13217">
      <formula>IF(#REF!="FICTICIO",1,0)</formula>
    </cfRule>
  </conditionalFormatting>
  <conditionalFormatting sqref="E171">
    <cfRule type="expression" dxfId="9612" priority="13215">
      <formula>IF(#REF!="FICTICIO",1,0)</formula>
    </cfRule>
  </conditionalFormatting>
  <conditionalFormatting sqref="E171">
    <cfRule type="expression" dxfId="9611" priority="13216">
      <formula>IF(#REF!="FICTICIO",1,0)</formula>
    </cfRule>
  </conditionalFormatting>
  <conditionalFormatting sqref="E171">
    <cfRule type="expression" dxfId="9610" priority="13214">
      <formula>IF(#REF!="FICTICIO",1,0)</formula>
    </cfRule>
  </conditionalFormatting>
  <conditionalFormatting sqref="E171">
    <cfRule type="expression" dxfId="9609" priority="13213">
      <formula>IF(#REF!="FICTICIO",1,0)</formula>
    </cfRule>
  </conditionalFormatting>
  <conditionalFormatting sqref="E171">
    <cfRule type="expression" dxfId="9608" priority="13212">
      <formula>IF(#REF!="FICTICIO",1,0)</formula>
    </cfRule>
  </conditionalFormatting>
  <conditionalFormatting sqref="E171">
    <cfRule type="expression" dxfId="9607" priority="13211">
      <formula>IF(#REF!="FICTICIO",1,0)</formula>
    </cfRule>
  </conditionalFormatting>
  <conditionalFormatting sqref="E171">
    <cfRule type="expression" dxfId="9606" priority="13210">
      <formula>IF(#REF!="FICTICIO",1,0)</formula>
    </cfRule>
  </conditionalFormatting>
  <conditionalFormatting sqref="E171">
    <cfRule type="expression" dxfId="9605" priority="13209">
      <formula>IF(#REF!="FICTICIO",1,0)</formula>
    </cfRule>
  </conditionalFormatting>
  <conditionalFormatting sqref="E171">
    <cfRule type="expression" dxfId="9604" priority="13208">
      <formula>IF(#REF!="FICTICIO",1,0)</formula>
    </cfRule>
  </conditionalFormatting>
  <conditionalFormatting sqref="E171">
    <cfRule type="expression" dxfId="9603" priority="13207">
      <formula>IF(#REF!="FICTICIO",1,0)</formula>
    </cfRule>
  </conditionalFormatting>
  <conditionalFormatting sqref="E171">
    <cfRule type="expression" dxfId="9602" priority="13206">
      <formula>IF(#REF!="FICTICIO",1,0)</formula>
    </cfRule>
  </conditionalFormatting>
  <conditionalFormatting sqref="E171">
    <cfRule type="expression" dxfId="9601" priority="13205">
      <formula>IF(#REF!="FICTICIO",1,0)</formula>
    </cfRule>
  </conditionalFormatting>
  <conditionalFormatting sqref="E171">
    <cfRule type="expression" dxfId="9600" priority="13204">
      <formula>IF(#REF!="FICTICIO",1,0)</formula>
    </cfRule>
  </conditionalFormatting>
  <conditionalFormatting sqref="E171">
    <cfRule type="expression" dxfId="9599" priority="13203">
      <formula>IF(#REF!="FICTICIO",1,0)</formula>
    </cfRule>
  </conditionalFormatting>
  <conditionalFormatting sqref="E171">
    <cfRule type="expression" dxfId="9598" priority="13202">
      <formula>IF(#REF!="FICTICIO",1,0)</formula>
    </cfRule>
  </conditionalFormatting>
  <conditionalFormatting sqref="E171">
    <cfRule type="expression" dxfId="9597" priority="13201">
      <formula>IF(#REF!="FICTICIO",1,0)</formula>
    </cfRule>
  </conditionalFormatting>
  <conditionalFormatting sqref="E171">
    <cfRule type="expression" dxfId="9596" priority="13200">
      <formula>IF(#REF!="FICTICIO",1,0)</formula>
    </cfRule>
  </conditionalFormatting>
  <conditionalFormatting sqref="E171">
    <cfRule type="expression" dxfId="9595" priority="13199">
      <formula>IF(#REF!="FICTICIO",1,0)</formula>
    </cfRule>
  </conditionalFormatting>
  <conditionalFormatting sqref="E171">
    <cfRule type="expression" dxfId="9594" priority="13198">
      <formula>IF(#REF!="FICTICIO",1,0)</formula>
    </cfRule>
  </conditionalFormatting>
  <conditionalFormatting sqref="E171">
    <cfRule type="expression" dxfId="9593" priority="13197">
      <formula>IF(#REF!="FICTICIO",1,0)</formula>
    </cfRule>
  </conditionalFormatting>
  <conditionalFormatting sqref="E171">
    <cfRule type="expression" dxfId="9592" priority="13196">
      <formula>IF(#REF!="FICTICIO",1,0)</formula>
    </cfRule>
  </conditionalFormatting>
  <conditionalFormatting sqref="E171">
    <cfRule type="expression" dxfId="9591" priority="13195">
      <formula>IF(#REF!="FICTICIO",1,0)</formula>
    </cfRule>
  </conditionalFormatting>
  <conditionalFormatting sqref="E171">
    <cfRule type="expression" dxfId="9590" priority="13194">
      <formula>IF(#REF!="FICTICIO",1,0)</formula>
    </cfRule>
  </conditionalFormatting>
  <conditionalFormatting sqref="E171">
    <cfRule type="expression" dxfId="9589" priority="13192">
      <formula>IF(#REF!="FICTICIO",1,0)</formula>
    </cfRule>
  </conditionalFormatting>
  <conditionalFormatting sqref="E171">
    <cfRule type="expression" dxfId="9588" priority="13193">
      <formula>IF(#REF!="FICTICIO",1,0)</formula>
    </cfRule>
  </conditionalFormatting>
  <conditionalFormatting sqref="E171">
    <cfRule type="expression" dxfId="9587" priority="13191">
      <formula>IF(#REF!="FICTICIO",1,0)</formula>
    </cfRule>
  </conditionalFormatting>
  <conditionalFormatting sqref="E171">
    <cfRule type="expression" dxfId="9586" priority="13190">
      <formula>IF(#REF!="FICTICIO",1,0)</formula>
    </cfRule>
  </conditionalFormatting>
  <conditionalFormatting sqref="E171">
    <cfRule type="expression" dxfId="9585" priority="13189">
      <formula>IF(#REF!="FICTICIO",1,0)</formula>
    </cfRule>
  </conditionalFormatting>
  <conditionalFormatting sqref="E172">
    <cfRule type="expression" dxfId="9584" priority="13188">
      <formula>IF(#REF!="FICTICIO",1,0)</formula>
    </cfRule>
  </conditionalFormatting>
  <conditionalFormatting sqref="E172">
    <cfRule type="expression" dxfId="9583" priority="13187">
      <formula>IF(#REF!="FICTICIO",1,0)</formula>
    </cfRule>
  </conditionalFormatting>
  <conditionalFormatting sqref="E172">
    <cfRule type="expression" dxfId="9582" priority="13186">
      <formula>IF(#REF!="FICTICIO",1,0)</formula>
    </cfRule>
  </conditionalFormatting>
  <conditionalFormatting sqref="E172">
    <cfRule type="expression" dxfId="9581" priority="13185">
      <formula>IF(#REF!="FICTICIO",1,0)</formula>
    </cfRule>
  </conditionalFormatting>
  <conditionalFormatting sqref="E172">
    <cfRule type="expression" dxfId="9580" priority="13184">
      <formula>IF(#REF!="FICTICIO",1,0)</formula>
    </cfRule>
  </conditionalFormatting>
  <conditionalFormatting sqref="E172">
    <cfRule type="expression" dxfId="9579" priority="13183">
      <formula>IF(#REF!="FICTICIO",1,0)</formula>
    </cfRule>
  </conditionalFormatting>
  <conditionalFormatting sqref="E172">
    <cfRule type="expression" dxfId="9578" priority="13182">
      <formula>IF(#REF!="FICTICIO",1,0)</formula>
    </cfRule>
  </conditionalFormatting>
  <conditionalFormatting sqref="E172">
    <cfRule type="expression" dxfId="9577" priority="13181">
      <formula>IF(#REF!="FICTICIO",1,0)</formula>
    </cfRule>
  </conditionalFormatting>
  <conditionalFormatting sqref="E172">
    <cfRule type="expression" dxfId="9576" priority="13180">
      <formula>IF(#REF!="FICTICIO",1,0)</formula>
    </cfRule>
  </conditionalFormatting>
  <conditionalFormatting sqref="E172">
    <cfRule type="expression" dxfId="9575" priority="13179">
      <formula>IF(#REF!="FICTICIO",1,0)</formula>
    </cfRule>
  </conditionalFormatting>
  <conditionalFormatting sqref="E172">
    <cfRule type="expression" dxfId="9574" priority="13178">
      <formula>IF(#REF!="FICTICIO",1,0)</formula>
    </cfRule>
  </conditionalFormatting>
  <conditionalFormatting sqref="E172">
    <cfRule type="expression" dxfId="9573" priority="13177">
      <formula>IF(#REF!="FICTICIO",1,0)</formula>
    </cfRule>
  </conditionalFormatting>
  <conditionalFormatting sqref="E172">
    <cfRule type="expression" dxfId="9572" priority="13176">
      <formula>IF(#REF!="FICTICIO",1,0)</formula>
    </cfRule>
  </conditionalFormatting>
  <conditionalFormatting sqref="E172">
    <cfRule type="expression" dxfId="9571" priority="13175">
      <formula>IF(#REF!="FICTICIO",1,0)</formula>
    </cfRule>
  </conditionalFormatting>
  <conditionalFormatting sqref="E172">
    <cfRule type="expression" dxfId="9570" priority="13174">
      <formula>IF(#REF!="FICTICIO",1,0)</formula>
    </cfRule>
  </conditionalFormatting>
  <conditionalFormatting sqref="E172">
    <cfRule type="expression" dxfId="9569" priority="13173">
      <formula>IF(#REF!="FICTICIO",1,0)</formula>
    </cfRule>
  </conditionalFormatting>
  <conditionalFormatting sqref="E172">
    <cfRule type="expression" dxfId="9568" priority="13172">
      <formula>IF(#REF!="FICTICIO",1,0)</formula>
    </cfRule>
  </conditionalFormatting>
  <conditionalFormatting sqref="E172">
    <cfRule type="expression" dxfId="9567" priority="13171">
      <formula>IF(#REF!="FICTICIO",1,0)</formula>
    </cfRule>
  </conditionalFormatting>
  <conditionalFormatting sqref="E172">
    <cfRule type="expression" dxfId="9566" priority="13169">
      <formula>IF(#REF!="FICTICIO",1,0)</formula>
    </cfRule>
  </conditionalFormatting>
  <conditionalFormatting sqref="E172">
    <cfRule type="expression" dxfId="9565" priority="13170">
      <formula>IF(#REF!="FICTICIO",1,0)</formula>
    </cfRule>
  </conditionalFormatting>
  <conditionalFormatting sqref="E172">
    <cfRule type="expression" dxfId="9564" priority="13168">
      <formula>IF(#REF!="FICTICIO",1,0)</formula>
    </cfRule>
  </conditionalFormatting>
  <conditionalFormatting sqref="E172">
    <cfRule type="expression" dxfId="9563" priority="13167">
      <formula>IF(#REF!="FICTICIO",1,0)</formula>
    </cfRule>
  </conditionalFormatting>
  <conditionalFormatting sqref="E172">
    <cfRule type="expression" dxfId="9562" priority="13166">
      <formula>IF(#REF!="FICTICIO",1,0)</formula>
    </cfRule>
  </conditionalFormatting>
  <conditionalFormatting sqref="E172">
    <cfRule type="expression" dxfId="9561" priority="13165">
      <formula>IF(#REF!="FICTICIO",1,0)</formula>
    </cfRule>
  </conditionalFormatting>
  <conditionalFormatting sqref="E172">
    <cfRule type="expression" dxfId="9560" priority="13164">
      <formula>IF(#REF!="FICTICIO",1,0)</formula>
    </cfRule>
  </conditionalFormatting>
  <conditionalFormatting sqref="E172">
    <cfRule type="expression" dxfId="9559" priority="13163">
      <formula>IF(#REF!="FICTICIO",1,0)</formula>
    </cfRule>
  </conditionalFormatting>
  <conditionalFormatting sqref="E172">
    <cfRule type="expression" dxfId="9558" priority="13162">
      <formula>IF(#REF!="FICTICIO",1,0)</formula>
    </cfRule>
  </conditionalFormatting>
  <conditionalFormatting sqref="E172">
    <cfRule type="expression" dxfId="9557" priority="13161">
      <formula>IF(#REF!="FICTICIO",1,0)</formula>
    </cfRule>
  </conditionalFormatting>
  <conditionalFormatting sqref="E172">
    <cfRule type="expression" dxfId="9556" priority="13160">
      <formula>IF(#REF!="FICTICIO",1,0)</formula>
    </cfRule>
  </conditionalFormatting>
  <conditionalFormatting sqref="E172">
    <cfRule type="expression" dxfId="9555" priority="13159">
      <formula>IF(#REF!="FICTICIO",1,0)</formula>
    </cfRule>
  </conditionalFormatting>
  <conditionalFormatting sqref="E172">
    <cfRule type="expression" dxfId="9554" priority="13158">
      <formula>IF(#REF!="FICTICIO",1,0)</formula>
    </cfRule>
  </conditionalFormatting>
  <conditionalFormatting sqref="E172">
    <cfRule type="expression" dxfId="9553" priority="13157">
      <formula>IF(#REF!="FICTICIO",1,0)</formula>
    </cfRule>
  </conditionalFormatting>
  <conditionalFormatting sqref="E172">
    <cfRule type="expression" dxfId="9552" priority="13156">
      <formula>IF(#REF!="FICTICIO",1,0)</formula>
    </cfRule>
  </conditionalFormatting>
  <conditionalFormatting sqref="E172">
    <cfRule type="expression" dxfId="9551" priority="13155">
      <formula>IF(#REF!="FICTICIO",1,0)</formula>
    </cfRule>
  </conditionalFormatting>
  <conditionalFormatting sqref="E172">
    <cfRule type="expression" dxfId="9550" priority="13154">
      <formula>IF(#REF!="FICTICIO",1,0)</formula>
    </cfRule>
  </conditionalFormatting>
  <conditionalFormatting sqref="E172">
    <cfRule type="expression" dxfId="9549" priority="13153">
      <formula>IF(#REF!="FICTICIO",1,0)</formula>
    </cfRule>
  </conditionalFormatting>
  <conditionalFormatting sqref="E172">
    <cfRule type="expression" dxfId="9548" priority="13152">
      <formula>IF(#REF!="FICTICIO",1,0)</formula>
    </cfRule>
  </conditionalFormatting>
  <conditionalFormatting sqref="E172">
    <cfRule type="expression" dxfId="9547" priority="13151">
      <formula>IF(#REF!="FICTICIO",1,0)</formula>
    </cfRule>
  </conditionalFormatting>
  <conditionalFormatting sqref="E172">
    <cfRule type="expression" dxfId="9546" priority="13150">
      <formula>IF(#REF!="FICTICIO",1,0)</formula>
    </cfRule>
  </conditionalFormatting>
  <conditionalFormatting sqref="E172">
    <cfRule type="expression" dxfId="9545" priority="13149">
      <formula>IF(#REF!="FICTICIO",1,0)</formula>
    </cfRule>
  </conditionalFormatting>
  <conditionalFormatting sqref="E172">
    <cfRule type="expression" dxfId="9544" priority="13148">
      <formula>IF(#REF!="FICTICIO",1,0)</formula>
    </cfRule>
  </conditionalFormatting>
  <conditionalFormatting sqref="E172">
    <cfRule type="expression" dxfId="9543" priority="13146">
      <formula>IF(#REF!="FICTICIO",1,0)</formula>
    </cfRule>
  </conditionalFormatting>
  <conditionalFormatting sqref="E172">
    <cfRule type="expression" dxfId="9542" priority="13147">
      <formula>IF(#REF!="FICTICIO",1,0)</formula>
    </cfRule>
  </conditionalFormatting>
  <conditionalFormatting sqref="E172">
    <cfRule type="expression" dxfId="9541" priority="13145">
      <formula>IF(#REF!="FICTICIO",1,0)</formula>
    </cfRule>
  </conditionalFormatting>
  <conditionalFormatting sqref="E172">
    <cfRule type="expression" dxfId="9540" priority="13144">
      <formula>IF(#REF!="FICTICIO",1,0)</formula>
    </cfRule>
  </conditionalFormatting>
  <conditionalFormatting sqref="E172">
    <cfRule type="expression" dxfId="9539" priority="13143">
      <formula>IF(#REF!="FICTICIO",1,0)</formula>
    </cfRule>
  </conditionalFormatting>
  <conditionalFormatting sqref="E172">
    <cfRule type="expression" dxfId="9538" priority="13142">
      <formula>IF(#REF!="FICTICIO",1,0)</formula>
    </cfRule>
  </conditionalFormatting>
  <conditionalFormatting sqref="E172">
    <cfRule type="expression" dxfId="9537" priority="13141">
      <formula>IF(#REF!="FICTICIO",1,0)</formula>
    </cfRule>
  </conditionalFormatting>
  <conditionalFormatting sqref="E172">
    <cfRule type="expression" dxfId="9536" priority="13140">
      <formula>IF(#REF!="FICTICIO",1,0)</formula>
    </cfRule>
  </conditionalFormatting>
  <conditionalFormatting sqref="E172">
    <cfRule type="expression" dxfId="9535" priority="13139">
      <formula>IF(#REF!="FICTICIO",1,0)</formula>
    </cfRule>
  </conditionalFormatting>
  <conditionalFormatting sqref="E172">
    <cfRule type="expression" dxfId="9534" priority="13138">
      <formula>IF(#REF!="FICTICIO",1,0)</formula>
    </cfRule>
  </conditionalFormatting>
  <conditionalFormatting sqref="E172">
    <cfRule type="expression" dxfId="9533" priority="13137">
      <formula>IF(#REF!="FICTICIO",1,0)</formula>
    </cfRule>
  </conditionalFormatting>
  <conditionalFormatting sqref="E172">
    <cfRule type="expression" dxfId="9532" priority="13136">
      <formula>IF(#REF!="FICTICIO",1,0)</formula>
    </cfRule>
  </conditionalFormatting>
  <conditionalFormatting sqref="E172">
    <cfRule type="expression" dxfId="9531" priority="13135">
      <formula>IF(#REF!="FICTICIO",1,0)</formula>
    </cfRule>
  </conditionalFormatting>
  <conditionalFormatting sqref="E172">
    <cfRule type="expression" dxfId="9530" priority="13134">
      <formula>IF(#REF!="FICTICIO",1,0)</formula>
    </cfRule>
  </conditionalFormatting>
  <conditionalFormatting sqref="E172">
    <cfRule type="expression" dxfId="9529" priority="13133">
      <formula>IF(#REF!="FICTICIO",1,0)</formula>
    </cfRule>
  </conditionalFormatting>
  <conditionalFormatting sqref="E172">
    <cfRule type="expression" dxfId="9528" priority="13132">
      <formula>IF(#REF!="FICTICIO",1,0)</formula>
    </cfRule>
  </conditionalFormatting>
  <conditionalFormatting sqref="E172">
    <cfRule type="expression" dxfId="9527" priority="13131">
      <formula>IF(#REF!="FICTICIO",1,0)</formula>
    </cfRule>
  </conditionalFormatting>
  <conditionalFormatting sqref="E172">
    <cfRule type="expression" dxfId="9526" priority="13130">
      <formula>IF(#REF!="FICTICIO",1,0)</formula>
    </cfRule>
  </conditionalFormatting>
  <conditionalFormatting sqref="E172">
    <cfRule type="expression" dxfId="9525" priority="13129">
      <formula>IF(#REF!="FICTICIO",1,0)</formula>
    </cfRule>
  </conditionalFormatting>
  <conditionalFormatting sqref="E172">
    <cfRule type="expression" dxfId="9524" priority="13128">
      <formula>IF(#REF!="FICTICIO",1,0)</formula>
    </cfRule>
  </conditionalFormatting>
  <conditionalFormatting sqref="E172">
    <cfRule type="expression" dxfId="9523" priority="13127">
      <formula>IF(#REF!="FICTICIO",1,0)</formula>
    </cfRule>
  </conditionalFormatting>
  <conditionalFormatting sqref="E172">
    <cfRule type="expression" dxfId="9522" priority="13126">
      <formula>IF(#REF!="FICTICIO",1,0)</formula>
    </cfRule>
  </conditionalFormatting>
  <conditionalFormatting sqref="E172">
    <cfRule type="expression" dxfId="9521" priority="13125">
      <formula>IF(#REF!="FICTICIO",1,0)</formula>
    </cfRule>
  </conditionalFormatting>
  <conditionalFormatting sqref="E172">
    <cfRule type="expression" dxfId="9520" priority="13123">
      <formula>IF(#REF!="FICTICIO",1,0)</formula>
    </cfRule>
  </conditionalFormatting>
  <conditionalFormatting sqref="E172">
    <cfRule type="expression" dxfId="9519" priority="13124">
      <formula>IF(#REF!="FICTICIO",1,0)</formula>
    </cfRule>
  </conditionalFormatting>
  <conditionalFormatting sqref="E172">
    <cfRule type="expression" dxfId="9518" priority="13122">
      <formula>IF(#REF!="FICTICIO",1,0)</formula>
    </cfRule>
  </conditionalFormatting>
  <conditionalFormatting sqref="E172">
    <cfRule type="expression" dxfId="9517" priority="13121">
      <formula>IF(#REF!="FICTICIO",1,0)</formula>
    </cfRule>
  </conditionalFormatting>
  <conditionalFormatting sqref="E172">
    <cfRule type="expression" dxfId="9516" priority="13120">
      <formula>IF(#REF!="FICTICIO",1,0)</formula>
    </cfRule>
  </conditionalFormatting>
  <conditionalFormatting sqref="D173 F173">
    <cfRule type="expression" dxfId="9515" priority="13119">
      <formula>IF(#REF!="FICTICIO",1,0)</formula>
    </cfRule>
  </conditionalFormatting>
  <conditionalFormatting sqref="E173">
    <cfRule type="expression" dxfId="9514" priority="13118">
      <formula>IF(#REF!="FICTICIO",1,0)</formula>
    </cfRule>
  </conditionalFormatting>
  <conditionalFormatting sqref="E173">
    <cfRule type="expression" dxfId="9513" priority="13117">
      <formula>IF(#REF!="FICTICIO",1,0)</formula>
    </cfRule>
  </conditionalFormatting>
  <conditionalFormatting sqref="E173">
    <cfRule type="expression" dxfId="9512" priority="13116">
      <formula>IF(#REF!="FICTICIO",1,0)</formula>
    </cfRule>
  </conditionalFormatting>
  <conditionalFormatting sqref="E173">
    <cfRule type="expression" dxfId="9511" priority="13115">
      <formula>IF(#REF!="FICTICIO",1,0)</formula>
    </cfRule>
  </conditionalFormatting>
  <conditionalFormatting sqref="E173">
    <cfRule type="expression" dxfId="9510" priority="13114">
      <formula>IF(#REF!="FICTICIO",1,0)</formula>
    </cfRule>
  </conditionalFormatting>
  <conditionalFormatting sqref="E173">
    <cfRule type="expression" dxfId="9509" priority="13113">
      <formula>IF(#REF!="FICTICIO",1,0)</formula>
    </cfRule>
  </conditionalFormatting>
  <conditionalFormatting sqref="E173">
    <cfRule type="expression" dxfId="9508" priority="13112">
      <formula>IF(#REF!="FICTICIO",1,0)</formula>
    </cfRule>
  </conditionalFormatting>
  <conditionalFormatting sqref="E173">
    <cfRule type="expression" dxfId="9507" priority="13111">
      <formula>IF(#REF!="FICTICIO",1,0)</formula>
    </cfRule>
  </conditionalFormatting>
  <conditionalFormatting sqref="E173">
    <cfRule type="expression" dxfId="9506" priority="13110">
      <formula>IF(#REF!="FICTICIO",1,0)</formula>
    </cfRule>
  </conditionalFormatting>
  <conditionalFormatting sqref="E173">
    <cfRule type="expression" dxfId="9505" priority="13109">
      <formula>IF(#REF!="FICTICIO",1,0)</formula>
    </cfRule>
  </conditionalFormatting>
  <conditionalFormatting sqref="E173">
    <cfRule type="expression" dxfId="9504" priority="13108">
      <formula>IF(#REF!="FICTICIO",1,0)</formula>
    </cfRule>
  </conditionalFormatting>
  <conditionalFormatting sqref="E173">
    <cfRule type="expression" dxfId="9503" priority="13107">
      <formula>IF(#REF!="FICTICIO",1,0)</formula>
    </cfRule>
  </conditionalFormatting>
  <conditionalFormatting sqref="E173">
    <cfRule type="expression" dxfId="9502" priority="13106">
      <formula>IF(#REF!="FICTICIO",1,0)</formula>
    </cfRule>
  </conditionalFormatting>
  <conditionalFormatting sqref="E173">
    <cfRule type="expression" dxfId="9501" priority="13105">
      <formula>IF(#REF!="FICTICIO",1,0)</formula>
    </cfRule>
  </conditionalFormatting>
  <conditionalFormatting sqref="E173">
    <cfRule type="expression" dxfId="9500" priority="13104">
      <formula>IF(#REF!="FICTICIO",1,0)</formula>
    </cfRule>
  </conditionalFormatting>
  <conditionalFormatting sqref="E173">
    <cfRule type="expression" dxfId="9499" priority="13103">
      <formula>IF(#REF!="FICTICIO",1,0)</formula>
    </cfRule>
  </conditionalFormatting>
  <conditionalFormatting sqref="E173">
    <cfRule type="expression" dxfId="9498" priority="13102">
      <formula>IF(#REF!="FICTICIO",1,0)</formula>
    </cfRule>
  </conditionalFormatting>
  <conditionalFormatting sqref="E173">
    <cfRule type="expression" dxfId="9497" priority="13101">
      <formula>IF(#REF!="FICTICIO",1,0)</formula>
    </cfRule>
  </conditionalFormatting>
  <conditionalFormatting sqref="E173">
    <cfRule type="expression" dxfId="9496" priority="13099">
      <formula>IF(#REF!="FICTICIO",1,0)</formula>
    </cfRule>
  </conditionalFormatting>
  <conditionalFormatting sqref="E173">
    <cfRule type="expression" dxfId="9495" priority="13100">
      <formula>IF(#REF!="FICTICIO",1,0)</formula>
    </cfRule>
  </conditionalFormatting>
  <conditionalFormatting sqref="E173">
    <cfRule type="expression" dxfId="9494" priority="13098">
      <formula>IF(#REF!="FICTICIO",1,0)</formula>
    </cfRule>
  </conditionalFormatting>
  <conditionalFormatting sqref="E173">
    <cfRule type="expression" dxfId="9493" priority="13097">
      <formula>IF(#REF!="FICTICIO",1,0)</formula>
    </cfRule>
  </conditionalFormatting>
  <conditionalFormatting sqref="E173">
    <cfRule type="expression" dxfId="9492" priority="13096">
      <formula>IF(#REF!="FICTICIO",1,0)</formula>
    </cfRule>
  </conditionalFormatting>
  <conditionalFormatting sqref="E173">
    <cfRule type="expression" dxfId="9491" priority="13095">
      <formula>IF(#REF!="FICTICIO",1,0)</formula>
    </cfRule>
  </conditionalFormatting>
  <conditionalFormatting sqref="E173">
    <cfRule type="expression" dxfId="9490" priority="13094">
      <formula>IF(#REF!="FICTICIO",1,0)</formula>
    </cfRule>
  </conditionalFormatting>
  <conditionalFormatting sqref="E173">
    <cfRule type="expression" dxfId="9489" priority="13093">
      <formula>IF(#REF!="FICTICIO",1,0)</formula>
    </cfRule>
  </conditionalFormatting>
  <conditionalFormatting sqref="E173">
    <cfRule type="expression" dxfId="9488" priority="13092">
      <formula>IF(#REF!="FICTICIO",1,0)</formula>
    </cfRule>
  </conditionalFormatting>
  <conditionalFormatting sqref="E173">
    <cfRule type="expression" dxfId="9487" priority="13091">
      <formula>IF(#REF!="FICTICIO",1,0)</formula>
    </cfRule>
  </conditionalFormatting>
  <conditionalFormatting sqref="E173">
    <cfRule type="expression" dxfId="9486" priority="13090">
      <formula>IF(#REF!="FICTICIO",1,0)</formula>
    </cfRule>
  </conditionalFormatting>
  <conditionalFormatting sqref="E173">
    <cfRule type="expression" dxfId="9485" priority="13089">
      <formula>IF(#REF!="FICTICIO",1,0)</formula>
    </cfRule>
  </conditionalFormatting>
  <conditionalFormatting sqref="E173">
    <cfRule type="expression" dxfId="9484" priority="13088">
      <formula>IF(#REF!="FICTICIO",1,0)</formula>
    </cfRule>
  </conditionalFormatting>
  <conditionalFormatting sqref="E173">
    <cfRule type="expression" dxfId="9483" priority="13087">
      <formula>IF(#REF!="FICTICIO",1,0)</formula>
    </cfRule>
  </conditionalFormatting>
  <conditionalFormatting sqref="E173">
    <cfRule type="expression" dxfId="9482" priority="13086">
      <formula>IF(#REF!="FICTICIO",1,0)</formula>
    </cfRule>
  </conditionalFormatting>
  <conditionalFormatting sqref="E173">
    <cfRule type="expression" dxfId="9481" priority="13085">
      <formula>IF(#REF!="FICTICIO",1,0)</formula>
    </cfRule>
  </conditionalFormatting>
  <conditionalFormatting sqref="E173">
    <cfRule type="expression" dxfId="9480" priority="13084">
      <formula>IF(#REF!="FICTICIO",1,0)</formula>
    </cfRule>
  </conditionalFormatting>
  <conditionalFormatting sqref="E173">
    <cfRule type="expression" dxfId="9479" priority="13083">
      <formula>IF(#REF!="FICTICIO",1,0)</formula>
    </cfRule>
  </conditionalFormatting>
  <conditionalFormatting sqref="E173">
    <cfRule type="expression" dxfId="9478" priority="13082">
      <formula>IF(#REF!="FICTICIO",1,0)</formula>
    </cfRule>
  </conditionalFormatting>
  <conditionalFormatting sqref="E173">
    <cfRule type="expression" dxfId="9477" priority="13081">
      <formula>IF(#REF!="FICTICIO",1,0)</formula>
    </cfRule>
  </conditionalFormatting>
  <conditionalFormatting sqref="E173">
    <cfRule type="expression" dxfId="9476" priority="13080">
      <formula>IF(#REF!="FICTICIO",1,0)</formula>
    </cfRule>
  </conditionalFormatting>
  <conditionalFormatting sqref="E173">
    <cfRule type="expression" dxfId="9475" priority="13079">
      <formula>IF(#REF!="FICTICIO",1,0)</formula>
    </cfRule>
  </conditionalFormatting>
  <conditionalFormatting sqref="E173">
    <cfRule type="expression" dxfId="9474" priority="13078">
      <formula>IF(#REF!="FICTICIO",1,0)</formula>
    </cfRule>
  </conditionalFormatting>
  <conditionalFormatting sqref="E173">
    <cfRule type="expression" dxfId="9473" priority="13076">
      <formula>IF(#REF!="FICTICIO",1,0)</formula>
    </cfRule>
  </conditionalFormatting>
  <conditionalFormatting sqref="E173">
    <cfRule type="expression" dxfId="9472" priority="13077">
      <formula>IF(#REF!="FICTICIO",1,0)</formula>
    </cfRule>
  </conditionalFormatting>
  <conditionalFormatting sqref="E173">
    <cfRule type="expression" dxfId="9471" priority="13075">
      <formula>IF(#REF!="FICTICIO",1,0)</formula>
    </cfRule>
  </conditionalFormatting>
  <conditionalFormatting sqref="E173">
    <cfRule type="expression" dxfId="9470" priority="13074">
      <formula>IF(#REF!="FICTICIO",1,0)</formula>
    </cfRule>
  </conditionalFormatting>
  <conditionalFormatting sqref="E173">
    <cfRule type="expression" dxfId="9469" priority="13073">
      <formula>IF(#REF!="FICTICIO",1,0)</formula>
    </cfRule>
  </conditionalFormatting>
  <conditionalFormatting sqref="E173">
    <cfRule type="expression" dxfId="9468" priority="13072">
      <formula>IF(#REF!="FICTICIO",1,0)</formula>
    </cfRule>
  </conditionalFormatting>
  <conditionalFormatting sqref="E173">
    <cfRule type="expression" dxfId="9467" priority="13071">
      <formula>IF(#REF!="FICTICIO",1,0)</formula>
    </cfRule>
  </conditionalFormatting>
  <conditionalFormatting sqref="E173">
    <cfRule type="expression" dxfId="9466" priority="13070">
      <formula>IF(#REF!="FICTICIO",1,0)</formula>
    </cfRule>
  </conditionalFormatting>
  <conditionalFormatting sqref="E173">
    <cfRule type="expression" dxfId="9465" priority="13069">
      <formula>IF(#REF!="FICTICIO",1,0)</formula>
    </cfRule>
  </conditionalFormatting>
  <conditionalFormatting sqref="E173">
    <cfRule type="expression" dxfId="9464" priority="13068">
      <formula>IF(#REF!="FICTICIO",1,0)</formula>
    </cfRule>
  </conditionalFormatting>
  <conditionalFormatting sqref="E173">
    <cfRule type="expression" dxfId="9463" priority="13067">
      <formula>IF(#REF!="FICTICIO",1,0)</formula>
    </cfRule>
  </conditionalFormatting>
  <conditionalFormatting sqref="E173">
    <cfRule type="expression" dxfId="9462" priority="13066">
      <formula>IF(#REF!="FICTICIO",1,0)</formula>
    </cfRule>
  </conditionalFormatting>
  <conditionalFormatting sqref="E173">
    <cfRule type="expression" dxfId="9461" priority="13065">
      <formula>IF(#REF!="FICTICIO",1,0)</formula>
    </cfRule>
  </conditionalFormatting>
  <conditionalFormatting sqref="E173">
    <cfRule type="expression" dxfId="9460" priority="13064">
      <formula>IF(#REF!="FICTICIO",1,0)</formula>
    </cfRule>
  </conditionalFormatting>
  <conditionalFormatting sqref="E173">
    <cfRule type="expression" dxfId="9459" priority="13063">
      <formula>IF(#REF!="FICTICIO",1,0)</formula>
    </cfRule>
  </conditionalFormatting>
  <conditionalFormatting sqref="E173">
    <cfRule type="expression" dxfId="9458" priority="13062">
      <formula>IF(#REF!="FICTICIO",1,0)</formula>
    </cfRule>
  </conditionalFormatting>
  <conditionalFormatting sqref="E173">
    <cfRule type="expression" dxfId="9457" priority="13061">
      <formula>IF(#REF!="FICTICIO",1,0)</formula>
    </cfRule>
  </conditionalFormatting>
  <conditionalFormatting sqref="E173">
    <cfRule type="expression" dxfId="9456" priority="13060">
      <formula>IF(#REF!="FICTICIO",1,0)</formula>
    </cfRule>
  </conditionalFormatting>
  <conditionalFormatting sqref="E173">
    <cfRule type="expression" dxfId="9455" priority="13059">
      <formula>IF(#REF!="FICTICIO",1,0)</formula>
    </cfRule>
  </conditionalFormatting>
  <conditionalFormatting sqref="E173">
    <cfRule type="expression" dxfId="9454" priority="13058">
      <formula>IF(#REF!="FICTICIO",1,0)</formula>
    </cfRule>
  </conditionalFormatting>
  <conditionalFormatting sqref="E173">
    <cfRule type="expression" dxfId="9453" priority="13057">
      <formula>IF(#REF!="FICTICIO",1,0)</formula>
    </cfRule>
  </conditionalFormatting>
  <conditionalFormatting sqref="E173">
    <cfRule type="expression" dxfId="9452" priority="13056">
      <formula>IF(#REF!="FICTICIO",1,0)</formula>
    </cfRule>
  </conditionalFormatting>
  <conditionalFormatting sqref="E173">
    <cfRule type="expression" dxfId="9451" priority="13055">
      <formula>IF(#REF!="FICTICIO",1,0)</formula>
    </cfRule>
  </conditionalFormatting>
  <conditionalFormatting sqref="E173">
    <cfRule type="expression" dxfId="9450" priority="13053">
      <formula>IF(#REF!="FICTICIO",1,0)</formula>
    </cfRule>
  </conditionalFormatting>
  <conditionalFormatting sqref="E173">
    <cfRule type="expression" dxfId="9449" priority="13054">
      <formula>IF(#REF!="FICTICIO",1,0)</formula>
    </cfRule>
  </conditionalFormatting>
  <conditionalFormatting sqref="E173">
    <cfRule type="expression" dxfId="9448" priority="13052">
      <formula>IF(#REF!="FICTICIO",1,0)</formula>
    </cfRule>
  </conditionalFormatting>
  <conditionalFormatting sqref="E173">
    <cfRule type="expression" dxfId="9447" priority="13051">
      <formula>IF(#REF!="FICTICIO",1,0)</formula>
    </cfRule>
  </conditionalFormatting>
  <conditionalFormatting sqref="E173">
    <cfRule type="expression" dxfId="9446" priority="13050">
      <formula>IF(#REF!="FICTICIO",1,0)</formula>
    </cfRule>
  </conditionalFormatting>
  <conditionalFormatting sqref="E174">
    <cfRule type="expression" dxfId="9445" priority="13049">
      <formula>IF(#REF!="FICTICIO",1,0)</formula>
    </cfRule>
  </conditionalFormatting>
  <conditionalFormatting sqref="E174">
    <cfRule type="expression" dxfId="9444" priority="13048">
      <formula>IF(#REF!="FICTICIO",1,0)</formula>
    </cfRule>
  </conditionalFormatting>
  <conditionalFormatting sqref="E174">
    <cfRule type="expression" dxfId="9443" priority="13047">
      <formula>IF(#REF!="FICTICIO",1,0)</formula>
    </cfRule>
  </conditionalFormatting>
  <conditionalFormatting sqref="E174">
    <cfRule type="expression" dxfId="9442" priority="13046">
      <formula>IF(#REF!="FICTICIO",1,0)</formula>
    </cfRule>
  </conditionalFormatting>
  <conditionalFormatting sqref="E174">
    <cfRule type="expression" dxfId="9441" priority="13045">
      <formula>IF(#REF!="FICTICIO",1,0)</formula>
    </cfRule>
  </conditionalFormatting>
  <conditionalFormatting sqref="E174">
    <cfRule type="expression" dxfId="9440" priority="13044">
      <formula>IF(#REF!="FICTICIO",1,0)</formula>
    </cfRule>
  </conditionalFormatting>
  <conditionalFormatting sqref="E174">
    <cfRule type="expression" dxfId="9439" priority="13043">
      <formula>IF(#REF!="FICTICIO",1,0)</formula>
    </cfRule>
  </conditionalFormatting>
  <conditionalFormatting sqref="E174">
    <cfRule type="expression" dxfId="9438" priority="13042">
      <formula>IF(#REF!="FICTICIO",1,0)</formula>
    </cfRule>
  </conditionalFormatting>
  <conditionalFormatting sqref="E174">
    <cfRule type="expression" dxfId="9437" priority="13041">
      <formula>IF(#REF!="FICTICIO",1,0)</formula>
    </cfRule>
  </conditionalFormatting>
  <conditionalFormatting sqref="E174">
    <cfRule type="expression" dxfId="9436" priority="13040">
      <formula>IF(#REF!="FICTICIO",1,0)</formula>
    </cfRule>
  </conditionalFormatting>
  <conditionalFormatting sqref="E174">
    <cfRule type="expression" dxfId="9435" priority="13039">
      <formula>IF(#REF!="FICTICIO",1,0)</formula>
    </cfRule>
  </conditionalFormatting>
  <conditionalFormatting sqref="E174">
    <cfRule type="expression" dxfId="9434" priority="13038">
      <formula>IF(#REF!="FICTICIO",1,0)</formula>
    </cfRule>
  </conditionalFormatting>
  <conditionalFormatting sqref="E174">
    <cfRule type="expression" dxfId="9433" priority="13037">
      <formula>IF(#REF!="FICTICIO",1,0)</formula>
    </cfRule>
  </conditionalFormatting>
  <conditionalFormatting sqref="E174">
    <cfRule type="expression" dxfId="9432" priority="13036">
      <formula>IF(#REF!="FICTICIO",1,0)</formula>
    </cfRule>
  </conditionalFormatting>
  <conditionalFormatting sqref="E174">
    <cfRule type="expression" dxfId="9431" priority="13035">
      <formula>IF(#REF!="FICTICIO",1,0)</formula>
    </cfRule>
  </conditionalFormatting>
  <conditionalFormatting sqref="E174">
    <cfRule type="expression" dxfId="9430" priority="13034">
      <formula>IF(#REF!="FICTICIO",1,0)</formula>
    </cfRule>
  </conditionalFormatting>
  <conditionalFormatting sqref="E174">
    <cfRule type="expression" dxfId="9429" priority="13033">
      <formula>IF(#REF!="FICTICIO",1,0)</formula>
    </cfRule>
  </conditionalFormatting>
  <conditionalFormatting sqref="E174">
    <cfRule type="expression" dxfId="9428" priority="13032">
      <formula>IF(#REF!="FICTICIO",1,0)</formula>
    </cfRule>
  </conditionalFormatting>
  <conditionalFormatting sqref="E174">
    <cfRule type="expression" dxfId="9427" priority="13030">
      <formula>IF(#REF!="FICTICIO",1,0)</formula>
    </cfRule>
  </conditionalFormatting>
  <conditionalFormatting sqref="E174">
    <cfRule type="expression" dxfId="9426" priority="13031">
      <formula>IF(#REF!="FICTICIO",1,0)</formula>
    </cfRule>
  </conditionalFormatting>
  <conditionalFormatting sqref="E174">
    <cfRule type="expression" dxfId="9425" priority="13029">
      <formula>IF(#REF!="FICTICIO",1,0)</formula>
    </cfRule>
  </conditionalFormatting>
  <conditionalFormatting sqref="E174">
    <cfRule type="expression" dxfId="9424" priority="13028">
      <formula>IF(#REF!="FICTICIO",1,0)</formula>
    </cfRule>
  </conditionalFormatting>
  <conditionalFormatting sqref="E174">
    <cfRule type="expression" dxfId="9423" priority="13027">
      <formula>IF(#REF!="FICTICIO",1,0)</formula>
    </cfRule>
  </conditionalFormatting>
  <conditionalFormatting sqref="E174">
    <cfRule type="expression" dxfId="9422" priority="13026">
      <formula>IF(#REF!="FICTICIO",1,0)</formula>
    </cfRule>
  </conditionalFormatting>
  <conditionalFormatting sqref="E174">
    <cfRule type="expression" dxfId="9421" priority="13025">
      <formula>IF(#REF!="FICTICIO",1,0)</formula>
    </cfRule>
  </conditionalFormatting>
  <conditionalFormatting sqref="E174">
    <cfRule type="expression" dxfId="9420" priority="13024">
      <formula>IF(#REF!="FICTICIO",1,0)</formula>
    </cfRule>
  </conditionalFormatting>
  <conditionalFormatting sqref="E174">
    <cfRule type="expression" dxfId="9419" priority="13023">
      <formula>IF(#REF!="FICTICIO",1,0)</formula>
    </cfRule>
  </conditionalFormatting>
  <conditionalFormatting sqref="E174">
    <cfRule type="expression" dxfId="9418" priority="13022">
      <formula>IF(#REF!="FICTICIO",1,0)</formula>
    </cfRule>
  </conditionalFormatting>
  <conditionalFormatting sqref="E174">
    <cfRule type="expression" dxfId="9417" priority="13021">
      <formula>IF(#REF!="FICTICIO",1,0)</formula>
    </cfRule>
  </conditionalFormatting>
  <conditionalFormatting sqref="E174">
    <cfRule type="expression" dxfId="9416" priority="13020">
      <formula>IF(#REF!="FICTICIO",1,0)</formula>
    </cfRule>
  </conditionalFormatting>
  <conditionalFormatting sqref="E174">
    <cfRule type="expression" dxfId="9415" priority="13019">
      <formula>IF(#REF!="FICTICIO",1,0)</formula>
    </cfRule>
  </conditionalFormatting>
  <conditionalFormatting sqref="E174">
    <cfRule type="expression" dxfId="9414" priority="13018">
      <formula>IF(#REF!="FICTICIO",1,0)</formula>
    </cfRule>
  </conditionalFormatting>
  <conditionalFormatting sqref="E174">
    <cfRule type="expression" dxfId="9413" priority="13017">
      <formula>IF(#REF!="FICTICIO",1,0)</formula>
    </cfRule>
  </conditionalFormatting>
  <conditionalFormatting sqref="E174">
    <cfRule type="expression" dxfId="9412" priority="13016">
      <formula>IF(#REF!="FICTICIO",1,0)</formula>
    </cfRule>
  </conditionalFormatting>
  <conditionalFormatting sqref="E174">
    <cfRule type="expression" dxfId="9411" priority="13015">
      <formula>IF(#REF!="FICTICIO",1,0)</formula>
    </cfRule>
  </conditionalFormatting>
  <conditionalFormatting sqref="E174">
    <cfRule type="expression" dxfId="9410" priority="13014">
      <formula>IF(#REF!="FICTICIO",1,0)</formula>
    </cfRule>
  </conditionalFormatting>
  <conditionalFormatting sqref="E174">
    <cfRule type="expression" dxfId="9409" priority="13013">
      <formula>IF(#REF!="FICTICIO",1,0)</formula>
    </cfRule>
  </conditionalFormatting>
  <conditionalFormatting sqref="E174">
    <cfRule type="expression" dxfId="9408" priority="13012">
      <formula>IF(#REF!="FICTICIO",1,0)</formula>
    </cfRule>
  </conditionalFormatting>
  <conditionalFormatting sqref="E174">
    <cfRule type="expression" dxfId="9407" priority="13011">
      <formula>IF(#REF!="FICTICIO",1,0)</formula>
    </cfRule>
  </conditionalFormatting>
  <conditionalFormatting sqref="E174">
    <cfRule type="expression" dxfId="9406" priority="13010">
      <formula>IF(#REF!="FICTICIO",1,0)</formula>
    </cfRule>
  </conditionalFormatting>
  <conditionalFormatting sqref="E174">
    <cfRule type="expression" dxfId="9405" priority="13009">
      <formula>IF(#REF!="FICTICIO",1,0)</formula>
    </cfRule>
  </conditionalFormatting>
  <conditionalFormatting sqref="E174">
    <cfRule type="expression" dxfId="9404" priority="13007">
      <formula>IF(#REF!="FICTICIO",1,0)</formula>
    </cfRule>
  </conditionalFormatting>
  <conditionalFormatting sqref="E174">
    <cfRule type="expression" dxfId="9403" priority="13008">
      <formula>IF(#REF!="FICTICIO",1,0)</formula>
    </cfRule>
  </conditionalFormatting>
  <conditionalFormatting sqref="E174">
    <cfRule type="expression" dxfId="9402" priority="13006">
      <formula>IF(#REF!="FICTICIO",1,0)</formula>
    </cfRule>
  </conditionalFormatting>
  <conditionalFormatting sqref="E174">
    <cfRule type="expression" dxfId="9401" priority="13005">
      <formula>IF(#REF!="FICTICIO",1,0)</formula>
    </cfRule>
  </conditionalFormatting>
  <conditionalFormatting sqref="E174">
    <cfRule type="expression" dxfId="9400" priority="13004">
      <formula>IF(#REF!="FICTICIO",1,0)</formula>
    </cfRule>
  </conditionalFormatting>
  <conditionalFormatting sqref="E174">
    <cfRule type="expression" dxfId="9399" priority="13003">
      <formula>IF(#REF!="FICTICIO",1,0)</formula>
    </cfRule>
  </conditionalFormatting>
  <conditionalFormatting sqref="E174">
    <cfRule type="expression" dxfId="9398" priority="13002">
      <formula>IF(#REF!="FICTICIO",1,0)</formula>
    </cfRule>
  </conditionalFormatting>
  <conditionalFormatting sqref="E174">
    <cfRule type="expression" dxfId="9397" priority="13001">
      <formula>IF(#REF!="FICTICIO",1,0)</formula>
    </cfRule>
  </conditionalFormatting>
  <conditionalFormatting sqref="E174">
    <cfRule type="expression" dxfId="9396" priority="13000">
      <formula>IF(#REF!="FICTICIO",1,0)</formula>
    </cfRule>
  </conditionalFormatting>
  <conditionalFormatting sqref="E174">
    <cfRule type="expression" dxfId="9395" priority="12999">
      <formula>IF(#REF!="FICTICIO",1,0)</formula>
    </cfRule>
  </conditionalFormatting>
  <conditionalFormatting sqref="E174">
    <cfRule type="expression" dxfId="9394" priority="12998">
      <formula>IF(#REF!="FICTICIO",1,0)</formula>
    </cfRule>
  </conditionalFormatting>
  <conditionalFormatting sqref="E174">
    <cfRule type="expression" dxfId="9393" priority="12997">
      <formula>IF(#REF!="FICTICIO",1,0)</formula>
    </cfRule>
  </conditionalFormatting>
  <conditionalFormatting sqref="E174">
    <cfRule type="expression" dxfId="9392" priority="12996">
      <formula>IF(#REF!="FICTICIO",1,0)</formula>
    </cfRule>
  </conditionalFormatting>
  <conditionalFormatting sqref="E174">
    <cfRule type="expression" dxfId="9391" priority="12995">
      <formula>IF(#REF!="FICTICIO",1,0)</formula>
    </cfRule>
  </conditionalFormatting>
  <conditionalFormatting sqref="E174">
    <cfRule type="expression" dxfId="9390" priority="12994">
      <formula>IF(#REF!="FICTICIO",1,0)</formula>
    </cfRule>
  </conditionalFormatting>
  <conditionalFormatting sqref="E174">
    <cfRule type="expression" dxfId="9389" priority="12993">
      <formula>IF(#REF!="FICTICIO",1,0)</formula>
    </cfRule>
  </conditionalFormatting>
  <conditionalFormatting sqref="E174">
    <cfRule type="expression" dxfId="9388" priority="12992">
      <formula>IF(#REF!="FICTICIO",1,0)</formula>
    </cfRule>
  </conditionalFormatting>
  <conditionalFormatting sqref="E174">
    <cfRule type="expression" dxfId="9387" priority="12991">
      <formula>IF(#REF!="FICTICIO",1,0)</formula>
    </cfRule>
  </conditionalFormatting>
  <conditionalFormatting sqref="E174">
    <cfRule type="expression" dxfId="9386" priority="12990">
      <formula>IF(#REF!="FICTICIO",1,0)</formula>
    </cfRule>
  </conditionalFormatting>
  <conditionalFormatting sqref="E174">
    <cfRule type="expression" dxfId="9385" priority="12989">
      <formula>IF(#REF!="FICTICIO",1,0)</formula>
    </cfRule>
  </conditionalFormatting>
  <conditionalFormatting sqref="E174">
    <cfRule type="expression" dxfId="9384" priority="12988">
      <formula>IF(#REF!="FICTICIO",1,0)</formula>
    </cfRule>
  </conditionalFormatting>
  <conditionalFormatting sqref="E174">
    <cfRule type="expression" dxfId="9383" priority="12987">
      <formula>IF(#REF!="FICTICIO",1,0)</formula>
    </cfRule>
  </conditionalFormatting>
  <conditionalFormatting sqref="E174">
    <cfRule type="expression" dxfId="9382" priority="12986">
      <formula>IF(#REF!="FICTICIO",1,0)</formula>
    </cfRule>
  </conditionalFormatting>
  <conditionalFormatting sqref="E174">
    <cfRule type="expression" dxfId="9381" priority="12984">
      <formula>IF(#REF!="FICTICIO",1,0)</formula>
    </cfRule>
  </conditionalFormatting>
  <conditionalFormatting sqref="E174">
    <cfRule type="expression" dxfId="9380" priority="12985">
      <formula>IF(#REF!="FICTICIO",1,0)</formula>
    </cfRule>
  </conditionalFormatting>
  <conditionalFormatting sqref="E174">
    <cfRule type="expression" dxfId="9379" priority="12983">
      <formula>IF(#REF!="FICTICIO",1,0)</formula>
    </cfRule>
  </conditionalFormatting>
  <conditionalFormatting sqref="E174">
    <cfRule type="expression" dxfId="9378" priority="12982">
      <formula>IF(#REF!="FICTICIO",1,0)</formula>
    </cfRule>
  </conditionalFormatting>
  <conditionalFormatting sqref="E174">
    <cfRule type="expression" dxfId="9377" priority="12981">
      <formula>IF(#REF!="FICTICIO",1,0)</formula>
    </cfRule>
  </conditionalFormatting>
  <conditionalFormatting sqref="D175 F175">
    <cfRule type="expression" dxfId="9376" priority="12980">
      <formula>IF(#REF!="FICTICIO",1,0)</formula>
    </cfRule>
  </conditionalFormatting>
  <conditionalFormatting sqref="E175">
    <cfRule type="expression" dxfId="9375" priority="12979">
      <formula>IF(#REF!="FICTICIO",1,0)</formula>
    </cfRule>
  </conditionalFormatting>
  <conditionalFormatting sqref="E175">
    <cfRule type="expression" dxfId="9374" priority="12978">
      <formula>IF(#REF!="FICTICIO",1,0)</formula>
    </cfRule>
  </conditionalFormatting>
  <conditionalFormatting sqref="E175">
    <cfRule type="expression" dxfId="9373" priority="12977">
      <formula>IF(#REF!="FICTICIO",1,0)</formula>
    </cfRule>
  </conditionalFormatting>
  <conditionalFormatting sqref="E175">
    <cfRule type="expression" dxfId="9372" priority="12976">
      <formula>IF(#REF!="FICTICIO",1,0)</formula>
    </cfRule>
  </conditionalFormatting>
  <conditionalFormatting sqref="E175">
    <cfRule type="expression" dxfId="9371" priority="12975">
      <formula>IF(#REF!="FICTICIO",1,0)</formula>
    </cfRule>
  </conditionalFormatting>
  <conditionalFormatting sqref="E175">
    <cfRule type="expression" dxfId="9370" priority="12974">
      <formula>IF(#REF!="FICTICIO",1,0)</formula>
    </cfRule>
  </conditionalFormatting>
  <conditionalFormatting sqref="E175">
    <cfRule type="expression" dxfId="9369" priority="12973">
      <formula>IF(#REF!="FICTICIO",1,0)</formula>
    </cfRule>
  </conditionalFormatting>
  <conditionalFormatting sqref="E175">
    <cfRule type="expression" dxfId="9368" priority="12972">
      <formula>IF(#REF!="FICTICIO",1,0)</formula>
    </cfRule>
  </conditionalFormatting>
  <conditionalFormatting sqref="E175">
    <cfRule type="expression" dxfId="9367" priority="12971">
      <formula>IF(#REF!="FICTICIO",1,0)</formula>
    </cfRule>
  </conditionalFormatting>
  <conditionalFormatting sqref="E175">
    <cfRule type="expression" dxfId="9366" priority="12970">
      <formula>IF(#REF!="FICTICIO",1,0)</formula>
    </cfRule>
  </conditionalFormatting>
  <conditionalFormatting sqref="E175">
    <cfRule type="expression" dxfId="9365" priority="12969">
      <formula>IF(#REF!="FICTICIO",1,0)</formula>
    </cfRule>
  </conditionalFormatting>
  <conditionalFormatting sqref="E175">
    <cfRule type="expression" dxfId="9364" priority="12968">
      <formula>IF(#REF!="FICTICIO",1,0)</formula>
    </cfRule>
  </conditionalFormatting>
  <conditionalFormatting sqref="E175">
    <cfRule type="expression" dxfId="9363" priority="12967">
      <formula>IF(#REF!="FICTICIO",1,0)</formula>
    </cfRule>
  </conditionalFormatting>
  <conditionalFormatting sqref="E175">
    <cfRule type="expression" dxfId="9362" priority="12966">
      <formula>IF(#REF!="FICTICIO",1,0)</formula>
    </cfRule>
  </conditionalFormatting>
  <conditionalFormatting sqref="E175">
    <cfRule type="expression" dxfId="9361" priority="12965">
      <formula>IF(#REF!="FICTICIO",1,0)</formula>
    </cfRule>
  </conditionalFormatting>
  <conditionalFormatting sqref="E175">
    <cfRule type="expression" dxfId="9360" priority="12964">
      <formula>IF(#REF!="FICTICIO",1,0)</formula>
    </cfRule>
  </conditionalFormatting>
  <conditionalFormatting sqref="E175">
    <cfRule type="expression" dxfId="9359" priority="12963">
      <formula>IF(#REF!="FICTICIO",1,0)</formula>
    </cfRule>
  </conditionalFormatting>
  <conditionalFormatting sqref="E175">
    <cfRule type="expression" dxfId="9358" priority="12962">
      <formula>IF(#REF!="FICTICIO",1,0)</formula>
    </cfRule>
  </conditionalFormatting>
  <conditionalFormatting sqref="E175">
    <cfRule type="expression" dxfId="9357" priority="12960">
      <formula>IF(#REF!="FICTICIO",1,0)</formula>
    </cfRule>
  </conditionalFormatting>
  <conditionalFormatting sqref="E175">
    <cfRule type="expression" dxfId="9356" priority="12961">
      <formula>IF(#REF!="FICTICIO",1,0)</formula>
    </cfRule>
  </conditionalFormatting>
  <conditionalFormatting sqref="E175">
    <cfRule type="expression" dxfId="9355" priority="12959">
      <formula>IF(#REF!="FICTICIO",1,0)</formula>
    </cfRule>
  </conditionalFormatting>
  <conditionalFormatting sqref="E175">
    <cfRule type="expression" dxfId="9354" priority="12958">
      <formula>IF(#REF!="FICTICIO",1,0)</formula>
    </cfRule>
  </conditionalFormatting>
  <conditionalFormatting sqref="E175">
    <cfRule type="expression" dxfId="9353" priority="12957">
      <formula>IF(#REF!="FICTICIO",1,0)</formula>
    </cfRule>
  </conditionalFormatting>
  <conditionalFormatting sqref="E175">
    <cfRule type="expression" dxfId="9352" priority="12956">
      <formula>IF(#REF!="FICTICIO",1,0)</formula>
    </cfRule>
  </conditionalFormatting>
  <conditionalFormatting sqref="E175">
    <cfRule type="expression" dxfId="9351" priority="12955">
      <formula>IF(#REF!="FICTICIO",1,0)</formula>
    </cfRule>
  </conditionalFormatting>
  <conditionalFormatting sqref="E175">
    <cfRule type="expression" dxfId="9350" priority="12954">
      <formula>IF(#REF!="FICTICIO",1,0)</formula>
    </cfRule>
  </conditionalFormatting>
  <conditionalFormatting sqref="E175">
    <cfRule type="expression" dxfId="9349" priority="12953">
      <formula>IF(#REF!="FICTICIO",1,0)</formula>
    </cfRule>
  </conditionalFormatting>
  <conditionalFormatting sqref="E175">
    <cfRule type="expression" dxfId="9348" priority="12952">
      <formula>IF(#REF!="FICTICIO",1,0)</formula>
    </cfRule>
  </conditionalFormatting>
  <conditionalFormatting sqref="E175">
    <cfRule type="expression" dxfId="9347" priority="12951">
      <formula>IF(#REF!="FICTICIO",1,0)</formula>
    </cfRule>
  </conditionalFormatting>
  <conditionalFormatting sqref="E175">
    <cfRule type="expression" dxfId="9346" priority="12950">
      <formula>IF(#REF!="FICTICIO",1,0)</formula>
    </cfRule>
  </conditionalFormatting>
  <conditionalFormatting sqref="E175">
    <cfRule type="expression" dxfId="9345" priority="12949">
      <formula>IF(#REF!="FICTICIO",1,0)</formula>
    </cfRule>
  </conditionalFormatting>
  <conditionalFormatting sqref="E175">
    <cfRule type="expression" dxfId="9344" priority="12948">
      <formula>IF(#REF!="FICTICIO",1,0)</formula>
    </cfRule>
  </conditionalFormatting>
  <conditionalFormatting sqref="E175">
    <cfRule type="expression" dxfId="9343" priority="12947">
      <formula>IF(#REF!="FICTICIO",1,0)</formula>
    </cfRule>
  </conditionalFormatting>
  <conditionalFormatting sqref="E175">
    <cfRule type="expression" dxfId="9342" priority="12946">
      <formula>IF(#REF!="FICTICIO",1,0)</formula>
    </cfRule>
  </conditionalFormatting>
  <conditionalFormatting sqref="E175">
    <cfRule type="expression" dxfId="9341" priority="12945">
      <formula>IF(#REF!="FICTICIO",1,0)</formula>
    </cfRule>
  </conditionalFormatting>
  <conditionalFormatting sqref="E175">
    <cfRule type="expression" dxfId="9340" priority="12944">
      <formula>IF(#REF!="FICTICIO",1,0)</formula>
    </cfRule>
  </conditionalFormatting>
  <conditionalFormatting sqref="E175">
    <cfRule type="expression" dxfId="9339" priority="12943">
      <formula>IF(#REF!="FICTICIO",1,0)</formula>
    </cfRule>
  </conditionalFormatting>
  <conditionalFormatting sqref="E175">
    <cfRule type="expression" dxfId="9338" priority="12942">
      <formula>IF(#REF!="FICTICIO",1,0)</formula>
    </cfRule>
  </conditionalFormatting>
  <conditionalFormatting sqref="E175">
    <cfRule type="expression" dxfId="9337" priority="12941">
      <formula>IF(#REF!="FICTICIO",1,0)</formula>
    </cfRule>
  </conditionalFormatting>
  <conditionalFormatting sqref="E175">
    <cfRule type="expression" dxfId="9336" priority="12940">
      <formula>IF(#REF!="FICTICIO",1,0)</formula>
    </cfRule>
  </conditionalFormatting>
  <conditionalFormatting sqref="E175">
    <cfRule type="expression" dxfId="9335" priority="12939">
      <formula>IF(#REF!="FICTICIO",1,0)</formula>
    </cfRule>
  </conditionalFormatting>
  <conditionalFormatting sqref="E175">
    <cfRule type="expression" dxfId="9334" priority="12937">
      <formula>IF(#REF!="FICTICIO",1,0)</formula>
    </cfRule>
  </conditionalFormatting>
  <conditionalFormatting sqref="E175">
    <cfRule type="expression" dxfId="9333" priority="12938">
      <formula>IF(#REF!="FICTICIO",1,0)</formula>
    </cfRule>
  </conditionalFormatting>
  <conditionalFormatting sqref="E175">
    <cfRule type="expression" dxfId="9332" priority="12936">
      <formula>IF(#REF!="FICTICIO",1,0)</formula>
    </cfRule>
  </conditionalFormatting>
  <conditionalFormatting sqref="E175">
    <cfRule type="expression" dxfId="9331" priority="12935">
      <formula>IF(#REF!="FICTICIO",1,0)</formula>
    </cfRule>
  </conditionalFormatting>
  <conditionalFormatting sqref="E175">
    <cfRule type="expression" dxfId="9330" priority="12934">
      <formula>IF(#REF!="FICTICIO",1,0)</formula>
    </cfRule>
  </conditionalFormatting>
  <conditionalFormatting sqref="E175">
    <cfRule type="expression" dxfId="9329" priority="12933">
      <formula>IF(#REF!="FICTICIO",1,0)</formula>
    </cfRule>
  </conditionalFormatting>
  <conditionalFormatting sqref="E175">
    <cfRule type="expression" dxfId="9328" priority="12932">
      <formula>IF(#REF!="FICTICIO",1,0)</formula>
    </cfRule>
  </conditionalFormatting>
  <conditionalFormatting sqref="E175">
    <cfRule type="expression" dxfId="9327" priority="12931">
      <formula>IF(#REF!="FICTICIO",1,0)</formula>
    </cfRule>
  </conditionalFormatting>
  <conditionalFormatting sqref="E175">
    <cfRule type="expression" dxfId="9326" priority="12930">
      <formula>IF(#REF!="FICTICIO",1,0)</formula>
    </cfRule>
  </conditionalFormatting>
  <conditionalFormatting sqref="E175">
    <cfRule type="expression" dxfId="9325" priority="12929">
      <formula>IF(#REF!="FICTICIO",1,0)</formula>
    </cfRule>
  </conditionalFormatting>
  <conditionalFormatting sqref="E175">
    <cfRule type="expression" dxfId="9324" priority="12928">
      <formula>IF(#REF!="FICTICIO",1,0)</formula>
    </cfRule>
  </conditionalFormatting>
  <conditionalFormatting sqref="E175">
    <cfRule type="expression" dxfId="9323" priority="12927">
      <formula>IF(#REF!="FICTICIO",1,0)</formula>
    </cfRule>
  </conditionalFormatting>
  <conditionalFormatting sqref="E175">
    <cfRule type="expression" dxfId="9322" priority="12926">
      <formula>IF(#REF!="FICTICIO",1,0)</formula>
    </cfRule>
  </conditionalFormatting>
  <conditionalFormatting sqref="E175">
    <cfRule type="expression" dxfId="9321" priority="12925">
      <formula>IF(#REF!="FICTICIO",1,0)</formula>
    </cfRule>
  </conditionalFormatting>
  <conditionalFormatting sqref="E175">
    <cfRule type="expression" dxfId="9320" priority="12924">
      <formula>IF(#REF!="FICTICIO",1,0)</formula>
    </cfRule>
  </conditionalFormatting>
  <conditionalFormatting sqref="E175">
    <cfRule type="expression" dxfId="9319" priority="12923">
      <formula>IF(#REF!="FICTICIO",1,0)</formula>
    </cfRule>
  </conditionalFormatting>
  <conditionalFormatting sqref="E175">
    <cfRule type="expression" dxfId="9318" priority="12922">
      <formula>IF(#REF!="FICTICIO",1,0)</formula>
    </cfRule>
  </conditionalFormatting>
  <conditionalFormatting sqref="E175">
    <cfRule type="expression" dxfId="9317" priority="12921">
      <formula>IF(#REF!="FICTICIO",1,0)</formula>
    </cfRule>
  </conditionalFormatting>
  <conditionalFormatting sqref="E175">
    <cfRule type="expression" dxfId="9316" priority="12920">
      <formula>IF(#REF!="FICTICIO",1,0)</formula>
    </cfRule>
  </conditionalFormatting>
  <conditionalFormatting sqref="E175">
    <cfRule type="expression" dxfId="9315" priority="12919">
      <formula>IF(#REF!="FICTICIO",1,0)</formula>
    </cfRule>
  </conditionalFormatting>
  <conditionalFormatting sqref="E175">
    <cfRule type="expression" dxfId="9314" priority="12918">
      <formula>IF(#REF!="FICTICIO",1,0)</formula>
    </cfRule>
  </conditionalFormatting>
  <conditionalFormatting sqref="E175">
    <cfRule type="expression" dxfId="9313" priority="12917">
      <formula>IF(#REF!="FICTICIO",1,0)</formula>
    </cfRule>
  </conditionalFormatting>
  <conditionalFormatting sqref="E175">
    <cfRule type="expression" dxfId="9312" priority="12916">
      <formula>IF(#REF!="FICTICIO",1,0)</formula>
    </cfRule>
  </conditionalFormatting>
  <conditionalFormatting sqref="E175">
    <cfRule type="expression" dxfId="9311" priority="12914">
      <formula>IF(#REF!="FICTICIO",1,0)</formula>
    </cfRule>
  </conditionalFormatting>
  <conditionalFormatting sqref="E175">
    <cfRule type="expression" dxfId="9310" priority="12915">
      <formula>IF(#REF!="FICTICIO",1,0)</formula>
    </cfRule>
  </conditionalFormatting>
  <conditionalFormatting sqref="E175">
    <cfRule type="expression" dxfId="9309" priority="12913">
      <formula>IF(#REF!="FICTICIO",1,0)</formula>
    </cfRule>
  </conditionalFormatting>
  <conditionalFormatting sqref="E175">
    <cfRule type="expression" dxfId="9308" priority="12912">
      <formula>IF(#REF!="FICTICIO",1,0)</formula>
    </cfRule>
  </conditionalFormatting>
  <conditionalFormatting sqref="E175">
    <cfRule type="expression" dxfId="9307" priority="12911">
      <formula>IF(#REF!="FICTICIO",1,0)</formula>
    </cfRule>
  </conditionalFormatting>
  <conditionalFormatting sqref="D180:F180">
    <cfRule type="expression" dxfId="9306" priority="12910">
      <formula>IF(#REF!="FICTICIO",1,0)</formula>
    </cfRule>
  </conditionalFormatting>
  <conditionalFormatting sqref="D185:F185">
    <cfRule type="expression" dxfId="9305" priority="12909">
      <formula>IF(#REF!="FICTICIO",1,0)</formula>
    </cfRule>
  </conditionalFormatting>
  <conditionalFormatting sqref="D187:F187">
    <cfRule type="expression" dxfId="9304" priority="12908">
      <formula>IF(#REF!="FICTICIO",1,0)</formula>
    </cfRule>
  </conditionalFormatting>
  <conditionalFormatting sqref="E188">
    <cfRule type="expression" dxfId="9303" priority="12907">
      <formula>IF(#REF!="FICTICIO",1,0)</formula>
    </cfRule>
  </conditionalFormatting>
  <conditionalFormatting sqref="F188">
    <cfRule type="expression" dxfId="9302" priority="12906">
      <formula>IF(#REF!="FICTICIO",1,0)</formula>
    </cfRule>
  </conditionalFormatting>
  <conditionalFormatting sqref="D189">
    <cfRule type="expression" dxfId="9301" priority="12904">
      <formula>IF(#REF!="FICTICIO",1,0)</formula>
    </cfRule>
  </conditionalFormatting>
  <conditionalFormatting sqref="D189">
    <cfRule type="expression" dxfId="9300" priority="12905">
      <formula>IF(#REF!="FICTICIO",1,0)</formula>
    </cfRule>
  </conditionalFormatting>
  <conditionalFormatting sqref="D189">
    <cfRule type="expression" dxfId="9299" priority="12902">
      <formula>IF(#REF!="FICTICIO",1,0)</formula>
    </cfRule>
  </conditionalFormatting>
  <conditionalFormatting sqref="D189">
    <cfRule type="expression" dxfId="9298" priority="12903">
      <formula>IF(#REF!="FICTICIO",1,0)</formula>
    </cfRule>
  </conditionalFormatting>
  <conditionalFormatting sqref="D189">
    <cfRule type="expression" dxfId="9297" priority="12900">
      <formula>IF(#REF!="FICTICIO",1,0)</formula>
    </cfRule>
  </conditionalFormatting>
  <conditionalFormatting sqref="D189">
    <cfRule type="expression" dxfId="9296" priority="12901">
      <formula>IF(#REF!="FICTICIO",1,0)</formula>
    </cfRule>
  </conditionalFormatting>
  <conditionalFormatting sqref="D189">
    <cfRule type="expression" dxfId="9295" priority="12898">
      <formula>IF(#REF!="FICTICIO",1,0)</formula>
    </cfRule>
  </conditionalFormatting>
  <conditionalFormatting sqref="D189">
    <cfRule type="expression" dxfId="9294" priority="12899">
      <formula>IF(#REF!="FICTICIO",1,0)</formula>
    </cfRule>
  </conditionalFormatting>
  <conditionalFormatting sqref="D189">
    <cfRule type="expression" dxfId="9293" priority="12896">
      <formula>IF(#REF!="FICTICIO",1,0)</formula>
    </cfRule>
  </conditionalFormatting>
  <conditionalFormatting sqref="D189">
    <cfRule type="expression" dxfId="9292" priority="12897">
      <formula>IF(#REF!="FICTICIO",1,0)</formula>
    </cfRule>
  </conditionalFormatting>
  <conditionalFormatting sqref="E189">
    <cfRule type="expression" dxfId="9291" priority="12892">
      <formula>IF(#REF!="FICTICIO",1,0)</formula>
    </cfRule>
  </conditionalFormatting>
  <conditionalFormatting sqref="E189">
    <cfRule type="expression" dxfId="9290" priority="12891">
      <formula>IF(#REF!="FICTICIO",1,0)</formula>
    </cfRule>
  </conditionalFormatting>
  <conditionalFormatting sqref="E189">
    <cfRule type="expression" dxfId="9289" priority="12890">
      <formula>IF(#REF!="FICTICIO",1,0)</formula>
    </cfRule>
  </conditionalFormatting>
  <conditionalFormatting sqref="E189">
    <cfRule type="expression" dxfId="9288" priority="12895">
      <formula>IF(#REF!="FICTICIO",1,0)</formula>
    </cfRule>
  </conditionalFormatting>
  <conditionalFormatting sqref="E189">
    <cfRule type="expression" dxfId="9287" priority="12894">
      <formula>IF(#REF!="FICTICIO",1,0)</formula>
    </cfRule>
  </conditionalFormatting>
  <conditionalFormatting sqref="E189">
    <cfRule type="expression" dxfId="9286" priority="12893">
      <formula>IF(#REF!="FICTICIO",1,0)</formula>
    </cfRule>
  </conditionalFormatting>
  <conditionalFormatting sqref="F189">
    <cfRule type="expression" dxfId="9285" priority="12889">
      <formula>IF(#REF!="FICTICIO",1,0)</formula>
    </cfRule>
  </conditionalFormatting>
  <conditionalFormatting sqref="F189">
    <cfRule type="expression" dxfId="9284" priority="12888">
      <formula>IF(#REF!="FICTICIO",1,0)</formula>
    </cfRule>
  </conditionalFormatting>
  <conditionalFormatting sqref="F189">
    <cfRule type="expression" dxfId="9283" priority="12887">
      <formula>IF(#REF!="FICTICIO",1,0)</formula>
    </cfRule>
  </conditionalFormatting>
  <conditionalFormatting sqref="D191:F191">
    <cfRule type="expression" dxfId="9282" priority="12886">
      <formula>IF(#REF!="FICTICIO",1,0)</formula>
    </cfRule>
  </conditionalFormatting>
  <conditionalFormatting sqref="D194:F194">
    <cfRule type="expression" dxfId="9281" priority="12885">
      <formula>IF(#REF!="FICTICIO",1,0)</formula>
    </cfRule>
  </conditionalFormatting>
  <conditionalFormatting sqref="E196:F196">
    <cfRule type="expression" dxfId="9280" priority="12884">
      <formula>IF(#REF!="FICTICIO",1,0)</formula>
    </cfRule>
  </conditionalFormatting>
  <conditionalFormatting sqref="E198:F198">
    <cfRule type="expression" dxfId="9279" priority="12883">
      <formula>IF(#REF!="FICTICIO",1,0)</formula>
    </cfRule>
  </conditionalFormatting>
  <conditionalFormatting sqref="E199">
    <cfRule type="expression" dxfId="9278" priority="12882">
      <formula>IF(#REF!="FICTICIO",1,0)</formula>
    </cfRule>
  </conditionalFormatting>
  <conditionalFormatting sqref="D202">
    <cfRule type="expression" dxfId="9277" priority="12880">
      <formula>IF(#REF!="FICTICIO",1,0)</formula>
    </cfRule>
  </conditionalFormatting>
  <conditionalFormatting sqref="D202">
    <cfRule type="expression" dxfId="9276" priority="12881">
      <formula>IF(#REF!="FICTICIO",1,0)</formula>
    </cfRule>
  </conditionalFormatting>
  <conditionalFormatting sqref="D202">
    <cfRule type="expression" dxfId="9275" priority="12878">
      <formula>IF(#REF!="FICTICIO",1,0)</formula>
    </cfRule>
  </conditionalFormatting>
  <conditionalFormatting sqref="D202">
    <cfRule type="expression" dxfId="9274" priority="12879">
      <formula>IF(#REF!="FICTICIO",1,0)</formula>
    </cfRule>
  </conditionalFormatting>
  <conditionalFormatting sqref="D202">
    <cfRule type="expression" dxfId="9273" priority="12877">
      <formula>IF(#REF!="FICTICIO",1,0)</formula>
    </cfRule>
  </conditionalFormatting>
  <conditionalFormatting sqref="E202:E203">
    <cfRule type="expression" dxfId="9272" priority="12875">
      <formula>IF(#REF!="FICTICIO",1,0)</formula>
    </cfRule>
  </conditionalFormatting>
  <conditionalFormatting sqref="E202:E203">
    <cfRule type="expression" dxfId="9271" priority="12874">
      <formula>IF(#REF!="FICTICIO",1,0)</formula>
    </cfRule>
  </conditionalFormatting>
  <conditionalFormatting sqref="E202:E203">
    <cfRule type="expression" dxfId="9270" priority="12873">
      <formula>IF(#REF!="FICTICIO",1,0)</formula>
    </cfRule>
  </conditionalFormatting>
  <conditionalFormatting sqref="E202:E203">
    <cfRule type="expression" dxfId="9269" priority="12872">
      <formula>IF(#REF!="FICTICIO",1,0)</formula>
    </cfRule>
  </conditionalFormatting>
  <conditionalFormatting sqref="E202:E203">
    <cfRule type="expression" dxfId="9268" priority="12871">
      <formula>IF(#REF!="FICTICIO",1,0)</formula>
    </cfRule>
  </conditionalFormatting>
  <conditionalFormatting sqref="D205">
    <cfRule type="expression" dxfId="9267" priority="12869">
      <formula>IF(#REF!="FICTICIO",1,0)</formula>
    </cfRule>
  </conditionalFormatting>
  <conditionalFormatting sqref="D205">
    <cfRule type="expression" dxfId="9266" priority="12870">
      <formula>IF(#REF!="FICTICIO",1,0)</formula>
    </cfRule>
  </conditionalFormatting>
  <conditionalFormatting sqref="F205">
    <cfRule type="expression" dxfId="9265" priority="12867">
      <formula>IF(#REF!="FICTICIO",1,0)</formula>
    </cfRule>
  </conditionalFormatting>
  <conditionalFormatting sqref="F205">
    <cfRule type="expression" dxfId="9264" priority="12868">
      <formula>IF(#REF!="FICTICIO",1,0)</formula>
    </cfRule>
  </conditionalFormatting>
  <conditionalFormatting sqref="D203">
    <cfRule type="expression" dxfId="9263" priority="12865">
      <formula>IF(#REF!="FICTICIO",1,0)</formula>
    </cfRule>
  </conditionalFormatting>
  <conditionalFormatting sqref="D203">
    <cfRule type="expression" dxfId="9262" priority="12866">
      <formula>IF(#REF!="FICTICIO",1,0)</formula>
    </cfRule>
  </conditionalFormatting>
  <conditionalFormatting sqref="D203">
    <cfRule type="expression" dxfId="9261" priority="12863">
      <formula>IF(#REF!="FICTICIO",1,0)</formula>
    </cfRule>
  </conditionalFormatting>
  <conditionalFormatting sqref="D203">
    <cfRule type="expression" dxfId="9260" priority="12864">
      <formula>IF(#REF!="FICTICIO",1,0)</formula>
    </cfRule>
  </conditionalFormatting>
  <conditionalFormatting sqref="E203">
    <cfRule type="expression" dxfId="9259" priority="12862">
      <formula>IF(#REF!="FICTICIO",1,0)</formula>
    </cfRule>
  </conditionalFormatting>
  <conditionalFormatting sqref="E203">
    <cfRule type="expression" dxfId="9258" priority="12861">
      <formula>IF(#REF!="FICTICIO",1,0)</formula>
    </cfRule>
  </conditionalFormatting>
  <conditionalFormatting sqref="E203">
    <cfRule type="expression" dxfId="9257" priority="12860">
      <formula>IF(#REF!="FICTICIO",1,0)</formula>
    </cfRule>
  </conditionalFormatting>
  <conditionalFormatting sqref="D203">
    <cfRule type="expression" dxfId="9256" priority="12859">
      <formula>IF(#REF!="FICTICIO",1,0)</formula>
    </cfRule>
  </conditionalFormatting>
  <conditionalFormatting sqref="D203">
    <cfRule type="expression" dxfId="9255" priority="12856">
      <formula>IF(#REF!="FICTICIO",1,0)</formula>
    </cfRule>
  </conditionalFormatting>
  <conditionalFormatting sqref="D203">
    <cfRule type="expression" dxfId="9254" priority="12857">
      <formula>IF(#REF!="FICTICIO",1,0)</formula>
    </cfRule>
  </conditionalFormatting>
  <conditionalFormatting sqref="D203">
    <cfRule type="expression" dxfId="9253" priority="12854">
      <formula>IF(#REF!="FICTICIO",1,0)</formula>
    </cfRule>
  </conditionalFormatting>
  <conditionalFormatting sqref="D203">
    <cfRule type="expression" dxfId="9252" priority="12855">
      <formula>IF(#REF!="FICTICIO",1,0)</formula>
    </cfRule>
  </conditionalFormatting>
  <conditionalFormatting sqref="E203">
    <cfRule type="expression" dxfId="9251" priority="12853">
      <formula>IF(#REF!="FICTICIO",1,0)</formula>
    </cfRule>
  </conditionalFormatting>
  <conditionalFormatting sqref="E203">
    <cfRule type="expression" dxfId="9250" priority="12852">
      <formula>IF(#REF!="FICTICIO",1,0)</formula>
    </cfRule>
  </conditionalFormatting>
  <conditionalFormatting sqref="E203">
    <cfRule type="expression" dxfId="9249" priority="12851">
      <formula>IF(#REF!="FICTICIO",1,0)</formula>
    </cfRule>
  </conditionalFormatting>
  <conditionalFormatting sqref="E203">
    <cfRule type="expression" dxfId="9248" priority="12850">
      <formula>IF(#REF!="FICTICIO",1,0)</formula>
    </cfRule>
  </conditionalFormatting>
  <conditionalFormatting sqref="E203">
    <cfRule type="expression" dxfId="9247" priority="12849">
      <formula>IF(#REF!="FICTICIO",1,0)</formula>
    </cfRule>
  </conditionalFormatting>
  <conditionalFormatting sqref="E206">
    <cfRule type="expression" dxfId="9246" priority="12833">
      <formula>IF(#REF!="FICTICIO",1,0)</formula>
    </cfRule>
  </conditionalFormatting>
  <conditionalFormatting sqref="E206">
    <cfRule type="expression" dxfId="9245" priority="12832">
      <formula>IF(#REF!="FICTICIO",1,0)</formula>
    </cfRule>
  </conditionalFormatting>
  <conditionalFormatting sqref="E206">
    <cfRule type="expression" dxfId="9244" priority="12830">
      <formula>IF(#REF!="FICTICIO",1,0)</formula>
    </cfRule>
  </conditionalFormatting>
  <conditionalFormatting sqref="E206">
    <cfRule type="expression" dxfId="9243" priority="12831">
      <formula>IF(#REF!="FICTICIO",1,0)</formula>
    </cfRule>
  </conditionalFormatting>
  <conditionalFormatting sqref="E206">
    <cfRule type="expression" dxfId="9242" priority="12848">
      <formula>IF(#REF!="FICTICIO",1,0)</formula>
    </cfRule>
  </conditionalFormatting>
  <conditionalFormatting sqref="E206">
    <cfRule type="expression" dxfId="9241" priority="12847">
      <formula>IF(#REF!="FICTICIO",1,0)</formula>
    </cfRule>
  </conditionalFormatting>
  <conditionalFormatting sqref="D206">
    <cfRule type="expression" dxfId="9240" priority="12844">
      <formula>IF(#REF!="FICTICIO",1,0)</formula>
    </cfRule>
  </conditionalFormatting>
  <conditionalFormatting sqref="D206">
    <cfRule type="expression" dxfId="9239" priority="12845">
      <formula>IF(#REF!="FICTICIO",1,0)</formula>
    </cfRule>
  </conditionalFormatting>
  <conditionalFormatting sqref="D206">
    <cfRule type="expression" dxfId="9238" priority="12846">
      <formula>IF(#REF!="FICTICIO",1,0)</formula>
    </cfRule>
  </conditionalFormatting>
  <conditionalFormatting sqref="E206">
    <cfRule type="expression" dxfId="9237" priority="12842">
      <formula>IF(#REF!="FICTICIO",1,0)</formula>
    </cfRule>
  </conditionalFormatting>
  <conditionalFormatting sqref="E206">
    <cfRule type="expression" dxfId="9236" priority="12841">
      <formula>IF(#REF!="FICTICIO",1,0)</formula>
    </cfRule>
  </conditionalFormatting>
  <conditionalFormatting sqref="E206">
    <cfRule type="expression" dxfId="9235" priority="12840">
      <formula>IF(#REF!="FICTICIO",1,0)</formula>
    </cfRule>
  </conditionalFormatting>
  <conditionalFormatting sqref="D206">
    <cfRule type="expression" dxfId="9234" priority="12838">
      <formula>IF(#REF!="FICTICIO",1,0)</formula>
    </cfRule>
  </conditionalFormatting>
  <conditionalFormatting sqref="D206">
    <cfRule type="expression" dxfId="9233" priority="12839">
      <formula>IF(#REF!="FICTICIO",1,0)</formula>
    </cfRule>
  </conditionalFormatting>
  <conditionalFormatting sqref="E206">
    <cfRule type="expression" dxfId="9232" priority="12836">
      <formula>IF(#REF!="FICTICIO",1,0)</formula>
    </cfRule>
  </conditionalFormatting>
  <conditionalFormatting sqref="E206">
    <cfRule type="expression" dxfId="9231" priority="12835">
      <formula>IF(#REF!="FICTICIO",1,0)</formula>
    </cfRule>
  </conditionalFormatting>
  <conditionalFormatting sqref="E206">
    <cfRule type="expression" dxfId="9230" priority="12834">
      <formula>IF(#REF!="FICTICIO",1,0)</formula>
    </cfRule>
  </conditionalFormatting>
  <conditionalFormatting sqref="D200:D206">
    <cfRule type="expression" dxfId="9229" priority="12828">
      <formula>IF(#REF!="FICTICIO",1,0)</formula>
    </cfRule>
  </conditionalFormatting>
  <conditionalFormatting sqref="D200:D206">
    <cfRule type="expression" dxfId="9228" priority="12829">
      <formula>IF(#REF!="FICTICIO",1,0)</formula>
    </cfRule>
  </conditionalFormatting>
  <conditionalFormatting sqref="D200:D206">
    <cfRule type="expression" dxfId="9227" priority="12826">
      <formula>IF(#REF!="FICTICIO",1,0)</formula>
    </cfRule>
  </conditionalFormatting>
  <conditionalFormatting sqref="D200:D206">
    <cfRule type="expression" dxfId="9226" priority="12827">
      <formula>IF(#REF!="FICTICIO",1,0)</formula>
    </cfRule>
  </conditionalFormatting>
  <conditionalFormatting sqref="D200:D206">
    <cfRule type="expression" dxfId="9225" priority="12823">
      <formula>IF(#REF!="FICTICIO",1,0)</formula>
    </cfRule>
  </conditionalFormatting>
  <conditionalFormatting sqref="D200:D206">
    <cfRule type="expression" dxfId="9224" priority="12824">
      <formula>IF(#REF!="FICTICIO",1,0)</formula>
    </cfRule>
  </conditionalFormatting>
  <conditionalFormatting sqref="D200:D206">
    <cfRule type="expression" dxfId="9223" priority="12821">
      <formula>IF(#REF!="FICTICIO",1,0)</formula>
    </cfRule>
  </conditionalFormatting>
  <conditionalFormatting sqref="D200:D206">
    <cfRule type="expression" dxfId="9222" priority="12822">
      <formula>IF(#REF!="FICTICIO",1,0)</formula>
    </cfRule>
  </conditionalFormatting>
  <conditionalFormatting sqref="E200:E206">
    <cfRule type="expression" dxfId="9221" priority="12820">
      <formula>IF(#REF!="FICTICIO",1,0)</formula>
    </cfRule>
  </conditionalFormatting>
  <conditionalFormatting sqref="E200:E206">
    <cfRule type="expression" dxfId="9220" priority="12819">
      <formula>IF(#REF!="FICTICIO",1,0)</formula>
    </cfRule>
  </conditionalFormatting>
  <conditionalFormatting sqref="E200:E206">
    <cfRule type="expression" dxfId="9219" priority="12818">
      <formula>IF(#REF!="FICTICIO",1,0)</formula>
    </cfRule>
  </conditionalFormatting>
  <conditionalFormatting sqref="E200:E206">
    <cfRule type="expression" dxfId="9218" priority="12817">
      <formula>IF(#REF!="FICTICIO",1,0)</formula>
    </cfRule>
  </conditionalFormatting>
  <conditionalFormatting sqref="E200:E206">
    <cfRule type="expression" dxfId="9217" priority="12816">
      <formula>IF(#REF!="FICTICIO",1,0)</formula>
    </cfRule>
  </conditionalFormatting>
  <conditionalFormatting sqref="E200:E206">
    <cfRule type="expression" dxfId="9216" priority="12815">
      <formula>IF(#REF!="FICTICIO",1,0)</formula>
    </cfRule>
  </conditionalFormatting>
  <conditionalFormatting sqref="E200:E206">
    <cfRule type="expression" dxfId="9215" priority="12814">
      <formula>IF(#REF!="FICTICIO",1,0)</formula>
    </cfRule>
  </conditionalFormatting>
  <conditionalFormatting sqref="E200:E206">
    <cfRule type="expression" dxfId="9214" priority="12813">
      <formula>IF(#REF!="FICTICIO",1,0)</formula>
    </cfRule>
  </conditionalFormatting>
  <conditionalFormatting sqref="E200:E206">
    <cfRule type="expression" dxfId="9213" priority="12812">
      <formula>IF(#REF!="FICTICIO",1,0)</formula>
    </cfRule>
  </conditionalFormatting>
  <conditionalFormatting sqref="E200:E206">
    <cfRule type="expression" dxfId="9212" priority="12811">
      <formula>IF(#REF!="FICTICIO",1,0)</formula>
    </cfRule>
  </conditionalFormatting>
  <conditionalFormatting sqref="E200:E206">
    <cfRule type="expression" dxfId="9211" priority="12810">
      <formula>IF(#REF!="FICTICIO",1,0)</formula>
    </cfRule>
  </conditionalFormatting>
  <conditionalFormatting sqref="E200:E206">
    <cfRule type="expression" dxfId="9210" priority="12809">
      <formula>IF(#REF!="FICTICIO",1,0)</formula>
    </cfRule>
  </conditionalFormatting>
  <conditionalFormatting sqref="E200:E206">
    <cfRule type="expression" dxfId="9209" priority="12808">
      <formula>IF(#REF!="FICTICIO",1,0)</formula>
    </cfRule>
  </conditionalFormatting>
  <conditionalFormatting sqref="E200:E206">
    <cfRule type="expression" dxfId="9208" priority="12807">
      <formula>IF(#REF!="FICTICIO",1,0)</formula>
    </cfRule>
  </conditionalFormatting>
  <conditionalFormatting sqref="E200:E206">
    <cfRule type="expression" dxfId="9207" priority="12806">
      <formula>IF(#REF!="FICTICIO",1,0)</formula>
    </cfRule>
  </conditionalFormatting>
  <conditionalFormatting sqref="E200:E206">
    <cfRule type="expression" dxfId="9206" priority="12805">
      <formula>IF(#REF!="FICTICIO",1,0)</formula>
    </cfRule>
  </conditionalFormatting>
  <conditionalFormatting sqref="E200:E206">
    <cfRule type="expression" dxfId="9205" priority="12804">
      <formula>IF(#REF!="FICTICIO",1,0)</formula>
    </cfRule>
  </conditionalFormatting>
  <conditionalFormatting sqref="E200:E206">
    <cfRule type="expression" dxfId="9204" priority="12803">
      <formula>IF(#REF!="FICTICIO",1,0)</formula>
    </cfRule>
  </conditionalFormatting>
  <conditionalFormatting sqref="E200:E206">
    <cfRule type="expression" dxfId="9203" priority="12801">
      <formula>IF(#REF!="FICTICIO",1,0)</formula>
    </cfRule>
  </conditionalFormatting>
  <conditionalFormatting sqref="E200:E206">
    <cfRule type="expression" dxfId="9202" priority="12802">
      <formula>IF(#REF!="FICTICIO",1,0)</formula>
    </cfRule>
  </conditionalFormatting>
  <conditionalFormatting sqref="E200:E206">
    <cfRule type="expression" dxfId="9201" priority="12800">
      <formula>IF(#REF!="FICTICIO",1,0)</formula>
    </cfRule>
  </conditionalFormatting>
  <conditionalFormatting sqref="E200:E206">
    <cfRule type="expression" dxfId="9200" priority="12799">
      <formula>IF(#REF!="FICTICIO",1,0)</formula>
    </cfRule>
  </conditionalFormatting>
  <conditionalFormatting sqref="E200:E206">
    <cfRule type="expression" dxfId="9199" priority="12798">
      <formula>IF(#REF!="FICTICIO",1,0)</formula>
    </cfRule>
  </conditionalFormatting>
  <conditionalFormatting sqref="D201">
    <cfRule type="expression" dxfId="9198" priority="12796">
      <formula>IF(#REF!="FICTICIO",1,0)</formula>
    </cfRule>
  </conditionalFormatting>
  <conditionalFormatting sqref="D201">
    <cfRule type="expression" dxfId="9197" priority="12797">
      <formula>IF(#REF!="FICTICIO",1,0)</formula>
    </cfRule>
  </conditionalFormatting>
  <conditionalFormatting sqref="D201">
    <cfRule type="expression" dxfId="9196" priority="12794">
      <formula>IF(#REF!="FICTICIO",1,0)</formula>
    </cfRule>
  </conditionalFormatting>
  <conditionalFormatting sqref="D201">
    <cfRule type="expression" dxfId="9195" priority="12795">
      <formula>IF(#REF!="FICTICIO",1,0)</formula>
    </cfRule>
  </conditionalFormatting>
  <conditionalFormatting sqref="D201">
    <cfRule type="expression" dxfId="9194" priority="12792">
      <formula>IF(#REF!="FICTICIO",1,0)</formula>
    </cfRule>
  </conditionalFormatting>
  <conditionalFormatting sqref="D201">
    <cfRule type="expression" dxfId="9193" priority="12793">
      <formula>IF(#REF!="FICTICIO",1,0)</formula>
    </cfRule>
  </conditionalFormatting>
  <conditionalFormatting sqref="D201">
    <cfRule type="expression" dxfId="9192" priority="12790">
      <formula>IF(#REF!="FICTICIO",1,0)</formula>
    </cfRule>
  </conditionalFormatting>
  <conditionalFormatting sqref="D201">
    <cfRule type="expression" dxfId="9191" priority="12791">
      <formula>IF(#REF!="FICTICIO",1,0)</formula>
    </cfRule>
  </conditionalFormatting>
  <conditionalFormatting sqref="E201">
    <cfRule type="expression" dxfId="9190" priority="12788">
      <formula>IF(#REF!="FICTICIO",1,0)</formula>
    </cfRule>
  </conditionalFormatting>
  <conditionalFormatting sqref="E201">
    <cfRule type="expression" dxfId="9189" priority="12787">
      <formula>IF(#REF!="FICTICIO",1,0)</formula>
    </cfRule>
  </conditionalFormatting>
  <conditionalFormatting sqref="E201">
    <cfRule type="expression" dxfId="9188" priority="12786">
      <formula>IF(#REF!="FICTICIO",1,0)</formula>
    </cfRule>
  </conditionalFormatting>
  <conditionalFormatting sqref="E201">
    <cfRule type="expression" dxfId="9187" priority="12785">
      <formula>IF(#REF!="FICTICIO",1,0)</formula>
    </cfRule>
  </conditionalFormatting>
  <conditionalFormatting sqref="E201">
    <cfRule type="expression" dxfId="9186" priority="12784">
      <formula>IF(#REF!="FICTICIO",1,0)</formula>
    </cfRule>
  </conditionalFormatting>
  <conditionalFormatting sqref="E201">
    <cfRule type="expression" dxfId="9185" priority="12783">
      <formula>IF(#REF!="FICTICIO",1,0)</formula>
    </cfRule>
  </conditionalFormatting>
  <conditionalFormatting sqref="E201">
    <cfRule type="expression" dxfId="9184" priority="12782">
      <formula>IF(#REF!="FICTICIO",1,0)</formula>
    </cfRule>
  </conditionalFormatting>
  <conditionalFormatting sqref="E201">
    <cfRule type="expression" dxfId="9183" priority="12781">
      <formula>IF(#REF!="FICTICIO",1,0)</formula>
    </cfRule>
  </conditionalFormatting>
  <conditionalFormatting sqref="E201">
    <cfRule type="expression" dxfId="9182" priority="12780">
      <formula>IF(#REF!="FICTICIO",1,0)</formula>
    </cfRule>
  </conditionalFormatting>
  <conditionalFormatting sqref="E201">
    <cfRule type="expression" dxfId="9181" priority="12779">
      <formula>IF(#REF!="FICTICIO",1,0)</formula>
    </cfRule>
  </conditionalFormatting>
  <conditionalFormatting sqref="E201">
    <cfRule type="expression" dxfId="9180" priority="12778">
      <formula>IF(#REF!="FICTICIO",1,0)</formula>
    </cfRule>
  </conditionalFormatting>
  <conditionalFormatting sqref="E201">
    <cfRule type="expression" dxfId="9179" priority="12777">
      <formula>IF(#REF!="FICTICIO",1,0)</formula>
    </cfRule>
  </conditionalFormatting>
  <conditionalFormatting sqref="E201">
    <cfRule type="expression" dxfId="9178" priority="12776">
      <formula>IF(#REF!="FICTICIO",1,0)</formula>
    </cfRule>
  </conditionalFormatting>
  <conditionalFormatting sqref="E201">
    <cfRule type="expression" dxfId="9177" priority="12775">
      <formula>IF(#REF!="FICTICIO",1,0)</formula>
    </cfRule>
  </conditionalFormatting>
  <conditionalFormatting sqref="E201">
    <cfRule type="expression" dxfId="9176" priority="12774">
      <formula>IF(#REF!="FICTICIO",1,0)</formula>
    </cfRule>
  </conditionalFormatting>
  <conditionalFormatting sqref="E201">
    <cfRule type="expression" dxfId="9175" priority="12773">
      <formula>IF(#REF!="FICTICIO",1,0)</formula>
    </cfRule>
  </conditionalFormatting>
  <conditionalFormatting sqref="E201">
    <cfRule type="expression" dxfId="9174" priority="12772">
      <formula>IF(#REF!="FICTICIO",1,0)</formula>
    </cfRule>
  </conditionalFormatting>
  <conditionalFormatting sqref="E201">
    <cfRule type="expression" dxfId="9173" priority="12771">
      <formula>IF(#REF!="FICTICIO",1,0)</formula>
    </cfRule>
  </conditionalFormatting>
  <conditionalFormatting sqref="E201">
    <cfRule type="expression" dxfId="9172" priority="12769">
      <formula>IF(#REF!="FICTICIO",1,0)</formula>
    </cfRule>
  </conditionalFormatting>
  <conditionalFormatting sqref="E201">
    <cfRule type="expression" dxfId="9171" priority="12770">
      <formula>IF(#REF!="FICTICIO",1,0)</formula>
    </cfRule>
  </conditionalFormatting>
  <conditionalFormatting sqref="E201">
    <cfRule type="expression" dxfId="9170" priority="12768">
      <formula>IF(#REF!="FICTICIO",1,0)</formula>
    </cfRule>
  </conditionalFormatting>
  <conditionalFormatting sqref="E201">
    <cfRule type="expression" dxfId="9169" priority="12767">
      <formula>IF(#REF!="FICTICIO",1,0)</formula>
    </cfRule>
  </conditionalFormatting>
  <conditionalFormatting sqref="E201">
    <cfRule type="expression" dxfId="9168" priority="12766">
      <formula>IF(#REF!="FICTICIO",1,0)</formula>
    </cfRule>
  </conditionalFormatting>
  <conditionalFormatting sqref="E204">
    <cfRule type="expression" dxfId="9167" priority="12765">
      <formula>IF(#REF!="FICTICIO",1,0)</formula>
    </cfRule>
  </conditionalFormatting>
  <conditionalFormatting sqref="E204">
    <cfRule type="expression" dxfId="9166" priority="12764">
      <formula>IF(#REF!="FICTICIO",1,0)</formula>
    </cfRule>
  </conditionalFormatting>
  <conditionalFormatting sqref="E204">
    <cfRule type="expression" dxfId="9165" priority="12763">
      <formula>IF(#REF!="FICTICIO",1,0)</formula>
    </cfRule>
  </conditionalFormatting>
  <conditionalFormatting sqref="E204">
    <cfRule type="expression" dxfId="9164" priority="12762">
      <formula>IF(#REF!="FICTICIO",1,0)</formula>
    </cfRule>
  </conditionalFormatting>
  <conditionalFormatting sqref="E204">
    <cfRule type="expression" dxfId="9163" priority="12761">
      <formula>IF(#REF!="FICTICIO",1,0)</formula>
    </cfRule>
  </conditionalFormatting>
  <conditionalFormatting sqref="D204">
    <cfRule type="expression" dxfId="9162" priority="12759">
      <formula>IF(#REF!="FICTICIO",1,0)</formula>
    </cfRule>
  </conditionalFormatting>
  <conditionalFormatting sqref="D204">
    <cfRule type="expression" dxfId="9161" priority="12760">
      <formula>IF(#REF!="FICTICIO",1,0)</formula>
    </cfRule>
  </conditionalFormatting>
  <conditionalFormatting sqref="D204">
    <cfRule type="expression" dxfId="9160" priority="12757">
      <formula>IF(#REF!="FICTICIO",1,0)</formula>
    </cfRule>
  </conditionalFormatting>
  <conditionalFormatting sqref="D204">
    <cfRule type="expression" dxfId="9159" priority="12758">
      <formula>IF(#REF!="FICTICIO",1,0)</formula>
    </cfRule>
  </conditionalFormatting>
  <conditionalFormatting sqref="E204">
    <cfRule type="expression" dxfId="9158" priority="12756">
      <formula>IF(#REF!="FICTICIO",1,0)</formula>
    </cfRule>
  </conditionalFormatting>
  <conditionalFormatting sqref="E204">
    <cfRule type="expression" dxfId="9157" priority="12755">
      <formula>IF(#REF!="FICTICIO",1,0)</formula>
    </cfRule>
  </conditionalFormatting>
  <conditionalFormatting sqref="E204">
    <cfRule type="expression" dxfId="9156" priority="12754">
      <formula>IF(#REF!="FICTICIO",1,0)</formula>
    </cfRule>
  </conditionalFormatting>
  <conditionalFormatting sqref="D204">
    <cfRule type="expression" dxfId="9155" priority="12753">
      <formula>IF(#REF!="FICTICIO",1,0)</formula>
    </cfRule>
  </conditionalFormatting>
  <conditionalFormatting sqref="F204">
    <cfRule type="expression" dxfId="9154" priority="12752">
      <formula>IF(#REF!="FICTICIO",1,0)</formula>
    </cfRule>
  </conditionalFormatting>
  <conditionalFormatting sqref="D204">
    <cfRule type="expression" dxfId="9153" priority="12750">
      <formula>IF(#REF!="FICTICIO",1,0)</formula>
    </cfRule>
  </conditionalFormatting>
  <conditionalFormatting sqref="D204">
    <cfRule type="expression" dxfId="9152" priority="12751">
      <formula>IF(#REF!="FICTICIO",1,0)</formula>
    </cfRule>
  </conditionalFormatting>
  <conditionalFormatting sqref="D204">
    <cfRule type="expression" dxfId="9151" priority="12748">
      <formula>IF(#REF!="FICTICIO",1,0)</formula>
    </cfRule>
  </conditionalFormatting>
  <conditionalFormatting sqref="D204">
    <cfRule type="expression" dxfId="9150" priority="12749">
      <formula>IF(#REF!="FICTICIO",1,0)</formula>
    </cfRule>
  </conditionalFormatting>
  <conditionalFormatting sqref="E204">
    <cfRule type="expression" dxfId="9149" priority="12747">
      <formula>IF(#REF!="FICTICIO",1,0)</formula>
    </cfRule>
  </conditionalFormatting>
  <conditionalFormatting sqref="E204">
    <cfRule type="expression" dxfId="9148" priority="12746">
      <formula>IF(#REF!="FICTICIO",1,0)</formula>
    </cfRule>
  </conditionalFormatting>
  <conditionalFormatting sqref="E204">
    <cfRule type="expression" dxfId="9147" priority="12745">
      <formula>IF(#REF!="FICTICIO",1,0)</formula>
    </cfRule>
  </conditionalFormatting>
  <conditionalFormatting sqref="E204">
    <cfRule type="expression" dxfId="9146" priority="12744">
      <formula>IF(#REF!="FICTICIO",1,0)</formula>
    </cfRule>
  </conditionalFormatting>
  <conditionalFormatting sqref="E204">
    <cfRule type="expression" dxfId="9145" priority="12743">
      <formula>IF(#REF!="FICTICIO",1,0)</formula>
    </cfRule>
  </conditionalFormatting>
  <conditionalFormatting sqref="E205">
    <cfRule type="expression" dxfId="9144" priority="12742">
      <formula>IF(#REF!="FICTICIO",1,0)</formula>
    </cfRule>
  </conditionalFormatting>
  <conditionalFormatting sqref="E205">
    <cfRule type="expression" dxfId="9143" priority="12741">
      <formula>IF(#REF!="FICTICIO",1,0)</formula>
    </cfRule>
  </conditionalFormatting>
  <conditionalFormatting sqref="E205">
    <cfRule type="expression" dxfId="9142" priority="12740">
      <formula>IF(#REF!="FICTICIO",1,0)</formula>
    </cfRule>
  </conditionalFormatting>
  <conditionalFormatting sqref="E205">
    <cfRule type="expression" dxfId="9141" priority="12739">
      <formula>IF(#REF!="FICTICIO",1,0)</formula>
    </cfRule>
  </conditionalFormatting>
  <conditionalFormatting sqref="E205">
    <cfRule type="expression" dxfId="9140" priority="12738">
      <formula>IF(#REF!="FICTICIO",1,0)</formula>
    </cfRule>
  </conditionalFormatting>
  <conditionalFormatting sqref="E205">
    <cfRule type="expression" dxfId="9139" priority="12737">
      <formula>IF(#REF!="FICTICIO",1,0)</formula>
    </cfRule>
  </conditionalFormatting>
  <conditionalFormatting sqref="E205">
    <cfRule type="expression" dxfId="9138" priority="12736">
      <formula>IF(#REF!="FICTICIO",1,0)</formula>
    </cfRule>
  </conditionalFormatting>
  <conditionalFormatting sqref="E205">
    <cfRule type="expression" dxfId="9137" priority="12735">
      <formula>IF(#REF!="FICTICIO",1,0)</formula>
    </cfRule>
  </conditionalFormatting>
  <conditionalFormatting sqref="E205">
    <cfRule type="expression" dxfId="9136" priority="12734">
      <formula>IF(#REF!="FICTICIO",1,0)</formula>
    </cfRule>
  </conditionalFormatting>
  <conditionalFormatting sqref="E205">
    <cfRule type="expression" dxfId="9135" priority="12733">
      <formula>IF(#REF!="FICTICIO",1,0)</formula>
    </cfRule>
  </conditionalFormatting>
  <conditionalFormatting sqref="E205">
    <cfRule type="expression" dxfId="9134" priority="12732">
      <formula>IF(#REF!="FICTICIO",1,0)</formula>
    </cfRule>
  </conditionalFormatting>
  <conditionalFormatting sqref="E205">
    <cfRule type="expression" dxfId="9133" priority="12731">
      <formula>IF(#REF!="FICTICIO",1,0)</formula>
    </cfRule>
  </conditionalFormatting>
  <conditionalFormatting sqref="E205">
    <cfRule type="expression" dxfId="9132" priority="12730">
      <formula>IF(#REF!="FICTICIO",1,0)</formula>
    </cfRule>
  </conditionalFormatting>
  <conditionalFormatting sqref="E200:E206">
    <cfRule type="expression" dxfId="9131" priority="12729">
      <formula>IF(#REF!="FICTICIO",1,0)</formula>
    </cfRule>
  </conditionalFormatting>
  <conditionalFormatting sqref="E200:E206">
    <cfRule type="expression" dxfId="9130" priority="12728">
      <formula>IF(#REF!="FICTICIO",1,0)</formula>
    </cfRule>
  </conditionalFormatting>
  <conditionalFormatting sqref="E200:E206">
    <cfRule type="expression" dxfId="9129" priority="12727">
      <formula>IF(#REF!="FICTICIO",1,0)</formula>
    </cfRule>
  </conditionalFormatting>
  <conditionalFormatting sqref="E200:E206">
    <cfRule type="expression" dxfId="9128" priority="12726">
      <formula>IF(#REF!="FICTICIO",1,0)</formula>
    </cfRule>
  </conditionalFormatting>
  <conditionalFormatting sqref="E200:E206">
    <cfRule type="expression" dxfId="9127" priority="12725">
      <formula>IF(#REF!="FICTICIO",1,0)</formula>
    </cfRule>
  </conditionalFormatting>
  <conditionalFormatting sqref="E200:E206">
    <cfRule type="expression" dxfId="9126" priority="12724">
      <formula>IF(#REF!="FICTICIO",1,0)</formula>
    </cfRule>
  </conditionalFormatting>
  <conditionalFormatting sqref="E200:E206">
    <cfRule type="expression" dxfId="9125" priority="12723">
      <formula>IF(#REF!="FICTICIO",1,0)</formula>
    </cfRule>
  </conditionalFormatting>
  <conditionalFormatting sqref="E200:E206">
    <cfRule type="expression" dxfId="9124" priority="12722">
      <formula>IF(#REF!="FICTICIO",1,0)</formula>
    </cfRule>
  </conditionalFormatting>
  <conditionalFormatting sqref="E200:E206">
    <cfRule type="expression" dxfId="9123" priority="12721">
      <formula>IF(#REF!="FICTICIO",1,0)</formula>
    </cfRule>
  </conditionalFormatting>
  <conditionalFormatting sqref="E200:E206">
    <cfRule type="expression" dxfId="9122" priority="12720">
      <formula>IF(#REF!="FICTICIO",1,0)</formula>
    </cfRule>
  </conditionalFormatting>
  <conditionalFormatting sqref="E200:E206">
    <cfRule type="expression" dxfId="9121" priority="12719">
      <formula>IF(#REF!="FICTICIO",1,0)</formula>
    </cfRule>
  </conditionalFormatting>
  <conditionalFormatting sqref="E200:E206">
    <cfRule type="expression" dxfId="9120" priority="12718">
      <formula>IF(#REF!="FICTICIO",1,0)</formula>
    </cfRule>
  </conditionalFormatting>
  <conditionalFormatting sqref="E200:E206">
    <cfRule type="expression" dxfId="9119" priority="12717">
      <formula>IF(#REF!="FICTICIO",1,0)</formula>
    </cfRule>
  </conditionalFormatting>
  <conditionalFormatting sqref="E200:E206">
    <cfRule type="expression" dxfId="9118" priority="12716">
      <formula>IF(#REF!="FICTICIO",1,0)</formula>
    </cfRule>
  </conditionalFormatting>
  <conditionalFormatting sqref="E200:E206">
    <cfRule type="expression" dxfId="9117" priority="12715">
      <formula>IF(#REF!="FICTICIO",1,0)</formula>
    </cfRule>
  </conditionalFormatting>
  <conditionalFormatting sqref="E200:E206">
    <cfRule type="expression" dxfId="9116" priority="12714">
      <formula>IF(#REF!="FICTICIO",1,0)</formula>
    </cfRule>
  </conditionalFormatting>
  <conditionalFormatting sqref="E200:E206">
    <cfRule type="expression" dxfId="9115" priority="12713">
      <formula>IF(#REF!="FICTICIO",1,0)</formula>
    </cfRule>
  </conditionalFormatting>
  <conditionalFormatting sqref="E200:E206">
    <cfRule type="expression" dxfId="9114" priority="12712">
      <formula>IF(#REF!="FICTICIO",1,0)</formula>
    </cfRule>
  </conditionalFormatting>
  <conditionalFormatting sqref="E200:E206">
    <cfRule type="expression" dxfId="9113" priority="12710">
      <formula>IF(#REF!="FICTICIO",1,0)</formula>
    </cfRule>
  </conditionalFormatting>
  <conditionalFormatting sqref="E200:E206">
    <cfRule type="expression" dxfId="9112" priority="12711">
      <formula>IF(#REF!="FICTICIO",1,0)</formula>
    </cfRule>
  </conditionalFormatting>
  <conditionalFormatting sqref="E200:E206">
    <cfRule type="expression" dxfId="9111" priority="12709">
      <formula>IF(#REF!="FICTICIO",1,0)</formula>
    </cfRule>
  </conditionalFormatting>
  <conditionalFormatting sqref="E200:E206">
    <cfRule type="expression" dxfId="9110" priority="12708">
      <formula>IF(#REF!="FICTICIO",1,0)</formula>
    </cfRule>
  </conditionalFormatting>
  <conditionalFormatting sqref="E200:E206">
    <cfRule type="expression" dxfId="9109" priority="12707">
      <formula>IF(#REF!="FICTICIO",1,0)</formula>
    </cfRule>
  </conditionalFormatting>
  <conditionalFormatting sqref="F200:F203">
    <cfRule type="expression" dxfId="9108" priority="12706">
      <formula>IF(#REF!="FICTICIO",1,0)</formula>
    </cfRule>
  </conditionalFormatting>
  <conditionalFormatting sqref="F206">
    <cfRule type="expression" dxfId="9107" priority="12704">
      <formula>IF(#REF!="FICTICIO",1,0)</formula>
    </cfRule>
  </conditionalFormatting>
  <conditionalFormatting sqref="F206">
    <cfRule type="expression" dxfId="9106" priority="12705">
      <formula>IF(#REF!="FICTICIO",1,0)</formula>
    </cfRule>
  </conditionalFormatting>
  <conditionalFormatting sqref="D207">
    <cfRule type="expression" dxfId="9105" priority="12702">
      <formula>IF(#REF!="FICTICIO",1,0)</formula>
    </cfRule>
  </conditionalFormatting>
  <conditionalFormatting sqref="D207">
    <cfRule type="expression" dxfId="9104" priority="12703">
      <formula>IF(#REF!="FICTICIO",1,0)</formula>
    </cfRule>
  </conditionalFormatting>
  <conditionalFormatting sqref="D207">
    <cfRule type="expression" dxfId="9103" priority="12700">
      <formula>IF(#REF!="FICTICIO",1,0)</formula>
    </cfRule>
  </conditionalFormatting>
  <conditionalFormatting sqref="D207">
    <cfRule type="expression" dxfId="9102" priority="12701">
      <formula>IF(#REF!="FICTICIO",1,0)</formula>
    </cfRule>
  </conditionalFormatting>
  <conditionalFormatting sqref="D207">
    <cfRule type="expression" dxfId="9101" priority="12699">
      <formula>IF(#REF!="FICTICIO",1,0)</formula>
    </cfRule>
  </conditionalFormatting>
  <conditionalFormatting sqref="E207">
    <cfRule type="expression" dxfId="9100" priority="12698">
      <formula>IF(#REF!="FICTICIO",1,0)</formula>
    </cfRule>
  </conditionalFormatting>
  <conditionalFormatting sqref="E207">
    <cfRule type="expression" dxfId="9099" priority="12697">
      <formula>IF(#REF!="FICTICIO",1,0)</formula>
    </cfRule>
  </conditionalFormatting>
  <conditionalFormatting sqref="E207">
    <cfRule type="expression" dxfId="9098" priority="12696">
      <formula>IF(#REF!="FICTICIO",1,0)</formula>
    </cfRule>
  </conditionalFormatting>
  <conditionalFormatting sqref="E207">
    <cfRule type="expression" dxfId="9097" priority="12695">
      <formula>IF(#REF!="FICTICIO",1,0)</formula>
    </cfRule>
  </conditionalFormatting>
  <conditionalFormatting sqref="E207">
    <cfRule type="expression" dxfId="9096" priority="12694">
      <formula>IF(#REF!="FICTICIO",1,0)</formula>
    </cfRule>
  </conditionalFormatting>
  <conditionalFormatting sqref="D207">
    <cfRule type="expression" dxfId="9095" priority="12692">
      <formula>IF(#REF!="FICTICIO",1,0)</formula>
    </cfRule>
  </conditionalFormatting>
  <conditionalFormatting sqref="D207">
    <cfRule type="expression" dxfId="9094" priority="12693">
      <formula>IF(#REF!="FICTICIO",1,0)</formula>
    </cfRule>
  </conditionalFormatting>
  <conditionalFormatting sqref="D207">
    <cfRule type="expression" dxfId="9093" priority="12690">
      <formula>IF(#REF!="FICTICIO",1,0)</formula>
    </cfRule>
  </conditionalFormatting>
  <conditionalFormatting sqref="D207">
    <cfRule type="expression" dxfId="9092" priority="12691">
      <formula>IF(#REF!="FICTICIO",1,0)</formula>
    </cfRule>
  </conditionalFormatting>
  <conditionalFormatting sqref="D207">
    <cfRule type="expression" dxfId="9091" priority="12688">
      <formula>IF(#REF!="FICTICIO",1,0)</formula>
    </cfRule>
  </conditionalFormatting>
  <conditionalFormatting sqref="D207">
    <cfRule type="expression" dxfId="9090" priority="12689">
      <formula>IF(#REF!="FICTICIO",1,0)</formula>
    </cfRule>
  </conditionalFormatting>
  <conditionalFormatting sqref="D207">
    <cfRule type="expression" dxfId="9089" priority="12686">
      <formula>IF(#REF!="FICTICIO",1,0)</formula>
    </cfRule>
  </conditionalFormatting>
  <conditionalFormatting sqref="D207">
    <cfRule type="expression" dxfId="9088" priority="12687">
      <formula>IF(#REF!="FICTICIO",1,0)</formula>
    </cfRule>
  </conditionalFormatting>
  <conditionalFormatting sqref="E207">
    <cfRule type="expression" dxfId="9087" priority="12685">
      <formula>IF(#REF!="FICTICIO",1,0)</formula>
    </cfRule>
  </conditionalFormatting>
  <conditionalFormatting sqref="E207">
    <cfRule type="expression" dxfId="9086" priority="12684">
      <formula>IF(#REF!="FICTICIO",1,0)</formula>
    </cfRule>
  </conditionalFormatting>
  <conditionalFormatting sqref="E207">
    <cfRule type="expression" dxfId="9085" priority="12683">
      <formula>IF(#REF!="FICTICIO",1,0)</formula>
    </cfRule>
  </conditionalFormatting>
  <conditionalFormatting sqref="E207">
    <cfRule type="expression" dxfId="9084" priority="12682">
      <formula>IF(#REF!="FICTICIO",1,0)</formula>
    </cfRule>
  </conditionalFormatting>
  <conditionalFormatting sqref="E207">
    <cfRule type="expression" dxfId="9083" priority="12681">
      <formula>IF(#REF!="FICTICIO",1,0)</formula>
    </cfRule>
  </conditionalFormatting>
  <conditionalFormatting sqref="E207">
    <cfRule type="expression" dxfId="9082" priority="12680">
      <formula>IF(#REF!="FICTICIO",1,0)</formula>
    </cfRule>
  </conditionalFormatting>
  <conditionalFormatting sqref="E207">
    <cfRule type="expression" dxfId="9081" priority="12679">
      <formula>IF(#REF!="FICTICIO",1,0)</formula>
    </cfRule>
  </conditionalFormatting>
  <conditionalFormatting sqref="E207">
    <cfRule type="expression" dxfId="9080" priority="12678">
      <formula>IF(#REF!="FICTICIO",1,0)</formula>
    </cfRule>
  </conditionalFormatting>
  <conditionalFormatting sqref="E207">
    <cfRule type="expression" dxfId="9079" priority="12677">
      <formula>IF(#REF!="FICTICIO",1,0)</formula>
    </cfRule>
  </conditionalFormatting>
  <conditionalFormatting sqref="E207">
    <cfRule type="expression" dxfId="9078" priority="12676">
      <formula>IF(#REF!="FICTICIO",1,0)</formula>
    </cfRule>
  </conditionalFormatting>
  <conditionalFormatting sqref="E207">
    <cfRule type="expression" dxfId="9077" priority="12675">
      <formula>IF(#REF!="FICTICIO",1,0)</formula>
    </cfRule>
  </conditionalFormatting>
  <conditionalFormatting sqref="E207">
    <cfRule type="expression" dxfId="9076" priority="12674">
      <formula>IF(#REF!="FICTICIO",1,0)</formula>
    </cfRule>
  </conditionalFormatting>
  <conditionalFormatting sqref="E207">
    <cfRule type="expression" dxfId="9075" priority="12673">
      <formula>IF(#REF!="FICTICIO",1,0)</formula>
    </cfRule>
  </conditionalFormatting>
  <conditionalFormatting sqref="E207">
    <cfRule type="expression" dxfId="9074" priority="12672">
      <formula>IF(#REF!="FICTICIO",1,0)</formula>
    </cfRule>
  </conditionalFormatting>
  <conditionalFormatting sqref="E207">
    <cfRule type="expression" dxfId="9073" priority="12671">
      <formula>IF(#REF!="FICTICIO",1,0)</formula>
    </cfRule>
  </conditionalFormatting>
  <conditionalFormatting sqref="E207">
    <cfRule type="expression" dxfId="9072" priority="12670">
      <formula>IF(#REF!="FICTICIO",1,0)</formula>
    </cfRule>
  </conditionalFormatting>
  <conditionalFormatting sqref="E207">
    <cfRule type="expression" dxfId="9071" priority="12669">
      <formula>IF(#REF!="FICTICIO",1,0)</formula>
    </cfRule>
  </conditionalFormatting>
  <conditionalFormatting sqref="E207">
    <cfRule type="expression" dxfId="9070" priority="12668">
      <formula>IF(#REF!="FICTICIO",1,0)</formula>
    </cfRule>
  </conditionalFormatting>
  <conditionalFormatting sqref="E207">
    <cfRule type="expression" dxfId="9069" priority="12666">
      <formula>IF(#REF!="FICTICIO",1,0)</formula>
    </cfRule>
  </conditionalFormatting>
  <conditionalFormatting sqref="E207">
    <cfRule type="expression" dxfId="9068" priority="12667">
      <formula>IF(#REF!="FICTICIO",1,0)</formula>
    </cfRule>
  </conditionalFormatting>
  <conditionalFormatting sqref="E207">
    <cfRule type="expression" dxfId="9067" priority="12665">
      <formula>IF(#REF!="FICTICIO",1,0)</formula>
    </cfRule>
  </conditionalFormatting>
  <conditionalFormatting sqref="E207">
    <cfRule type="expression" dxfId="9066" priority="12664">
      <formula>IF(#REF!="FICTICIO",1,0)</formula>
    </cfRule>
  </conditionalFormatting>
  <conditionalFormatting sqref="E207">
    <cfRule type="expression" dxfId="9065" priority="12663">
      <formula>IF(#REF!="FICTICIO",1,0)</formula>
    </cfRule>
  </conditionalFormatting>
  <conditionalFormatting sqref="E207">
    <cfRule type="expression" dxfId="9064" priority="12662">
      <formula>IF(#REF!="FICTICIO",1,0)</formula>
    </cfRule>
  </conditionalFormatting>
  <conditionalFormatting sqref="E207">
    <cfRule type="expression" dxfId="9063" priority="12661">
      <formula>IF(#REF!="FICTICIO",1,0)</formula>
    </cfRule>
  </conditionalFormatting>
  <conditionalFormatting sqref="E207">
    <cfRule type="expression" dxfId="9062" priority="12660">
      <formula>IF(#REF!="FICTICIO",1,0)</formula>
    </cfRule>
  </conditionalFormatting>
  <conditionalFormatting sqref="E207">
    <cfRule type="expression" dxfId="9061" priority="12659">
      <formula>IF(#REF!="FICTICIO",1,0)</formula>
    </cfRule>
  </conditionalFormatting>
  <conditionalFormatting sqref="E207">
    <cfRule type="expression" dxfId="9060" priority="12658">
      <formula>IF(#REF!="FICTICIO",1,0)</formula>
    </cfRule>
  </conditionalFormatting>
  <conditionalFormatting sqref="E207">
    <cfRule type="expression" dxfId="9059" priority="12657">
      <formula>IF(#REF!="FICTICIO",1,0)</formula>
    </cfRule>
  </conditionalFormatting>
  <conditionalFormatting sqref="E207">
    <cfRule type="expression" dxfId="9058" priority="12656">
      <formula>IF(#REF!="FICTICIO",1,0)</formula>
    </cfRule>
  </conditionalFormatting>
  <conditionalFormatting sqref="E207">
    <cfRule type="expression" dxfId="9057" priority="12655">
      <formula>IF(#REF!="FICTICIO",1,0)</formula>
    </cfRule>
  </conditionalFormatting>
  <conditionalFormatting sqref="E207">
    <cfRule type="expression" dxfId="9056" priority="12654">
      <formula>IF(#REF!="FICTICIO",1,0)</formula>
    </cfRule>
  </conditionalFormatting>
  <conditionalFormatting sqref="E207">
    <cfRule type="expression" dxfId="9055" priority="12653">
      <formula>IF(#REF!="FICTICIO",1,0)</formula>
    </cfRule>
  </conditionalFormatting>
  <conditionalFormatting sqref="E207">
    <cfRule type="expression" dxfId="9054" priority="12652">
      <formula>IF(#REF!="FICTICIO",1,0)</formula>
    </cfRule>
  </conditionalFormatting>
  <conditionalFormatting sqref="E207">
    <cfRule type="expression" dxfId="9053" priority="12651">
      <formula>IF(#REF!="FICTICIO",1,0)</formula>
    </cfRule>
  </conditionalFormatting>
  <conditionalFormatting sqref="E207">
    <cfRule type="expression" dxfId="9052" priority="12650">
      <formula>IF(#REF!="FICTICIO",1,0)</formula>
    </cfRule>
  </conditionalFormatting>
  <conditionalFormatting sqref="E207">
    <cfRule type="expression" dxfId="9051" priority="12649">
      <formula>IF(#REF!="FICTICIO",1,0)</formula>
    </cfRule>
  </conditionalFormatting>
  <conditionalFormatting sqref="E207">
    <cfRule type="expression" dxfId="9050" priority="12648">
      <formula>IF(#REF!="FICTICIO",1,0)</formula>
    </cfRule>
  </conditionalFormatting>
  <conditionalFormatting sqref="E207">
    <cfRule type="expression" dxfId="9049" priority="12647">
      <formula>IF(#REF!="FICTICIO",1,0)</formula>
    </cfRule>
  </conditionalFormatting>
  <conditionalFormatting sqref="E207">
    <cfRule type="expression" dxfId="9048" priority="12646">
      <formula>IF(#REF!="FICTICIO",1,0)</formula>
    </cfRule>
  </conditionalFormatting>
  <conditionalFormatting sqref="E207">
    <cfRule type="expression" dxfId="9047" priority="12645">
      <formula>IF(#REF!="FICTICIO",1,0)</formula>
    </cfRule>
  </conditionalFormatting>
  <conditionalFormatting sqref="E207">
    <cfRule type="expression" dxfId="9046" priority="12643">
      <formula>IF(#REF!="FICTICIO",1,0)</formula>
    </cfRule>
  </conditionalFormatting>
  <conditionalFormatting sqref="E207">
    <cfRule type="expression" dxfId="9045" priority="12644">
      <formula>IF(#REF!="FICTICIO",1,0)</formula>
    </cfRule>
  </conditionalFormatting>
  <conditionalFormatting sqref="E207">
    <cfRule type="expression" dxfId="9044" priority="12642">
      <formula>IF(#REF!="FICTICIO",1,0)</formula>
    </cfRule>
  </conditionalFormatting>
  <conditionalFormatting sqref="E207">
    <cfRule type="expression" dxfId="9043" priority="12641">
      <formula>IF(#REF!="FICTICIO",1,0)</formula>
    </cfRule>
  </conditionalFormatting>
  <conditionalFormatting sqref="E207">
    <cfRule type="expression" dxfId="9042" priority="12640">
      <formula>IF(#REF!="FICTICIO",1,0)</formula>
    </cfRule>
  </conditionalFormatting>
  <conditionalFormatting sqref="F207">
    <cfRule type="expression" dxfId="9041" priority="12639">
      <formula>IF(#REF!="FICTICIO",1,0)</formula>
    </cfRule>
  </conditionalFormatting>
  <conditionalFormatting sqref="D208">
    <cfRule type="expression" dxfId="9040" priority="12637">
      <formula>IF(#REF!="FICTICIO",1,0)</formula>
    </cfRule>
  </conditionalFormatting>
  <conditionalFormatting sqref="D208">
    <cfRule type="expression" dxfId="9039" priority="12638">
      <formula>IF(#REF!="FICTICIO",1,0)</formula>
    </cfRule>
  </conditionalFormatting>
  <conditionalFormatting sqref="D208">
    <cfRule type="expression" dxfId="9038" priority="12635">
      <formula>IF(#REF!="FICTICIO",1,0)</formula>
    </cfRule>
  </conditionalFormatting>
  <conditionalFormatting sqref="D208">
    <cfRule type="expression" dxfId="9037" priority="12636">
      <formula>IF(#REF!="FICTICIO",1,0)</formula>
    </cfRule>
  </conditionalFormatting>
  <conditionalFormatting sqref="D208">
    <cfRule type="expression" dxfId="9036" priority="12634">
      <formula>IF(#REF!="FICTICIO",1,0)</formula>
    </cfRule>
  </conditionalFormatting>
  <conditionalFormatting sqref="D208">
    <cfRule type="expression" dxfId="9035" priority="12632">
      <formula>IF(#REF!="FICTICIO",1,0)</formula>
    </cfRule>
  </conditionalFormatting>
  <conditionalFormatting sqref="D208">
    <cfRule type="expression" dxfId="9034" priority="12633">
      <formula>IF(#REF!="FICTICIO",1,0)</formula>
    </cfRule>
  </conditionalFormatting>
  <conditionalFormatting sqref="D208">
    <cfRule type="expression" dxfId="9033" priority="12630">
      <formula>IF(#REF!="FICTICIO",1,0)</formula>
    </cfRule>
  </conditionalFormatting>
  <conditionalFormatting sqref="D208">
    <cfRule type="expression" dxfId="9032" priority="12631">
      <formula>IF(#REF!="FICTICIO",1,0)</formula>
    </cfRule>
  </conditionalFormatting>
  <conditionalFormatting sqref="D208">
    <cfRule type="expression" dxfId="9031" priority="12628">
      <formula>IF(#REF!="FICTICIO",1,0)</formula>
    </cfRule>
  </conditionalFormatting>
  <conditionalFormatting sqref="D208">
    <cfRule type="expression" dxfId="9030" priority="12629">
      <formula>IF(#REF!="FICTICIO",1,0)</formula>
    </cfRule>
  </conditionalFormatting>
  <conditionalFormatting sqref="D208">
    <cfRule type="expression" dxfId="9029" priority="12626">
      <formula>IF(#REF!="FICTICIO",1,0)</formula>
    </cfRule>
  </conditionalFormatting>
  <conditionalFormatting sqref="D208">
    <cfRule type="expression" dxfId="9028" priority="12627">
      <formula>IF(#REF!="FICTICIO",1,0)</formula>
    </cfRule>
  </conditionalFormatting>
  <conditionalFormatting sqref="E208">
    <cfRule type="expression" dxfId="9027" priority="12625">
      <formula>IF(#REF!="FICTICIO",1,0)</formula>
    </cfRule>
  </conditionalFormatting>
  <conditionalFormatting sqref="E208">
    <cfRule type="expression" dxfId="9026" priority="12624">
      <formula>IF(#REF!="FICTICIO",1,0)</formula>
    </cfRule>
  </conditionalFormatting>
  <conditionalFormatting sqref="E208">
    <cfRule type="expression" dxfId="9025" priority="12623">
      <formula>IF(#REF!="FICTICIO",1,0)</formula>
    </cfRule>
  </conditionalFormatting>
  <conditionalFormatting sqref="E208">
    <cfRule type="expression" dxfId="9024" priority="12622">
      <formula>IF(#REF!="FICTICIO",1,0)</formula>
    </cfRule>
  </conditionalFormatting>
  <conditionalFormatting sqref="E208">
    <cfRule type="expression" dxfId="9023" priority="12621">
      <formula>IF(#REF!="FICTICIO",1,0)</formula>
    </cfRule>
  </conditionalFormatting>
  <conditionalFormatting sqref="E208">
    <cfRule type="expression" dxfId="9022" priority="12620">
      <formula>IF(#REF!="FICTICIO",1,0)</formula>
    </cfRule>
  </conditionalFormatting>
  <conditionalFormatting sqref="E208">
    <cfRule type="expression" dxfId="9021" priority="12619">
      <formula>IF(#REF!="FICTICIO",1,0)</formula>
    </cfRule>
  </conditionalFormatting>
  <conditionalFormatting sqref="E208">
    <cfRule type="expression" dxfId="9020" priority="12618">
      <formula>IF(#REF!="FICTICIO",1,0)</formula>
    </cfRule>
  </conditionalFormatting>
  <conditionalFormatting sqref="E208">
    <cfRule type="expression" dxfId="9019" priority="12617">
      <formula>IF(#REF!="FICTICIO",1,0)</formula>
    </cfRule>
  </conditionalFormatting>
  <conditionalFormatting sqref="E208">
    <cfRule type="expression" dxfId="9018" priority="12616">
      <formula>IF(#REF!="FICTICIO",1,0)</formula>
    </cfRule>
  </conditionalFormatting>
  <conditionalFormatting sqref="E208">
    <cfRule type="expression" dxfId="9017" priority="12615">
      <formula>IF(#REF!="FICTICIO",1,0)</formula>
    </cfRule>
  </conditionalFormatting>
  <conditionalFormatting sqref="E208">
    <cfRule type="expression" dxfId="9016" priority="12614">
      <formula>IF(#REF!="FICTICIO",1,0)</formula>
    </cfRule>
  </conditionalFormatting>
  <conditionalFormatting sqref="E208">
    <cfRule type="expression" dxfId="9015" priority="12613">
      <formula>IF(#REF!="FICTICIO",1,0)</formula>
    </cfRule>
  </conditionalFormatting>
  <conditionalFormatting sqref="E208">
    <cfRule type="expression" dxfId="9014" priority="12612">
      <formula>IF(#REF!="FICTICIO",1,0)</formula>
    </cfRule>
  </conditionalFormatting>
  <conditionalFormatting sqref="E208">
    <cfRule type="expression" dxfId="9013" priority="12611">
      <formula>IF(#REF!="FICTICIO",1,0)</formula>
    </cfRule>
  </conditionalFormatting>
  <conditionalFormatting sqref="E208">
    <cfRule type="expression" dxfId="9012" priority="12610">
      <formula>IF(#REF!="FICTICIO",1,0)</formula>
    </cfRule>
  </conditionalFormatting>
  <conditionalFormatting sqref="E208">
    <cfRule type="expression" dxfId="9011" priority="12609">
      <formula>IF(#REF!="FICTICIO",1,0)</formula>
    </cfRule>
  </conditionalFormatting>
  <conditionalFormatting sqref="E208">
    <cfRule type="expression" dxfId="9010" priority="12608">
      <formula>IF(#REF!="FICTICIO",1,0)</formula>
    </cfRule>
  </conditionalFormatting>
  <conditionalFormatting sqref="E208">
    <cfRule type="expression" dxfId="9009" priority="12607">
      <formula>IF(#REF!="FICTICIO",1,0)</formula>
    </cfRule>
  </conditionalFormatting>
  <conditionalFormatting sqref="E208">
    <cfRule type="expression" dxfId="9008" priority="12606">
      <formula>IF(#REF!="FICTICIO",1,0)</formula>
    </cfRule>
  </conditionalFormatting>
  <conditionalFormatting sqref="E208">
    <cfRule type="expression" dxfId="9007" priority="12605">
      <formula>IF(#REF!="FICTICIO",1,0)</formula>
    </cfRule>
  </conditionalFormatting>
  <conditionalFormatting sqref="E208">
    <cfRule type="expression" dxfId="9006" priority="12604">
      <formula>IF(#REF!="FICTICIO",1,0)</formula>
    </cfRule>
  </conditionalFormatting>
  <conditionalFormatting sqref="E208">
    <cfRule type="expression" dxfId="9005" priority="12603">
      <formula>IF(#REF!="FICTICIO",1,0)</formula>
    </cfRule>
  </conditionalFormatting>
  <conditionalFormatting sqref="E208">
    <cfRule type="expression" dxfId="9004" priority="12601">
      <formula>IF(#REF!="FICTICIO",1,0)</formula>
    </cfRule>
  </conditionalFormatting>
  <conditionalFormatting sqref="E208">
    <cfRule type="expression" dxfId="9003" priority="12602">
      <formula>IF(#REF!="FICTICIO",1,0)</formula>
    </cfRule>
  </conditionalFormatting>
  <conditionalFormatting sqref="E208">
    <cfRule type="expression" dxfId="9002" priority="12600">
      <formula>IF(#REF!="FICTICIO",1,0)</formula>
    </cfRule>
  </conditionalFormatting>
  <conditionalFormatting sqref="E208">
    <cfRule type="expression" dxfId="9001" priority="12599">
      <formula>IF(#REF!="FICTICIO",1,0)</formula>
    </cfRule>
  </conditionalFormatting>
  <conditionalFormatting sqref="E208">
    <cfRule type="expression" dxfId="9000" priority="12598">
      <formula>IF(#REF!="FICTICIO",1,0)</formula>
    </cfRule>
  </conditionalFormatting>
  <conditionalFormatting sqref="E208">
    <cfRule type="expression" dxfId="8999" priority="12597">
      <formula>IF(#REF!="FICTICIO",1,0)</formula>
    </cfRule>
  </conditionalFormatting>
  <conditionalFormatting sqref="E208">
    <cfRule type="expression" dxfId="8998" priority="12596">
      <formula>IF(#REF!="FICTICIO",1,0)</formula>
    </cfRule>
  </conditionalFormatting>
  <conditionalFormatting sqref="E208">
    <cfRule type="expression" dxfId="8997" priority="12595">
      <formula>IF(#REF!="FICTICIO",1,0)</formula>
    </cfRule>
  </conditionalFormatting>
  <conditionalFormatting sqref="E208">
    <cfRule type="expression" dxfId="8996" priority="12594">
      <formula>IF(#REF!="FICTICIO",1,0)</formula>
    </cfRule>
  </conditionalFormatting>
  <conditionalFormatting sqref="E208">
    <cfRule type="expression" dxfId="8995" priority="12593">
      <formula>IF(#REF!="FICTICIO",1,0)</formula>
    </cfRule>
  </conditionalFormatting>
  <conditionalFormatting sqref="E208">
    <cfRule type="expression" dxfId="8994" priority="12592">
      <formula>IF(#REF!="FICTICIO",1,0)</formula>
    </cfRule>
  </conditionalFormatting>
  <conditionalFormatting sqref="E208">
    <cfRule type="expression" dxfId="8993" priority="12591">
      <formula>IF(#REF!="FICTICIO",1,0)</formula>
    </cfRule>
  </conditionalFormatting>
  <conditionalFormatting sqref="E208">
    <cfRule type="expression" dxfId="8992" priority="12590">
      <formula>IF(#REF!="FICTICIO",1,0)</formula>
    </cfRule>
  </conditionalFormatting>
  <conditionalFormatting sqref="E208">
    <cfRule type="expression" dxfId="8991" priority="12589">
      <formula>IF(#REF!="FICTICIO",1,0)</formula>
    </cfRule>
  </conditionalFormatting>
  <conditionalFormatting sqref="E208">
    <cfRule type="expression" dxfId="8990" priority="12588">
      <formula>IF(#REF!="FICTICIO",1,0)</formula>
    </cfRule>
  </conditionalFormatting>
  <conditionalFormatting sqref="E208">
    <cfRule type="expression" dxfId="8989" priority="12587">
      <formula>IF(#REF!="FICTICIO",1,0)</formula>
    </cfRule>
  </conditionalFormatting>
  <conditionalFormatting sqref="E208">
    <cfRule type="expression" dxfId="8988" priority="12586">
      <formula>IF(#REF!="FICTICIO",1,0)</formula>
    </cfRule>
  </conditionalFormatting>
  <conditionalFormatting sqref="E208">
    <cfRule type="expression" dxfId="8987" priority="12585">
      <formula>IF(#REF!="FICTICIO",1,0)</formula>
    </cfRule>
  </conditionalFormatting>
  <conditionalFormatting sqref="E208">
    <cfRule type="expression" dxfId="8986" priority="12584">
      <formula>IF(#REF!="FICTICIO",1,0)</formula>
    </cfRule>
  </conditionalFormatting>
  <conditionalFormatting sqref="E208">
    <cfRule type="expression" dxfId="8985" priority="12583">
      <formula>IF(#REF!="FICTICIO",1,0)</formula>
    </cfRule>
  </conditionalFormatting>
  <conditionalFormatting sqref="E208">
    <cfRule type="expression" dxfId="8984" priority="12582">
      <formula>IF(#REF!="FICTICIO",1,0)</formula>
    </cfRule>
  </conditionalFormatting>
  <conditionalFormatting sqref="E208">
    <cfRule type="expression" dxfId="8983" priority="12581">
      <formula>IF(#REF!="FICTICIO",1,0)</formula>
    </cfRule>
  </conditionalFormatting>
  <conditionalFormatting sqref="E208">
    <cfRule type="expression" dxfId="8982" priority="12580">
      <formula>IF(#REF!="FICTICIO",1,0)</formula>
    </cfRule>
  </conditionalFormatting>
  <conditionalFormatting sqref="E208">
    <cfRule type="expression" dxfId="8981" priority="12578">
      <formula>IF(#REF!="FICTICIO",1,0)</formula>
    </cfRule>
  </conditionalFormatting>
  <conditionalFormatting sqref="E208">
    <cfRule type="expression" dxfId="8980" priority="12579">
      <formula>IF(#REF!="FICTICIO",1,0)</formula>
    </cfRule>
  </conditionalFormatting>
  <conditionalFormatting sqref="E208">
    <cfRule type="expression" dxfId="8979" priority="12577">
      <formula>IF(#REF!="FICTICIO",1,0)</formula>
    </cfRule>
  </conditionalFormatting>
  <conditionalFormatting sqref="E208">
    <cfRule type="expression" dxfId="8978" priority="12576">
      <formula>IF(#REF!="FICTICIO",1,0)</formula>
    </cfRule>
  </conditionalFormatting>
  <conditionalFormatting sqref="E208">
    <cfRule type="expression" dxfId="8977" priority="12575">
      <formula>IF(#REF!="FICTICIO",1,0)</formula>
    </cfRule>
  </conditionalFormatting>
  <conditionalFormatting sqref="F208">
    <cfRule type="expression" dxfId="8976" priority="12574">
      <formula>IF(#REF!="FICTICIO",1,0)</formula>
    </cfRule>
  </conditionalFormatting>
  <conditionalFormatting sqref="D209">
    <cfRule type="expression" dxfId="8975" priority="12572">
      <formula>IF(#REF!="FICTICIO",1,0)</formula>
    </cfRule>
  </conditionalFormatting>
  <conditionalFormatting sqref="D209">
    <cfRule type="expression" dxfId="8974" priority="12573">
      <formula>IF(#REF!="FICTICIO",1,0)</formula>
    </cfRule>
  </conditionalFormatting>
  <conditionalFormatting sqref="D209">
    <cfRule type="expression" dxfId="8973" priority="12570">
      <formula>IF(#REF!="FICTICIO",1,0)</formula>
    </cfRule>
  </conditionalFormatting>
  <conditionalFormatting sqref="D209">
    <cfRule type="expression" dxfId="8972" priority="12571">
      <formula>IF(#REF!="FICTICIO",1,0)</formula>
    </cfRule>
  </conditionalFormatting>
  <conditionalFormatting sqref="D209">
    <cfRule type="expression" dxfId="8971" priority="12569">
      <formula>IF(#REF!="FICTICIO",1,0)</formula>
    </cfRule>
  </conditionalFormatting>
  <conditionalFormatting sqref="D209">
    <cfRule type="expression" dxfId="8970" priority="12567">
      <formula>IF(#REF!="FICTICIO",1,0)</formula>
    </cfRule>
  </conditionalFormatting>
  <conditionalFormatting sqref="D209">
    <cfRule type="expression" dxfId="8969" priority="12568">
      <formula>IF(#REF!="FICTICIO",1,0)</formula>
    </cfRule>
  </conditionalFormatting>
  <conditionalFormatting sqref="D209">
    <cfRule type="expression" dxfId="8968" priority="12565">
      <formula>IF(#REF!="FICTICIO",1,0)</formula>
    </cfRule>
  </conditionalFormatting>
  <conditionalFormatting sqref="D209">
    <cfRule type="expression" dxfId="8967" priority="12566">
      <formula>IF(#REF!="FICTICIO",1,0)</formula>
    </cfRule>
  </conditionalFormatting>
  <conditionalFormatting sqref="D209">
    <cfRule type="expression" dxfId="8966" priority="12563">
      <formula>IF(#REF!="FICTICIO",1,0)</formula>
    </cfRule>
  </conditionalFormatting>
  <conditionalFormatting sqref="D209">
    <cfRule type="expression" dxfId="8965" priority="12564">
      <formula>IF(#REF!="FICTICIO",1,0)</formula>
    </cfRule>
  </conditionalFormatting>
  <conditionalFormatting sqref="D209">
    <cfRule type="expression" dxfId="8964" priority="12561">
      <formula>IF(#REF!="FICTICIO",1,0)</formula>
    </cfRule>
  </conditionalFormatting>
  <conditionalFormatting sqref="D209">
    <cfRule type="expression" dxfId="8963" priority="12562">
      <formula>IF(#REF!="FICTICIO",1,0)</formula>
    </cfRule>
  </conditionalFormatting>
  <conditionalFormatting sqref="E209">
    <cfRule type="expression" dxfId="8962" priority="12560">
      <formula>IF(#REF!="FICTICIO",1,0)</formula>
    </cfRule>
  </conditionalFormatting>
  <conditionalFormatting sqref="E209">
    <cfRule type="expression" dxfId="8961" priority="12559">
      <formula>IF(#REF!="FICTICIO",1,0)</formula>
    </cfRule>
  </conditionalFormatting>
  <conditionalFormatting sqref="E209">
    <cfRule type="expression" dxfId="8960" priority="12558">
      <formula>IF(#REF!="FICTICIO",1,0)</formula>
    </cfRule>
  </conditionalFormatting>
  <conditionalFormatting sqref="E209">
    <cfRule type="expression" dxfId="8959" priority="12557">
      <formula>IF(#REF!="FICTICIO",1,0)</formula>
    </cfRule>
  </conditionalFormatting>
  <conditionalFormatting sqref="E209">
    <cfRule type="expression" dxfId="8958" priority="12556">
      <formula>IF(#REF!="FICTICIO",1,0)</formula>
    </cfRule>
  </conditionalFormatting>
  <conditionalFormatting sqref="E209">
    <cfRule type="expression" dxfId="8957" priority="12555">
      <formula>IF(#REF!="FICTICIO",1,0)</formula>
    </cfRule>
  </conditionalFormatting>
  <conditionalFormatting sqref="E209">
    <cfRule type="expression" dxfId="8956" priority="12554">
      <formula>IF(#REF!="FICTICIO",1,0)</formula>
    </cfRule>
  </conditionalFormatting>
  <conditionalFormatting sqref="E209">
    <cfRule type="expression" dxfId="8955" priority="12553">
      <formula>IF(#REF!="FICTICIO",1,0)</formula>
    </cfRule>
  </conditionalFormatting>
  <conditionalFormatting sqref="E209">
    <cfRule type="expression" dxfId="8954" priority="12552">
      <formula>IF(#REF!="FICTICIO",1,0)</formula>
    </cfRule>
  </conditionalFormatting>
  <conditionalFormatting sqref="E209">
    <cfRule type="expression" dxfId="8953" priority="12551">
      <formula>IF(#REF!="FICTICIO",1,0)</formula>
    </cfRule>
  </conditionalFormatting>
  <conditionalFormatting sqref="E209">
    <cfRule type="expression" dxfId="8952" priority="12550">
      <formula>IF(#REF!="FICTICIO",1,0)</formula>
    </cfRule>
  </conditionalFormatting>
  <conditionalFormatting sqref="E209">
    <cfRule type="expression" dxfId="8951" priority="12549">
      <formula>IF(#REF!="FICTICIO",1,0)</formula>
    </cfRule>
  </conditionalFormatting>
  <conditionalFormatting sqref="E209">
    <cfRule type="expression" dxfId="8950" priority="12548">
      <formula>IF(#REF!="FICTICIO",1,0)</formula>
    </cfRule>
  </conditionalFormatting>
  <conditionalFormatting sqref="E209">
    <cfRule type="expression" dxfId="8949" priority="12547">
      <formula>IF(#REF!="FICTICIO",1,0)</formula>
    </cfRule>
  </conditionalFormatting>
  <conditionalFormatting sqref="E209">
    <cfRule type="expression" dxfId="8948" priority="12546">
      <formula>IF(#REF!="FICTICIO",1,0)</formula>
    </cfRule>
  </conditionalFormatting>
  <conditionalFormatting sqref="E209">
    <cfRule type="expression" dxfId="8947" priority="12545">
      <formula>IF(#REF!="FICTICIO",1,0)</formula>
    </cfRule>
  </conditionalFormatting>
  <conditionalFormatting sqref="E209">
    <cfRule type="expression" dxfId="8946" priority="12544">
      <formula>IF(#REF!="FICTICIO",1,0)</formula>
    </cfRule>
  </conditionalFormatting>
  <conditionalFormatting sqref="E209">
    <cfRule type="expression" dxfId="8945" priority="12543">
      <formula>IF(#REF!="FICTICIO",1,0)</formula>
    </cfRule>
  </conditionalFormatting>
  <conditionalFormatting sqref="E209">
    <cfRule type="expression" dxfId="8944" priority="12542">
      <formula>IF(#REF!="FICTICIO",1,0)</formula>
    </cfRule>
  </conditionalFormatting>
  <conditionalFormatting sqref="E209">
    <cfRule type="expression" dxfId="8943" priority="12541">
      <formula>IF(#REF!="FICTICIO",1,0)</formula>
    </cfRule>
  </conditionalFormatting>
  <conditionalFormatting sqref="E209">
    <cfRule type="expression" dxfId="8942" priority="12540">
      <formula>IF(#REF!="FICTICIO",1,0)</formula>
    </cfRule>
  </conditionalFormatting>
  <conditionalFormatting sqref="E209">
    <cfRule type="expression" dxfId="8941" priority="12539">
      <formula>IF(#REF!="FICTICIO",1,0)</formula>
    </cfRule>
  </conditionalFormatting>
  <conditionalFormatting sqref="E209">
    <cfRule type="expression" dxfId="8940" priority="12538">
      <formula>IF(#REF!="FICTICIO",1,0)</formula>
    </cfRule>
  </conditionalFormatting>
  <conditionalFormatting sqref="E209">
    <cfRule type="expression" dxfId="8939" priority="12536">
      <formula>IF(#REF!="FICTICIO",1,0)</formula>
    </cfRule>
  </conditionalFormatting>
  <conditionalFormatting sqref="E209">
    <cfRule type="expression" dxfId="8938" priority="12537">
      <formula>IF(#REF!="FICTICIO",1,0)</formula>
    </cfRule>
  </conditionalFormatting>
  <conditionalFormatting sqref="E209">
    <cfRule type="expression" dxfId="8937" priority="12535">
      <formula>IF(#REF!="FICTICIO",1,0)</formula>
    </cfRule>
  </conditionalFormatting>
  <conditionalFormatting sqref="E209">
    <cfRule type="expression" dxfId="8936" priority="12534">
      <formula>IF(#REF!="FICTICIO",1,0)</formula>
    </cfRule>
  </conditionalFormatting>
  <conditionalFormatting sqref="E209">
    <cfRule type="expression" dxfId="8935" priority="12533">
      <formula>IF(#REF!="FICTICIO",1,0)</formula>
    </cfRule>
  </conditionalFormatting>
  <conditionalFormatting sqref="E209">
    <cfRule type="expression" dxfId="8934" priority="12532">
      <formula>IF(#REF!="FICTICIO",1,0)</formula>
    </cfRule>
  </conditionalFormatting>
  <conditionalFormatting sqref="E209">
    <cfRule type="expression" dxfId="8933" priority="12531">
      <formula>IF(#REF!="FICTICIO",1,0)</formula>
    </cfRule>
  </conditionalFormatting>
  <conditionalFormatting sqref="E209">
    <cfRule type="expression" dxfId="8932" priority="12530">
      <formula>IF(#REF!="FICTICIO",1,0)</formula>
    </cfRule>
  </conditionalFormatting>
  <conditionalFormatting sqref="E209">
    <cfRule type="expression" dxfId="8931" priority="12529">
      <formula>IF(#REF!="FICTICIO",1,0)</formula>
    </cfRule>
  </conditionalFormatting>
  <conditionalFormatting sqref="E209">
    <cfRule type="expression" dxfId="8930" priority="12528">
      <formula>IF(#REF!="FICTICIO",1,0)</formula>
    </cfRule>
  </conditionalFormatting>
  <conditionalFormatting sqref="E209">
    <cfRule type="expression" dxfId="8929" priority="12527">
      <formula>IF(#REF!="FICTICIO",1,0)</formula>
    </cfRule>
  </conditionalFormatting>
  <conditionalFormatting sqref="E209">
    <cfRule type="expression" dxfId="8928" priority="12526">
      <formula>IF(#REF!="FICTICIO",1,0)</formula>
    </cfRule>
  </conditionalFormatting>
  <conditionalFormatting sqref="E209">
    <cfRule type="expression" dxfId="8927" priority="12525">
      <formula>IF(#REF!="FICTICIO",1,0)</formula>
    </cfRule>
  </conditionalFormatting>
  <conditionalFormatting sqref="E209">
    <cfRule type="expression" dxfId="8926" priority="12524">
      <formula>IF(#REF!="FICTICIO",1,0)</formula>
    </cfRule>
  </conditionalFormatting>
  <conditionalFormatting sqref="E209">
    <cfRule type="expression" dxfId="8925" priority="12523">
      <formula>IF(#REF!="FICTICIO",1,0)</formula>
    </cfRule>
  </conditionalFormatting>
  <conditionalFormatting sqref="E209">
    <cfRule type="expression" dxfId="8924" priority="12522">
      <formula>IF(#REF!="FICTICIO",1,0)</formula>
    </cfRule>
  </conditionalFormatting>
  <conditionalFormatting sqref="E209">
    <cfRule type="expression" dxfId="8923" priority="12521">
      <formula>IF(#REF!="FICTICIO",1,0)</formula>
    </cfRule>
  </conditionalFormatting>
  <conditionalFormatting sqref="E209">
    <cfRule type="expression" dxfId="8922" priority="12520">
      <formula>IF(#REF!="FICTICIO",1,0)</formula>
    </cfRule>
  </conditionalFormatting>
  <conditionalFormatting sqref="E209">
    <cfRule type="expression" dxfId="8921" priority="12519">
      <formula>IF(#REF!="FICTICIO",1,0)</formula>
    </cfRule>
  </conditionalFormatting>
  <conditionalFormatting sqref="E209">
    <cfRule type="expression" dxfId="8920" priority="12518">
      <formula>IF(#REF!="FICTICIO",1,0)</formula>
    </cfRule>
  </conditionalFormatting>
  <conditionalFormatting sqref="E209">
    <cfRule type="expression" dxfId="8919" priority="12517">
      <formula>IF(#REF!="FICTICIO",1,0)</formula>
    </cfRule>
  </conditionalFormatting>
  <conditionalFormatting sqref="E209">
    <cfRule type="expression" dxfId="8918" priority="12516">
      <formula>IF(#REF!="FICTICIO",1,0)</formula>
    </cfRule>
  </conditionalFormatting>
  <conditionalFormatting sqref="E209">
    <cfRule type="expression" dxfId="8917" priority="12515">
      <formula>IF(#REF!="FICTICIO",1,0)</formula>
    </cfRule>
  </conditionalFormatting>
  <conditionalFormatting sqref="E209">
    <cfRule type="expression" dxfId="8916" priority="12513">
      <formula>IF(#REF!="FICTICIO",1,0)</formula>
    </cfRule>
  </conditionalFormatting>
  <conditionalFormatting sqref="E209">
    <cfRule type="expression" dxfId="8915" priority="12514">
      <formula>IF(#REF!="FICTICIO",1,0)</formula>
    </cfRule>
  </conditionalFormatting>
  <conditionalFormatting sqref="E209">
    <cfRule type="expression" dxfId="8914" priority="12512">
      <formula>IF(#REF!="FICTICIO",1,0)</formula>
    </cfRule>
  </conditionalFormatting>
  <conditionalFormatting sqref="E209">
    <cfRule type="expression" dxfId="8913" priority="12511">
      <formula>IF(#REF!="FICTICIO",1,0)</formula>
    </cfRule>
  </conditionalFormatting>
  <conditionalFormatting sqref="E209">
    <cfRule type="expression" dxfId="8912" priority="12510">
      <formula>IF(#REF!="FICTICIO",1,0)</formula>
    </cfRule>
  </conditionalFormatting>
  <conditionalFormatting sqref="F209">
    <cfRule type="expression" dxfId="8911" priority="12509">
      <formula>IF(#REF!="FICTICIO",1,0)</formula>
    </cfRule>
  </conditionalFormatting>
  <conditionalFormatting sqref="F6">
    <cfRule type="expression" dxfId="8910" priority="12508">
      <formula>IF(#REF!="FICTICIO",1,0)</formula>
    </cfRule>
  </conditionalFormatting>
  <conditionalFormatting sqref="F6">
    <cfRule type="expression" dxfId="8909" priority="12506">
      <formula>IF(#REF!="FICTICIO",1,0)</formula>
    </cfRule>
  </conditionalFormatting>
  <conditionalFormatting sqref="F6">
    <cfRule type="expression" dxfId="8908" priority="12507">
      <formula>IF(#REF!="FICTICIO",1,0)</formula>
    </cfRule>
  </conditionalFormatting>
  <conditionalFormatting sqref="D6">
    <cfRule type="expression" dxfId="8907" priority="12505">
      <formula>IF(#REF!="FICTICIO",1,0)</formula>
    </cfRule>
  </conditionalFormatting>
  <conditionalFormatting sqref="E6">
    <cfRule type="expression" dxfId="8906" priority="12500">
      <formula>IF(#REF!="FICTICIO",1,0)</formula>
    </cfRule>
  </conditionalFormatting>
  <conditionalFormatting sqref="E6">
    <cfRule type="expression" dxfId="8905" priority="12499">
      <formula>IF(#REF!="FICTICIO",1,0)</formula>
    </cfRule>
  </conditionalFormatting>
  <conditionalFormatting sqref="E6">
    <cfRule type="expression" dxfId="8904" priority="12498">
      <formula>IF(#REF!="FICTICIO",1,0)</formula>
    </cfRule>
  </conditionalFormatting>
  <conditionalFormatting sqref="D6">
    <cfRule type="expression" dxfId="8903" priority="12504">
      <formula>IF(#REF!="FICTICIO",1,0)</formula>
    </cfRule>
  </conditionalFormatting>
  <conditionalFormatting sqref="E6">
    <cfRule type="expression" dxfId="8902" priority="12503">
      <formula>IF(#REF!="FICTICIO",1,0)</formula>
    </cfRule>
  </conditionalFormatting>
  <conditionalFormatting sqref="E6">
    <cfRule type="expression" dxfId="8901" priority="12502">
      <formula>IF(#REF!="FICTICIO",1,0)</formula>
    </cfRule>
  </conditionalFormatting>
  <conditionalFormatting sqref="E6">
    <cfRule type="expression" dxfId="8900" priority="12501">
      <formula>IF(#REF!="FICTICIO",1,0)</formula>
    </cfRule>
  </conditionalFormatting>
  <conditionalFormatting sqref="E8:E9">
    <cfRule type="expression" dxfId="8899" priority="12489">
      <formula>IF(#REF!="FICTICIO",1,0)</formula>
    </cfRule>
  </conditionalFormatting>
  <conditionalFormatting sqref="E8:E9">
    <cfRule type="expression" dxfId="8898" priority="12488">
      <formula>IF(#REF!="FICTICIO",1,0)</formula>
    </cfRule>
  </conditionalFormatting>
  <conditionalFormatting sqref="E8:E9">
    <cfRule type="expression" dxfId="8897" priority="12487">
      <formula>IF(#REF!="FICTICIO",1,0)</formula>
    </cfRule>
  </conditionalFormatting>
  <conditionalFormatting sqref="E8:E9">
    <cfRule type="expression" dxfId="8896" priority="12492">
      <formula>IF(#REF!="FICTICIO",1,0)</formula>
    </cfRule>
  </conditionalFormatting>
  <conditionalFormatting sqref="E8:E9">
    <cfRule type="expression" dxfId="8895" priority="12491">
      <formula>IF(#REF!="FICTICIO",1,0)</formula>
    </cfRule>
  </conditionalFormatting>
  <conditionalFormatting sqref="E8:E9">
    <cfRule type="expression" dxfId="8894" priority="12490">
      <formula>IF(#REF!="FICTICIO",1,0)</formula>
    </cfRule>
  </conditionalFormatting>
  <conditionalFormatting sqref="F9">
    <cfRule type="expression" dxfId="8893" priority="12486">
      <formula>IF(#REF!="FICTICIO",1,0)</formula>
    </cfRule>
  </conditionalFormatting>
  <conditionalFormatting sqref="F9">
    <cfRule type="expression" dxfId="8892" priority="12484">
      <formula>IF(#REF!="FICTICIO",1,0)</formula>
    </cfRule>
  </conditionalFormatting>
  <conditionalFormatting sqref="F9">
    <cfRule type="expression" dxfId="8891" priority="12485">
      <formula>IF(#REF!="FICTICIO",1,0)</formula>
    </cfRule>
  </conditionalFormatting>
  <conditionalFormatting sqref="E10:E11">
    <cfRule type="expression" dxfId="8890" priority="12478">
      <formula>IF(#REF!="FICTICIO",1,0)</formula>
    </cfRule>
  </conditionalFormatting>
  <conditionalFormatting sqref="E10:E11">
    <cfRule type="expression" dxfId="8889" priority="12477">
      <formula>IF(#REF!="FICTICIO",1,0)</formula>
    </cfRule>
  </conditionalFormatting>
  <conditionalFormatting sqref="E10:E11">
    <cfRule type="expression" dxfId="8888" priority="12476">
      <formula>IF(#REF!="FICTICIO",1,0)</formula>
    </cfRule>
  </conditionalFormatting>
  <conditionalFormatting sqref="E10:E11">
    <cfRule type="expression" dxfId="8887" priority="12481">
      <formula>IF(#REF!="FICTICIO",1,0)</formula>
    </cfRule>
  </conditionalFormatting>
  <conditionalFormatting sqref="E10:E11">
    <cfRule type="expression" dxfId="8886" priority="12480">
      <formula>IF(#REF!="FICTICIO",1,0)</formula>
    </cfRule>
  </conditionalFormatting>
  <conditionalFormatting sqref="E10:E11">
    <cfRule type="expression" dxfId="8885" priority="12479">
      <formula>IF(#REF!="FICTICIO",1,0)</formula>
    </cfRule>
  </conditionalFormatting>
  <conditionalFormatting sqref="E10:E11">
    <cfRule type="expression" dxfId="8884" priority="12472">
      <formula>IF(#REF!="FICTICIO",1,0)</formula>
    </cfRule>
  </conditionalFormatting>
  <conditionalFormatting sqref="E10:E11">
    <cfRule type="expression" dxfId="8883" priority="12471">
      <formula>IF(#REF!="FICTICIO",1,0)</formula>
    </cfRule>
  </conditionalFormatting>
  <conditionalFormatting sqref="E10:E11">
    <cfRule type="expression" dxfId="8882" priority="12470">
      <formula>IF(#REF!="FICTICIO",1,0)</formula>
    </cfRule>
  </conditionalFormatting>
  <conditionalFormatting sqref="E10:E11">
    <cfRule type="expression" dxfId="8881" priority="12475">
      <formula>IF(#REF!="FICTICIO",1,0)</formula>
    </cfRule>
  </conditionalFormatting>
  <conditionalFormatting sqref="E10:E11">
    <cfRule type="expression" dxfId="8880" priority="12474">
      <formula>IF(#REF!="FICTICIO",1,0)</formula>
    </cfRule>
  </conditionalFormatting>
  <conditionalFormatting sqref="E10:E11">
    <cfRule type="expression" dxfId="8879" priority="12473">
      <formula>IF(#REF!="FICTICIO",1,0)</formula>
    </cfRule>
  </conditionalFormatting>
  <conditionalFormatting sqref="F10">
    <cfRule type="expression" dxfId="8878" priority="12469">
      <formula>IF(#REF!="FICTICIO",1,0)</formula>
    </cfRule>
  </conditionalFormatting>
  <conditionalFormatting sqref="F10">
    <cfRule type="expression" dxfId="8877" priority="12467">
      <formula>IF(#REF!="FICTICIO",1,0)</formula>
    </cfRule>
  </conditionalFormatting>
  <conditionalFormatting sqref="F10">
    <cfRule type="expression" dxfId="8876" priority="12468">
      <formula>IF(#REF!="FICTICIO",1,0)</formula>
    </cfRule>
  </conditionalFormatting>
  <conditionalFormatting sqref="F35">
    <cfRule type="expression" dxfId="8875" priority="12365">
      <formula>IF(#REF!="FICTICIO",1,0)</formula>
    </cfRule>
  </conditionalFormatting>
  <conditionalFormatting sqref="E39">
    <cfRule type="expression" dxfId="8874" priority="12338">
      <formula>IF(#REF!="FICTICIO",1,0)</formula>
    </cfRule>
  </conditionalFormatting>
  <conditionalFormatting sqref="E39">
    <cfRule type="expression" dxfId="8873" priority="12337">
      <formula>IF(#REF!="FICTICIO",1,0)</formula>
    </cfRule>
  </conditionalFormatting>
  <conditionalFormatting sqref="E39">
    <cfRule type="expression" dxfId="8872" priority="12336">
      <formula>IF(#REF!="FICTICIO",1,0)</formula>
    </cfRule>
  </conditionalFormatting>
  <conditionalFormatting sqref="E39">
    <cfRule type="expression" dxfId="8871" priority="12335">
      <formula>IF(#REF!="FICTICIO",1,0)</formula>
    </cfRule>
  </conditionalFormatting>
  <conditionalFormatting sqref="E39">
    <cfRule type="expression" dxfId="8870" priority="12334">
      <formula>IF(#REF!="FICTICIO",1,0)</formula>
    </cfRule>
  </conditionalFormatting>
  <conditionalFormatting sqref="E39">
    <cfRule type="expression" dxfId="8869" priority="12333">
      <formula>IF(#REF!="FICTICIO",1,0)</formula>
    </cfRule>
  </conditionalFormatting>
  <conditionalFormatting sqref="E39">
    <cfRule type="expression" dxfId="8868" priority="12332">
      <formula>IF(#REF!="FICTICIO",1,0)</formula>
    </cfRule>
  </conditionalFormatting>
  <conditionalFormatting sqref="E39">
    <cfRule type="expression" dxfId="8867" priority="12331">
      <formula>IF(#REF!="FICTICIO",1,0)</formula>
    </cfRule>
  </conditionalFormatting>
  <conditionalFormatting sqref="E39">
    <cfRule type="expression" dxfId="8866" priority="12330">
      <formula>IF(#REF!="FICTICIO",1,0)</formula>
    </cfRule>
  </conditionalFormatting>
  <conditionalFormatting sqref="E39">
    <cfRule type="expression" dxfId="8865" priority="12329">
      <formula>IF(#REF!="FICTICIO",1,0)</formula>
    </cfRule>
  </conditionalFormatting>
  <conditionalFormatting sqref="E39">
    <cfRule type="expression" dxfId="8864" priority="12328">
      <formula>IF(#REF!="FICTICIO",1,0)</formula>
    </cfRule>
  </conditionalFormatting>
  <conditionalFormatting sqref="E39">
    <cfRule type="expression" dxfId="8863" priority="12327">
      <formula>IF(#REF!="FICTICIO",1,0)</formula>
    </cfRule>
  </conditionalFormatting>
  <conditionalFormatting sqref="E39">
    <cfRule type="expression" dxfId="8862" priority="12326">
      <formula>IF(#REF!="FICTICIO",1,0)</formula>
    </cfRule>
  </conditionalFormatting>
  <conditionalFormatting sqref="F43">
    <cfRule type="expression" dxfId="8861" priority="12283">
      <formula>IF(#REF!="FICTICIO",1,0)</formula>
    </cfRule>
  </conditionalFormatting>
  <conditionalFormatting sqref="F43">
    <cfRule type="expression" dxfId="8860" priority="12284">
      <formula>IF(#REF!="FICTICIO",1,0)</formula>
    </cfRule>
  </conditionalFormatting>
  <conditionalFormatting sqref="E52">
    <cfRule type="expression" dxfId="8859" priority="12155">
      <formula>IF(#REF!="FICTICIO",1,0)</formula>
    </cfRule>
  </conditionalFormatting>
  <conditionalFormatting sqref="E52">
    <cfRule type="expression" dxfId="8858" priority="12154">
      <formula>IF(#REF!="FICTICIO",1,0)</formula>
    </cfRule>
  </conditionalFormatting>
  <conditionalFormatting sqref="E52">
    <cfRule type="expression" dxfId="8857" priority="12153">
      <formula>IF(#REF!="FICTICIO",1,0)</formula>
    </cfRule>
  </conditionalFormatting>
  <conditionalFormatting sqref="E52">
    <cfRule type="expression" dxfId="8856" priority="12152">
      <formula>IF(#REF!="FICTICIO",1,0)</formula>
    </cfRule>
  </conditionalFormatting>
  <conditionalFormatting sqref="E52">
    <cfRule type="expression" dxfId="8855" priority="12151">
      <formula>IF(#REF!="FICTICIO",1,0)</formula>
    </cfRule>
  </conditionalFormatting>
  <conditionalFormatting sqref="E52">
    <cfRule type="expression" dxfId="8854" priority="12150">
      <formula>IF(#REF!="FICTICIO",1,0)</formula>
    </cfRule>
  </conditionalFormatting>
  <conditionalFormatting sqref="E52">
    <cfRule type="expression" dxfId="8853" priority="12149">
      <formula>IF(#REF!="FICTICIO",1,0)</formula>
    </cfRule>
  </conditionalFormatting>
  <conditionalFormatting sqref="E52">
    <cfRule type="expression" dxfId="8852" priority="12148">
      <formula>IF(#REF!="FICTICIO",1,0)</formula>
    </cfRule>
  </conditionalFormatting>
  <conditionalFormatting sqref="E52">
    <cfRule type="expression" dxfId="8851" priority="12147">
      <formula>IF(#REF!="FICTICIO",1,0)</formula>
    </cfRule>
  </conditionalFormatting>
  <conditionalFormatting sqref="E52">
    <cfRule type="expression" dxfId="8850" priority="12146">
      <formula>IF(#REF!="FICTICIO",1,0)</formula>
    </cfRule>
  </conditionalFormatting>
  <conditionalFormatting sqref="E52">
    <cfRule type="expression" dxfId="8849" priority="12145">
      <formula>IF(#REF!="FICTICIO",1,0)</formula>
    </cfRule>
  </conditionalFormatting>
  <conditionalFormatting sqref="E52">
    <cfRule type="expression" dxfId="8848" priority="12144">
      <formula>IF(#REF!="FICTICIO",1,0)</formula>
    </cfRule>
  </conditionalFormatting>
  <conditionalFormatting sqref="E52">
    <cfRule type="expression" dxfId="8847" priority="12143">
      <formula>IF(#REF!="FICTICIO",1,0)</formula>
    </cfRule>
  </conditionalFormatting>
  <conditionalFormatting sqref="D56">
    <cfRule type="expression" dxfId="8846" priority="12104">
      <formula>IF(#REF!="FICTICIO",1,0)</formula>
    </cfRule>
  </conditionalFormatting>
  <conditionalFormatting sqref="D56">
    <cfRule type="expression" dxfId="8845" priority="12105">
      <formula>IF(#REF!="FICTICIO",1,0)</formula>
    </cfRule>
  </conditionalFormatting>
  <conditionalFormatting sqref="D56">
    <cfRule type="expression" dxfId="8844" priority="12102">
      <formula>IF(#REF!="FICTICIO",1,0)</formula>
    </cfRule>
  </conditionalFormatting>
  <conditionalFormatting sqref="D56">
    <cfRule type="expression" dxfId="8843" priority="12103">
      <formula>IF(#REF!="FICTICIO",1,0)</formula>
    </cfRule>
  </conditionalFormatting>
  <conditionalFormatting sqref="D56">
    <cfRule type="expression" dxfId="8842" priority="12100">
      <formula>IF(#REF!="FICTICIO",1,0)</formula>
    </cfRule>
  </conditionalFormatting>
  <conditionalFormatting sqref="D56">
    <cfRule type="expression" dxfId="8841" priority="12101">
      <formula>IF(#REF!="FICTICIO",1,0)</formula>
    </cfRule>
  </conditionalFormatting>
  <conditionalFormatting sqref="D56">
    <cfRule type="expression" dxfId="8840" priority="12098">
      <formula>IF(#REF!="FICTICIO",1,0)</formula>
    </cfRule>
  </conditionalFormatting>
  <conditionalFormatting sqref="D56">
    <cfRule type="expression" dxfId="8839" priority="12099">
      <formula>IF(#REF!="FICTICIO",1,0)</formula>
    </cfRule>
  </conditionalFormatting>
  <conditionalFormatting sqref="D56">
    <cfRule type="expression" dxfId="8838" priority="12096">
      <formula>IF(#REF!="FICTICIO",1,0)</formula>
    </cfRule>
  </conditionalFormatting>
  <conditionalFormatting sqref="D56">
    <cfRule type="expression" dxfId="8837" priority="12097">
      <formula>IF(#REF!="FICTICIO",1,0)</formula>
    </cfRule>
  </conditionalFormatting>
  <conditionalFormatting sqref="E52">
    <cfRule type="expression" dxfId="8836" priority="12092">
      <formula>IF(#REF!="FICTICIO",1,0)</formula>
    </cfRule>
  </conditionalFormatting>
  <conditionalFormatting sqref="E52">
    <cfRule type="expression" dxfId="8835" priority="12091">
      <formula>IF(#REF!="FICTICIO",1,0)</formula>
    </cfRule>
  </conditionalFormatting>
  <conditionalFormatting sqref="E52">
    <cfRule type="expression" dxfId="8834" priority="12090">
      <formula>IF(#REF!="FICTICIO",1,0)</formula>
    </cfRule>
  </conditionalFormatting>
  <conditionalFormatting sqref="E52">
    <cfRule type="expression" dxfId="8833" priority="12095">
      <formula>IF(#REF!="FICTICIO",1,0)</formula>
    </cfRule>
  </conditionalFormatting>
  <conditionalFormatting sqref="E52">
    <cfRule type="expression" dxfId="8832" priority="12094">
      <formula>IF(#REF!="FICTICIO",1,0)</formula>
    </cfRule>
  </conditionalFormatting>
  <conditionalFormatting sqref="E52">
    <cfRule type="expression" dxfId="8831" priority="12093">
      <formula>IF(#REF!="FICTICIO",1,0)</formula>
    </cfRule>
  </conditionalFormatting>
  <conditionalFormatting sqref="D52 D56">
    <cfRule type="expression" dxfId="8830" priority="12088">
      <formula>IF(#REF!="FICTICIO",1,0)</formula>
    </cfRule>
  </conditionalFormatting>
  <conditionalFormatting sqref="D52 D56">
    <cfRule type="expression" dxfId="8829" priority="12089">
      <formula>IF(#REF!="FICTICIO",1,0)</formula>
    </cfRule>
  </conditionalFormatting>
  <conditionalFormatting sqref="D52">
    <cfRule type="expression" dxfId="8828" priority="12074">
      <formula>IF(#REF!="FICTICIO",1,0)</formula>
    </cfRule>
  </conditionalFormatting>
  <conditionalFormatting sqref="D52">
    <cfRule type="expression" dxfId="8827" priority="12075">
      <formula>IF(#REF!="FICTICIO",1,0)</formula>
    </cfRule>
  </conditionalFormatting>
  <conditionalFormatting sqref="F52">
    <cfRule type="expression" dxfId="8826" priority="12073">
      <formula>IF(#REF!="FICTICIO",1,0)</formula>
    </cfRule>
  </conditionalFormatting>
  <conditionalFormatting sqref="E52">
    <cfRule type="expression" dxfId="8825" priority="12069">
      <formula>IF(#REF!="FICTICIO",1,0)</formula>
    </cfRule>
  </conditionalFormatting>
  <conditionalFormatting sqref="E52">
    <cfRule type="expression" dxfId="8824" priority="12068">
      <formula>IF(#REF!="FICTICIO",1,0)</formula>
    </cfRule>
  </conditionalFormatting>
  <conditionalFormatting sqref="E52">
    <cfRule type="expression" dxfId="8823" priority="12067">
      <formula>IF(#REF!="FICTICIO",1,0)</formula>
    </cfRule>
  </conditionalFormatting>
  <conditionalFormatting sqref="E52">
    <cfRule type="expression" dxfId="8822" priority="12072">
      <formula>IF(#REF!="FICTICIO",1,0)</formula>
    </cfRule>
  </conditionalFormatting>
  <conditionalFormatting sqref="E52">
    <cfRule type="expression" dxfId="8821" priority="12071">
      <formula>IF(#REF!="FICTICIO",1,0)</formula>
    </cfRule>
  </conditionalFormatting>
  <conditionalFormatting sqref="E52">
    <cfRule type="expression" dxfId="8820" priority="12070">
      <formula>IF(#REF!="FICTICIO",1,0)</formula>
    </cfRule>
  </conditionalFormatting>
  <conditionalFormatting sqref="F58">
    <cfRule type="expression" dxfId="8819" priority="11999">
      <formula>IF(#REF!="FICTICIO",1,0)</formula>
    </cfRule>
  </conditionalFormatting>
  <conditionalFormatting sqref="F58">
    <cfRule type="expression" dxfId="8818" priority="11998">
      <formula>IF(#REF!="FICTICIO",1,0)</formula>
    </cfRule>
  </conditionalFormatting>
  <conditionalFormatting sqref="F58">
    <cfRule type="expression" dxfId="8817" priority="11997">
      <formula>IF(#REF!="FICTICIO",1,0)</formula>
    </cfRule>
  </conditionalFormatting>
  <conditionalFormatting sqref="E76:E77">
    <cfRule type="expression" dxfId="8816" priority="11937">
      <formula>IF(#REF!="FICTICIO",1,0)</formula>
    </cfRule>
  </conditionalFormatting>
  <conditionalFormatting sqref="E76:E77">
    <cfRule type="expression" dxfId="8815" priority="11936">
      <formula>IF(#REF!="FICTICIO",1,0)</formula>
    </cfRule>
  </conditionalFormatting>
  <conditionalFormatting sqref="E76:E77">
    <cfRule type="expression" dxfId="8814" priority="11935">
      <formula>IF(#REF!="FICTICIO",1,0)</formula>
    </cfRule>
  </conditionalFormatting>
  <conditionalFormatting sqref="E76:E77">
    <cfRule type="expression" dxfId="8813" priority="11934">
      <formula>IF(#REF!="FICTICIO",1,0)</formula>
    </cfRule>
  </conditionalFormatting>
  <conditionalFormatting sqref="E76:E77">
    <cfRule type="expression" dxfId="8812" priority="11933">
      <formula>IF(#REF!="FICTICIO",1,0)</formula>
    </cfRule>
  </conditionalFormatting>
  <conditionalFormatting sqref="E76:E77">
    <cfRule type="expression" dxfId="8811" priority="11932">
      <formula>IF(#REF!="FICTICIO",1,0)</formula>
    </cfRule>
  </conditionalFormatting>
  <conditionalFormatting sqref="E76:E77">
    <cfRule type="expression" dxfId="8810" priority="11931">
      <formula>IF(#REF!="FICTICIO",1,0)</formula>
    </cfRule>
  </conditionalFormatting>
  <conditionalFormatting sqref="E76:E77">
    <cfRule type="expression" dxfId="8809" priority="11930">
      <formula>IF(#REF!="FICTICIO",1,0)</formula>
    </cfRule>
  </conditionalFormatting>
  <conditionalFormatting sqref="E76:E77">
    <cfRule type="expression" dxfId="8808" priority="11929">
      <formula>IF(#REF!="FICTICIO",1,0)</formula>
    </cfRule>
  </conditionalFormatting>
  <conditionalFormatting sqref="E76:E77">
    <cfRule type="expression" dxfId="8807" priority="11928">
      <formula>IF(#REF!="FICTICIO",1,0)</formula>
    </cfRule>
  </conditionalFormatting>
  <conditionalFormatting sqref="E77">
    <cfRule type="expression" dxfId="8806" priority="11896">
      <formula>IF(#REF!="FICTICIO",1,0)</formula>
    </cfRule>
  </conditionalFormatting>
  <conditionalFormatting sqref="E77">
    <cfRule type="expression" dxfId="8805" priority="11895">
      <formula>IF(#REF!="FICTICIO",1,0)</formula>
    </cfRule>
  </conditionalFormatting>
  <conditionalFormatting sqref="E81">
    <cfRule type="expression" dxfId="8804" priority="11892">
      <formula>IF(#REF!="FICTICIO",1,0)</formula>
    </cfRule>
  </conditionalFormatting>
  <conditionalFormatting sqref="E81">
    <cfRule type="expression" dxfId="8803" priority="11891">
      <formula>IF(#REF!="FICTICIO",1,0)</formula>
    </cfRule>
  </conditionalFormatting>
  <conditionalFormatting sqref="E81">
    <cfRule type="expression" dxfId="8802" priority="11890">
      <formula>IF(#REF!="FICTICIO",1,0)</formula>
    </cfRule>
  </conditionalFormatting>
  <conditionalFormatting sqref="E81">
    <cfRule type="expression" dxfId="8801" priority="11889">
      <formula>IF(#REF!="FICTICIO",1,0)</formula>
    </cfRule>
  </conditionalFormatting>
  <conditionalFormatting sqref="E81">
    <cfRule type="expression" dxfId="8800" priority="11888">
      <formula>IF(#REF!="FICTICIO",1,0)</formula>
    </cfRule>
  </conditionalFormatting>
  <conditionalFormatting sqref="E81">
    <cfRule type="expression" dxfId="8799" priority="11887">
      <formula>IF(#REF!="FICTICIO",1,0)</formula>
    </cfRule>
  </conditionalFormatting>
  <conditionalFormatting sqref="E81">
    <cfRule type="expression" dxfId="8798" priority="11886">
      <formula>IF(#REF!="FICTICIO",1,0)</formula>
    </cfRule>
  </conditionalFormatting>
  <conditionalFormatting sqref="E81">
    <cfRule type="expression" dxfId="8797" priority="11885">
      <formula>IF(#REF!="FICTICIO",1,0)</formula>
    </cfRule>
  </conditionalFormatting>
  <conditionalFormatting sqref="D81">
    <cfRule type="expression" dxfId="8796" priority="11883">
      <formula>IF(#REF!="FICTICIO",1,0)</formula>
    </cfRule>
  </conditionalFormatting>
  <conditionalFormatting sqref="D81">
    <cfRule type="expression" dxfId="8795" priority="11884">
      <formula>IF(#REF!="FICTICIO",1,0)</formula>
    </cfRule>
  </conditionalFormatting>
  <conditionalFormatting sqref="D81">
    <cfRule type="expression" dxfId="8794" priority="11881">
      <formula>IF(#REF!="FICTICIO",1,0)</formula>
    </cfRule>
  </conditionalFormatting>
  <conditionalFormatting sqref="D81">
    <cfRule type="expression" dxfId="8793" priority="11882">
      <formula>IF(#REF!="FICTICIO",1,0)</formula>
    </cfRule>
  </conditionalFormatting>
  <conditionalFormatting sqref="E81">
    <cfRule type="expression" dxfId="8792" priority="11880">
      <formula>IF(#REF!="FICTICIO",1,0)</formula>
    </cfRule>
  </conditionalFormatting>
  <conditionalFormatting sqref="E81">
    <cfRule type="expression" dxfId="8791" priority="11879">
      <formula>IF(#REF!="FICTICIO",1,0)</formula>
    </cfRule>
  </conditionalFormatting>
  <conditionalFormatting sqref="E81">
    <cfRule type="expression" dxfId="8790" priority="11878">
      <formula>IF(#REF!="FICTICIO",1,0)</formula>
    </cfRule>
  </conditionalFormatting>
  <conditionalFormatting sqref="E81">
    <cfRule type="expression" dxfId="8789" priority="11877">
      <formula>IF(#REF!="FICTICIO",1,0)</formula>
    </cfRule>
  </conditionalFormatting>
  <conditionalFormatting sqref="D81">
    <cfRule type="expression" dxfId="8788" priority="11875">
      <formula>IF(#REF!="FICTICIO",1,0)</formula>
    </cfRule>
  </conditionalFormatting>
  <conditionalFormatting sqref="D81">
    <cfRule type="expression" dxfId="8787" priority="11876">
      <formula>IF(#REF!="FICTICIO",1,0)</formula>
    </cfRule>
  </conditionalFormatting>
  <conditionalFormatting sqref="E81">
    <cfRule type="expression" dxfId="8786" priority="11873">
      <formula>IF(#REF!="FICTICIO",1,0)</formula>
    </cfRule>
  </conditionalFormatting>
  <conditionalFormatting sqref="E81">
    <cfRule type="expression" dxfId="8785" priority="11872">
      <formula>IF(#REF!="FICTICIO",1,0)</formula>
    </cfRule>
  </conditionalFormatting>
  <conditionalFormatting sqref="E81">
    <cfRule type="expression" dxfId="8784" priority="11871">
      <formula>IF(#REF!="FICTICIO",1,0)</formula>
    </cfRule>
  </conditionalFormatting>
  <conditionalFormatting sqref="E81">
    <cfRule type="expression" dxfId="8783" priority="11870">
      <formula>IF(#REF!="FICTICIO",1,0)</formula>
    </cfRule>
  </conditionalFormatting>
  <conditionalFormatting sqref="E81">
    <cfRule type="expression" dxfId="8782" priority="11869">
      <formula>IF(#REF!="FICTICIO",1,0)</formula>
    </cfRule>
  </conditionalFormatting>
  <conditionalFormatting sqref="E81">
    <cfRule type="expression" dxfId="8781" priority="11867">
      <formula>IF(#REF!="FICTICIO",1,0)</formula>
    </cfRule>
  </conditionalFormatting>
  <conditionalFormatting sqref="E81">
    <cfRule type="expression" dxfId="8780" priority="11868">
      <formula>IF(#REF!="FICTICIO",1,0)</formula>
    </cfRule>
  </conditionalFormatting>
  <conditionalFormatting sqref="E81">
    <cfRule type="expression" dxfId="8779" priority="11866">
      <formula>IF(#REF!="FICTICIO",1,0)</formula>
    </cfRule>
  </conditionalFormatting>
  <conditionalFormatting sqref="E81">
    <cfRule type="expression" dxfId="8778" priority="11865">
      <formula>IF(#REF!="FICTICIO",1,0)</formula>
    </cfRule>
  </conditionalFormatting>
  <conditionalFormatting sqref="E81">
    <cfRule type="expression" dxfId="8777" priority="11864">
      <formula>IF(#REF!="FICTICIO",1,0)</formula>
    </cfRule>
  </conditionalFormatting>
  <conditionalFormatting sqref="E81">
    <cfRule type="expression" dxfId="8776" priority="11863">
      <formula>IF(#REF!="FICTICIO",1,0)</formula>
    </cfRule>
  </conditionalFormatting>
  <conditionalFormatting sqref="E81">
    <cfRule type="expression" dxfId="8775" priority="11862">
      <formula>IF(#REF!="FICTICIO",1,0)</formula>
    </cfRule>
  </conditionalFormatting>
  <conditionalFormatting sqref="E81">
    <cfRule type="expression" dxfId="8774" priority="11861">
      <formula>IF(#REF!="FICTICIO",1,0)</formula>
    </cfRule>
  </conditionalFormatting>
  <conditionalFormatting sqref="E81">
    <cfRule type="expression" dxfId="8773" priority="11860">
      <formula>IF(#REF!="FICTICIO",1,0)</formula>
    </cfRule>
  </conditionalFormatting>
  <conditionalFormatting sqref="E81">
    <cfRule type="expression" dxfId="8772" priority="11859">
      <formula>IF(#REF!="FICTICIO",1,0)</formula>
    </cfRule>
  </conditionalFormatting>
  <conditionalFormatting sqref="E81">
    <cfRule type="expression" dxfId="8771" priority="11858">
      <formula>IF(#REF!="FICTICIO",1,0)</formula>
    </cfRule>
  </conditionalFormatting>
  <conditionalFormatting sqref="E81">
    <cfRule type="expression" dxfId="8770" priority="11857">
      <formula>IF(#REF!="FICTICIO",1,0)</formula>
    </cfRule>
  </conditionalFormatting>
  <conditionalFormatting sqref="E81">
    <cfRule type="expression" dxfId="8769" priority="11856">
      <formula>IF(#REF!="FICTICIO",1,0)</formula>
    </cfRule>
  </conditionalFormatting>
  <conditionalFormatting sqref="E81">
    <cfRule type="expression" dxfId="8768" priority="11855">
      <formula>IF(#REF!="FICTICIO",1,0)</formula>
    </cfRule>
  </conditionalFormatting>
  <conditionalFormatting sqref="E81">
    <cfRule type="expression" dxfId="8767" priority="11854">
      <formula>IF(#REF!="FICTICIO",1,0)</formula>
    </cfRule>
  </conditionalFormatting>
  <conditionalFormatting sqref="E81">
    <cfRule type="expression" dxfId="8766" priority="11853">
      <formula>IF(#REF!="FICTICIO",1,0)</formula>
    </cfRule>
  </conditionalFormatting>
  <conditionalFormatting sqref="E81">
    <cfRule type="expression" dxfId="8765" priority="11852">
      <formula>IF(#REF!="FICTICIO",1,0)</formula>
    </cfRule>
  </conditionalFormatting>
  <conditionalFormatting sqref="E81">
    <cfRule type="expression" dxfId="8764" priority="11851">
      <formula>IF(#REF!="FICTICIO",1,0)</formula>
    </cfRule>
  </conditionalFormatting>
  <conditionalFormatting sqref="E81">
    <cfRule type="expression" dxfId="8763" priority="11850">
      <formula>IF(#REF!="FICTICIO",1,0)</formula>
    </cfRule>
  </conditionalFormatting>
  <conditionalFormatting sqref="E81">
    <cfRule type="expression" dxfId="8762" priority="11849">
      <formula>IF(#REF!="FICTICIO",1,0)</formula>
    </cfRule>
  </conditionalFormatting>
  <conditionalFormatting sqref="E81">
    <cfRule type="expression" dxfId="8761" priority="11848">
      <formula>IF(#REF!="FICTICIO",1,0)</formula>
    </cfRule>
  </conditionalFormatting>
  <conditionalFormatting sqref="E81">
    <cfRule type="expression" dxfId="8760" priority="11847">
      <formula>IF(#REF!="FICTICIO",1,0)</formula>
    </cfRule>
  </conditionalFormatting>
  <conditionalFormatting sqref="E81">
    <cfRule type="expression" dxfId="8759" priority="11846">
      <formula>IF(#REF!="FICTICIO",1,0)</formula>
    </cfRule>
  </conditionalFormatting>
  <conditionalFormatting sqref="E81">
    <cfRule type="expression" dxfId="8758" priority="11845">
      <formula>IF(#REF!="FICTICIO",1,0)</formula>
    </cfRule>
  </conditionalFormatting>
  <conditionalFormatting sqref="E81">
    <cfRule type="expression" dxfId="8757" priority="11844">
      <formula>IF(#REF!="FICTICIO",1,0)</formula>
    </cfRule>
  </conditionalFormatting>
  <conditionalFormatting sqref="E81">
    <cfRule type="expression" dxfId="8756" priority="11843">
      <formula>IF(#REF!="FICTICIO",1,0)</formula>
    </cfRule>
  </conditionalFormatting>
  <conditionalFormatting sqref="E81">
    <cfRule type="expression" dxfId="8755" priority="11842">
      <formula>IF(#REF!="FICTICIO",1,0)</formula>
    </cfRule>
  </conditionalFormatting>
  <conditionalFormatting sqref="E81">
    <cfRule type="expression" dxfId="8754" priority="11841">
      <formula>IF(#REF!="FICTICIO",1,0)</formula>
    </cfRule>
  </conditionalFormatting>
  <conditionalFormatting sqref="E81">
    <cfRule type="expression" dxfId="8753" priority="11840">
      <formula>IF(#REF!="FICTICIO",1,0)</formula>
    </cfRule>
  </conditionalFormatting>
  <conditionalFormatting sqref="E81">
    <cfRule type="expression" dxfId="8752" priority="11839">
      <formula>IF(#REF!="FICTICIO",1,0)</formula>
    </cfRule>
  </conditionalFormatting>
  <conditionalFormatting sqref="E81">
    <cfRule type="expression" dxfId="8751" priority="11838">
      <formula>IF(#REF!="FICTICIO",1,0)</formula>
    </cfRule>
  </conditionalFormatting>
  <conditionalFormatting sqref="F98">
    <cfRule type="expression" dxfId="8750" priority="11528">
      <formula>IF(#REF!="FICTICIO",1,0)</formula>
    </cfRule>
  </conditionalFormatting>
  <conditionalFormatting sqref="F108">
    <cfRule type="expression" dxfId="8749" priority="11375">
      <formula>IF(#REF!="FICTICIO",1,0)</formula>
    </cfRule>
  </conditionalFormatting>
  <conditionalFormatting sqref="F108">
    <cfRule type="expression" dxfId="8748" priority="11373">
      <formula>IF(#REF!="FICTICIO",1,0)</formula>
    </cfRule>
  </conditionalFormatting>
  <conditionalFormatting sqref="F108">
    <cfRule type="expression" dxfId="8747" priority="11374">
      <formula>IF(#REF!="FICTICIO",1,0)</formula>
    </cfRule>
  </conditionalFormatting>
  <conditionalFormatting sqref="D108">
    <cfRule type="expression" dxfId="8746" priority="11369">
      <formula>IF(#REF!="FICTICIO",1,0)</formula>
    </cfRule>
  </conditionalFormatting>
  <conditionalFormatting sqref="D108">
    <cfRule type="expression" dxfId="8745" priority="11370">
      <formula>IF(#REF!="FICTICIO",1,0)</formula>
    </cfRule>
  </conditionalFormatting>
  <conditionalFormatting sqref="D116">
    <cfRule type="expression" dxfId="8744" priority="11220">
      <formula>IF(#REF!="FICTICIO",1,0)</formula>
    </cfRule>
  </conditionalFormatting>
  <conditionalFormatting sqref="D116">
    <cfRule type="expression" dxfId="8743" priority="11221">
      <formula>IF(#REF!="FICTICIO",1,0)</formula>
    </cfRule>
  </conditionalFormatting>
  <conditionalFormatting sqref="D116">
    <cfRule type="expression" dxfId="8742" priority="11212">
      <formula>IF(#REF!="FICTICIO",1,0)</formula>
    </cfRule>
  </conditionalFormatting>
  <conditionalFormatting sqref="D116">
    <cfRule type="expression" dxfId="8741" priority="11213">
      <formula>IF(#REF!="FICTICIO",1,0)</formula>
    </cfRule>
  </conditionalFormatting>
  <conditionalFormatting sqref="F116">
    <cfRule type="expression" dxfId="8740" priority="11208">
      <formula>IF(#REF!="FICTICIO",1,0)</formula>
    </cfRule>
  </conditionalFormatting>
  <conditionalFormatting sqref="F116">
    <cfRule type="expression" dxfId="8739" priority="11209">
      <formula>IF(#REF!="FICTICIO",1,0)</formula>
    </cfRule>
  </conditionalFormatting>
  <conditionalFormatting sqref="D122">
    <cfRule type="expression" dxfId="8738" priority="11057">
      <formula>IF(#REF!="FICTICIO",1,0)</formula>
    </cfRule>
  </conditionalFormatting>
  <conditionalFormatting sqref="D122">
    <cfRule type="expression" dxfId="8737" priority="11058">
      <formula>IF(#REF!="FICTICIO",1,0)</formula>
    </cfRule>
  </conditionalFormatting>
  <conditionalFormatting sqref="D122">
    <cfRule type="expression" dxfId="8736" priority="11055">
      <formula>IF(#REF!="FICTICIO",1,0)</formula>
    </cfRule>
  </conditionalFormatting>
  <conditionalFormatting sqref="D122">
    <cfRule type="expression" dxfId="8735" priority="11056">
      <formula>IF(#REF!="FICTICIO",1,0)</formula>
    </cfRule>
  </conditionalFormatting>
  <conditionalFormatting sqref="D122">
    <cfRule type="expression" dxfId="8734" priority="11049">
      <formula>IF(#REF!="FICTICIO",1,0)</formula>
    </cfRule>
  </conditionalFormatting>
  <conditionalFormatting sqref="D122">
    <cfRule type="expression" dxfId="8733" priority="11050">
      <formula>IF(#REF!="FICTICIO",1,0)</formula>
    </cfRule>
  </conditionalFormatting>
  <conditionalFormatting sqref="D122">
    <cfRule type="expression" dxfId="8732" priority="11047">
      <formula>IF(#REF!="FICTICIO",1,0)</formula>
    </cfRule>
  </conditionalFormatting>
  <conditionalFormatting sqref="D122">
    <cfRule type="expression" dxfId="8731" priority="11048">
      <formula>IF(#REF!="FICTICIO",1,0)</formula>
    </cfRule>
  </conditionalFormatting>
  <conditionalFormatting sqref="F122">
    <cfRule type="expression" dxfId="8730" priority="11010">
      <formula>IF(#REF!="FICTICIO",1,0)</formula>
    </cfRule>
  </conditionalFormatting>
  <conditionalFormatting sqref="E123">
    <cfRule type="expression" dxfId="8729" priority="10985">
      <formula>IF(#REF!="FICTICIO",1,0)</formula>
    </cfRule>
  </conditionalFormatting>
  <conditionalFormatting sqref="E123">
    <cfRule type="expression" dxfId="8728" priority="10984">
      <formula>IF(#REF!="FICTICIO",1,0)</formula>
    </cfRule>
  </conditionalFormatting>
  <conditionalFormatting sqref="E123">
    <cfRule type="expression" dxfId="8727" priority="10983">
      <formula>IF(#REF!="FICTICIO",1,0)</formula>
    </cfRule>
  </conditionalFormatting>
  <conditionalFormatting sqref="E123">
    <cfRule type="expression" dxfId="8726" priority="10982">
      <formula>IF(#REF!="FICTICIO",1,0)</formula>
    </cfRule>
  </conditionalFormatting>
  <conditionalFormatting sqref="E123">
    <cfRule type="expression" dxfId="8725" priority="10980">
      <formula>IF(#REF!="FICTICIO",1,0)</formula>
    </cfRule>
  </conditionalFormatting>
  <conditionalFormatting sqref="E123">
    <cfRule type="expression" dxfId="8724" priority="10981">
      <formula>IF(#REF!="FICTICIO",1,0)</formula>
    </cfRule>
  </conditionalFormatting>
  <conditionalFormatting sqref="E123">
    <cfRule type="expression" dxfId="8723" priority="10979">
      <formula>IF(#REF!="FICTICIO",1,0)</formula>
    </cfRule>
  </conditionalFormatting>
  <conditionalFormatting sqref="E123">
    <cfRule type="expression" dxfId="8722" priority="10978">
      <formula>IF(#REF!="FICTICIO",1,0)</formula>
    </cfRule>
  </conditionalFormatting>
  <conditionalFormatting sqref="E123">
    <cfRule type="expression" dxfId="8721" priority="10977">
      <formula>IF(#REF!="FICTICIO",1,0)</formula>
    </cfRule>
  </conditionalFormatting>
  <conditionalFormatting sqref="E123">
    <cfRule type="expression" dxfId="8720" priority="10976">
      <formula>IF(#REF!="FICTICIO",1,0)</formula>
    </cfRule>
  </conditionalFormatting>
  <conditionalFormatting sqref="E123">
    <cfRule type="expression" dxfId="8719" priority="10975">
      <formula>IF(#REF!="FICTICIO",1,0)</formula>
    </cfRule>
  </conditionalFormatting>
  <conditionalFormatting sqref="E123">
    <cfRule type="expression" dxfId="8718" priority="10974">
      <formula>IF(#REF!="FICTICIO",1,0)</formula>
    </cfRule>
  </conditionalFormatting>
  <conditionalFormatting sqref="E123">
    <cfRule type="expression" dxfId="8717" priority="10972">
      <formula>IF(#REF!="FICTICIO",1,0)</formula>
    </cfRule>
  </conditionalFormatting>
  <conditionalFormatting sqref="E123">
    <cfRule type="expression" dxfId="8716" priority="10973">
      <formula>IF(#REF!="FICTICIO",1,0)</formula>
    </cfRule>
  </conditionalFormatting>
  <conditionalFormatting sqref="E123">
    <cfRule type="expression" dxfId="8715" priority="10971">
      <formula>IF(#REF!="FICTICIO",1,0)</formula>
    </cfRule>
  </conditionalFormatting>
  <conditionalFormatting sqref="E123">
    <cfRule type="expression" dxfId="8714" priority="10970">
      <formula>IF(#REF!="FICTICIO",1,0)</formula>
    </cfRule>
  </conditionalFormatting>
  <conditionalFormatting sqref="E123">
    <cfRule type="expression" dxfId="8713" priority="10969">
      <formula>IF(#REF!="FICTICIO",1,0)</formula>
    </cfRule>
  </conditionalFormatting>
  <conditionalFormatting sqref="E123">
    <cfRule type="expression" dxfId="8712" priority="10968">
      <formula>IF(#REF!="FICTICIO",1,0)</formula>
    </cfRule>
  </conditionalFormatting>
  <conditionalFormatting sqref="E123">
    <cfRule type="expression" dxfId="8711" priority="10967">
      <formula>IF(#REF!="FICTICIO",1,0)</formula>
    </cfRule>
  </conditionalFormatting>
  <conditionalFormatting sqref="E123">
    <cfRule type="expression" dxfId="8710" priority="10966">
      <formula>IF(#REF!="FICTICIO",1,0)</formula>
    </cfRule>
  </conditionalFormatting>
  <conditionalFormatting sqref="E123">
    <cfRule type="expression" dxfId="8709" priority="10964">
      <formula>IF(#REF!="FICTICIO",1,0)</formula>
    </cfRule>
  </conditionalFormatting>
  <conditionalFormatting sqref="E123">
    <cfRule type="expression" dxfId="8708" priority="10965">
      <formula>IF(#REF!="FICTICIO",1,0)</formula>
    </cfRule>
  </conditionalFormatting>
  <conditionalFormatting sqref="E123">
    <cfRule type="expression" dxfId="8707" priority="10963">
      <formula>IF(#REF!="FICTICIO",1,0)</formula>
    </cfRule>
  </conditionalFormatting>
  <conditionalFormatting sqref="E123">
    <cfRule type="expression" dxfId="8706" priority="10962">
      <formula>IF(#REF!="FICTICIO",1,0)</formula>
    </cfRule>
  </conditionalFormatting>
  <conditionalFormatting sqref="F125">
    <cfRule type="expression" dxfId="8705" priority="10936">
      <formula>IF(#REF!="FICTICIO",1,0)</formula>
    </cfRule>
  </conditionalFormatting>
  <conditionalFormatting sqref="F125">
    <cfRule type="expression" dxfId="8704" priority="10937">
      <formula>IF(#REF!="FICTICIO",1,0)</formula>
    </cfRule>
  </conditionalFormatting>
  <conditionalFormatting sqref="D125">
    <cfRule type="expression" dxfId="8703" priority="10934">
      <formula>IF(#REF!="FICTICIO",1,0)</formula>
    </cfRule>
  </conditionalFormatting>
  <conditionalFormatting sqref="D125">
    <cfRule type="expression" dxfId="8702" priority="10935">
      <formula>IF(#REF!="FICTICIO",1,0)</formula>
    </cfRule>
  </conditionalFormatting>
  <conditionalFormatting sqref="F11">
    <cfRule type="expression" dxfId="8701" priority="10885">
      <formula>IF(#REF!="FICTICIO",1,0)</formula>
    </cfRule>
  </conditionalFormatting>
  <conditionalFormatting sqref="F11">
    <cfRule type="expression" dxfId="8700" priority="10883">
      <formula>IF(#REF!="FICTICIO",1,0)</formula>
    </cfRule>
  </conditionalFormatting>
  <conditionalFormatting sqref="F11">
    <cfRule type="expression" dxfId="8699" priority="10884">
      <formula>IF(#REF!="FICTICIO",1,0)</formula>
    </cfRule>
  </conditionalFormatting>
  <conditionalFormatting sqref="D15">
    <cfRule type="expression" dxfId="8698" priority="10875">
      <formula>IF(#REF!="FICTICIO",1,0)</formula>
    </cfRule>
  </conditionalFormatting>
  <conditionalFormatting sqref="D15">
    <cfRule type="expression" dxfId="8697" priority="10876">
      <formula>IF(#REF!="FICTICIO",1,0)</formula>
    </cfRule>
  </conditionalFormatting>
  <conditionalFormatting sqref="E16">
    <cfRule type="expression" dxfId="8696" priority="10871">
      <formula>IF(#REF!="FICTICIO",1,0)</formula>
    </cfRule>
  </conditionalFormatting>
  <conditionalFormatting sqref="E16">
    <cfRule type="expression" dxfId="8695" priority="10870">
      <formula>IF(#REF!="FICTICIO",1,0)</formula>
    </cfRule>
  </conditionalFormatting>
  <conditionalFormatting sqref="E16">
    <cfRule type="expression" dxfId="8694" priority="10869">
      <formula>IF(#REF!="FICTICIO",1,0)</formula>
    </cfRule>
  </conditionalFormatting>
  <conditionalFormatting sqref="E16">
    <cfRule type="expression" dxfId="8693" priority="10874">
      <formula>IF(#REF!="FICTICIO",1,0)</formula>
    </cfRule>
  </conditionalFormatting>
  <conditionalFormatting sqref="E16">
    <cfRule type="expression" dxfId="8692" priority="10873">
      <formula>IF(#REF!="FICTICIO",1,0)</formula>
    </cfRule>
  </conditionalFormatting>
  <conditionalFormatting sqref="E16">
    <cfRule type="expression" dxfId="8691" priority="10872">
      <formula>IF(#REF!="FICTICIO",1,0)</formula>
    </cfRule>
  </conditionalFormatting>
  <conditionalFormatting sqref="D15">
    <cfRule type="expression" dxfId="8690" priority="10867">
      <formula>IF(#REF!="FICTICIO",1,0)</formula>
    </cfRule>
  </conditionalFormatting>
  <conditionalFormatting sqref="D15">
    <cfRule type="expression" dxfId="8689" priority="10868">
      <formula>IF(#REF!="FICTICIO",1,0)</formula>
    </cfRule>
  </conditionalFormatting>
  <conditionalFormatting sqref="E16">
    <cfRule type="expression" dxfId="8688" priority="10863">
      <formula>IF(#REF!="FICTICIO",1,0)</formula>
    </cfRule>
  </conditionalFormatting>
  <conditionalFormatting sqref="E16">
    <cfRule type="expression" dxfId="8687" priority="10862">
      <formula>IF(#REF!="FICTICIO",1,0)</formula>
    </cfRule>
  </conditionalFormatting>
  <conditionalFormatting sqref="E16">
    <cfRule type="expression" dxfId="8686" priority="10861">
      <formula>IF(#REF!="FICTICIO",1,0)</formula>
    </cfRule>
  </conditionalFormatting>
  <conditionalFormatting sqref="E16">
    <cfRule type="expression" dxfId="8685" priority="10866">
      <formula>IF(#REF!="FICTICIO",1,0)</formula>
    </cfRule>
  </conditionalFormatting>
  <conditionalFormatting sqref="E16">
    <cfRule type="expression" dxfId="8684" priority="10865">
      <formula>IF(#REF!="FICTICIO",1,0)</formula>
    </cfRule>
  </conditionalFormatting>
  <conditionalFormatting sqref="E16">
    <cfRule type="expression" dxfId="8683" priority="10864">
      <formula>IF(#REF!="FICTICIO",1,0)</formula>
    </cfRule>
  </conditionalFormatting>
  <conditionalFormatting sqref="E16">
    <cfRule type="expression" dxfId="8682" priority="10857">
      <formula>IF(#REF!="FICTICIO",1,0)</formula>
    </cfRule>
  </conditionalFormatting>
  <conditionalFormatting sqref="E16">
    <cfRule type="expression" dxfId="8681" priority="10856">
      <formula>IF(#REF!="FICTICIO",1,0)</formula>
    </cfRule>
  </conditionalFormatting>
  <conditionalFormatting sqref="E16">
    <cfRule type="expression" dxfId="8680" priority="10855">
      <formula>IF(#REF!="FICTICIO",1,0)</formula>
    </cfRule>
  </conditionalFormatting>
  <conditionalFormatting sqref="E16">
    <cfRule type="expression" dxfId="8679" priority="10860">
      <formula>IF(#REF!="FICTICIO",1,0)</formula>
    </cfRule>
  </conditionalFormatting>
  <conditionalFormatting sqref="E16">
    <cfRule type="expression" dxfId="8678" priority="10859">
      <formula>IF(#REF!="FICTICIO",1,0)</formula>
    </cfRule>
  </conditionalFormatting>
  <conditionalFormatting sqref="E16">
    <cfRule type="expression" dxfId="8677" priority="10858">
      <formula>IF(#REF!="FICTICIO",1,0)</formula>
    </cfRule>
  </conditionalFormatting>
  <conditionalFormatting sqref="E35">
    <cfRule type="expression" dxfId="8676" priority="10743">
      <formula>IF(#REF!="FICTICIO",1,0)</formula>
    </cfRule>
  </conditionalFormatting>
  <conditionalFormatting sqref="E35">
    <cfRule type="expression" dxfId="8675" priority="10742">
      <formula>IF(#REF!="FICTICIO",1,0)</formula>
    </cfRule>
  </conditionalFormatting>
  <conditionalFormatting sqref="E35">
    <cfRule type="expression" dxfId="8674" priority="10741">
      <formula>IF(#REF!="FICTICIO",1,0)</formula>
    </cfRule>
  </conditionalFormatting>
  <conditionalFormatting sqref="E35">
    <cfRule type="expression" dxfId="8673" priority="10740">
      <formula>IF(#REF!="FICTICIO",1,0)</formula>
    </cfRule>
  </conditionalFormatting>
  <conditionalFormatting sqref="E35">
    <cfRule type="expression" dxfId="8672" priority="10739">
      <formula>IF(#REF!="FICTICIO",1,0)</formula>
    </cfRule>
  </conditionalFormatting>
  <conditionalFormatting sqref="E35">
    <cfRule type="expression" dxfId="8671" priority="10738">
      <formula>IF(#REF!="FICTICIO",1,0)</formula>
    </cfRule>
  </conditionalFormatting>
  <conditionalFormatting sqref="E35">
    <cfRule type="expression" dxfId="8670" priority="10737">
      <formula>IF(#REF!="FICTICIO",1,0)</formula>
    </cfRule>
  </conditionalFormatting>
  <conditionalFormatting sqref="E35">
    <cfRule type="expression" dxfId="8669" priority="10736">
      <formula>IF(#REF!="FICTICIO",1,0)</formula>
    </cfRule>
  </conditionalFormatting>
  <conditionalFormatting sqref="E35">
    <cfRule type="expression" dxfId="8668" priority="10735">
      <formula>IF(#REF!="FICTICIO",1,0)</formula>
    </cfRule>
  </conditionalFormatting>
  <conditionalFormatting sqref="E35">
    <cfRule type="expression" dxfId="8667" priority="10734">
      <formula>IF(#REF!="FICTICIO",1,0)</formula>
    </cfRule>
  </conditionalFormatting>
  <conditionalFormatting sqref="E35">
    <cfRule type="expression" dxfId="8666" priority="10733">
      <formula>IF(#REF!="FICTICIO",1,0)</formula>
    </cfRule>
  </conditionalFormatting>
  <conditionalFormatting sqref="E35">
    <cfRule type="expression" dxfId="8665" priority="10732">
      <formula>IF(#REF!="FICTICIO",1,0)</formula>
    </cfRule>
  </conditionalFormatting>
  <conditionalFormatting sqref="E35">
    <cfRule type="expression" dxfId="8664" priority="10731">
      <formula>IF(#REF!="FICTICIO",1,0)</formula>
    </cfRule>
  </conditionalFormatting>
  <conditionalFormatting sqref="E35">
    <cfRule type="expression" dxfId="8663" priority="10730">
      <formula>IF(#REF!="FICTICIO",1,0)</formula>
    </cfRule>
  </conditionalFormatting>
  <conditionalFormatting sqref="E35">
    <cfRule type="expression" dxfId="8662" priority="10729">
      <formula>IF(#REF!="FICTICIO",1,0)</formula>
    </cfRule>
  </conditionalFormatting>
  <conditionalFormatting sqref="E35">
    <cfRule type="expression" dxfId="8661" priority="10727">
      <formula>IF(#REF!="FICTICIO",1,0)</formula>
    </cfRule>
  </conditionalFormatting>
  <conditionalFormatting sqref="E35">
    <cfRule type="expression" dxfId="8660" priority="10728">
      <formula>IF(#REF!="FICTICIO",1,0)</formula>
    </cfRule>
  </conditionalFormatting>
  <conditionalFormatting sqref="E35">
    <cfRule type="expression" dxfId="8659" priority="10726">
      <formula>IF(#REF!="FICTICIO",1,0)</formula>
    </cfRule>
  </conditionalFormatting>
  <conditionalFormatting sqref="E35">
    <cfRule type="expression" dxfId="8658" priority="10725">
      <formula>IF(#REF!="FICTICIO",1,0)</formula>
    </cfRule>
  </conditionalFormatting>
  <conditionalFormatting sqref="E35">
    <cfRule type="expression" dxfId="8657" priority="10724">
      <formula>IF(#REF!="FICTICIO",1,0)</formula>
    </cfRule>
  </conditionalFormatting>
  <conditionalFormatting sqref="E35">
    <cfRule type="expression" dxfId="8656" priority="10723">
      <formula>IF(#REF!="FICTICIO",1,0)</formula>
    </cfRule>
  </conditionalFormatting>
  <conditionalFormatting sqref="E35">
    <cfRule type="expression" dxfId="8655" priority="10722">
      <formula>IF(#REF!="FICTICIO",1,0)</formula>
    </cfRule>
  </conditionalFormatting>
  <conditionalFormatting sqref="E35">
    <cfRule type="expression" dxfId="8654" priority="10721">
      <formula>IF(#REF!="FICTICIO",1,0)</formula>
    </cfRule>
  </conditionalFormatting>
  <conditionalFormatting sqref="E37">
    <cfRule type="expression" dxfId="8653" priority="10696">
      <formula>IF(#REF!="FICTICIO",1,0)</formula>
    </cfRule>
  </conditionalFormatting>
  <conditionalFormatting sqref="E37">
    <cfRule type="expression" dxfId="8652" priority="10695">
      <formula>IF(#REF!="FICTICIO",1,0)</formula>
    </cfRule>
  </conditionalFormatting>
  <conditionalFormatting sqref="E37">
    <cfRule type="expression" dxfId="8651" priority="10694">
      <formula>IF(#REF!="FICTICIO",1,0)</formula>
    </cfRule>
  </conditionalFormatting>
  <conditionalFormatting sqref="E37">
    <cfRule type="expression" dxfId="8650" priority="10693">
      <formula>IF(#REF!="FICTICIO",1,0)</formula>
    </cfRule>
  </conditionalFormatting>
  <conditionalFormatting sqref="E37">
    <cfRule type="expression" dxfId="8649" priority="10692">
      <formula>IF(#REF!="FICTICIO",1,0)</formula>
    </cfRule>
  </conditionalFormatting>
  <conditionalFormatting sqref="E37">
    <cfRule type="expression" dxfId="8648" priority="10691">
      <formula>IF(#REF!="FICTICIO",1,0)</formula>
    </cfRule>
  </conditionalFormatting>
  <conditionalFormatting sqref="E37">
    <cfRule type="expression" dxfId="8647" priority="10690">
      <formula>IF(#REF!="FICTICIO",1,0)</formula>
    </cfRule>
  </conditionalFormatting>
  <conditionalFormatting sqref="E37">
    <cfRule type="expression" dxfId="8646" priority="10689">
      <formula>IF(#REF!="FICTICIO",1,0)</formula>
    </cfRule>
  </conditionalFormatting>
  <conditionalFormatting sqref="E37">
    <cfRule type="expression" dxfId="8645" priority="10688">
      <formula>IF(#REF!="FICTICIO",1,0)</formula>
    </cfRule>
  </conditionalFormatting>
  <conditionalFormatting sqref="E37">
    <cfRule type="expression" dxfId="8644" priority="10687">
      <formula>IF(#REF!="FICTICIO",1,0)</formula>
    </cfRule>
  </conditionalFormatting>
  <conditionalFormatting sqref="E37">
    <cfRule type="expression" dxfId="8643" priority="10686">
      <formula>IF(#REF!="FICTICIO",1,0)</formula>
    </cfRule>
  </conditionalFormatting>
  <conditionalFormatting sqref="E37">
    <cfRule type="expression" dxfId="8642" priority="10685">
      <formula>IF(#REF!="FICTICIO",1,0)</formula>
    </cfRule>
  </conditionalFormatting>
  <conditionalFormatting sqref="E37">
    <cfRule type="expression" dxfId="8641" priority="10684">
      <formula>IF(#REF!="FICTICIO",1,0)</formula>
    </cfRule>
  </conditionalFormatting>
  <conditionalFormatting sqref="E37">
    <cfRule type="expression" dxfId="8640" priority="10683">
      <formula>IF(#REF!="FICTICIO",1,0)</formula>
    </cfRule>
  </conditionalFormatting>
  <conditionalFormatting sqref="E37">
    <cfRule type="expression" dxfId="8639" priority="10682">
      <formula>IF(#REF!="FICTICIO",1,0)</formula>
    </cfRule>
  </conditionalFormatting>
  <conditionalFormatting sqref="E37">
    <cfRule type="expression" dxfId="8638" priority="10680">
      <formula>IF(#REF!="FICTICIO",1,0)</formula>
    </cfRule>
  </conditionalFormatting>
  <conditionalFormatting sqref="E37">
    <cfRule type="expression" dxfId="8637" priority="10681">
      <formula>IF(#REF!="FICTICIO",1,0)</formula>
    </cfRule>
  </conditionalFormatting>
  <conditionalFormatting sqref="E37">
    <cfRule type="expression" dxfId="8636" priority="10679">
      <formula>IF(#REF!="FICTICIO",1,0)</formula>
    </cfRule>
  </conditionalFormatting>
  <conditionalFormatting sqref="E37">
    <cfRule type="expression" dxfId="8635" priority="10678">
      <formula>IF(#REF!="FICTICIO",1,0)</formula>
    </cfRule>
  </conditionalFormatting>
  <conditionalFormatting sqref="E37">
    <cfRule type="expression" dxfId="8634" priority="10677">
      <formula>IF(#REF!="FICTICIO",1,0)</formula>
    </cfRule>
  </conditionalFormatting>
  <conditionalFormatting sqref="E37">
    <cfRule type="expression" dxfId="8633" priority="10676">
      <formula>IF(#REF!="FICTICIO",1,0)</formula>
    </cfRule>
  </conditionalFormatting>
  <conditionalFormatting sqref="E37">
    <cfRule type="expression" dxfId="8632" priority="10675">
      <formula>IF(#REF!="FICTICIO",1,0)</formula>
    </cfRule>
  </conditionalFormatting>
  <conditionalFormatting sqref="E37">
    <cfRule type="expression" dxfId="8631" priority="10674">
      <formula>IF(#REF!="FICTICIO",1,0)</formula>
    </cfRule>
  </conditionalFormatting>
  <conditionalFormatting sqref="D38">
    <cfRule type="expression" dxfId="8630" priority="10672">
      <formula>IF(#REF!="FICTICIO",1,0)</formula>
    </cfRule>
  </conditionalFormatting>
  <conditionalFormatting sqref="D38">
    <cfRule type="expression" dxfId="8629" priority="10673">
      <formula>IF(#REF!="FICTICIO",1,0)</formula>
    </cfRule>
  </conditionalFormatting>
  <conditionalFormatting sqref="D38">
    <cfRule type="expression" dxfId="8628" priority="10670">
      <formula>IF(#REF!="FICTICIO",1,0)</formula>
    </cfRule>
  </conditionalFormatting>
  <conditionalFormatting sqref="D38">
    <cfRule type="expression" dxfId="8627" priority="10671">
      <formula>IF(#REF!="FICTICIO",1,0)</formula>
    </cfRule>
  </conditionalFormatting>
  <conditionalFormatting sqref="F38">
    <cfRule type="expression" dxfId="8626" priority="10668">
      <formula>IF(#REF!="FICTICIO",1,0)</formula>
    </cfRule>
  </conditionalFormatting>
  <conditionalFormatting sqref="F38">
    <cfRule type="expression" dxfId="8625" priority="10669">
      <formula>IF(#REF!="FICTICIO",1,0)</formula>
    </cfRule>
  </conditionalFormatting>
  <conditionalFormatting sqref="E38:E40">
    <cfRule type="expression" dxfId="8624" priority="10667">
      <formula>IF(#REF!="FICTICIO",1,0)</formula>
    </cfRule>
  </conditionalFormatting>
  <conditionalFormatting sqref="E38:E40">
    <cfRule type="expression" dxfId="8623" priority="10666">
      <formula>IF(#REF!="FICTICIO",1,0)</formula>
    </cfRule>
  </conditionalFormatting>
  <conditionalFormatting sqref="E38:E40">
    <cfRule type="expression" dxfId="8622" priority="10665">
      <formula>IF(#REF!="FICTICIO",1,0)</formula>
    </cfRule>
  </conditionalFormatting>
  <conditionalFormatting sqref="E38:E40">
    <cfRule type="expression" dxfId="8621" priority="10664">
      <formula>IF(#REF!="FICTICIO",1,0)</formula>
    </cfRule>
  </conditionalFormatting>
  <conditionalFormatting sqref="E38:E40">
    <cfRule type="expression" dxfId="8620" priority="10663">
      <formula>IF(#REF!="FICTICIO",1,0)</formula>
    </cfRule>
  </conditionalFormatting>
  <conditionalFormatting sqref="E38:E40">
    <cfRule type="expression" dxfId="8619" priority="10662">
      <formula>IF(#REF!="FICTICIO",1,0)</formula>
    </cfRule>
  </conditionalFormatting>
  <conditionalFormatting sqref="E38:E40">
    <cfRule type="expression" dxfId="8618" priority="10661">
      <formula>IF(#REF!="FICTICIO",1,0)</formula>
    </cfRule>
  </conditionalFormatting>
  <conditionalFormatting sqref="E38:E40">
    <cfRule type="expression" dxfId="8617" priority="10660">
      <formula>IF(#REF!="FICTICIO",1,0)</formula>
    </cfRule>
  </conditionalFormatting>
  <conditionalFormatting sqref="E38:E40">
    <cfRule type="expression" dxfId="8616" priority="10659">
      <formula>IF(#REF!="FICTICIO",1,0)</formula>
    </cfRule>
  </conditionalFormatting>
  <conditionalFormatting sqref="E38:E40">
    <cfRule type="expression" dxfId="8615" priority="10658">
      <formula>IF(#REF!="FICTICIO",1,0)</formula>
    </cfRule>
  </conditionalFormatting>
  <conditionalFormatting sqref="E38:E40">
    <cfRule type="expression" dxfId="8614" priority="10657">
      <formula>IF(#REF!="FICTICIO",1,0)</formula>
    </cfRule>
  </conditionalFormatting>
  <conditionalFormatting sqref="E38:E40">
    <cfRule type="expression" dxfId="8613" priority="10656">
      <formula>IF(#REF!="FICTICIO",1,0)</formula>
    </cfRule>
  </conditionalFormatting>
  <conditionalFormatting sqref="E38:E40">
    <cfRule type="expression" dxfId="8612" priority="10655">
      <formula>IF(#REF!="FICTICIO",1,0)</formula>
    </cfRule>
  </conditionalFormatting>
  <conditionalFormatting sqref="E38:E40">
    <cfRule type="expression" dxfId="8611" priority="10654">
      <formula>IF(#REF!="FICTICIO",1,0)</formula>
    </cfRule>
  </conditionalFormatting>
  <conditionalFormatting sqref="E38:E40">
    <cfRule type="expression" dxfId="8610" priority="10653">
      <formula>IF(#REF!="FICTICIO",1,0)</formula>
    </cfRule>
  </conditionalFormatting>
  <conditionalFormatting sqref="E38:E40">
    <cfRule type="expression" dxfId="8609" priority="10651">
      <formula>IF(#REF!="FICTICIO",1,0)</formula>
    </cfRule>
  </conditionalFormatting>
  <conditionalFormatting sqref="E38:E40">
    <cfRule type="expression" dxfId="8608" priority="10652">
      <formula>IF(#REF!="FICTICIO",1,0)</formula>
    </cfRule>
  </conditionalFormatting>
  <conditionalFormatting sqref="E38:E40">
    <cfRule type="expression" dxfId="8607" priority="10650">
      <formula>IF(#REF!="FICTICIO",1,0)</formula>
    </cfRule>
  </conditionalFormatting>
  <conditionalFormatting sqref="E38:E40">
    <cfRule type="expression" dxfId="8606" priority="10649">
      <formula>IF(#REF!="FICTICIO",1,0)</formula>
    </cfRule>
  </conditionalFormatting>
  <conditionalFormatting sqref="E38:E40">
    <cfRule type="expression" dxfId="8605" priority="10648">
      <formula>IF(#REF!="FICTICIO",1,0)</formula>
    </cfRule>
  </conditionalFormatting>
  <conditionalFormatting sqref="E38:E40">
    <cfRule type="expression" dxfId="8604" priority="10647">
      <formula>IF(#REF!="FICTICIO",1,0)</formula>
    </cfRule>
  </conditionalFormatting>
  <conditionalFormatting sqref="E38:E40">
    <cfRule type="expression" dxfId="8603" priority="10646">
      <formula>IF(#REF!="FICTICIO",1,0)</formula>
    </cfRule>
  </conditionalFormatting>
  <conditionalFormatting sqref="E38:E40">
    <cfRule type="expression" dxfId="8602" priority="10645">
      <formula>IF(#REF!="FICTICIO",1,0)</formula>
    </cfRule>
  </conditionalFormatting>
  <conditionalFormatting sqref="D40">
    <cfRule type="expression" dxfId="8601" priority="10643">
      <formula>IF(#REF!="FICTICIO",1,0)</formula>
    </cfRule>
  </conditionalFormatting>
  <conditionalFormatting sqref="D40">
    <cfRule type="expression" dxfId="8600" priority="10644">
      <formula>IF(#REF!="FICTICIO",1,0)</formula>
    </cfRule>
  </conditionalFormatting>
  <conditionalFormatting sqref="F40">
    <cfRule type="expression" dxfId="8599" priority="10641">
      <formula>IF(#REF!="FICTICIO",1,0)</formula>
    </cfRule>
  </conditionalFormatting>
  <conditionalFormatting sqref="F40">
    <cfRule type="expression" dxfId="8598" priority="10642">
      <formula>IF(#REF!="FICTICIO",1,0)</formula>
    </cfRule>
  </conditionalFormatting>
  <conditionalFormatting sqref="E40">
    <cfRule type="expression" dxfId="8597" priority="10640">
      <formula>IF(#REF!="FICTICIO",1,0)</formula>
    </cfRule>
  </conditionalFormatting>
  <conditionalFormatting sqref="E40">
    <cfRule type="expression" dxfId="8596" priority="10639">
      <formula>IF(#REF!="FICTICIO",1,0)</formula>
    </cfRule>
  </conditionalFormatting>
  <conditionalFormatting sqref="E40">
    <cfRule type="expression" dxfId="8595" priority="10638">
      <formula>IF(#REF!="FICTICIO",1,0)</formula>
    </cfRule>
  </conditionalFormatting>
  <conditionalFormatting sqref="E40">
    <cfRule type="expression" dxfId="8594" priority="10637">
      <formula>IF(#REF!="FICTICIO",1,0)</formula>
    </cfRule>
  </conditionalFormatting>
  <conditionalFormatting sqref="E40">
    <cfRule type="expression" dxfId="8593" priority="10636">
      <formula>IF(#REF!="FICTICIO",1,0)</formula>
    </cfRule>
  </conditionalFormatting>
  <conditionalFormatting sqref="E40">
    <cfRule type="expression" dxfId="8592" priority="10635">
      <formula>IF(#REF!="FICTICIO",1,0)</formula>
    </cfRule>
  </conditionalFormatting>
  <conditionalFormatting sqref="E40">
    <cfRule type="expression" dxfId="8591" priority="10634">
      <formula>IF(#REF!="FICTICIO",1,0)</formula>
    </cfRule>
  </conditionalFormatting>
  <conditionalFormatting sqref="E40">
    <cfRule type="expression" dxfId="8590" priority="10633">
      <formula>IF(#REF!="FICTICIO",1,0)</formula>
    </cfRule>
  </conditionalFormatting>
  <conditionalFormatting sqref="E40">
    <cfRule type="expression" dxfId="8589" priority="10632">
      <formula>IF(#REF!="FICTICIO",1,0)</formula>
    </cfRule>
  </conditionalFormatting>
  <conditionalFormatting sqref="E40">
    <cfRule type="expression" dxfId="8588" priority="10631">
      <formula>IF(#REF!="FICTICIO",1,0)</formula>
    </cfRule>
  </conditionalFormatting>
  <conditionalFormatting sqref="E40">
    <cfRule type="expression" dxfId="8587" priority="10630">
      <formula>IF(#REF!="FICTICIO",1,0)</formula>
    </cfRule>
  </conditionalFormatting>
  <conditionalFormatting sqref="E40">
    <cfRule type="expression" dxfId="8586" priority="10629">
      <formula>IF(#REF!="FICTICIO",1,0)</formula>
    </cfRule>
  </conditionalFormatting>
  <conditionalFormatting sqref="E40">
    <cfRule type="expression" dxfId="8585" priority="10628">
      <formula>IF(#REF!="FICTICIO",1,0)</formula>
    </cfRule>
  </conditionalFormatting>
  <conditionalFormatting sqref="D42">
    <cfRule type="expression" dxfId="8584" priority="10590">
      <formula>IF(#REF!="FICTICIO",1,0)</formula>
    </cfRule>
  </conditionalFormatting>
  <conditionalFormatting sqref="D42">
    <cfRule type="expression" dxfId="8583" priority="10591">
      <formula>IF(#REF!="FICTICIO",1,0)</formula>
    </cfRule>
  </conditionalFormatting>
  <conditionalFormatting sqref="D42">
    <cfRule type="expression" dxfId="8582" priority="10588">
      <formula>IF(#REF!="FICTICIO",1,0)</formula>
    </cfRule>
  </conditionalFormatting>
  <conditionalFormatting sqref="D42">
    <cfRule type="expression" dxfId="8581" priority="10589">
      <formula>IF(#REF!="FICTICIO",1,0)</formula>
    </cfRule>
  </conditionalFormatting>
  <conditionalFormatting sqref="D42">
    <cfRule type="expression" dxfId="8580" priority="10586">
      <formula>IF(#REF!="FICTICIO",1,0)</formula>
    </cfRule>
  </conditionalFormatting>
  <conditionalFormatting sqref="D42">
    <cfRule type="expression" dxfId="8579" priority="10587">
      <formula>IF(#REF!="FICTICIO",1,0)</formula>
    </cfRule>
  </conditionalFormatting>
  <conditionalFormatting sqref="D42">
    <cfRule type="expression" dxfId="8578" priority="10584">
      <formula>IF(#REF!="FICTICIO",1,0)</formula>
    </cfRule>
  </conditionalFormatting>
  <conditionalFormatting sqref="D42">
    <cfRule type="expression" dxfId="8577" priority="10585">
      <formula>IF(#REF!="FICTICIO",1,0)</formula>
    </cfRule>
  </conditionalFormatting>
  <conditionalFormatting sqref="F42">
    <cfRule type="expression" dxfId="8576" priority="10582">
      <formula>IF(#REF!="FICTICIO",1,0)</formula>
    </cfRule>
  </conditionalFormatting>
  <conditionalFormatting sqref="F42">
    <cfRule type="expression" dxfId="8575" priority="10583">
      <formula>IF(#REF!="FICTICIO",1,0)</formula>
    </cfRule>
  </conditionalFormatting>
  <conditionalFormatting sqref="F42">
    <cfRule type="expression" dxfId="8574" priority="10580">
      <formula>IF(#REF!="FICTICIO",1,0)</formula>
    </cfRule>
  </conditionalFormatting>
  <conditionalFormatting sqref="F42">
    <cfRule type="expression" dxfId="8573" priority="10581">
      <formula>IF(#REF!="FICTICIO",1,0)</formula>
    </cfRule>
  </conditionalFormatting>
  <conditionalFormatting sqref="D44">
    <cfRule type="expression" dxfId="8572" priority="10542">
      <formula>IF(#REF!="FICTICIO",1,0)</formula>
    </cfRule>
  </conditionalFormatting>
  <conditionalFormatting sqref="D44">
    <cfRule type="expression" dxfId="8571" priority="10543">
      <formula>IF(#REF!="FICTICIO",1,0)</formula>
    </cfRule>
  </conditionalFormatting>
  <conditionalFormatting sqref="D44">
    <cfRule type="expression" dxfId="8570" priority="10540">
      <formula>IF(#REF!="FICTICIO",1,0)</formula>
    </cfRule>
  </conditionalFormatting>
  <conditionalFormatting sqref="D44">
    <cfRule type="expression" dxfId="8569" priority="10541">
      <formula>IF(#REF!="FICTICIO",1,0)</formula>
    </cfRule>
  </conditionalFormatting>
  <conditionalFormatting sqref="D44">
    <cfRule type="expression" dxfId="8568" priority="10538">
      <formula>IF(#REF!="FICTICIO",1,0)</formula>
    </cfRule>
  </conditionalFormatting>
  <conditionalFormatting sqref="D44">
    <cfRule type="expression" dxfId="8567" priority="10539">
      <formula>IF(#REF!="FICTICIO",1,0)</formula>
    </cfRule>
  </conditionalFormatting>
  <conditionalFormatting sqref="D44">
    <cfRule type="expression" dxfId="8566" priority="10536">
      <formula>IF(#REF!="FICTICIO",1,0)</formula>
    </cfRule>
  </conditionalFormatting>
  <conditionalFormatting sqref="D44">
    <cfRule type="expression" dxfId="8565" priority="10537">
      <formula>IF(#REF!="FICTICIO",1,0)</formula>
    </cfRule>
  </conditionalFormatting>
  <conditionalFormatting sqref="F44">
    <cfRule type="expression" dxfId="8564" priority="10534">
      <formula>IF(#REF!="FICTICIO",1,0)</formula>
    </cfRule>
  </conditionalFormatting>
  <conditionalFormatting sqref="F44">
    <cfRule type="expression" dxfId="8563" priority="10535">
      <formula>IF(#REF!="FICTICIO",1,0)</formula>
    </cfRule>
  </conditionalFormatting>
  <conditionalFormatting sqref="E53">
    <cfRule type="expression" dxfId="8562" priority="10380">
      <formula>IF(#REF!="FICTICIO",1,0)</formula>
    </cfRule>
  </conditionalFormatting>
  <conditionalFormatting sqref="E53">
    <cfRule type="expression" dxfId="8561" priority="10379">
      <formula>IF(#REF!="FICTICIO",1,0)</formula>
    </cfRule>
  </conditionalFormatting>
  <conditionalFormatting sqref="E53">
    <cfRule type="expression" dxfId="8560" priority="10378">
      <formula>IF(#REF!="FICTICIO",1,0)</formula>
    </cfRule>
  </conditionalFormatting>
  <conditionalFormatting sqref="E53">
    <cfRule type="expression" dxfId="8559" priority="10377">
      <formula>IF(#REF!="FICTICIO",1,0)</formula>
    </cfRule>
  </conditionalFormatting>
  <conditionalFormatting sqref="E53">
    <cfRule type="expression" dxfId="8558" priority="10376">
      <formula>IF(#REF!="FICTICIO",1,0)</formula>
    </cfRule>
  </conditionalFormatting>
  <conditionalFormatting sqref="E53">
    <cfRule type="expression" dxfId="8557" priority="10375">
      <formula>IF(#REF!="FICTICIO",1,0)</formula>
    </cfRule>
  </conditionalFormatting>
  <conditionalFormatting sqref="E53">
    <cfRule type="expression" dxfId="8556" priority="10374">
      <formula>IF(#REF!="FICTICIO",1,0)</formula>
    </cfRule>
  </conditionalFormatting>
  <conditionalFormatting sqref="E53">
    <cfRule type="expression" dxfId="8555" priority="10373">
      <formula>IF(#REF!="FICTICIO",1,0)</formula>
    </cfRule>
  </conditionalFormatting>
  <conditionalFormatting sqref="E53">
    <cfRule type="expression" dxfId="8554" priority="10372">
      <formula>IF(#REF!="FICTICIO",1,0)</formula>
    </cfRule>
  </conditionalFormatting>
  <conditionalFormatting sqref="E53">
    <cfRule type="expression" dxfId="8553" priority="10371">
      <formula>IF(#REF!="FICTICIO",1,0)</formula>
    </cfRule>
  </conditionalFormatting>
  <conditionalFormatting sqref="E53">
    <cfRule type="expression" dxfId="8552" priority="10370">
      <formula>IF(#REF!="FICTICIO",1,0)</formula>
    </cfRule>
  </conditionalFormatting>
  <conditionalFormatting sqref="E53">
    <cfRule type="expression" dxfId="8551" priority="10369">
      <formula>IF(#REF!="FICTICIO",1,0)</formula>
    </cfRule>
  </conditionalFormatting>
  <conditionalFormatting sqref="E53">
    <cfRule type="expression" dxfId="8550" priority="10368">
      <formula>IF(#REF!="FICTICIO",1,0)</formula>
    </cfRule>
  </conditionalFormatting>
  <conditionalFormatting sqref="E53">
    <cfRule type="expression" dxfId="8549" priority="10364">
      <formula>IF(#REF!="FICTICIO",1,0)</formula>
    </cfRule>
  </conditionalFormatting>
  <conditionalFormatting sqref="E53">
    <cfRule type="expression" dxfId="8548" priority="10363">
      <formula>IF(#REF!="FICTICIO",1,0)</formula>
    </cfRule>
  </conditionalFormatting>
  <conditionalFormatting sqref="E53">
    <cfRule type="expression" dxfId="8547" priority="10362">
      <formula>IF(#REF!="FICTICIO",1,0)</formula>
    </cfRule>
  </conditionalFormatting>
  <conditionalFormatting sqref="E53">
    <cfRule type="expression" dxfId="8546" priority="10367">
      <formula>IF(#REF!="FICTICIO",1,0)</formula>
    </cfRule>
  </conditionalFormatting>
  <conditionalFormatting sqref="E53">
    <cfRule type="expression" dxfId="8545" priority="10366">
      <formula>IF(#REF!="FICTICIO",1,0)</formula>
    </cfRule>
  </conditionalFormatting>
  <conditionalFormatting sqref="E53">
    <cfRule type="expression" dxfId="8544" priority="10365">
      <formula>IF(#REF!="FICTICIO",1,0)</formula>
    </cfRule>
  </conditionalFormatting>
  <conditionalFormatting sqref="D53">
    <cfRule type="expression" dxfId="8543" priority="10360">
      <formula>IF(#REF!="FICTICIO",1,0)</formula>
    </cfRule>
  </conditionalFormatting>
  <conditionalFormatting sqref="D53">
    <cfRule type="expression" dxfId="8542" priority="10361">
      <formula>IF(#REF!="FICTICIO",1,0)</formula>
    </cfRule>
  </conditionalFormatting>
  <conditionalFormatting sqref="D53">
    <cfRule type="expression" dxfId="8541" priority="10358">
      <formula>IF(#REF!="FICTICIO",1,0)</formula>
    </cfRule>
  </conditionalFormatting>
  <conditionalFormatting sqref="D53">
    <cfRule type="expression" dxfId="8540" priority="10359">
      <formula>IF(#REF!="FICTICIO",1,0)</formula>
    </cfRule>
  </conditionalFormatting>
  <conditionalFormatting sqref="F53">
    <cfRule type="expression" dxfId="8539" priority="10357">
      <formula>IF(#REF!="FICTICIO",1,0)</formula>
    </cfRule>
  </conditionalFormatting>
  <conditionalFormatting sqref="E53">
    <cfRule type="expression" dxfId="8538" priority="10353">
      <formula>IF(#REF!="FICTICIO",1,0)</formula>
    </cfRule>
  </conditionalFormatting>
  <conditionalFormatting sqref="E53">
    <cfRule type="expression" dxfId="8537" priority="10352">
      <formula>IF(#REF!="FICTICIO",1,0)</formula>
    </cfRule>
  </conditionalFormatting>
  <conditionalFormatting sqref="E53">
    <cfRule type="expression" dxfId="8536" priority="10351">
      <formula>IF(#REF!="FICTICIO",1,0)</formula>
    </cfRule>
  </conditionalFormatting>
  <conditionalFormatting sqref="E53">
    <cfRule type="expression" dxfId="8535" priority="10356">
      <formula>IF(#REF!="FICTICIO",1,0)</formula>
    </cfRule>
  </conditionalFormatting>
  <conditionalFormatting sqref="E53">
    <cfRule type="expression" dxfId="8534" priority="10355">
      <formula>IF(#REF!="FICTICIO",1,0)</formula>
    </cfRule>
  </conditionalFormatting>
  <conditionalFormatting sqref="E53">
    <cfRule type="expression" dxfId="8533" priority="10354">
      <formula>IF(#REF!="FICTICIO",1,0)</formula>
    </cfRule>
  </conditionalFormatting>
  <conditionalFormatting sqref="D55">
    <cfRule type="expression" dxfId="8532" priority="10336">
      <formula>IF(#REF!="FICTICIO",1,0)</formula>
    </cfRule>
  </conditionalFormatting>
  <conditionalFormatting sqref="D55">
    <cfRule type="expression" dxfId="8531" priority="10337">
      <formula>IF(#REF!="FICTICIO",1,0)</formula>
    </cfRule>
  </conditionalFormatting>
  <conditionalFormatting sqref="D55">
    <cfRule type="expression" dxfId="8530" priority="10334">
      <formula>IF(#REF!="FICTICIO",1,0)</formula>
    </cfRule>
  </conditionalFormatting>
  <conditionalFormatting sqref="D55">
    <cfRule type="expression" dxfId="8529" priority="10335">
      <formula>IF(#REF!="FICTICIO",1,0)</formula>
    </cfRule>
  </conditionalFormatting>
  <conditionalFormatting sqref="F55">
    <cfRule type="expression" dxfId="8528" priority="10333">
      <formula>IF(#REF!="FICTICIO",1,0)</formula>
    </cfRule>
  </conditionalFormatting>
  <conditionalFormatting sqref="D55">
    <cfRule type="expression" dxfId="8527" priority="10331">
      <formula>IF(#REF!="FICTICIO",1,0)</formula>
    </cfRule>
  </conditionalFormatting>
  <conditionalFormatting sqref="D55">
    <cfRule type="expression" dxfId="8526" priority="10332">
      <formula>IF(#REF!="FICTICIO",1,0)</formula>
    </cfRule>
  </conditionalFormatting>
  <conditionalFormatting sqref="F55">
    <cfRule type="expression" dxfId="8525" priority="10330">
      <formula>IF(#REF!="FICTICIO",1,0)</formula>
    </cfRule>
  </conditionalFormatting>
  <conditionalFormatting sqref="D55">
    <cfRule type="expression" dxfId="8524" priority="10316">
      <formula>IF(#REF!="FICTICIO",1,0)</formula>
    </cfRule>
  </conditionalFormatting>
  <conditionalFormatting sqref="D55">
    <cfRule type="expression" dxfId="8523" priority="10317">
      <formula>IF(#REF!="FICTICIO",1,0)</formula>
    </cfRule>
  </conditionalFormatting>
  <conditionalFormatting sqref="E56">
    <cfRule type="expression" dxfId="8522" priority="10315">
      <formula>IF(#REF!="FICTICIO",1,0)</formula>
    </cfRule>
  </conditionalFormatting>
  <conditionalFormatting sqref="E56">
    <cfRule type="expression" dxfId="8521" priority="10314">
      <formula>IF(#REF!="FICTICIO",1,0)</formula>
    </cfRule>
  </conditionalFormatting>
  <conditionalFormatting sqref="E56">
    <cfRule type="expression" dxfId="8520" priority="10313">
      <formula>IF(#REF!="FICTICIO",1,0)</formula>
    </cfRule>
  </conditionalFormatting>
  <conditionalFormatting sqref="E56">
    <cfRule type="expression" dxfId="8519" priority="10312">
      <formula>IF(#REF!="FICTICIO",1,0)</formula>
    </cfRule>
  </conditionalFormatting>
  <conditionalFormatting sqref="E56">
    <cfRule type="expression" dxfId="8518" priority="10311">
      <formula>IF(#REF!="FICTICIO",1,0)</formula>
    </cfRule>
  </conditionalFormatting>
  <conditionalFormatting sqref="E56">
    <cfRule type="expression" dxfId="8517" priority="10310">
      <formula>IF(#REF!="FICTICIO",1,0)</formula>
    </cfRule>
  </conditionalFormatting>
  <conditionalFormatting sqref="E56">
    <cfRule type="expression" dxfId="8516" priority="10309">
      <formula>IF(#REF!="FICTICIO",1,0)</formula>
    </cfRule>
  </conditionalFormatting>
  <conditionalFormatting sqref="E56">
    <cfRule type="expression" dxfId="8515" priority="10308">
      <formula>IF(#REF!="FICTICIO",1,0)</formula>
    </cfRule>
  </conditionalFormatting>
  <conditionalFormatting sqref="E56">
    <cfRule type="expression" dxfId="8514" priority="10307">
      <formula>IF(#REF!="FICTICIO",1,0)</formula>
    </cfRule>
  </conditionalFormatting>
  <conditionalFormatting sqref="E56">
    <cfRule type="expression" dxfId="8513" priority="10306">
      <formula>IF(#REF!="FICTICIO",1,0)</formula>
    </cfRule>
  </conditionalFormatting>
  <conditionalFormatting sqref="E56">
    <cfRule type="expression" dxfId="8512" priority="10305">
      <formula>IF(#REF!="FICTICIO",1,0)</formula>
    </cfRule>
  </conditionalFormatting>
  <conditionalFormatting sqref="E56">
    <cfRule type="expression" dxfId="8511" priority="10304">
      <formula>IF(#REF!="FICTICIO",1,0)</formula>
    </cfRule>
  </conditionalFormatting>
  <conditionalFormatting sqref="E56">
    <cfRule type="expression" dxfId="8510" priority="10303">
      <formula>IF(#REF!="FICTICIO",1,0)</formula>
    </cfRule>
  </conditionalFormatting>
  <conditionalFormatting sqref="E56">
    <cfRule type="expression" dxfId="8509" priority="10299">
      <formula>IF(#REF!="FICTICIO",1,0)</formula>
    </cfRule>
  </conditionalFormatting>
  <conditionalFormatting sqref="E56">
    <cfRule type="expression" dxfId="8508" priority="10298">
      <formula>IF(#REF!="FICTICIO",1,0)</formula>
    </cfRule>
  </conditionalFormatting>
  <conditionalFormatting sqref="E56">
    <cfRule type="expression" dxfId="8507" priority="10297">
      <formula>IF(#REF!="FICTICIO",1,0)</formula>
    </cfRule>
  </conditionalFormatting>
  <conditionalFormatting sqref="E56">
    <cfRule type="expression" dxfId="8506" priority="10302">
      <formula>IF(#REF!="FICTICIO",1,0)</formula>
    </cfRule>
  </conditionalFormatting>
  <conditionalFormatting sqref="E56">
    <cfRule type="expression" dxfId="8505" priority="10301">
      <formula>IF(#REF!="FICTICIO",1,0)</formula>
    </cfRule>
  </conditionalFormatting>
  <conditionalFormatting sqref="E56">
    <cfRule type="expression" dxfId="8504" priority="10300">
      <formula>IF(#REF!="FICTICIO",1,0)</formula>
    </cfRule>
  </conditionalFormatting>
  <conditionalFormatting sqref="E56">
    <cfRule type="expression" dxfId="8503" priority="10293">
      <formula>IF(#REF!="FICTICIO",1,0)</formula>
    </cfRule>
  </conditionalFormatting>
  <conditionalFormatting sqref="E56">
    <cfRule type="expression" dxfId="8502" priority="10292">
      <formula>IF(#REF!="FICTICIO",1,0)</formula>
    </cfRule>
  </conditionalFormatting>
  <conditionalFormatting sqref="E56">
    <cfRule type="expression" dxfId="8501" priority="10291">
      <formula>IF(#REF!="FICTICIO",1,0)</formula>
    </cfRule>
  </conditionalFormatting>
  <conditionalFormatting sqref="E56">
    <cfRule type="expression" dxfId="8500" priority="10296">
      <formula>IF(#REF!="FICTICIO",1,0)</formula>
    </cfRule>
  </conditionalFormatting>
  <conditionalFormatting sqref="E56">
    <cfRule type="expression" dxfId="8499" priority="10295">
      <formula>IF(#REF!="FICTICIO",1,0)</formula>
    </cfRule>
  </conditionalFormatting>
  <conditionalFormatting sqref="E56">
    <cfRule type="expression" dxfId="8498" priority="10294">
      <formula>IF(#REF!="FICTICIO",1,0)</formula>
    </cfRule>
  </conditionalFormatting>
  <conditionalFormatting sqref="F56">
    <cfRule type="expression" dxfId="8497" priority="10290">
      <formula>IF(#REF!="FICTICIO",1,0)</formula>
    </cfRule>
  </conditionalFormatting>
  <conditionalFormatting sqref="F56">
    <cfRule type="expression" dxfId="8496" priority="10289">
      <formula>IF(#REF!="FICTICIO",1,0)</formula>
    </cfRule>
  </conditionalFormatting>
  <conditionalFormatting sqref="D58">
    <cfRule type="expression" dxfId="8495" priority="10262">
      <formula>IF(#REF!="FICTICIO",1,0)</formula>
    </cfRule>
  </conditionalFormatting>
  <conditionalFormatting sqref="D58">
    <cfRule type="expression" dxfId="8494" priority="10263">
      <formula>IF(#REF!="FICTICIO",1,0)</formula>
    </cfRule>
  </conditionalFormatting>
  <conditionalFormatting sqref="E58">
    <cfRule type="expression" dxfId="8493" priority="10261">
      <formula>IF(#REF!="FICTICIO",1,0)</formula>
    </cfRule>
  </conditionalFormatting>
  <conditionalFormatting sqref="E58">
    <cfRule type="expression" dxfId="8492" priority="10260">
      <formula>IF(#REF!="FICTICIO",1,0)</formula>
    </cfRule>
  </conditionalFormatting>
  <conditionalFormatting sqref="E58">
    <cfRule type="expression" dxfId="8491" priority="10259">
      <formula>IF(#REF!="FICTICIO",1,0)</formula>
    </cfRule>
  </conditionalFormatting>
  <conditionalFormatting sqref="E58">
    <cfRule type="expression" dxfId="8490" priority="10258">
      <formula>IF(#REF!="FICTICIO",1,0)</formula>
    </cfRule>
  </conditionalFormatting>
  <conditionalFormatting sqref="E58">
    <cfRule type="expression" dxfId="8489" priority="10257">
      <formula>IF(#REF!="FICTICIO",1,0)</formula>
    </cfRule>
  </conditionalFormatting>
  <conditionalFormatting sqref="E58">
    <cfRule type="expression" dxfId="8488" priority="10256">
      <formula>IF(#REF!="FICTICIO",1,0)</formula>
    </cfRule>
  </conditionalFormatting>
  <conditionalFormatting sqref="E58">
    <cfRule type="expression" dxfId="8487" priority="10255">
      <formula>IF(#REF!="FICTICIO",1,0)</formula>
    </cfRule>
  </conditionalFormatting>
  <conditionalFormatting sqref="E58">
    <cfRule type="expression" dxfId="8486" priority="10254">
      <formula>IF(#REF!="FICTICIO",1,0)</formula>
    </cfRule>
  </conditionalFormatting>
  <conditionalFormatting sqref="E58">
    <cfRule type="expression" dxfId="8485" priority="10253">
      <formula>IF(#REF!="FICTICIO",1,0)</formula>
    </cfRule>
  </conditionalFormatting>
  <conditionalFormatting sqref="E58">
    <cfRule type="expression" dxfId="8484" priority="10252">
      <formula>IF(#REF!="FICTICIO",1,0)</formula>
    </cfRule>
  </conditionalFormatting>
  <conditionalFormatting sqref="E58">
    <cfRule type="expression" dxfId="8483" priority="10251">
      <formula>IF(#REF!="FICTICIO",1,0)</formula>
    </cfRule>
  </conditionalFormatting>
  <conditionalFormatting sqref="E58">
    <cfRule type="expression" dxfId="8482" priority="10250">
      <formula>IF(#REF!="FICTICIO",1,0)</formula>
    </cfRule>
  </conditionalFormatting>
  <conditionalFormatting sqref="E58">
    <cfRule type="expression" dxfId="8481" priority="10249">
      <formula>IF(#REF!="FICTICIO",1,0)</formula>
    </cfRule>
  </conditionalFormatting>
  <conditionalFormatting sqref="E58">
    <cfRule type="expression" dxfId="8480" priority="10245">
      <formula>IF(#REF!="FICTICIO",1,0)</formula>
    </cfRule>
  </conditionalFormatting>
  <conditionalFormatting sqref="E58">
    <cfRule type="expression" dxfId="8479" priority="10244">
      <formula>IF(#REF!="FICTICIO",1,0)</formula>
    </cfRule>
  </conditionalFormatting>
  <conditionalFormatting sqref="E58">
    <cfRule type="expression" dxfId="8478" priority="10243">
      <formula>IF(#REF!="FICTICIO",1,0)</formula>
    </cfRule>
  </conditionalFormatting>
  <conditionalFormatting sqref="E58">
    <cfRule type="expression" dxfId="8477" priority="10248">
      <formula>IF(#REF!="FICTICIO",1,0)</formula>
    </cfRule>
  </conditionalFormatting>
  <conditionalFormatting sqref="E58">
    <cfRule type="expression" dxfId="8476" priority="10247">
      <formula>IF(#REF!="FICTICIO",1,0)</formula>
    </cfRule>
  </conditionalFormatting>
  <conditionalFormatting sqref="E58">
    <cfRule type="expression" dxfId="8475" priority="10246">
      <formula>IF(#REF!="FICTICIO",1,0)</formula>
    </cfRule>
  </conditionalFormatting>
  <conditionalFormatting sqref="E58">
    <cfRule type="expression" dxfId="8474" priority="10239">
      <formula>IF(#REF!="FICTICIO",1,0)</formula>
    </cfRule>
  </conditionalFormatting>
  <conditionalFormatting sqref="E58">
    <cfRule type="expression" dxfId="8473" priority="10238">
      <formula>IF(#REF!="FICTICIO",1,0)</formula>
    </cfRule>
  </conditionalFormatting>
  <conditionalFormatting sqref="E58">
    <cfRule type="expression" dxfId="8472" priority="10237">
      <formula>IF(#REF!="FICTICIO",1,0)</formula>
    </cfRule>
  </conditionalFormatting>
  <conditionalFormatting sqref="E58">
    <cfRule type="expression" dxfId="8471" priority="10242">
      <formula>IF(#REF!="FICTICIO",1,0)</formula>
    </cfRule>
  </conditionalFormatting>
  <conditionalFormatting sqref="E58">
    <cfRule type="expression" dxfId="8470" priority="10241">
      <formula>IF(#REF!="FICTICIO",1,0)</formula>
    </cfRule>
  </conditionalFormatting>
  <conditionalFormatting sqref="E58">
    <cfRule type="expression" dxfId="8469" priority="10240">
      <formula>IF(#REF!="FICTICIO",1,0)</formula>
    </cfRule>
  </conditionalFormatting>
  <conditionalFormatting sqref="E60">
    <cfRule type="expression" dxfId="8468" priority="10211">
      <formula>IF(#REF!="FICTICIO",1,0)</formula>
    </cfRule>
  </conditionalFormatting>
  <conditionalFormatting sqref="E60">
    <cfRule type="expression" dxfId="8467" priority="10210">
      <formula>IF(#REF!="FICTICIO",1,0)</formula>
    </cfRule>
  </conditionalFormatting>
  <conditionalFormatting sqref="E60">
    <cfRule type="expression" dxfId="8466" priority="10209">
      <formula>IF(#REF!="FICTICIO",1,0)</formula>
    </cfRule>
  </conditionalFormatting>
  <conditionalFormatting sqref="E60">
    <cfRule type="expression" dxfId="8465" priority="10208">
      <formula>IF(#REF!="FICTICIO",1,0)</formula>
    </cfRule>
  </conditionalFormatting>
  <conditionalFormatting sqref="E60">
    <cfRule type="expression" dxfId="8464" priority="10207">
      <formula>IF(#REF!="FICTICIO",1,0)</formula>
    </cfRule>
  </conditionalFormatting>
  <conditionalFormatting sqref="E60">
    <cfRule type="expression" dxfId="8463" priority="10206">
      <formula>IF(#REF!="FICTICIO",1,0)</formula>
    </cfRule>
  </conditionalFormatting>
  <conditionalFormatting sqref="E60">
    <cfRule type="expression" dxfId="8462" priority="10205">
      <formula>IF(#REF!="FICTICIO",1,0)</formula>
    </cfRule>
  </conditionalFormatting>
  <conditionalFormatting sqref="E60">
    <cfRule type="expression" dxfId="8461" priority="10204">
      <formula>IF(#REF!="FICTICIO",1,0)</formula>
    </cfRule>
  </conditionalFormatting>
  <conditionalFormatting sqref="E60">
    <cfRule type="expression" dxfId="8460" priority="10203">
      <formula>IF(#REF!="FICTICIO",1,0)</formula>
    </cfRule>
  </conditionalFormatting>
  <conditionalFormatting sqref="E60">
    <cfRule type="expression" dxfId="8459" priority="10202">
      <formula>IF(#REF!="FICTICIO",1,0)</formula>
    </cfRule>
  </conditionalFormatting>
  <conditionalFormatting sqref="E60">
    <cfRule type="expression" dxfId="8458" priority="10201">
      <formula>IF(#REF!="FICTICIO",1,0)</formula>
    </cfRule>
  </conditionalFormatting>
  <conditionalFormatting sqref="E60">
    <cfRule type="expression" dxfId="8457" priority="10200">
      <formula>IF(#REF!="FICTICIO",1,0)</formula>
    </cfRule>
  </conditionalFormatting>
  <conditionalFormatting sqref="E60">
    <cfRule type="expression" dxfId="8456" priority="10199">
      <formula>IF(#REF!="FICTICIO",1,0)</formula>
    </cfRule>
  </conditionalFormatting>
  <conditionalFormatting sqref="E60">
    <cfRule type="expression" dxfId="8455" priority="10195">
      <formula>IF(#REF!="FICTICIO",1,0)</formula>
    </cfRule>
  </conditionalFormatting>
  <conditionalFormatting sqref="E60">
    <cfRule type="expression" dxfId="8454" priority="10194">
      <formula>IF(#REF!="FICTICIO",1,0)</formula>
    </cfRule>
  </conditionalFormatting>
  <conditionalFormatting sqref="E60">
    <cfRule type="expression" dxfId="8453" priority="10193">
      <formula>IF(#REF!="FICTICIO",1,0)</formula>
    </cfRule>
  </conditionalFormatting>
  <conditionalFormatting sqref="E60">
    <cfRule type="expression" dxfId="8452" priority="10198">
      <formula>IF(#REF!="FICTICIO",1,0)</formula>
    </cfRule>
  </conditionalFormatting>
  <conditionalFormatting sqref="E60">
    <cfRule type="expression" dxfId="8451" priority="10197">
      <formula>IF(#REF!="FICTICIO",1,0)</formula>
    </cfRule>
  </conditionalFormatting>
  <conditionalFormatting sqref="E60">
    <cfRule type="expression" dxfId="8450" priority="10196">
      <formula>IF(#REF!="FICTICIO",1,0)</formula>
    </cfRule>
  </conditionalFormatting>
  <conditionalFormatting sqref="E60">
    <cfRule type="expression" dxfId="8449" priority="10189">
      <formula>IF(#REF!="FICTICIO",1,0)</formula>
    </cfRule>
  </conditionalFormatting>
  <conditionalFormatting sqref="E60">
    <cfRule type="expression" dxfId="8448" priority="10188">
      <formula>IF(#REF!="FICTICIO",1,0)</formula>
    </cfRule>
  </conditionalFormatting>
  <conditionalFormatting sqref="E60">
    <cfRule type="expression" dxfId="8447" priority="10187">
      <formula>IF(#REF!="FICTICIO",1,0)</formula>
    </cfRule>
  </conditionalFormatting>
  <conditionalFormatting sqref="E60">
    <cfRule type="expression" dxfId="8446" priority="10192">
      <formula>IF(#REF!="FICTICIO",1,0)</formula>
    </cfRule>
  </conditionalFormatting>
  <conditionalFormatting sqref="E60">
    <cfRule type="expression" dxfId="8445" priority="10191">
      <formula>IF(#REF!="FICTICIO",1,0)</formula>
    </cfRule>
  </conditionalFormatting>
  <conditionalFormatting sqref="E60">
    <cfRule type="expression" dxfId="8444" priority="10190">
      <formula>IF(#REF!="FICTICIO",1,0)</formula>
    </cfRule>
  </conditionalFormatting>
  <conditionalFormatting sqref="F61">
    <cfRule type="expression" dxfId="8443" priority="10186">
      <formula>IF(#REF!="FICTICIO",1,0)</formula>
    </cfRule>
  </conditionalFormatting>
  <conditionalFormatting sqref="E61">
    <cfRule type="expression" dxfId="8442" priority="10185">
      <formula>IF(#REF!="FICTICIO",1,0)</formula>
    </cfRule>
  </conditionalFormatting>
  <conditionalFormatting sqref="E61">
    <cfRule type="expression" dxfId="8441" priority="10184">
      <formula>IF(#REF!="FICTICIO",1,0)</formula>
    </cfRule>
  </conditionalFormatting>
  <conditionalFormatting sqref="E61">
    <cfRule type="expression" dxfId="8440" priority="10183">
      <formula>IF(#REF!="FICTICIO",1,0)</formula>
    </cfRule>
  </conditionalFormatting>
  <conditionalFormatting sqref="E61">
    <cfRule type="expression" dxfId="8439" priority="10182">
      <formula>IF(#REF!="FICTICIO",1,0)</formula>
    </cfRule>
  </conditionalFormatting>
  <conditionalFormatting sqref="E61">
    <cfRule type="expression" dxfId="8438" priority="10181">
      <formula>IF(#REF!="FICTICIO",1,0)</formula>
    </cfRule>
  </conditionalFormatting>
  <conditionalFormatting sqref="E61">
    <cfRule type="expression" dxfId="8437" priority="10180">
      <formula>IF(#REF!="FICTICIO",1,0)</formula>
    </cfRule>
  </conditionalFormatting>
  <conditionalFormatting sqref="E61">
    <cfRule type="expression" dxfId="8436" priority="10179">
      <formula>IF(#REF!="FICTICIO",1,0)</formula>
    </cfRule>
  </conditionalFormatting>
  <conditionalFormatting sqref="E61">
    <cfRule type="expression" dxfId="8435" priority="10178">
      <formula>IF(#REF!="FICTICIO",1,0)</formula>
    </cfRule>
  </conditionalFormatting>
  <conditionalFormatting sqref="E61">
    <cfRule type="expression" dxfId="8434" priority="10177">
      <formula>IF(#REF!="FICTICIO",1,0)</formula>
    </cfRule>
  </conditionalFormatting>
  <conditionalFormatting sqref="E61">
    <cfRule type="expression" dxfId="8433" priority="10176">
      <formula>IF(#REF!="FICTICIO",1,0)</formula>
    </cfRule>
  </conditionalFormatting>
  <conditionalFormatting sqref="E61">
    <cfRule type="expression" dxfId="8432" priority="10175">
      <formula>IF(#REF!="FICTICIO",1,0)</formula>
    </cfRule>
  </conditionalFormatting>
  <conditionalFormatting sqref="E61">
    <cfRule type="expression" dxfId="8431" priority="10174">
      <formula>IF(#REF!="FICTICIO",1,0)</formula>
    </cfRule>
  </conditionalFormatting>
  <conditionalFormatting sqref="E61">
    <cfRule type="expression" dxfId="8430" priority="10173">
      <formula>IF(#REF!="FICTICIO",1,0)</formula>
    </cfRule>
  </conditionalFormatting>
  <conditionalFormatting sqref="E61">
    <cfRule type="expression" dxfId="8429" priority="10169">
      <formula>IF(#REF!="FICTICIO",1,0)</formula>
    </cfRule>
  </conditionalFormatting>
  <conditionalFormatting sqref="E61">
    <cfRule type="expression" dxfId="8428" priority="10168">
      <formula>IF(#REF!="FICTICIO",1,0)</formula>
    </cfRule>
  </conditionalFormatting>
  <conditionalFormatting sqref="E61">
    <cfRule type="expression" dxfId="8427" priority="10167">
      <formula>IF(#REF!="FICTICIO",1,0)</formula>
    </cfRule>
  </conditionalFormatting>
  <conditionalFormatting sqref="E61">
    <cfRule type="expression" dxfId="8426" priority="10172">
      <formula>IF(#REF!="FICTICIO",1,0)</formula>
    </cfRule>
  </conditionalFormatting>
  <conditionalFormatting sqref="E61">
    <cfRule type="expression" dxfId="8425" priority="10171">
      <formula>IF(#REF!="FICTICIO",1,0)</formula>
    </cfRule>
  </conditionalFormatting>
  <conditionalFormatting sqref="E61">
    <cfRule type="expression" dxfId="8424" priority="10170">
      <formula>IF(#REF!="FICTICIO",1,0)</formula>
    </cfRule>
  </conditionalFormatting>
  <conditionalFormatting sqref="E61">
    <cfRule type="expression" dxfId="8423" priority="10163">
      <formula>IF(#REF!="FICTICIO",1,0)</formula>
    </cfRule>
  </conditionalFormatting>
  <conditionalFormatting sqref="E61">
    <cfRule type="expression" dxfId="8422" priority="10162">
      <formula>IF(#REF!="FICTICIO",1,0)</formula>
    </cfRule>
  </conditionalFormatting>
  <conditionalFormatting sqref="E61">
    <cfRule type="expression" dxfId="8421" priority="10161">
      <formula>IF(#REF!="FICTICIO",1,0)</formula>
    </cfRule>
  </conditionalFormatting>
  <conditionalFormatting sqref="E61">
    <cfRule type="expression" dxfId="8420" priority="10166">
      <formula>IF(#REF!="FICTICIO",1,0)</formula>
    </cfRule>
  </conditionalFormatting>
  <conditionalFormatting sqref="E61">
    <cfRule type="expression" dxfId="8419" priority="10165">
      <formula>IF(#REF!="FICTICIO",1,0)</formula>
    </cfRule>
  </conditionalFormatting>
  <conditionalFormatting sqref="E61">
    <cfRule type="expression" dxfId="8418" priority="10164">
      <formula>IF(#REF!="FICTICIO",1,0)</formula>
    </cfRule>
  </conditionalFormatting>
  <conditionalFormatting sqref="F71">
    <cfRule type="expression" dxfId="8417" priority="10080">
      <formula>IF(#REF!="FICTICIO",1,0)</formula>
    </cfRule>
  </conditionalFormatting>
  <conditionalFormatting sqref="F71">
    <cfRule type="expression" dxfId="8416" priority="10081">
      <formula>IF(#REF!="FICTICIO",1,0)</formula>
    </cfRule>
  </conditionalFormatting>
  <conditionalFormatting sqref="D71:D73 D75">
    <cfRule type="expression" dxfId="8415" priority="10072">
      <formula>IF(#REF!="FICTICIO",1,0)</formula>
    </cfRule>
  </conditionalFormatting>
  <conditionalFormatting sqref="D71:D73 D75">
    <cfRule type="expression" dxfId="8414" priority="10073">
      <formula>IF(#REF!="FICTICIO",1,0)</formula>
    </cfRule>
  </conditionalFormatting>
  <conditionalFormatting sqref="D71:D73 D75">
    <cfRule type="expression" dxfId="8413" priority="10070">
      <formula>IF(#REF!="FICTICIO",1,0)</formula>
    </cfRule>
  </conditionalFormatting>
  <conditionalFormatting sqref="D71:D73 D75">
    <cfRule type="expression" dxfId="8412" priority="10071">
      <formula>IF(#REF!="FICTICIO",1,0)</formula>
    </cfRule>
  </conditionalFormatting>
  <conditionalFormatting sqref="D73 D75">
    <cfRule type="expression" dxfId="8411" priority="10062">
      <formula>IF(#REF!="FICTICIO",1,0)</formula>
    </cfRule>
  </conditionalFormatting>
  <conditionalFormatting sqref="D73 D75">
    <cfRule type="expression" dxfId="8410" priority="10063">
      <formula>IF(#REF!="FICTICIO",1,0)</formula>
    </cfRule>
  </conditionalFormatting>
  <conditionalFormatting sqref="F73">
    <cfRule type="expression" dxfId="8409" priority="10061">
      <formula>IF(#REF!="FICTICIO",1,0)</formula>
    </cfRule>
  </conditionalFormatting>
  <conditionalFormatting sqref="D75">
    <cfRule type="expression" dxfId="8408" priority="10052">
      <formula>IF(#REF!="FICTICIO",1,0)</formula>
    </cfRule>
  </conditionalFormatting>
  <conditionalFormatting sqref="D75">
    <cfRule type="expression" dxfId="8407" priority="10053">
      <formula>IF(#REF!="FICTICIO",1,0)</formula>
    </cfRule>
  </conditionalFormatting>
  <conditionalFormatting sqref="F75">
    <cfRule type="expression" dxfId="8406" priority="10044">
      <formula>IF(#REF!="FICTICIO",1,0)</formula>
    </cfRule>
  </conditionalFormatting>
  <conditionalFormatting sqref="D71">
    <cfRule type="expression" dxfId="8405" priority="10042">
      <formula>IF(#REF!="FICTICIO",1,0)</formula>
    </cfRule>
  </conditionalFormatting>
  <conditionalFormatting sqref="D71">
    <cfRule type="expression" dxfId="8404" priority="10043">
      <formula>IF(#REF!="FICTICIO",1,0)</formula>
    </cfRule>
  </conditionalFormatting>
  <conditionalFormatting sqref="D71">
    <cfRule type="expression" dxfId="8403" priority="10040">
      <formula>IF(#REF!="FICTICIO",1,0)</formula>
    </cfRule>
  </conditionalFormatting>
  <conditionalFormatting sqref="D71">
    <cfRule type="expression" dxfId="8402" priority="10041">
      <formula>IF(#REF!="FICTICIO",1,0)</formula>
    </cfRule>
  </conditionalFormatting>
  <conditionalFormatting sqref="D72">
    <cfRule type="expression" dxfId="8401" priority="10027">
      <formula>IF(#REF!="FICTICIO",1,0)</formula>
    </cfRule>
  </conditionalFormatting>
  <conditionalFormatting sqref="D72">
    <cfRule type="expression" dxfId="8400" priority="10028">
      <formula>IF(#REF!="FICTICIO",1,0)</formula>
    </cfRule>
  </conditionalFormatting>
  <conditionalFormatting sqref="D72">
    <cfRule type="expression" dxfId="8399" priority="10025">
      <formula>IF(#REF!="FICTICIO",1,0)</formula>
    </cfRule>
  </conditionalFormatting>
  <conditionalFormatting sqref="D72">
    <cfRule type="expression" dxfId="8398" priority="10026">
      <formula>IF(#REF!="FICTICIO",1,0)</formula>
    </cfRule>
  </conditionalFormatting>
  <conditionalFormatting sqref="D72">
    <cfRule type="expression" dxfId="8397" priority="10023">
      <formula>IF(#REF!="FICTICIO",1,0)</formula>
    </cfRule>
  </conditionalFormatting>
  <conditionalFormatting sqref="D72">
    <cfRule type="expression" dxfId="8396" priority="10024">
      <formula>IF(#REF!="FICTICIO",1,0)</formula>
    </cfRule>
  </conditionalFormatting>
  <conditionalFormatting sqref="D72">
    <cfRule type="expression" dxfId="8395" priority="10021">
      <formula>IF(#REF!="FICTICIO",1,0)</formula>
    </cfRule>
  </conditionalFormatting>
  <conditionalFormatting sqref="D72">
    <cfRule type="expression" dxfId="8394" priority="10022">
      <formula>IF(#REF!="FICTICIO",1,0)</formula>
    </cfRule>
  </conditionalFormatting>
  <conditionalFormatting sqref="E76">
    <cfRule type="expression" dxfId="8393" priority="10017">
      <formula>IF(#REF!="FICTICIO",1,0)</formula>
    </cfRule>
  </conditionalFormatting>
  <conditionalFormatting sqref="E76">
    <cfRule type="expression" dxfId="8392" priority="10016">
      <formula>IF(#REF!="FICTICIO",1,0)</formula>
    </cfRule>
  </conditionalFormatting>
  <conditionalFormatting sqref="E76">
    <cfRule type="expression" dxfId="8391" priority="10015">
      <formula>IF(#REF!="FICTICIO",1,0)</formula>
    </cfRule>
  </conditionalFormatting>
  <conditionalFormatting sqref="E76">
    <cfRule type="expression" dxfId="8390" priority="10014">
      <formula>IF(#REF!="FICTICIO",1,0)</formula>
    </cfRule>
  </conditionalFormatting>
  <conditionalFormatting sqref="E76">
    <cfRule type="expression" dxfId="8389" priority="10013">
      <formula>IF(#REF!="FICTICIO",1,0)</formula>
    </cfRule>
  </conditionalFormatting>
  <conditionalFormatting sqref="E76">
    <cfRule type="expression" dxfId="8388" priority="10012">
      <formula>IF(#REF!="FICTICIO",1,0)</formula>
    </cfRule>
  </conditionalFormatting>
  <conditionalFormatting sqref="E76">
    <cfRule type="expression" dxfId="8387" priority="10011">
      <formula>IF(#REF!="FICTICIO",1,0)</formula>
    </cfRule>
  </conditionalFormatting>
  <conditionalFormatting sqref="E76">
    <cfRule type="expression" dxfId="8386" priority="10010">
      <formula>IF(#REF!="FICTICIO",1,0)</formula>
    </cfRule>
  </conditionalFormatting>
  <conditionalFormatting sqref="E76">
    <cfRule type="expression" dxfId="8385" priority="10009">
      <formula>IF(#REF!="FICTICIO",1,0)</formula>
    </cfRule>
  </conditionalFormatting>
  <conditionalFormatting sqref="E76">
    <cfRule type="expression" dxfId="8384" priority="10008">
      <formula>IF(#REF!="FICTICIO",1,0)</formula>
    </cfRule>
  </conditionalFormatting>
  <conditionalFormatting sqref="E76">
    <cfRule type="expression" dxfId="8383" priority="10007">
      <formula>IF(#REF!="FICTICIO",1,0)</formula>
    </cfRule>
  </conditionalFormatting>
  <conditionalFormatting sqref="E76">
    <cfRule type="expression" dxfId="8382" priority="10006">
      <formula>IF(#REF!="FICTICIO",1,0)</formula>
    </cfRule>
  </conditionalFormatting>
  <conditionalFormatting sqref="E76">
    <cfRule type="expression" dxfId="8381" priority="10005">
      <formula>IF(#REF!="FICTICIO",1,0)</formula>
    </cfRule>
  </conditionalFormatting>
  <conditionalFormatting sqref="E76">
    <cfRule type="expression" dxfId="8380" priority="10004">
      <formula>IF(#REF!="FICTICIO",1,0)</formula>
    </cfRule>
  </conditionalFormatting>
  <conditionalFormatting sqref="E76">
    <cfRule type="expression" dxfId="8379" priority="10003">
      <formula>IF(#REF!="FICTICIO",1,0)</formula>
    </cfRule>
  </conditionalFormatting>
  <conditionalFormatting sqref="E76">
    <cfRule type="expression" dxfId="8378" priority="10001">
      <formula>IF(#REF!="FICTICIO",1,0)</formula>
    </cfRule>
  </conditionalFormatting>
  <conditionalFormatting sqref="E76">
    <cfRule type="expression" dxfId="8377" priority="10002">
      <formula>IF(#REF!="FICTICIO",1,0)</formula>
    </cfRule>
  </conditionalFormatting>
  <conditionalFormatting sqref="F76">
    <cfRule type="expression" dxfId="8376" priority="10000">
      <formula>IF(#REF!="FICTICIO",1,0)</formula>
    </cfRule>
  </conditionalFormatting>
  <conditionalFormatting sqref="E76">
    <cfRule type="expression" dxfId="8375" priority="9999">
      <formula>IF(#REF!="FICTICIO",1,0)</formula>
    </cfRule>
  </conditionalFormatting>
  <conditionalFormatting sqref="E76">
    <cfRule type="expression" dxfId="8374" priority="9998">
      <formula>IF(#REF!="FICTICIO",1,0)</formula>
    </cfRule>
  </conditionalFormatting>
  <conditionalFormatting sqref="E76">
    <cfRule type="expression" dxfId="8373" priority="9997">
      <formula>IF(#REF!="FICTICIO",1,0)</formula>
    </cfRule>
  </conditionalFormatting>
  <conditionalFormatting sqref="E76:E77">
    <cfRule type="expression" dxfId="8372" priority="9996">
      <formula>IF(#REF!="FICTICIO",1,0)</formula>
    </cfRule>
  </conditionalFormatting>
  <conditionalFormatting sqref="E76:E77">
    <cfRule type="expression" dxfId="8371" priority="9995">
      <formula>IF(#REF!="FICTICIO",1,0)</formula>
    </cfRule>
  </conditionalFormatting>
  <conditionalFormatting sqref="E76:E77">
    <cfRule type="expression" dxfId="8370" priority="9994">
      <formula>IF(#REF!="FICTICIO",1,0)</formula>
    </cfRule>
  </conditionalFormatting>
  <conditionalFormatting sqref="D76">
    <cfRule type="expression" dxfId="8369" priority="9992">
      <formula>IF(#REF!="FICTICIO",1,0)</formula>
    </cfRule>
  </conditionalFormatting>
  <conditionalFormatting sqref="D76">
    <cfRule type="expression" dxfId="8368" priority="9993">
      <formula>IF(#REF!="FICTICIO",1,0)</formula>
    </cfRule>
  </conditionalFormatting>
  <conditionalFormatting sqref="D76">
    <cfRule type="expression" dxfId="8367" priority="9990">
      <formula>IF(#REF!="FICTICIO",1,0)</formula>
    </cfRule>
  </conditionalFormatting>
  <conditionalFormatting sqref="D76">
    <cfRule type="expression" dxfId="8366" priority="9991">
      <formula>IF(#REF!="FICTICIO",1,0)</formula>
    </cfRule>
  </conditionalFormatting>
  <conditionalFormatting sqref="D76">
    <cfRule type="expression" dxfId="8365" priority="9988">
      <formula>IF(#REF!="FICTICIO",1,0)</formula>
    </cfRule>
  </conditionalFormatting>
  <conditionalFormatting sqref="D76">
    <cfRule type="expression" dxfId="8364" priority="9989">
      <formula>IF(#REF!="FICTICIO",1,0)</formula>
    </cfRule>
  </conditionalFormatting>
  <conditionalFormatting sqref="D76">
    <cfRule type="expression" dxfId="8363" priority="9986">
      <formula>IF(#REF!="FICTICIO",1,0)</formula>
    </cfRule>
  </conditionalFormatting>
  <conditionalFormatting sqref="D76">
    <cfRule type="expression" dxfId="8362" priority="9987">
      <formula>IF(#REF!="FICTICIO",1,0)</formula>
    </cfRule>
  </conditionalFormatting>
  <conditionalFormatting sqref="E76">
    <cfRule type="expression" dxfId="8361" priority="9985">
      <formula>IF(#REF!="FICTICIO",1,0)</formula>
    </cfRule>
  </conditionalFormatting>
  <conditionalFormatting sqref="E76">
    <cfRule type="expression" dxfId="8360" priority="9984">
      <formula>IF(#REF!="FICTICIO",1,0)</formula>
    </cfRule>
  </conditionalFormatting>
  <conditionalFormatting sqref="E76">
    <cfRule type="expression" dxfId="8359" priority="9983">
      <formula>IF(#REF!="FICTICIO",1,0)</formula>
    </cfRule>
  </conditionalFormatting>
  <conditionalFormatting sqref="E76">
    <cfRule type="expression" dxfId="8358" priority="9982">
      <formula>IF(#REF!="FICTICIO",1,0)</formula>
    </cfRule>
  </conditionalFormatting>
  <conditionalFormatting sqref="E76">
    <cfRule type="expression" dxfId="8357" priority="9981">
      <formula>IF(#REF!="FICTICIO",1,0)</formula>
    </cfRule>
  </conditionalFormatting>
  <conditionalFormatting sqref="E76">
    <cfRule type="expression" dxfId="8356" priority="9980">
      <formula>IF(#REF!="FICTICIO",1,0)</formula>
    </cfRule>
  </conditionalFormatting>
  <conditionalFormatting sqref="D76">
    <cfRule type="expression" dxfId="8355" priority="9978">
      <formula>IF(#REF!="FICTICIO",1,0)</formula>
    </cfRule>
  </conditionalFormatting>
  <conditionalFormatting sqref="D76">
    <cfRule type="expression" dxfId="8354" priority="9979">
      <formula>IF(#REF!="FICTICIO",1,0)</formula>
    </cfRule>
  </conditionalFormatting>
  <conditionalFormatting sqref="D76">
    <cfRule type="expression" dxfId="8353" priority="9976">
      <formula>IF(#REF!="FICTICIO",1,0)</formula>
    </cfRule>
  </conditionalFormatting>
  <conditionalFormatting sqref="D76">
    <cfRule type="expression" dxfId="8352" priority="9977">
      <formula>IF(#REF!="FICTICIO",1,0)</formula>
    </cfRule>
  </conditionalFormatting>
  <conditionalFormatting sqref="E76">
    <cfRule type="expression" dxfId="8351" priority="9975">
      <formula>IF(#REF!="FICTICIO",1,0)</formula>
    </cfRule>
  </conditionalFormatting>
  <conditionalFormatting sqref="E76">
    <cfRule type="expression" dxfId="8350" priority="9974">
      <formula>IF(#REF!="FICTICIO",1,0)</formula>
    </cfRule>
  </conditionalFormatting>
  <conditionalFormatting sqref="E76">
    <cfRule type="expression" dxfId="8349" priority="9973">
      <formula>IF(#REF!="FICTICIO",1,0)</formula>
    </cfRule>
  </conditionalFormatting>
  <conditionalFormatting sqref="E76">
    <cfRule type="expression" dxfId="8348" priority="9972">
      <formula>IF(#REF!="FICTICIO",1,0)</formula>
    </cfRule>
  </conditionalFormatting>
  <conditionalFormatting sqref="D76">
    <cfRule type="expression" dxfId="8347" priority="9970">
      <formula>IF(#REF!="FICTICIO",1,0)</formula>
    </cfRule>
  </conditionalFormatting>
  <conditionalFormatting sqref="D76">
    <cfRule type="expression" dxfId="8346" priority="9971">
      <formula>IF(#REF!="FICTICIO",1,0)</formula>
    </cfRule>
  </conditionalFormatting>
  <conditionalFormatting sqref="D76">
    <cfRule type="expression" dxfId="8345" priority="9968">
      <formula>IF(#REF!="FICTICIO",1,0)</formula>
    </cfRule>
  </conditionalFormatting>
  <conditionalFormatting sqref="D76">
    <cfRule type="expression" dxfId="8344" priority="9969">
      <formula>IF(#REF!="FICTICIO",1,0)</formula>
    </cfRule>
  </conditionalFormatting>
  <conditionalFormatting sqref="E76">
    <cfRule type="expression" dxfId="8343" priority="9967">
      <formula>IF(#REF!="FICTICIO",1,0)</formula>
    </cfRule>
  </conditionalFormatting>
  <conditionalFormatting sqref="E76">
    <cfRule type="expression" dxfId="8342" priority="9966">
      <formula>IF(#REF!="FICTICIO",1,0)</formula>
    </cfRule>
  </conditionalFormatting>
  <conditionalFormatting sqref="E76">
    <cfRule type="expression" dxfId="8341" priority="9965">
      <formula>IF(#REF!="FICTICIO",1,0)</formula>
    </cfRule>
  </conditionalFormatting>
  <conditionalFormatting sqref="E76">
    <cfRule type="expression" dxfId="8340" priority="9964">
      <formula>IF(#REF!="FICTICIO",1,0)</formula>
    </cfRule>
  </conditionalFormatting>
  <conditionalFormatting sqref="E76">
    <cfRule type="expression" dxfId="8339" priority="9963">
      <formula>IF(#REF!="FICTICIO",1,0)</formula>
    </cfRule>
  </conditionalFormatting>
  <conditionalFormatting sqref="E76">
    <cfRule type="expression" dxfId="8338" priority="9961">
      <formula>IF(#REF!="FICTICIO",1,0)</formula>
    </cfRule>
  </conditionalFormatting>
  <conditionalFormatting sqref="E76">
    <cfRule type="expression" dxfId="8337" priority="9962">
      <formula>IF(#REF!="FICTICIO",1,0)</formula>
    </cfRule>
  </conditionalFormatting>
  <conditionalFormatting sqref="F76">
    <cfRule type="expression" dxfId="8336" priority="9960">
      <formula>IF(#REF!="FICTICIO",1,0)</formula>
    </cfRule>
  </conditionalFormatting>
  <conditionalFormatting sqref="E76">
    <cfRule type="expression" dxfId="8335" priority="9959">
      <formula>IF(#REF!="FICTICIO",1,0)</formula>
    </cfRule>
  </conditionalFormatting>
  <conditionalFormatting sqref="E76">
    <cfRule type="expression" dxfId="8334" priority="9958">
      <formula>IF(#REF!="FICTICIO",1,0)</formula>
    </cfRule>
  </conditionalFormatting>
  <conditionalFormatting sqref="E76">
    <cfRule type="expression" dxfId="8333" priority="9957">
      <formula>IF(#REF!="FICTICIO",1,0)</formula>
    </cfRule>
  </conditionalFormatting>
  <conditionalFormatting sqref="E77">
    <cfRule type="expression" dxfId="8332" priority="9956">
      <formula>IF(#REF!="FICTICIO",1,0)</formula>
    </cfRule>
  </conditionalFormatting>
  <conditionalFormatting sqref="E77">
    <cfRule type="expression" dxfId="8331" priority="9955">
      <formula>IF(#REF!="FICTICIO",1,0)</formula>
    </cfRule>
  </conditionalFormatting>
  <conditionalFormatting sqref="E77">
    <cfRule type="expression" dxfId="8330" priority="9954">
      <formula>IF(#REF!="FICTICIO",1,0)</formula>
    </cfRule>
  </conditionalFormatting>
  <conditionalFormatting sqref="E77">
    <cfRule type="expression" dxfId="8329" priority="9953">
      <formula>IF(#REF!="FICTICIO",1,0)</formula>
    </cfRule>
  </conditionalFormatting>
  <conditionalFormatting sqref="E77">
    <cfRule type="expression" dxfId="8328" priority="9952">
      <formula>IF(#REF!="FICTICIO",1,0)</formula>
    </cfRule>
  </conditionalFormatting>
  <conditionalFormatting sqref="E77">
    <cfRule type="expression" dxfId="8327" priority="9951">
      <formula>IF(#REF!="FICTICIO",1,0)</formula>
    </cfRule>
  </conditionalFormatting>
  <conditionalFormatting sqref="E77">
    <cfRule type="expression" dxfId="8326" priority="9950">
      <formula>IF(#REF!="FICTICIO",1,0)</formula>
    </cfRule>
  </conditionalFormatting>
  <conditionalFormatting sqref="E77">
    <cfRule type="expression" dxfId="8325" priority="9949">
      <formula>IF(#REF!="FICTICIO",1,0)</formula>
    </cfRule>
  </conditionalFormatting>
  <conditionalFormatting sqref="E77">
    <cfRule type="expression" dxfId="8324" priority="9948">
      <formula>IF(#REF!="FICTICIO",1,0)</formula>
    </cfRule>
  </conditionalFormatting>
  <conditionalFormatting sqref="E77">
    <cfRule type="expression" dxfId="8323" priority="9947">
      <formula>IF(#REF!="FICTICIO",1,0)</formula>
    </cfRule>
  </conditionalFormatting>
  <conditionalFormatting sqref="E77">
    <cfRule type="expression" dxfId="8322" priority="9946">
      <formula>IF(#REF!="FICTICIO",1,0)</formula>
    </cfRule>
  </conditionalFormatting>
  <conditionalFormatting sqref="E77">
    <cfRule type="expression" dxfId="8321" priority="9945">
      <formula>IF(#REF!="FICTICIO",1,0)</formula>
    </cfRule>
  </conditionalFormatting>
  <conditionalFormatting sqref="E77">
    <cfRule type="expression" dxfId="8320" priority="9944">
      <formula>IF(#REF!="FICTICIO",1,0)</formula>
    </cfRule>
  </conditionalFormatting>
  <conditionalFormatting sqref="E77">
    <cfRule type="expression" dxfId="8319" priority="9943">
      <formula>IF(#REF!="FICTICIO",1,0)</formula>
    </cfRule>
  </conditionalFormatting>
  <conditionalFormatting sqref="E77">
    <cfRule type="expression" dxfId="8318" priority="9942">
      <formula>IF(#REF!="FICTICIO",1,0)</formula>
    </cfRule>
  </conditionalFormatting>
  <conditionalFormatting sqref="E77">
    <cfRule type="expression" dxfId="8317" priority="9940">
      <formula>IF(#REF!="FICTICIO",1,0)</formula>
    </cfRule>
  </conditionalFormatting>
  <conditionalFormatting sqref="E77">
    <cfRule type="expression" dxfId="8316" priority="9941">
      <formula>IF(#REF!="FICTICIO",1,0)</formula>
    </cfRule>
  </conditionalFormatting>
  <conditionalFormatting sqref="F77">
    <cfRule type="expression" dxfId="8315" priority="9939">
      <formula>IF(#REF!="FICTICIO",1,0)</formula>
    </cfRule>
  </conditionalFormatting>
  <conditionalFormatting sqref="E77">
    <cfRule type="expression" dxfId="8314" priority="9938">
      <formula>IF(#REF!="FICTICIO",1,0)</formula>
    </cfRule>
  </conditionalFormatting>
  <conditionalFormatting sqref="E77">
    <cfRule type="expression" dxfId="8313" priority="9937">
      <formula>IF(#REF!="FICTICIO",1,0)</formula>
    </cfRule>
  </conditionalFormatting>
  <conditionalFormatting sqref="E77">
    <cfRule type="expression" dxfId="8312" priority="9936">
      <formula>IF(#REF!="FICTICIO",1,0)</formula>
    </cfRule>
  </conditionalFormatting>
  <conditionalFormatting sqref="D77">
    <cfRule type="expression" dxfId="8311" priority="9934">
      <formula>IF(#REF!="FICTICIO",1,0)</formula>
    </cfRule>
  </conditionalFormatting>
  <conditionalFormatting sqref="D77">
    <cfRule type="expression" dxfId="8310" priority="9935">
      <formula>IF(#REF!="FICTICIO",1,0)</formula>
    </cfRule>
  </conditionalFormatting>
  <conditionalFormatting sqref="D77">
    <cfRule type="expression" dxfId="8309" priority="9932">
      <formula>IF(#REF!="FICTICIO",1,0)</formula>
    </cfRule>
  </conditionalFormatting>
  <conditionalFormatting sqref="D77">
    <cfRule type="expression" dxfId="8308" priority="9933">
      <formula>IF(#REF!="FICTICIO",1,0)</formula>
    </cfRule>
  </conditionalFormatting>
  <conditionalFormatting sqref="D77">
    <cfRule type="expression" dxfId="8307" priority="9930">
      <formula>IF(#REF!="FICTICIO",1,0)</formula>
    </cfRule>
  </conditionalFormatting>
  <conditionalFormatting sqref="D77">
    <cfRule type="expression" dxfId="8306" priority="9931">
      <formula>IF(#REF!="FICTICIO",1,0)</formula>
    </cfRule>
  </conditionalFormatting>
  <conditionalFormatting sqref="D77">
    <cfRule type="expression" dxfId="8305" priority="9928">
      <formula>IF(#REF!="FICTICIO",1,0)</formula>
    </cfRule>
  </conditionalFormatting>
  <conditionalFormatting sqref="D77">
    <cfRule type="expression" dxfId="8304" priority="9929">
      <formula>IF(#REF!="FICTICIO",1,0)</formula>
    </cfRule>
  </conditionalFormatting>
  <conditionalFormatting sqref="F78">
    <cfRule type="expression" dxfId="8303" priority="9926">
      <formula>IF(#REF!="FICTICIO",1,0)</formula>
    </cfRule>
  </conditionalFormatting>
  <conditionalFormatting sqref="F78">
    <cfRule type="expression" dxfId="8302" priority="9927">
      <formula>IF(#REF!="FICTICIO",1,0)</formula>
    </cfRule>
  </conditionalFormatting>
  <conditionalFormatting sqref="E78">
    <cfRule type="expression" dxfId="8301" priority="9925">
      <formula>IF(#REF!="FICTICIO",1,0)</formula>
    </cfRule>
  </conditionalFormatting>
  <conditionalFormatting sqref="E78">
    <cfRule type="expression" dxfId="8300" priority="9924">
      <formula>IF(#REF!="FICTICIO",1,0)</formula>
    </cfRule>
  </conditionalFormatting>
  <conditionalFormatting sqref="E78">
    <cfRule type="expression" dxfId="8299" priority="9923">
      <formula>IF(#REF!="FICTICIO",1,0)</formula>
    </cfRule>
  </conditionalFormatting>
  <conditionalFormatting sqref="E78">
    <cfRule type="expression" dxfId="8298" priority="9922">
      <formula>IF(#REF!="FICTICIO",1,0)</formula>
    </cfRule>
  </conditionalFormatting>
  <conditionalFormatting sqref="E78">
    <cfRule type="expression" dxfId="8297" priority="9921">
      <formula>IF(#REF!="FICTICIO",1,0)</formula>
    </cfRule>
  </conditionalFormatting>
  <conditionalFormatting sqref="E78">
    <cfRule type="expression" dxfId="8296" priority="9920">
      <formula>IF(#REF!="FICTICIO",1,0)</formula>
    </cfRule>
  </conditionalFormatting>
  <conditionalFormatting sqref="E78">
    <cfRule type="expression" dxfId="8295" priority="9919">
      <formula>IF(#REF!="FICTICIO",1,0)</formula>
    </cfRule>
  </conditionalFormatting>
  <conditionalFormatting sqref="E78">
    <cfRule type="expression" dxfId="8294" priority="9918">
      <formula>IF(#REF!="FICTICIO",1,0)</formula>
    </cfRule>
  </conditionalFormatting>
  <conditionalFormatting sqref="E78">
    <cfRule type="expression" dxfId="8293" priority="9917">
      <formula>IF(#REF!="FICTICIO",1,0)</formula>
    </cfRule>
  </conditionalFormatting>
  <conditionalFormatting sqref="E78">
    <cfRule type="expression" dxfId="8292" priority="9916">
      <formula>IF(#REF!="FICTICIO",1,0)</formula>
    </cfRule>
  </conditionalFormatting>
  <conditionalFormatting sqref="E78">
    <cfRule type="expression" dxfId="8291" priority="9915">
      <formula>IF(#REF!="FICTICIO",1,0)</formula>
    </cfRule>
  </conditionalFormatting>
  <conditionalFormatting sqref="E78">
    <cfRule type="expression" dxfId="8290" priority="9914">
      <formula>IF(#REF!="FICTICIO",1,0)</formula>
    </cfRule>
  </conditionalFormatting>
  <conditionalFormatting sqref="E78">
    <cfRule type="expression" dxfId="8289" priority="9913">
      <formula>IF(#REF!="FICTICIO",1,0)</formula>
    </cfRule>
  </conditionalFormatting>
  <conditionalFormatting sqref="E78">
    <cfRule type="expression" dxfId="8288" priority="9912">
      <formula>IF(#REF!="FICTICIO",1,0)</formula>
    </cfRule>
  </conditionalFormatting>
  <conditionalFormatting sqref="E78">
    <cfRule type="expression" dxfId="8287" priority="9911">
      <formula>IF(#REF!="FICTICIO",1,0)</formula>
    </cfRule>
  </conditionalFormatting>
  <conditionalFormatting sqref="E78">
    <cfRule type="expression" dxfId="8286" priority="9910">
      <formula>IF(#REF!="FICTICIO",1,0)</formula>
    </cfRule>
  </conditionalFormatting>
  <conditionalFormatting sqref="E78">
    <cfRule type="expression" dxfId="8285" priority="9909">
      <formula>IF(#REF!="FICTICIO",1,0)</formula>
    </cfRule>
  </conditionalFormatting>
  <conditionalFormatting sqref="E78">
    <cfRule type="expression" dxfId="8284" priority="9908">
      <formula>IF(#REF!="FICTICIO",1,0)</formula>
    </cfRule>
  </conditionalFormatting>
  <conditionalFormatting sqref="E78">
    <cfRule type="expression" dxfId="8283" priority="9907">
      <formula>IF(#REF!="FICTICIO",1,0)</formula>
    </cfRule>
  </conditionalFormatting>
  <conditionalFormatting sqref="E78">
    <cfRule type="expression" dxfId="8282" priority="9906">
      <formula>IF(#REF!="FICTICIO",1,0)</formula>
    </cfRule>
  </conditionalFormatting>
  <conditionalFormatting sqref="E78">
    <cfRule type="expression" dxfId="8281" priority="9905">
      <formula>IF(#REF!="FICTICIO",1,0)</formula>
    </cfRule>
  </conditionalFormatting>
  <conditionalFormatting sqref="E78">
    <cfRule type="expression" dxfId="8280" priority="9904">
      <formula>IF(#REF!="FICTICIO",1,0)</formula>
    </cfRule>
  </conditionalFormatting>
  <conditionalFormatting sqref="E78">
    <cfRule type="expression" dxfId="8279" priority="9903">
      <formula>IF(#REF!="FICTICIO",1,0)</formula>
    </cfRule>
  </conditionalFormatting>
  <conditionalFormatting sqref="E78">
    <cfRule type="expression" dxfId="8278" priority="9902">
      <formula>IF(#REF!="FICTICIO",1,0)</formula>
    </cfRule>
  </conditionalFormatting>
  <conditionalFormatting sqref="E78">
    <cfRule type="expression" dxfId="8277" priority="9901">
      <formula>IF(#REF!="FICTICIO",1,0)</formula>
    </cfRule>
  </conditionalFormatting>
  <conditionalFormatting sqref="E78">
    <cfRule type="expression" dxfId="8276" priority="9900">
      <formula>IF(#REF!="FICTICIO",1,0)</formula>
    </cfRule>
  </conditionalFormatting>
  <conditionalFormatting sqref="E78">
    <cfRule type="expression" dxfId="8275" priority="9899">
      <formula>IF(#REF!="FICTICIO",1,0)</formula>
    </cfRule>
  </conditionalFormatting>
  <conditionalFormatting sqref="E78">
    <cfRule type="expression" dxfId="8274" priority="9898">
      <formula>IF(#REF!="FICTICIO",1,0)</formula>
    </cfRule>
  </conditionalFormatting>
  <conditionalFormatting sqref="E78">
    <cfRule type="expression" dxfId="8273" priority="9897">
      <formula>IF(#REF!="FICTICIO",1,0)</formula>
    </cfRule>
  </conditionalFormatting>
  <conditionalFormatting sqref="E78">
    <cfRule type="expression" dxfId="8272" priority="9896">
      <formula>IF(#REF!="FICTICIO",1,0)</formula>
    </cfRule>
  </conditionalFormatting>
  <conditionalFormatting sqref="E78">
    <cfRule type="expression" dxfId="8271" priority="9894">
      <formula>IF(#REF!="FICTICIO",1,0)</formula>
    </cfRule>
  </conditionalFormatting>
  <conditionalFormatting sqref="E78">
    <cfRule type="expression" dxfId="8270" priority="9895">
      <formula>IF(#REF!="FICTICIO",1,0)</formula>
    </cfRule>
  </conditionalFormatting>
  <conditionalFormatting sqref="F78">
    <cfRule type="expression" dxfId="8269" priority="9893">
      <formula>IF(#REF!="FICTICIO",1,0)</formula>
    </cfRule>
  </conditionalFormatting>
  <conditionalFormatting sqref="E78">
    <cfRule type="expression" dxfId="8268" priority="9892">
      <formula>IF(#REF!="FICTICIO",1,0)</formula>
    </cfRule>
  </conditionalFormatting>
  <conditionalFormatting sqref="E78">
    <cfRule type="expression" dxfId="8267" priority="9891">
      <formula>IF(#REF!="FICTICIO",1,0)</formula>
    </cfRule>
  </conditionalFormatting>
  <conditionalFormatting sqref="E78">
    <cfRule type="expression" dxfId="8266" priority="9890">
      <formula>IF(#REF!="FICTICIO",1,0)</formula>
    </cfRule>
  </conditionalFormatting>
  <conditionalFormatting sqref="D82">
    <cfRule type="expression" dxfId="8265" priority="9842">
      <formula>IF(#REF!="FICTICIO",1,0)</formula>
    </cfRule>
  </conditionalFormatting>
  <conditionalFormatting sqref="D82">
    <cfRule type="expression" dxfId="8264" priority="9843">
      <formula>IF(#REF!="FICTICIO",1,0)</formula>
    </cfRule>
  </conditionalFormatting>
  <conditionalFormatting sqref="D82">
    <cfRule type="expression" dxfId="8263" priority="9840">
      <formula>IF(#REF!="FICTICIO",1,0)</formula>
    </cfRule>
  </conditionalFormatting>
  <conditionalFormatting sqref="D82">
    <cfRule type="expression" dxfId="8262" priority="9841">
      <formula>IF(#REF!="FICTICIO",1,0)</formula>
    </cfRule>
  </conditionalFormatting>
  <conditionalFormatting sqref="D82">
    <cfRule type="expression" dxfId="8261" priority="9834">
      <formula>IF(#REF!="FICTICIO",1,0)</formula>
    </cfRule>
  </conditionalFormatting>
  <conditionalFormatting sqref="D82">
    <cfRule type="expression" dxfId="8260" priority="9835">
      <formula>IF(#REF!="FICTICIO",1,0)</formula>
    </cfRule>
  </conditionalFormatting>
  <conditionalFormatting sqref="F82">
    <cfRule type="expression" dxfId="8259" priority="9833">
      <formula>IF(#REF!="FICTICIO",1,0)</formula>
    </cfRule>
  </conditionalFormatting>
  <conditionalFormatting sqref="E101:E108">
    <cfRule type="expression" dxfId="8258" priority="9333">
      <formula>IF(#REF!="FICTICIO",1,0)</formula>
    </cfRule>
  </conditionalFormatting>
  <conditionalFormatting sqref="E101:E108">
    <cfRule type="expression" dxfId="8257" priority="9332">
      <formula>IF(#REF!="FICTICIO",1,0)</formula>
    </cfRule>
  </conditionalFormatting>
  <conditionalFormatting sqref="E101:E108">
    <cfRule type="expression" dxfId="8256" priority="9331">
      <formula>IF(#REF!="FICTICIO",1,0)</formula>
    </cfRule>
  </conditionalFormatting>
  <conditionalFormatting sqref="E101:E108">
    <cfRule type="expression" dxfId="8255" priority="9330">
      <formula>IF(#REF!="FICTICIO",1,0)</formula>
    </cfRule>
  </conditionalFormatting>
  <conditionalFormatting sqref="E101:E108">
    <cfRule type="expression" dxfId="8254" priority="9329">
      <formula>IF(#REF!="FICTICIO",1,0)</formula>
    </cfRule>
  </conditionalFormatting>
  <conditionalFormatting sqref="E101:E108">
    <cfRule type="expression" dxfId="8253" priority="9328">
      <formula>IF(#REF!="FICTICIO",1,0)</formula>
    </cfRule>
  </conditionalFormatting>
  <conditionalFormatting sqref="E101:E108">
    <cfRule type="expression" dxfId="8252" priority="9327">
      <formula>IF(#REF!="FICTICIO",1,0)</formula>
    </cfRule>
  </conditionalFormatting>
  <conditionalFormatting sqref="E101:E108">
    <cfRule type="expression" dxfId="8251" priority="9326">
      <formula>IF(#REF!="FICTICIO",1,0)</formula>
    </cfRule>
  </conditionalFormatting>
  <conditionalFormatting sqref="E101:E108">
    <cfRule type="expression" dxfId="8250" priority="9325">
      <formula>IF(#REF!="FICTICIO",1,0)</formula>
    </cfRule>
  </conditionalFormatting>
  <conditionalFormatting sqref="E101:E108">
    <cfRule type="expression" dxfId="8249" priority="9324">
      <formula>IF(#REF!="FICTICIO",1,0)</formula>
    </cfRule>
  </conditionalFormatting>
  <conditionalFormatting sqref="F102">
    <cfRule type="expression" dxfId="8248" priority="9322">
      <formula>IF(#REF!="FICTICIO",1,0)</formula>
    </cfRule>
  </conditionalFormatting>
  <conditionalFormatting sqref="F102">
    <cfRule type="expression" dxfId="8247" priority="9323">
      <formula>IF(#REF!="FICTICIO",1,0)</formula>
    </cfRule>
  </conditionalFormatting>
  <conditionalFormatting sqref="E104:E107">
    <cfRule type="expression" dxfId="8246" priority="9321">
      <formula>IF(#REF!="FICTICIO",1,0)</formula>
    </cfRule>
  </conditionalFormatting>
  <conditionalFormatting sqref="E104:E107">
    <cfRule type="expression" dxfId="8245" priority="9320">
      <formula>IF(#REF!="FICTICIO",1,0)</formula>
    </cfRule>
  </conditionalFormatting>
  <conditionalFormatting sqref="E104:E107">
    <cfRule type="expression" dxfId="8244" priority="9319">
      <formula>IF(#REF!="FICTICIO",1,0)</formula>
    </cfRule>
  </conditionalFormatting>
  <conditionalFormatting sqref="E104:E107">
    <cfRule type="expression" dxfId="8243" priority="9318">
      <formula>IF(#REF!="FICTICIO",1,0)</formula>
    </cfRule>
  </conditionalFormatting>
  <conditionalFormatting sqref="E104:E107">
    <cfRule type="expression" dxfId="8242" priority="9317">
      <formula>IF(#REF!="FICTICIO",1,0)</formula>
    </cfRule>
  </conditionalFormatting>
  <conditionalFormatting sqref="E104:E107">
    <cfRule type="expression" dxfId="8241" priority="9316">
      <formula>IF(#REF!="FICTICIO",1,0)</formula>
    </cfRule>
  </conditionalFormatting>
  <conditionalFormatting sqref="D101">
    <cfRule type="expression" dxfId="8240" priority="9314">
      <formula>IF(#REF!="FICTICIO",1,0)</formula>
    </cfRule>
  </conditionalFormatting>
  <conditionalFormatting sqref="D101">
    <cfRule type="expression" dxfId="8239" priority="9315">
      <formula>IF(#REF!="FICTICIO",1,0)</formula>
    </cfRule>
  </conditionalFormatting>
  <conditionalFormatting sqref="D101">
    <cfRule type="expression" dxfId="8238" priority="9312">
      <formula>IF(#REF!="FICTICIO",1,0)</formula>
    </cfRule>
  </conditionalFormatting>
  <conditionalFormatting sqref="D101">
    <cfRule type="expression" dxfId="8237" priority="9313">
      <formula>IF(#REF!="FICTICIO",1,0)</formula>
    </cfRule>
  </conditionalFormatting>
  <conditionalFormatting sqref="E104:E107">
    <cfRule type="expression" dxfId="8236" priority="9309">
      <formula>IF(#REF!="FICTICIO",1,0)</formula>
    </cfRule>
  </conditionalFormatting>
  <conditionalFormatting sqref="E104:E107">
    <cfRule type="expression" dxfId="8235" priority="9308">
      <formula>IF(#REF!="FICTICIO",1,0)</formula>
    </cfRule>
  </conditionalFormatting>
  <conditionalFormatting sqref="E104:E107">
    <cfRule type="expression" dxfId="8234" priority="9307">
      <formula>IF(#REF!="FICTICIO",1,0)</formula>
    </cfRule>
  </conditionalFormatting>
  <conditionalFormatting sqref="E104:E107">
    <cfRule type="expression" dxfId="8233" priority="9306">
      <formula>IF(#REF!="FICTICIO",1,0)</formula>
    </cfRule>
  </conditionalFormatting>
  <conditionalFormatting sqref="F104">
    <cfRule type="expression" dxfId="8232" priority="9303">
      <formula>IF(#REF!="FICTICIO",1,0)</formula>
    </cfRule>
  </conditionalFormatting>
  <conditionalFormatting sqref="E104">
    <cfRule type="expression" dxfId="8231" priority="9302">
      <formula>IF(#REF!="FICTICIO",1,0)</formula>
    </cfRule>
  </conditionalFormatting>
  <conditionalFormatting sqref="E104">
    <cfRule type="expression" dxfId="8230" priority="9301">
      <formula>IF(#REF!="FICTICIO",1,0)</formula>
    </cfRule>
  </conditionalFormatting>
  <conditionalFormatting sqref="E104">
    <cfRule type="expression" dxfId="8229" priority="9300">
      <formula>IF(#REF!="FICTICIO",1,0)</formula>
    </cfRule>
  </conditionalFormatting>
  <conditionalFormatting sqref="E104">
    <cfRule type="expression" dxfId="8228" priority="9299">
      <formula>IF(#REF!="FICTICIO",1,0)</formula>
    </cfRule>
  </conditionalFormatting>
  <conditionalFormatting sqref="E104">
    <cfRule type="expression" dxfId="8227" priority="9298">
      <formula>IF(#REF!="FICTICIO",1,0)</formula>
    </cfRule>
  </conditionalFormatting>
  <conditionalFormatting sqref="E104">
    <cfRule type="expression" dxfId="8226" priority="9296">
      <formula>IF(#REF!="FICTICIO",1,0)</formula>
    </cfRule>
  </conditionalFormatting>
  <conditionalFormatting sqref="E104">
    <cfRule type="expression" dxfId="8225" priority="9297">
      <formula>IF(#REF!="FICTICIO",1,0)</formula>
    </cfRule>
  </conditionalFormatting>
  <conditionalFormatting sqref="E105:E107">
    <cfRule type="expression" dxfId="8224" priority="9293">
      <formula>IF(#REF!="FICTICIO",1,0)</formula>
    </cfRule>
  </conditionalFormatting>
  <conditionalFormatting sqref="E105:E107">
    <cfRule type="expression" dxfId="8223" priority="9292">
      <formula>IF(#REF!="FICTICIO",1,0)</formula>
    </cfRule>
  </conditionalFormatting>
  <conditionalFormatting sqref="E105:E107">
    <cfRule type="expression" dxfId="8222" priority="9291">
      <formula>IF(#REF!="FICTICIO",1,0)</formula>
    </cfRule>
  </conditionalFormatting>
  <conditionalFormatting sqref="E105:E107">
    <cfRule type="expression" dxfId="8221" priority="9290">
      <formula>IF(#REF!="FICTICIO",1,0)</formula>
    </cfRule>
  </conditionalFormatting>
  <conditionalFormatting sqref="E105:E107">
    <cfRule type="expression" dxfId="8220" priority="9289">
      <formula>IF(#REF!="FICTICIO",1,0)</formula>
    </cfRule>
  </conditionalFormatting>
  <conditionalFormatting sqref="E105:E107">
    <cfRule type="expression" dxfId="8219" priority="9287">
      <formula>IF(#REF!="FICTICIO",1,0)</formula>
    </cfRule>
  </conditionalFormatting>
  <conditionalFormatting sqref="E105:E107">
    <cfRule type="expression" dxfId="8218" priority="9288">
      <formula>IF(#REF!="FICTICIO",1,0)</formula>
    </cfRule>
  </conditionalFormatting>
  <conditionalFormatting sqref="F105:F107">
    <cfRule type="expression" dxfId="8217" priority="9286">
      <formula>IF(#REF!="FICTICIO",1,0)</formula>
    </cfRule>
  </conditionalFormatting>
  <conditionalFormatting sqref="E104:E107">
    <cfRule type="expression" dxfId="8216" priority="9281">
      <formula>IF(#REF!="FICTICIO",1,0)</formula>
    </cfRule>
  </conditionalFormatting>
  <conditionalFormatting sqref="E104:E107">
    <cfRule type="expression" dxfId="8215" priority="9280">
      <formula>IF(#REF!="FICTICIO",1,0)</formula>
    </cfRule>
  </conditionalFormatting>
  <conditionalFormatting sqref="E104:E107">
    <cfRule type="expression" dxfId="8214" priority="9279">
      <formula>IF(#REF!="FICTICIO",1,0)</formula>
    </cfRule>
  </conditionalFormatting>
  <conditionalFormatting sqref="E101">
    <cfRule type="expression" dxfId="8213" priority="9278">
      <formula>IF(#REF!="FICTICIO",1,0)</formula>
    </cfRule>
  </conditionalFormatting>
  <conditionalFormatting sqref="E101">
    <cfRule type="expression" dxfId="8212" priority="9277">
      <formula>IF(#REF!="FICTICIO",1,0)</formula>
    </cfRule>
  </conditionalFormatting>
  <conditionalFormatting sqref="E101">
    <cfRule type="expression" dxfId="8211" priority="9276">
      <formula>IF(#REF!="FICTICIO",1,0)</formula>
    </cfRule>
  </conditionalFormatting>
  <conditionalFormatting sqref="E102">
    <cfRule type="expression" dxfId="8210" priority="9275">
      <formula>IF(#REF!="FICTICIO",1,0)</formula>
    </cfRule>
  </conditionalFormatting>
  <conditionalFormatting sqref="E102">
    <cfRule type="expression" dxfId="8209" priority="9274">
      <formula>IF(#REF!="FICTICIO",1,0)</formula>
    </cfRule>
  </conditionalFormatting>
  <conditionalFormatting sqref="E102">
    <cfRule type="expression" dxfId="8208" priority="9273">
      <formula>IF(#REF!="FICTICIO",1,0)</formula>
    </cfRule>
  </conditionalFormatting>
  <conditionalFormatting sqref="E107">
    <cfRule type="expression" dxfId="8207" priority="9259">
      <formula>IF(#REF!="FICTICIO",1,0)</formula>
    </cfRule>
  </conditionalFormatting>
  <conditionalFormatting sqref="E107">
    <cfRule type="expression" dxfId="8206" priority="9258">
      <formula>IF(#REF!="FICTICIO",1,0)</formula>
    </cfRule>
  </conditionalFormatting>
  <conditionalFormatting sqref="E107">
    <cfRule type="expression" dxfId="8205" priority="9257">
      <formula>IF(#REF!="FICTICIO",1,0)</formula>
    </cfRule>
  </conditionalFormatting>
  <conditionalFormatting sqref="E107">
    <cfRule type="expression" dxfId="8204" priority="9256">
      <formula>IF(#REF!="FICTICIO",1,0)</formula>
    </cfRule>
  </conditionalFormatting>
  <conditionalFormatting sqref="E107">
    <cfRule type="expression" dxfId="8203" priority="9255">
      <formula>IF(#REF!="FICTICIO",1,0)</formula>
    </cfRule>
  </conditionalFormatting>
  <conditionalFormatting sqref="E107">
    <cfRule type="expression" dxfId="8202" priority="9254">
      <formula>IF(#REF!="FICTICIO",1,0)</formula>
    </cfRule>
  </conditionalFormatting>
  <conditionalFormatting sqref="E107">
    <cfRule type="expression" dxfId="8201" priority="9253">
      <formula>IF(#REF!="FICTICIO",1,0)</formula>
    </cfRule>
  </conditionalFormatting>
  <conditionalFormatting sqref="E107">
    <cfRule type="expression" dxfId="8200" priority="9252">
      <formula>IF(#REF!="FICTICIO",1,0)</formula>
    </cfRule>
  </conditionalFormatting>
  <conditionalFormatting sqref="E107">
    <cfRule type="expression" dxfId="8199" priority="9251">
      <formula>IF(#REF!="FICTICIO",1,0)</formula>
    </cfRule>
  </conditionalFormatting>
  <conditionalFormatting sqref="E107">
    <cfRule type="expression" dxfId="8198" priority="9250">
      <formula>IF(#REF!="FICTICIO",1,0)</formula>
    </cfRule>
  </conditionalFormatting>
  <conditionalFormatting sqref="E107">
    <cfRule type="expression" dxfId="8197" priority="9249">
      <formula>IF(#REF!="FICTICIO",1,0)</formula>
    </cfRule>
  </conditionalFormatting>
  <conditionalFormatting sqref="E107">
    <cfRule type="expression" dxfId="8196" priority="9248">
      <formula>IF(#REF!="FICTICIO",1,0)</formula>
    </cfRule>
  </conditionalFormatting>
  <conditionalFormatting sqref="E107">
    <cfRule type="expression" dxfId="8195" priority="9247">
      <formula>IF(#REF!="FICTICIO",1,0)</formula>
    </cfRule>
  </conditionalFormatting>
  <conditionalFormatting sqref="E107">
    <cfRule type="expression" dxfId="8194" priority="9246">
      <formula>IF(#REF!="FICTICIO",1,0)</formula>
    </cfRule>
  </conditionalFormatting>
  <conditionalFormatting sqref="E107">
    <cfRule type="expression" dxfId="8193" priority="9245">
      <formula>IF(#REF!="FICTICIO",1,0)</formula>
    </cfRule>
  </conditionalFormatting>
  <conditionalFormatting sqref="E107">
    <cfRule type="expression" dxfId="8192" priority="9243">
      <formula>IF(#REF!="FICTICIO",1,0)</formula>
    </cfRule>
  </conditionalFormatting>
  <conditionalFormatting sqref="E107">
    <cfRule type="expression" dxfId="8191" priority="9244">
      <formula>IF(#REF!="FICTICIO",1,0)</formula>
    </cfRule>
  </conditionalFormatting>
  <conditionalFormatting sqref="F107">
    <cfRule type="expression" dxfId="8190" priority="9242">
      <formula>IF(#REF!="FICTICIO",1,0)</formula>
    </cfRule>
  </conditionalFormatting>
  <conditionalFormatting sqref="E107">
    <cfRule type="expression" dxfId="8189" priority="9241">
      <formula>IF(#REF!="FICTICIO",1,0)</formula>
    </cfRule>
  </conditionalFormatting>
  <conditionalFormatting sqref="E107">
    <cfRule type="expression" dxfId="8188" priority="9240">
      <formula>IF(#REF!="FICTICIO",1,0)</formula>
    </cfRule>
  </conditionalFormatting>
  <conditionalFormatting sqref="E107">
    <cfRule type="expression" dxfId="8187" priority="9239">
      <formula>IF(#REF!="FICTICIO",1,0)</formula>
    </cfRule>
  </conditionalFormatting>
  <conditionalFormatting sqref="E101:E108">
    <cfRule type="expression" dxfId="8186" priority="9238">
      <formula>IF(#REF!="FICTICIO",1,0)</formula>
    </cfRule>
  </conditionalFormatting>
  <conditionalFormatting sqref="E101:E108">
    <cfRule type="expression" dxfId="8185" priority="9237">
      <formula>IF(#REF!="FICTICIO",1,0)</formula>
    </cfRule>
  </conditionalFormatting>
  <conditionalFormatting sqref="E101:E108">
    <cfRule type="expression" dxfId="8184" priority="9236">
      <formula>IF(#REF!="FICTICIO",1,0)</formula>
    </cfRule>
  </conditionalFormatting>
  <conditionalFormatting sqref="E107">
    <cfRule type="expression" dxfId="8183" priority="9227">
      <formula>IF(#REF!="FICTICIO",1,0)</formula>
    </cfRule>
  </conditionalFormatting>
  <conditionalFormatting sqref="E107">
    <cfRule type="expression" dxfId="8182" priority="9226">
      <formula>IF(#REF!="FICTICIO",1,0)</formula>
    </cfRule>
  </conditionalFormatting>
  <conditionalFormatting sqref="E107">
    <cfRule type="expression" dxfId="8181" priority="9225">
      <formula>IF(#REF!="FICTICIO",1,0)</formula>
    </cfRule>
  </conditionalFormatting>
  <conditionalFormatting sqref="E107">
    <cfRule type="expression" dxfId="8180" priority="9224">
      <formula>IF(#REF!="FICTICIO",1,0)</formula>
    </cfRule>
  </conditionalFormatting>
  <conditionalFormatting sqref="E107">
    <cfRule type="expression" dxfId="8179" priority="9223">
      <formula>IF(#REF!="FICTICIO",1,0)</formula>
    </cfRule>
  </conditionalFormatting>
  <conditionalFormatting sqref="E107">
    <cfRule type="expression" dxfId="8178" priority="9222">
      <formula>IF(#REF!="FICTICIO",1,0)</formula>
    </cfRule>
  </conditionalFormatting>
  <conditionalFormatting sqref="E107">
    <cfRule type="expression" dxfId="8177" priority="9217">
      <formula>IF(#REF!="FICTICIO",1,0)</formula>
    </cfRule>
  </conditionalFormatting>
  <conditionalFormatting sqref="E107">
    <cfRule type="expression" dxfId="8176" priority="9216">
      <formula>IF(#REF!="FICTICIO",1,0)</formula>
    </cfRule>
  </conditionalFormatting>
  <conditionalFormatting sqref="E107">
    <cfRule type="expression" dxfId="8175" priority="9215">
      <formula>IF(#REF!="FICTICIO",1,0)</formula>
    </cfRule>
  </conditionalFormatting>
  <conditionalFormatting sqref="E107">
    <cfRule type="expression" dxfId="8174" priority="9214">
      <formula>IF(#REF!="FICTICIO",1,0)</formula>
    </cfRule>
  </conditionalFormatting>
  <conditionalFormatting sqref="E107">
    <cfRule type="expression" dxfId="8173" priority="9209">
      <formula>IF(#REF!="FICTICIO",1,0)</formula>
    </cfRule>
  </conditionalFormatting>
  <conditionalFormatting sqref="E107">
    <cfRule type="expression" dxfId="8172" priority="9208">
      <formula>IF(#REF!="FICTICIO",1,0)</formula>
    </cfRule>
  </conditionalFormatting>
  <conditionalFormatting sqref="E107">
    <cfRule type="expression" dxfId="8171" priority="9207">
      <formula>IF(#REF!="FICTICIO",1,0)</formula>
    </cfRule>
  </conditionalFormatting>
  <conditionalFormatting sqref="E107">
    <cfRule type="expression" dxfId="8170" priority="9206">
      <formula>IF(#REF!="FICTICIO",1,0)</formula>
    </cfRule>
  </conditionalFormatting>
  <conditionalFormatting sqref="E107">
    <cfRule type="expression" dxfId="8169" priority="9205">
      <formula>IF(#REF!="FICTICIO",1,0)</formula>
    </cfRule>
  </conditionalFormatting>
  <conditionalFormatting sqref="E107">
    <cfRule type="expression" dxfId="8168" priority="9203">
      <formula>IF(#REF!="FICTICIO",1,0)</formula>
    </cfRule>
  </conditionalFormatting>
  <conditionalFormatting sqref="E107">
    <cfRule type="expression" dxfId="8167" priority="9204">
      <formula>IF(#REF!="FICTICIO",1,0)</formula>
    </cfRule>
  </conditionalFormatting>
  <conditionalFormatting sqref="F107">
    <cfRule type="expression" dxfId="8166" priority="9202">
      <formula>IF(#REF!="FICTICIO",1,0)</formula>
    </cfRule>
  </conditionalFormatting>
  <conditionalFormatting sqref="E107">
    <cfRule type="expression" dxfId="8165" priority="9201">
      <formula>IF(#REF!="FICTICIO",1,0)</formula>
    </cfRule>
  </conditionalFormatting>
  <conditionalFormatting sqref="E107">
    <cfRule type="expression" dxfId="8164" priority="9200">
      <formula>IF(#REF!="FICTICIO",1,0)</formula>
    </cfRule>
  </conditionalFormatting>
  <conditionalFormatting sqref="E107">
    <cfRule type="expression" dxfId="8163" priority="9199">
      <formula>IF(#REF!="FICTICIO",1,0)</formula>
    </cfRule>
  </conditionalFormatting>
  <conditionalFormatting sqref="E102:E108">
    <cfRule type="expression" dxfId="8162" priority="9198">
      <formula>IF(#REF!="FICTICIO",1,0)</formula>
    </cfRule>
  </conditionalFormatting>
  <conditionalFormatting sqref="E102:E108">
    <cfRule type="expression" dxfId="8161" priority="9197">
      <formula>IF(#REF!="FICTICIO",1,0)</formula>
    </cfRule>
  </conditionalFormatting>
  <conditionalFormatting sqref="E102:E108">
    <cfRule type="expression" dxfId="8160" priority="9196">
      <formula>IF(#REF!="FICTICIO",1,0)</formula>
    </cfRule>
  </conditionalFormatting>
  <conditionalFormatting sqref="D102:D108">
    <cfRule type="expression" dxfId="8159" priority="9194">
      <formula>IF(#REF!="FICTICIO",1,0)</formula>
    </cfRule>
  </conditionalFormatting>
  <conditionalFormatting sqref="D102:D108">
    <cfRule type="expression" dxfId="8158" priority="9195">
      <formula>IF(#REF!="FICTICIO",1,0)</formula>
    </cfRule>
  </conditionalFormatting>
  <conditionalFormatting sqref="D102:D108">
    <cfRule type="expression" dxfId="8157" priority="9192">
      <formula>IF(#REF!="FICTICIO",1,0)</formula>
    </cfRule>
  </conditionalFormatting>
  <conditionalFormatting sqref="D102:D108">
    <cfRule type="expression" dxfId="8156" priority="9193">
      <formula>IF(#REF!="FICTICIO",1,0)</formula>
    </cfRule>
  </conditionalFormatting>
  <conditionalFormatting sqref="E108">
    <cfRule type="expression" dxfId="8155" priority="9149">
      <formula>IF(#REF!="FICTICIO",1,0)</formula>
    </cfRule>
  </conditionalFormatting>
  <conditionalFormatting sqref="E108">
    <cfRule type="expression" dxfId="8154" priority="9148">
      <formula>IF(#REF!="FICTICIO",1,0)</formula>
    </cfRule>
  </conditionalFormatting>
  <conditionalFormatting sqref="E108">
    <cfRule type="expression" dxfId="8153" priority="9147">
      <formula>IF(#REF!="FICTICIO",1,0)</formula>
    </cfRule>
  </conditionalFormatting>
  <conditionalFormatting sqref="E108">
    <cfRule type="expression" dxfId="8152" priority="9146">
      <formula>IF(#REF!="FICTICIO",1,0)</formula>
    </cfRule>
  </conditionalFormatting>
  <conditionalFormatting sqref="E108">
    <cfRule type="expression" dxfId="8151" priority="9145">
      <formula>IF(#REF!="FICTICIO",1,0)</formula>
    </cfRule>
  </conditionalFormatting>
  <conditionalFormatting sqref="E108">
    <cfRule type="expression" dxfId="8150" priority="9144">
      <formula>IF(#REF!="FICTICIO",1,0)</formula>
    </cfRule>
  </conditionalFormatting>
  <conditionalFormatting sqref="E108">
    <cfRule type="expression" dxfId="8149" priority="9143">
      <formula>IF(#REF!="FICTICIO",1,0)</formula>
    </cfRule>
  </conditionalFormatting>
  <conditionalFormatting sqref="E108">
    <cfRule type="expression" dxfId="8148" priority="9142">
      <formula>IF(#REF!="FICTICIO",1,0)</formula>
    </cfRule>
  </conditionalFormatting>
  <conditionalFormatting sqref="E108">
    <cfRule type="expression" dxfId="8147" priority="9141">
      <formula>IF(#REF!="FICTICIO",1,0)</formula>
    </cfRule>
  </conditionalFormatting>
  <conditionalFormatting sqref="E108">
    <cfRule type="expression" dxfId="8146" priority="9140">
      <formula>IF(#REF!="FICTICIO",1,0)</formula>
    </cfRule>
  </conditionalFormatting>
  <conditionalFormatting sqref="E108">
    <cfRule type="expression" dxfId="8145" priority="9139">
      <formula>IF(#REF!="FICTICIO",1,0)</formula>
    </cfRule>
  </conditionalFormatting>
  <conditionalFormatting sqref="E108">
    <cfRule type="expression" dxfId="8144" priority="9138">
      <formula>IF(#REF!="FICTICIO",1,0)</formula>
    </cfRule>
  </conditionalFormatting>
  <conditionalFormatting sqref="E108">
    <cfRule type="expression" dxfId="8143" priority="9137">
      <formula>IF(#REF!="FICTICIO",1,0)</formula>
    </cfRule>
  </conditionalFormatting>
  <conditionalFormatting sqref="E108">
    <cfRule type="expression" dxfId="8142" priority="9136">
      <formula>IF(#REF!="FICTICIO",1,0)</formula>
    </cfRule>
  </conditionalFormatting>
  <conditionalFormatting sqref="E108">
    <cfRule type="expression" dxfId="8141" priority="9135">
      <formula>IF(#REF!="FICTICIO",1,0)</formula>
    </cfRule>
  </conditionalFormatting>
  <conditionalFormatting sqref="E108">
    <cfRule type="expression" dxfId="8140" priority="9134">
      <formula>IF(#REF!="FICTICIO",1,0)</formula>
    </cfRule>
  </conditionalFormatting>
  <conditionalFormatting sqref="E108">
    <cfRule type="expression" dxfId="8139" priority="9133">
      <formula>IF(#REF!="FICTICIO",1,0)</formula>
    </cfRule>
  </conditionalFormatting>
  <conditionalFormatting sqref="E108">
    <cfRule type="expression" dxfId="8138" priority="9132">
      <formula>IF(#REF!="FICTICIO",1,0)</formula>
    </cfRule>
  </conditionalFormatting>
  <conditionalFormatting sqref="E108">
    <cfRule type="expression" dxfId="8137" priority="9131">
      <formula>IF(#REF!="FICTICIO",1,0)</formula>
    </cfRule>
  </conditionalFormatting>
  <conditionalFormatting sqref="E108">
    <cfRule type="expression" dxfId="8136" priority="9130">
      <formula>IF(#REF!="FICTICIO",1,0)</formula>
    </cfRule>
  </conditionalFormatting>
  <conditionalFormatting sqref="E108">
    <cfRule type="expression" dxfId="8135" priority="9129">
      <formula>IF(#REF!="FICTICIO",1,0)</formula>
    </cfRule>
  </conditionalFormatting>
  <conditionalFormatting sqref="E108">
    <cfRule type="expression" dxfId="8134" priority="9128">
      <formula>IF(#REF!="FICTICIO",1,0)</formula>
    </cfRule>
  </conditionalFormatting>
  <conditionalFormatting sqref="E108">
    <cfRule type="expression" dxfId="8133" priority="9127">
      <formula>IF(#REF!="FICTICIO",1,0)</formula>
    </cfRule>
  </conditionalFormatting>
  <conditionalFormatting sqref="E108">
    <cfRule type="expression" dxfId="8132" priority="9126">
      <formula>IF(#REF!="FICTICIO",1,0)</formula>
    </cfRule>
  </conditionalFormatting>
  <conditionalFormatting sqref="E108">
    <cfRule type="expression" dxfId="8131" priority="9125">
      <formula>IF(#REF!="FICTICIO",1,0)</formula>
    </cfRule>
  </conditionalFormatting>
  <conditionalFormatting sqref="E108">
    <cfRule type="expression" dxfId="8130" priority="9123">
      <formula>IF(#REF!="FICTICIO",1,0)</formula>
    </cfRule>
  </conditionalFormatting>
  <conditionalFormatting sqref="E108">
    <cfRule type="expression" dxfId="8129" priority="9124">
      <formula>IF(#REF!="FICTICIO",1,0)</formula>
    </cfRule>
  </conditionalFormatting>
  <conditionalFormatting sqref="E108">
    <cfRule type="expression" dxfId="8128" priority="9122">
      <formula>IF(#REF!="FICTICIO",1,0)</formula>
    </cfRule>
  </conditionalFormatting>
  <conditionalFormatting sqref="E108">
    <cfRule type="expression" dxfId="8127" priority="9121">
      <formula>IF(#REF!="FICTICIO",1,0)</formula>
    </cfRule>
  </conditionalFormatting>
  <conditionalFormatting sqref="E108">
    <cfRule type="expression" dxfId="8126" priority="9120">
      <formula>IF(#REF!="FICTICIO",1,0)</formula>
    </cfRule>
  </conditionalFormatting>
  <conditionalFormatting sqref="E108">
    <cfRule type="expression" dxfId="8125" priority="9119">
      <formula>IF(#REF!="FICTICIO",1,0)</formula>
    </cfRule>
  </conditionalFormatting>
  <conditionalFormatting sqref="E108">
    <cfRule type="expression" dxfId="8124" priority="9118">
      <formula>IF(#REF!="FICTICIO",1,0)</formula>
    </cfRule>
  </conditionalFormatting>
  <conditionalFormatting sqref="E108">
    <cfRule type="expression" dxfId="8123" priority="9117">
      <formula>IF(#REF!="FICTICIO",1,0)</formula>
    </cfRule>
  </conditionalFormatting>
  <conditionalFormatting sqref="E108">
    <cfRule type="expression" dxfId="8122" priority="9116">
      <formula>IF(#REF!="FICTICIO",1,0)</formula>
    </cfRule>
  </conditionalFormatting>
  <conditionalFormatting sqref="E108">
    <cfRule type="expression" dxfId="8121" priority="9115">
      <formula>IF(#REF!="FICTICIO",1,0)</formula>
    </cfRule>
  </conditionalFormatting>
  <conditionalFormatting sqref="E108">
    <cfRule type="expression" dxfId="8120" priority="9114">
      <formula>IF(#REF!="FICTICIO",1,0)</formula>
    </cfRule>
  </conditionalFormatting>
  <conditionalFormatting sqref="E108">
    <cfRule type="expression" dxfId="8119" priority="9113">
      <formula>IF(#REF!="FICTICIO",1,0)</formula>
    </cfRule>
  </conditionalFormatting>
  <conditionalFormatting sqref="E108">
    <cfRule type="expression" dxfId="8118" priority="9112">
      <formula>IF(#REF!="FICTICIO",1,0)</formula>
    </cfRule>
  </conditionalFormatting>
  <conditionalFormatting sqref="E108">
    <cfRule type="expression" dxfId="8117" priority="9111">
      <formula>IF(#REF!="FICTICIO",1,0)</formula>
    </cfRule>
  </conditionalFormatting>
  <conditionalFormatting sqref="E108">
    <cfRule type="expression" dxfId="8116" priority="9110">
      <formula>IF(#REF!="FICTICIO",1,0)</formula>
    </cfRule>
  </conditionalFormatting>
  <conditionalFormatting sqref="E108">
    <cfRule type="expression" dxfId="8115" priority="9109">
      <formula>IF(#REF!="FICTICIO",1,0)</formula>
    </cfRule>
  </conditionalFormatting>
  <conditionalFormatting sqref="E108">
    <cfRule type="expression" dxfId="8114" priority="9108">
      <formula>IF(#REF!="FICTICIO",1,0)</formula>
    </cfRule>
  </conditionalFormatting>
  <conditionalFormatting sqref="E108">
    <cfRule type="expression" dxfId="8113" priority="9107">
      <formula>IF(#REF!="FICTICIO",1,0)</formula>
    </cfRule>
  </conditionalFormatting>
  <conditionalFormatting sqref="E108">
    <cfRule type="expression" dxfId="8112" priority="9106">
      <formula>IF(#REF!="FICTICIO",1,0)</formula>
    </cfRule>
  </conditionalFormatting>
  <conditionalFormatting sqref="E108">
    <cfRule type="expression" dxfId="8111" priority="9105">
      <formula>IF(#REF!="FICTICIO",1,0)</formula>
    </cfRule>
  </conditionalFormatting>
  <conditionalFormatting sqref="E108">
    <cfRule type="expression" dxfId="8110" priority="9104">
      <formula>IF(#REF!="FICTICIO",1,0)</formula>
    </cfRule>
  </conditionalFormatting>
  <conditionalFormatting sqref="E108">
    <cfRule type="expression" dxfId="8109" priority="9103">
      <formula>IF(#REF!="FICTICIO",1,0)</formula>
    </cfRule>
  </conditionalFormatting>
  <conditionalFormatting sqref="E108">
    <cfRule type="expression" dxfId="8108" priority="9102">
      <formula>IF(#REF!="FICTICIO",1,0)</formula>
    </cfRule>
  </conditionalFormatting>
  <conditionalFormatting sqref="E108">
    <cfRule type="expression" dxfId="8107" priority="9100">
      <formula>IF(#REF!="FICTICIO",1,0)</formula>
    </cfRule>
  </conditionalFormatting>
  <conditionalFormatting sqref="E108">
    <cfRule type="expression" dxfId="8106" priority="9101">
      <formula>IF(#REF!="FICTICIO",1,0)</formula>
    </cfRule>
  </conditionalFormatting>
  <conditionalFormatting sqref="E108">
    <cfRule type="expression" dxfId="8105" priority="9099">
      <formula>IF(#REF!="FICTICIO",1,0)</formula>
    </cfRule>
  </conditionalFormatting>
  <conditionalFormatting sqref="E108">
    <cfRule type="expression" dxfId="8104" priority="9098">
      <formula>IF(#REF!="FICTICIO",1,0)</formula>
    </cfRule>
  </conditionalFormatting>
  <conditionalFormatting sqref="E108">
    <cfRule type="expression" dxfId="8103" priority="9097">
      <formula>IF(#REF!="FICTICIO",1,0)</formula>
    </cfRule>
  </conditionalFormatting>
  <conditionalFormatting sqref="E108">
    <cfRule type="expression" dxfId="8102" priority="9096">
      <formula>IF(#REF!="FICTICIO",1,0)</formula>
    </cfRule>
  </conditionalFormatting>
  <conditionalFormatting sqref="E108">
    <cfRule type="expression" dxfId="8101" priority="9095">
      <formula>IF(#REF!="FICTICIO",1,0)</formula>
    </cfRule>
  </conditionalFormatting>
  <conditionalFormatting sqref="E108">
    <cfRule type="expression" dxfId="8100" priority="9094">
      <formula>IF(#REF!="FICTICIO",1,0)</formula>
    </cfRule>
  </conditionalFormatting>
  <conditionalFormatting sqref="E116">
    <cfRule type="expression" dxfId="8099" priority="8969">
      <formula>IF(#REF!="FICTICIO",1,0)</formula>
    </cfRule>
  </conditionalFormatting>
  <conditionalFormatting sqref="E116">
    <cfRule type="expression" dxfId="8098" priority="8968">
      <formula>IF(#REF!="FICTICIO",1,0)</formula>
    </cfRule>
  </conditionalFormatting>
  <conditionalFormatting sqref="E116">
    <cfRule type="expression" dxfId="8097" priority="8967">
      <formula>IF(#REF!="FICTICIO",1,0)</formula>
    </cfRule>
  </conditionalFormatting>
  <conditionalFormatting sqref="E116">
    <cfRule type="expression" dxfId="8096" priority="8966">
      <formula>IF(#REF!="FICTICIO",1,0)</formula>
    </cfRule>
  </conditionalFormatting>
  <conditionalFormatting sqref="E116">
    <cfRule type="expression" dxfId="8095" priority="8964">
      <formula>IF(#REF!="FICTICIO",1,0)</formula>
    </cfRule>
  </conditionalFormatting>
  <conditionalFormatting sqref="E116">
    <cfRule type="expression" dxfId="8094" priority="8965">
      <formula>IF(#REF!="FICTICIO",1,0)</formula>
    </cfRule>
  </conditionalFormatting>
  <conditionalFormatting sqref="E116">
    <cfRule type="expression" dxfId="8093" priority="8963">
      <formula>IF(#REF!="FICTICIO",1,0)</formula>
    </cfRule>
  </conditionalFormatting>
  <conditionalFormatting sqref="E116">
    <cfRule type="expression" dxfId="8092" priority="8962">
      <formula>IF(#REF!="FICTICIO",1,0)</formula>
    </cfRule>
  </conditionalFormatting>
  <conditionalFormatting sqref="E116">
    <cfRule type="expression" dxfId="8091" priority="8961">
      <formula>IF(#REF!="FICTICIO",1,0)</formula>
    </cfRule>
  </conditionalFormatting>
  <conditionalFormatting sqref="E116">
    <cfRule type="expression" dxfId="8090" priority="8960">
      <formula>IF(#REF!="FICTICIO",1,0)</formula>
    </cfRule>
  </conditionalFormatting>
  <conditionalFormatting sqref="E116">
    <cfRule type="expression" dxfId="8089" priority="8959">
      <formula>IF(#REF!="FICTICIO",1,0)</formula>
    </cfRule>
  </conditionalFormatting>
  <conditionalFormatting sqref="E116">
    <cfRule type="expression" dxfId="8088" priority="8958">
      <formula>IF(#REF!="FICTICIO",1,0)</formula>
    </cfRule>
  </conditionalFormatting>
  <conditionalFormatting sqref="E116">
    <cfRule type="expression" dxfId="8087" priority="8957">
      <formula>IF(#REF!="FICTICIO",1,0)</formula>
    </cfRule>
  </conditionalFormatting>
  <conditionalFormatting sqref="E116">
    <cfRule type="expression" dxfId="8086" priority="8956">
      <formula>IF(#REF!="FICTICIO",1,0)</formula>
    </cfRule>
  </conditionalFormatting>
  <conditionalFormatting sqref="E116">
    <cfRule type="expression" dxfId="8085" priority="8955">
      <formula>IF(#REF!="FICTICIO",1,0)</formula>
    </cfRule>
  </conditionalFormatting>
  <conditionalFormatting sqref="E116">
    <cfRule type="expression" dxfId="8084" priority="8954">
      <formula>IF(#REF!="FICTICIO",1,0)</formula>
    </cfRule>
  </conditionalFormatting>
  <conditionalFormatting sqref="E116">
    <cfRule type="expression" dxfId="8083" priority="8953">
      <formula>IF(#REF!="FICTICIO",1,0)</formula>
    </cfRule>
  </conditionalFormatting>
  <conditionalFormatting sqref="E116">
    <cfRule type="expression" dxfId="8082" priority="8952">
      <formula>IF(#REF!="FICTICIO",1,0)</formula>
    </cfRule>
  </conditionalFormatting>
  <conditionalFormatting sqref="E116">
    <cfRule type="expression" dxfId="8081" priority="8951">
      <formula>IF(#REF!="FICTICIO",1,0)</formula>
    </cfRule>
  </conditionalFormatting>
  <conditionalFormatting sqref="E116">
    <cfRule type="expression" dxfId="8080" priority="8950">
      <formula>IF(#REF!="FICTICIO",1,0)</formula>
    </cfRule>
  </conditionalFormatting>
  <conditionalFormatting sqref="E116">
    <cfRule type="expression" dxfId="8079" priority="8949">
      <formula>IF(#REF!="FICTICIO",1,0)</formula>
    </cfRule>
  </conditionalFormatting>
  <conditionalFormatting sqref="E116">
    <cfRule type="expression" dxfId="8078" priority="8948">
      <formula>IF(#REF!="FICTICIO",1,0)</formula>
    </cfRule>
  </conditionalFormatting>
  <conditionalFormatting sqref="E116">
    <cfRule type="expression" dxfId="8077" priority="8947">
      <formula>IF(#REF!="FICTICIO",1,0)</formula>
    </cfRule>
  </conditionalFormatting>
  <conditionalFormatting sqref="E116">
    <cfRule type="expression" dxfId="8076" priority="8946">
      <formula>IF(#REF!="FICTICIO",1,0)</formula>
    </cfRule>
  </conditionalFormatting>
  <conditionalFormatting sqref="E116">
    <cfRule type="expression" dxfId="8075" priority="8945">
      <formula>IF(#REF!="FICTICIO",1,0)</formula>
    </cfRule>
  </conditionalFormatting>
  <conditionalFormatting sqref="E116">
    <cfRule type="expression" dxfId="8074" priority="8944">
      <formula>IF(#REF!="FICTICIO",1,0)</formula>
    </cfRule>
  </conditionalFormatting>
  <conditionalFormatting sqref="E116">
    <cfRule type="expression" dxfId="8073" priority="8943">
      <formula>IF(#REF!="FICTICIO",1,0)</formula>
    </cfRule>
  </conditionalFormatting>
  <conditionalFormatting sqref="E116">
    <cfRule type="expression" dxfId="8072" priority="8942">
      <formula>IF(#REF!="FICTICIO",1,0)</formula>
    </cfRule>
  </conditionalFormatting>
  <conditionalFormatting sqref="E116">
    <cfRule type="expression" dxfId="8071" priority="8941">
      <formula>IF(#REF!="FICTICIO",1,0)</formula>
    </cfRule>
  </conditionalFormatting>
  <conditionalFormatting sqref="E116">
    <cfRule type="expression" dxfId="8070" priority="8940">
      <formula>IF(#REF!="FICTICIO",1,0)</formula>
    </cfRule>
  </conditionalFormatting>
  <conditionalFormatting sqref="E116">
    <cfRule type="expression" dxfId="8069" priority="8939">
      <formula>IF(#REF!="FICTICIO",1,0)</formula>
    </cfRule>
  </conditionalFormatting>
  <conditionalFormatting sqref="E116">
    <cfRule type="expression" dxfId="8068" priority="8938">
      <formula>IF(#REF!="FICTICIO",1,0)</formula>
    </cfRule>
  </conditionalFormatting>
  <conditionalFormatting sqref="E116">
    <cfRule type="expression" dxfId="8067" priority="8937">
      <formula>IF(#REF!="FICTICIO",1,0)</formula>
    </cfRule>
  </conditionalFormatting>
  <conditionalFormatting sqref="E116">
    <cfRule type="expression" dxfId="8066" priority="8936">
      <formula>IF(#REF!="FICTICIO",1,0)</formula>
    </cfRule>
  </conditionalFormatting>
  <conditionalFormatting sqref="E116">
    <cfRule type="expression" dxfId="8065" priority="8935">
      <formula>IF(#REF!="FICTICIO",1,0)</formula>
    </cfRule>
  </conditionalFormatting>
  <conditionalFormatting sqref="E116">
    <cfRule type="expression" dxfId="8064" priority="8934">
      <formula>IF(#REF!="FICTICIO",1,0)</formula>
    </cfRule>
  </conditionalFormatting>
  <conditionalFormatting sqref="E116">
    <cfRule type="expression" dxfId="8063" priority="8933">
      <formula>IF(#REF!="FICTICIO",1,0)</formula>
    </cfRule>
  </conditionalFormatting>
  <conditionalFormatting sqref="E116">
    <cfRule type="expression" dxfId="8062" priority="8932">
      <formula>IF(#REF!="FICTICIO",1,0)</formula>
    </cfRule>
  </conditionalFormatting>
  <conditionalFormatting sqref="E116">
    <cfRule type="expression" dxfId="8061" priority="8930">
      <formula>IF(#REF!="FICTICIO",1,0)</formula>
    </cfRule>
  </conditionalFormatting>
  <conditionalFormatting sqref="E116">
    <cfRule type="expression" dxfId="8060" priority="8931">
      <formula>IF(#REF!="FICTICIO",1,0)</formula>
    </cfRule>
  </conditionalFormatting>
  <conditionalFormatting sqref="E116">
    <cfRule type="expression" dxfId="8059" priority="8929">
      <formula>IF(#REF!="FICTICIO",1,0)</formula>
    </cfRule>
  </conditionalFormatting>
  <conditionalFormatting sqref="E116">
    <cfRule type="expression" dxfId="8058" priority="8928">
      <formula>IF(#REF!="FICTICIO",1,0)</formula>
    </cfRule>
  </conditionalFormatting>
  <conditionalFormatting sqref="F123">
    <cfRule type="expression" dxfId="8057" priority="8879">
      <formula>IF(#REF!="FICTICIO",1,0)</formula>
    </cfRule>
  </conditionalFormatting>
  <conditionalFormatting sqref="F124">
    <cfRule type="expression" dxfId="8056" priority="8878">
      <formula>IF(#REF!="FICTICIO",1,0)</formula>
    </cfRule>
  </conditionalFormatting>
  <conditionalFormatting sqref="F126">
    <cfRule type="expression" dxfId="8055" priority="8780">
      <formula>IF(#REF!="FICTICIO",1,0)</formula>
    </cfRule>
  </conditionalFormatting>
  <conditionalFormatting sqref="F126">
    <cfRule type="expression" dxfId="8054" priority="8781">
      <formula>IF(#REF!="FICTICIO",1,0)</formula>
    </cfRule>
  </conditionalFormatting>
  <conditionalFormatting sqref="D126">
    <cfRule type="expression" dxfId="8053" priority="8778">
      <formula>IF(#REF!="FICTICIO",1,0)</formula>
    </cfRule>
  </conditionalFormatting>
  <conditionalFormatting sqref="D126">
    <cfRule type="expression" dxfId="8052" priority="8779">
      <formula>IF(#REF!="FICTICIO",1,0)</formula>
    </cfRule>
  </conditionalFormatting>
  <conditionalFormatting sqref="E126">
    <cfRule type="expression" dxfId="8051" priority="8777">
      <formula>IF(#REF!="FICTICIO",1,0)</formula>
    </cfRule>
  </conditionalFormatting>
  <conditionalFormatting sqref="E126">
    <cfRule type="expression" dxfId="8050" priority="8776">
      <formula>IF(#REF!="FICTICIO",1,0)</formula>
    </cfRule>
  </conditionalFormatting>
  <conditionalFormatting sqref="E126">
    <cfRule type="expression" dxfId="8049" priority="8775">
      <formula>IF(#REF!="FICTICIO",1,0)</formula>
    </cfRule>
  </conditionalFormatting>
  <conditionalFormatting sqref="E126">
    <cfRule type="expression" dxfId="8048" priority="8774">
      <formula>IF(#REF!="FICTICIO",1,0)</formula>
    </cfRule>
  </conditionalFormatting>
  <conditionalFormatting sqref="E126">
    <cfRule type="expression" dxfId="8047" priority="8772">
      <formula>IF(#REF!="FICTICIO",1,0)</formula>
    </cfRule>
  </conditionalFormatting>
  <conditionalFormatting sqref="E126">
    <cfRule type="expression" dxfId="8046" priority="8773">
      <formula>IF(#REF!="FICTICIO",1,0)</formula>
    </cfRule>
  </conditionalFormatting>
  <conditionalFormatting sqref="E126">
    <cfRule type="expression" dxfId="8045" priority="8771">
      <formula>IF(#REF!="FICTICIO",1,0)</formula>
    </cfRule>
  </conditionalFormatting>
  <conditionalFormatting sqref="E126">
    <cfRule type="expression" dxfId="8044" priority="8770">
      <formula>IF(#REF!="FICTICIO",1,0)</formula>
    </cfRule>
  </conditionalFormatting>
  <conditionalFormatting sqref="E126">
    <cfRule type="expression" dxfId="8043" priority="8769">
      <formula>IF(#REF!="FICTICIO",1,0)</formula>
    </cfRule>
  </conditionalFormatting>
  <conditionalFormatting sqref="E126">
    <cfRule type="expression" dxfId="8042" priority="8768">
      <formula>IF(#REF!="FICTICIO",1,0)</formula>
    </cfRule>
  </conditionalFormatting>
  <conditionalFormatting sqref="E126">
    <cfRule type="expression" dxfId="8041" priority="8767">
      <formula>IF(#REF!="FICTICIO",1,0)</formula>
    </cfRule>
  </conditionalFormatting>
  <conditionalFormatting sqref="E126">
    <cfRule type="expression" dxfId="8040" priority="8766">
      <formula>IF(#REF!="FICTICIO",1,0)</formula>
    </cfRule>
  </conditionalFormatting>
  <conditionalFormatting sqref="E126">
    <cfRule type="expression" dxfId="8039" priority="8764">
      <formula>IF(#REF!="FICTICIO",1,0)</formula>
    </cfRule>
  </conditionalFormatting>
  <conditionalFormatting sqref="E126">
    <cfRule type="expression" dxfId="8038" priority="8765">
      <formula>IF(#REF!="FICTICIO",1,0)</formula>
    </cfRule>
  </conditionalFormatting>
  <conditionalFormatting sqref="E126">
    <cfRule type="expression" dxfId="8037" priority="8763">
      <formula>IF(#REF!="FICTICIO",1,0)</formula>
    </cfRule>
  </conditionalFormatting>
  <conditionalFormatting sqref="E126">
    <cfRule type="expression" dxfId="8036" priority="8762">
      <formula>IF(#REF!="FICTICIO",1,0)</formula>
    </cfRule>
  </conditionalFormatting>
  <conditionalFormatting sqref="E126">
    <cfRule type="expression" dxfId="8035" priority="8761">
      <formula>IF(#REF!="FICTICIO",1,0)</formula>
    </cfRule>
  </conditionalFormatting>
  <conditionalFormatting sqref="E126">
    <cfRule type="expression" dxfId="8034" priority="8760">
      <formula>IF(#REF!="FICTICIO",1,0)</formula>
    </cfRule>
  </conditionalFormatting>
  <conditionalFormatting sqref="E126">
    <cfRule type="expression" dxfId="8033" priority="8759">
      <formula>IF(#REF!="FICTICIO",1,0)</formula>
    </cfRule>
  </conditionalFormatting>
  <conditionalFormatting sqref="E126">
    <cfRule type="expression" dxfId="8032" priority="8758">
      <formula>IF(#REF!="FICTICIO",1,0)</formula>
    </cfRule>
  </conditionalFormatting>
  <conditionalFormatting sqref="E126">
    <cfRule type="expression" dxfId="8031" priority="8756">
      <formula>IF(#REF!="FICTICIO",1,0)</formula>
    </cfRule>
  </conditionalFormatting>
  <conditionalFormatting sqref="E126">
    <cfRule type="expression" dxfId="8030" priority="8757">
      <formula>IF(#REF!="FICTICIO",1,0)</formula>
    </cfRule>
  </conditionalFormatting>
  <conditionalFormatting sqref="E126">
    <cfRule type="expression" dxfId="8029" priority="8755">
      <formula>IF(#REF!="FICTICIO",1,0)</formula>
    </cfRule>
  </conditionalFormatting>
  <conditionalFormatting sqref="E126">
    <cfRule type="expression" dxfId="8028" priority="8754">
      <formula>IF(#REF!="FICTICIO",1,0)</formula>
    </cfRule>
  </conditionalFormatting>
  <conditionalFormatting sqref="E127">
    <cfRule type="expression" dxfId="8027" priority="8753">
      <formula>IF(#REF!="FICTICIO",1,0)</formula>
    </cfRule>
  </conditionalFormatting>
  <conditionalFormatting sqref="E127">
    <cfRule type="expression" dxfId="8026" priority="8752">
      <formula>IF(#REF!="FICTICIO",1,0)</formula>
    </cfRule>
  </conditionalFormatting>
  <conditionalFormatting sqref="E127">
    <cfRule type="expression" dxfId="8025" priority="8751">
      <formula>IF(#REF!="FICTICIO",1,0)</formula>
    </cfRule>
  </conditionalFormatting>
  <conditionalFormatting sqref="E127">
    <cfRule type="expression" dxfId="8024" priority="8750">
      <formula>IF(#REF!="FICTICIO",1,0)</formula>
    </cfRule>
  </conditionalFormatting>
  <conditionalFormatting sqref="E127">
    <cfRule type="expression" dxfId="8023" priority="8749">
      <formula>IF(#REF!="FICTICIO",1,0)</formula>
    </cfRule>
  </conditionalFormatting>
  <conditionalFormatting sqref="E127">
    <cfRule type="expression" dxfId="8022" priority="8748">
      <formula>IF(#REF!="FICTICIO",1,0)</formula>
    </cfRule>
  </conditionalFormatting>
  <conditionalFormatting sqref="E127">
    <cfRule type="expression" dxfId="8021" priority="8747">
      <formula>IF(#REF!="FICTICIO",1,0)</formula>
    </cfRule>
  </conditionalFormatting>
  <conditionalFormatting sqref="E127">
    <cfRule type="expression" dxfId="8020" priority="8746">
      <formula>IF(#REF!="FICTICIO",1,0)</formula>
    </cfRule>
  </conditionalFormatting>
  <conditionalFormatting sqref="E127">
    <cfRule type="expression" dxfId="8019" priority="8745">
      <formula>IF(#REF!="FICTICIO",1,0)</formula>
    </cfRule>
  </conditionalFormatting>
  <conditionalFormatting sqref="E127">
    <cfRule type="expression" dxfId="8018" priority="8744">
      <formula>IF(#REF!="FICTICIO",1,0)</formula>
    </cfRule>
  </conditionalFormatting>
  <conditionalFormatting sqref="F127">
    <cfRule type="expression" dxfId="8017" priority="8742">
      <formula>IF(#REF!="FICTICIO",1,0)</formula>
    </cfRule>
  </conditionalFormatting>
  <conditionalFormatting sqref="F127">
    <cfRule type="expression" dxfId="8016" priority="8743">
      <formula>IF(#REF!="FICTICIO",1,0)</formula>
    </cfRule>
  </conditionalFormatting>
  <conditionalFormatting sqref="E127">
    <cfRule type="expression" dxfId="8015" priority="8741">
      <formula>IF(#REF!="FICTICIO",1,0)</formula>
    </cfRule>
  </conditionalFormatting>
  <conditionalFormatting sqref="E127">
    <cfRule type="expression" dxfId="8014" priority="8740">
      <formula>IF(#REF!="FICTICIO",1,0)</formula>
    </cfRule>
  </conditionalFormatting>
  <conditionalFormatting sqref="E127">
    <cfRule type="expression" dxfId="8013" priority="8739">
      <formula>IF(#REF!="FICTICIO",1,0)</formula>
    </cfRule>
  </conditionalFormatting>
  <conditionalFormatting sqref="E127">
    <cfRule type="expression" dxfId="8012" priority="8738">
      <formula>IF(#REF!="FICTICIO",1,0)</formula>
    </cfRule>
  </conditionalFormatting>
  <conditionalFormatting sqref="E127">
    <cfRule type="expression" dxfId="8011" priority="8737">
      <formula>IF(#REF!="FICTICIO",1,0)</formula>
    </cfRule>
  </conditionalFormatting>
  <conditionalFormatting sqref="E127">
    <cfRule type="expression" dxfId="8010" priority="8736">
      <formula>IF(#REF!="FICTICIO",1,0)</formula>
    </cfRule>
  </conditionalFormatting>
  <conditionalFormatting sqref="E127">
    <cfRule type="expression" dxfId="8009" priority="8735">
      <formula>IF(#REF!="FICTICIO",1,0)</formula>
    </cfRule>
  </conditionalFormatting>
  <conditionalFormatting sqref="E127">
    <cfRule type="expression" dxfId="8008" priority="8734">
      <formula>IF(#REF!="FICTICIO",1,0)</formula>
    </cfRule>
  </conditionalFormatting>
  <conditionalFormatting sqref="E127">
    <cfRule type="expression" dxfId="8007" priority="8733">
      <formula>IF(#REF!="FICTICIO",1,0)</formula>
    </cfRule>
  </conditionalFormatting>
  <conditionalFormatting sqref="D127">
    <cfRule type="expression" dxfId="8006" priority="8731">
      <formula>IF(#REF!="FICTICIO",1,0)</formula>
    </cfRule>
  </conditionalFormatting>
  <conditionalFormatting sqref="D127">
    <cfRule type="expression" dxfId="8005" priority="8732">
      <formula>IF(#REF!="FICTICIO",1,0)</formula>
    </cfRule>
  </conditionalFormatting>
  <conditionalFormatting sqref="D127">
    <cfRule type="expression" dxfId="8004" priority="8729">
      <formula>IF(#REF!="FICTICIO",1,0)</formula>
    </cfRule>
  </conditionalFormatting>
  <conditionalFormatting sqref="D127">
    <cfRule type="expression" dxfId="8003" priority="8730">
      <formula>IF(#REF!="FICTICIO",1,0)</formula>
    </cfRule>
  </conditionalFormatting>
  <conditionalFormatting sqref="E128">
    <cfRule type="expression" dxfId="8002" priority="8728">
      <formula>IF(#REF!="FICTICIO",1,0)</formula>
    </cfRule>
  </conditionalFormatting>
  <conditionalFormatting sqref="E128">
    <cfRule type="expression" dxfId="8001" priority="8727">
      <formula>IF(#REF!="FICTICIO",1,0)</formula>
    </cfRule>
  </conditionalFormatting>
  <conditionalFormatting sqref="E128">
    <cfRule type="expression" dxfId="8000" priority="8726">
      <formula>IF(#REF!="FICTICIO",1,0)</formula>
    </cfRule>
  </conditionalFormatting>
  <conditionalFormatting sqref="E128">
    <cfRule type="expression" dxfId="7999" priority="8725">
      <formula>IF(#REF!="FICTICIO",1,0)</formula>
    </cfRule>
  </conditionalFormatting>
  <conditionalFormatting sqref="E128">
    <cfRule type="expression" dxfId="7998" priority="8724">
      <formula>IF(#REF!="FICTICIO",1,0)</formula>
    </cfRule>
  </conditionalFormatting>
  <conditionalFormatting sqref="E128">
    <cfRule type="expression" dxfId="7997" priority="8723">
      <formula>IF(#REF!="FICTICIO",1,0)</formula>
    </cfRule>
  </conditionalFormatting>
  <conditionalFormatting sqref="E128">
    <cfRule type="expression" dxfId="7996" priority="8722">
      <formula>IF(#REF!="FICTICIO",1,0)</formula>
    </cfRule>
  </conditionalFormatting>
  <conditionalFormatting sqref="E128">
    <cfRule type="expression" dxfId="7995" priority="8721">
      <formula>IF(#REF!="FICTICIO",1,0)</formula>
    </cfRule>
  </conditionalFormatting>
  <conditionalFormatting sqref="E128">
    <cfRule type="expression" dxfId="7994" priority="8720">
      <formula>IF(#REF!="FICTICIO",1,0)</formula>
    </cfRule>
  </conditionalFormatting>
  <conditionalFormatting sqref="E128">
    <cfRule type="expression" dxfId="7993" priority="8719">
      <formula>IF(#REF!="FICTICIO",1,0)</formula>
    </cfRule>
  </conditionalFormatting>
  <conditionalFormatting sqref="E128">
    <cfRule type="expression" dxfId="7992" priority="8718">
      <formula>IF(#REF!="FICTICIO",1,0)</formula>
    </cfRule>
  </conditionalFormatting>
  <conditionalFormatting sqref="E128">
    <cfRule type="expression" dxfId="7991" priority="8717">
      <formula>IF(#REF!="FICTICIO",1,0)</formula>
    </cfRule>
  </conditionalFormatting>
  <conditionalFormatting sqref="E128">
    <cfRule type="expression" dxfId="7990" priority="8716">
      <formula>IF(#REF!="FICTICIO",1,0)</formula>
    </cfRule>
  </conditionalFormatting>
  <conditionalFormatting sqref="E128">
    <cfRule type="expression" dxfId="7989" priority="8715">
      <formula>IF(#REF!="FICTICIO",1,0)</formula>
    </cfRule>
  </conditionalFormatting>
  <conditionalFormatting sqref="E128">
    <cfRule type="expression" dxfId="7988" priority="8714">
      <formula>IF(#REF!="FICTICIO",1,0)</formula>
    </cfRule>
  </conditionalFormatting>
  <conditionalFormatting sqref="E128">
    <cfRule type="expression" dxfId="7987" priority="8713">
      <formula>IF(#REF!="FICTICIO",1,0)</formula>
    </cfRule>
  </conditionalFormatting>
  <conditionalFormatting sqref="E128">
    <cfRule type="expression" dxfId="7986" priority="8712">
      <formula>IF(#REF!="FICTICIO",1,0)</formula>
    </cfRule>
  </conditionalFormatting>
  <conditionalFormatting sqref="E128">
    <cfRule type="expression" dxfId="7985" priority="8711">
      <formula>IF(#REF!="FICTICIO",1,0)</formula>
    </cfRule>
  </conditionalFormatting>
  <conditionalFormatting sqref="E128">
    <cfRule type="expression" dxfId="7984" priority="8710">
      <formula>IF(#REF!="FICTICIO",1,0)</formula>
    </cfRule>
  </conditionalFormatting>
  <conditionalFormatting sqref="F128">
    <cfRule type="expression" dxfId="7983" priority="8708">
      <formula>IF(#REF!="FICTICIO",1,0)</formula>
    </cfRule>
  </conditionalFormatting>
  <conditionalFormatting sqref="F128">
    <cfRule type="expression" dxfId="7982" priority="8709">
      <formula>IF(#REF!="FICTICIO",1,0)</formula>
    </cfRule>
  </conditionalFormatting>
  <conditionalFormatting sqref="D130">
    <cfRule type="expression" dxfId="7981" priority="8707">
      <formula>IF(#REF!="FICTICIO",1,0)</formula>
    </cfRule>
  </conditionalFormatting>
  <conditionalFormatting sqref="E129">
    <cfRule type="expression" dxfId="7980" priority="8706">
      <formula>IF(#REF!="FICTICIO",1,0)</formula>
    </cfRule>
  </conditionalFormatting>
  <conditionalFormatting sqref="E129">
    <cfRule type="expression" dxfId="7979" priority="8705">
      <formula>IF(#REF!="FICTICIO",1,0)</formula>
    </cfRule>
  </conditionalFormatting>
  <conditionalFormatting sqref="E129">
    <cfRule type="expression" dxfId="7978" priority="8704">
      <formula>IF(#REF!="FICTICIO",1,0)</formula>
    </cfRule>
  </conditionalFormatting>
  <conditionalFormatting sqref="E129">
    <cfRule type="expression" dxfId="7977" priority="8703">
      <formula>IF(#REF!="FICTICIO",1,0)</formula>
    </cfRule>
  </conditionalFormatting>
  <conditionalFormatting sqref="E129">
    <cfRule type="expression" dxfId="7976" priority="8702">
      <formula>IF(#REF!="FICTICIO",1,0)</formula>
    </cfRule>
  </conditionalFormatting>
  <conditionalFormatting sqref="E129">
    <cfRule type="expression" dxfId="7975" priority="8701">
      <formula>IF(#REF!="FICTICIO",1,0)</formula>
    </cfRule>
  </conditionalFormatting>
  <conditionalFormatting sqref="E129">
    <cfRule type="expression" dxfId="7974" priority="8700">
      <formula>IF(#REF!="FICTICIO",1,0)</formula>
    </cfRule>
  </conditionalFormatting>
  <conditionalFormatting sqref="E129">
    <cfRule type="expression" dxfId="7973" priority="8699">
      <formula>IF(#REF!="FICTICIO",1,0)</formula>
    </cfRule>
  </conditionalFormatting>
  <conditionalFormatting sqref="E129">
    <cfRule type="expression" dxfId="7972" priority="8698">
      <formula>IF(#REF!="FICTICIO",1,0)</formula>
    </cfRule>
  </conditionalFormatting>
  <conditionalFormatting sqref="E129">
    <cfRule type="expression" dxfId="7971" priority="8697">
      <formula>IF(#REF!="FICTICIO",1,0)</formula>
    </cfRule>
  </conditionalFormatting>
  <conditionalFormatting sqref="F129">
    <cfRule type="expression" dxfId="7970" priority="8695">
      <formula>IF(#REF!="FICTICIO",1,0)</formula>
    </cfRule>
  </conditionalFormatting>
  <conditionalFormatting sqref="F129">
    <cfRule type="expression" dxfId="7969" priority="8696">
      <formula>IF(#REF!="FICTICIO",1,0)</formula>
    </cfRule>
  </conditionalFormatting>
  <conditionalFormatting sqref="E129">
    <cfRule type="expression" dxfId="7968" priority="8694">
      <formula>IF(#REF!="FICTICIO",1,0)</formula>
    </cfRule>
  </conditionalFormatting>
  <conditionalFormatting sqref="E129">
    <cfRule type="expression" dxfId="7967" priority="8693">
      <formula>IF(#REF!="FICTICIO",1,0)</formula>
    </cfRule>
  </conditionalFormatting>
  <conditionalFormatting sqref="E129">
    <cfRule type="expression" dxfId="7966" priority="8692">
      <formula>IF(#REF!="FICTICIO",1,0)</formula>
    </cfRule>
  </conditionalFormatting>
  <conditionalFormatting sqref="E129">
    <cfRule type="expression" dxfId="7965" priority="8691">
      <formula>IF(#REF!="FICTICIO",1,0)</formula>
    </cfRule>
  </conditionalFormatting>
  <conditionalFormatting sqref="E129">
    <cfRule type="expression" dxfId="7964" priority="8690">
      <formula>IF(#REF!="FICTICIO",1,0)</formula>
    </cfRule>
  </conditionalFormatting>
  <conditionalFormatting sqref="E129">
    <cfRule type="expression" dxfId="7963" priority="8689">
      <formula>IF(#REF!="FICTICIO",1,0)</formula>
    </cfRule>
  </conditionalFormatting>
  <conditionalFormatting sqref="E129">
    <cfRule type="expression" dxfId="7962" priority="8688">
      <formula>IF(#REF!="FICTICIO",1,0)</formula>
    </cfRule>
  </conditionalFormatting>
  <conditionalFormatting sqref="E129">
    <cfRule type="expression" dxfId="7961" priority="8687">
      <formula>IF(#REF!="FICTICIO",1,0)</formula>
    </cfRule>
  </conditionalFormatting>
  <conditionalFormatting sqref="E129">
    <cfRule type="expression" dxfId="7960" priority="8686">
      <formula>IF(#REF!="FICTICIO",1,0)</formula>
    </cfRule>
  </conditionalFormatting>
  <conditionalFormatting sqref="E130">
    <cfRule type="expression" dxfId="7959" priority="8681">
      <formula>IF(#REF!="FICTICIO",1,0)</formula>
    </cfRule>
  </conditionalFormatting>
  <conditionalFormatting sqref="E130">
    <cfRule type="expression" dxfId="7958" priority="8680">
      <formula>IF(#REF!="FICTICIO",1,0)</formula>
    </cfRule>
  </conditionalFormatting>
  <conditionalFormatting sqref="E130">
    <cfRule type="expression" dxfId="7957" priority="8679">
      <formula>IF(#REF!="FICTICIO",1,0)</formula>
    </cfRule>
  </conditionalFormatting>
  <conditionalFormatting sqref="E130">
    <cfRule type="expression" dxfId="7956" priority="8678">
      <formula>IF(#REF!="FICTICIO",1,0)</formula>
    </cfRule>
  </conditionalFormatting>
  <conditionalFormatting sqref="E130">
    <cfRule type="expression" dxfId="7955" priority="8677">
      <formula>IF(#REF!="FICTICIO",1,0)</formula>
    </cfRule>
  </conditionalFormatting>
  <conditionalFormatting sqref="E130">
    <cfRule type="expression" dxfId="7954" priority="8676">
      <formula>IF(#REF!="FICTICIO",1,0)</formula>
    </cfRule>
  </conditionalFormatting>
  <conditionalFormatting sqref="E130">
    <cfRule type="expression" dxfId="7953" priority="8675">
      <formula>IF(#REF!="FICTICIO",1,0)</formula>
    </cfRule>
  </conditionalFormatting>
  <conditionalFormatting sqref="E130">
    <cfRule type="expression" dxfId="7952" priority="8674">
      <formula>IF(#REF!="FICTICIO",1,0)</formula>
    </cfRule>
  </conditionalFormatting>
  <conditionalFormatting sqref="E130">
    <cfRule type="expression" dxfId="7951" priority="8673">
      <formula>IF(#REF!="FICTICIO",1,0)</formula>
    </cfRule>
  </conditionalFormatting>
  <conditionalFormatting sqref="E130">
    <cfRule type="expression" dxfId="7950" priority="8672">
      <formula>IF(#REF!="FICTICIO",1,0)</formula>
    </cfRule>
  </conditionalFormatting>
  <conditionalFormatting sqref="E130">
    <cfRule type="expression" dxfId="7949" priority="8671">
      <formula>IF(#REF!="FICTICIO",1,0)</formula>
    </cfRule>
  </conditionalFormatting>
  <conditionalFormatting sqref="E130">
    <cfRule type="expression" dxfId="7948" priority="8670">
      <formula>IF(#REF!="FICTICIO",1,0)</formula>
    </cfRule>
  </conditionalFormatting>
  <conditionalFormatting sqref="E130">
    <cfRule type="expression" dxfId="7947" priority="8669">
      <formula>IF(#REF!="FICTICIO",1,0)</formula>
    </cfRule>
  </conditionalFormatting>
  <conditionalFormatting sqref="E130">
    <cfRule type="expression" dxfId="7946" priority="8668">
      <formula>IF(#REF!="FICTICIO",1,0)</formula>
    </cfRule>
  </conditionalFormatting>
  <conditionalFormatting sqref="E130">
    <cfRule type="expression" dxfId="7945" priority="8667">
      <formula>IF(#REF!="FICTICIO",1,0)</formula>
    </cfRule>
  </conditionalFormatting>
  <conditionalFormatting sqref="E130">
    <cfRule type="expression" dxfId="7944" priority="8666">
      <formula>IF(#REF!="FICTICIO",1,0)</formula>
    </cfRule>
  </conditionalFormatting>
  <conditionalFormatting sqref="E130">
    <cfRule type="expression" dxfId="7943" priority="8665">
      <formula>IF(#REF!="FICTICIO",1,0)</formula>
    </cfRule>
  </conditionalFormatting>
  <conditionalFormatting sqref="E130">
    <cfRule type="expression" dxfId="7942" priority="8664">
      <formula>IF(#REF!="FICTICIO",1,0)</formula>
    </cfRule>
  </conditionalFormatting>
  <conditionalFormatting sqref="E130">
    <cfRule type="expression" dxfId="7941" priority="8663">
      <formula>IF(#REF!="FICTICIO",1,0)</formula>
    </cfRule>
  </conditionalFormatting>
  <conditionalFormatting sqref="F130">
    <cfRule type="expression" dxfId="7940" priority="8661">
      <formula>IF(#REF!="FICTICIO",1,0)</formula>
    </cfRule>
  </conditionalFormatting>
  <conditionalFormatting sqref="F130">
    <cfRule type="expression" dxfId="7939" priority="8662">
      <formula>IF(#REF!="FICTICIO",1,0)</formula>
    </cfRule>
  </conditionalFormatting>
  <conditionalFormatting sqref="D131">
    <cfRule type="expression" dxfId="7938" priority="8660">
      <formula>IF(#REF!="FICTICIO",1,0)</formula>
    </cfRule>
  </conditionalFormatting>
  <conditionalFormatting sqref="E131">
    <cfRule type="expression" dxfId="7937" priority="8659">
      <formula>IF(#REF!="FICTICIO",1,0)</formula>
    </cfRule>
  </conditionalFormatting>
  <conditionalFormatting sqref="E131">
    <cfRule type="expression" dxfId="7936" priority="8658">
      <formula>IF(#REF!="FICTICIO",1,0)</formula>
    </cfRule>
  </conditionalFormatting>
  <conditionalFormatting sqref="E131">
    <cfRule type="expression" dxfId="7935" priority="8657">
      <formula>IF(#REF!="FICTICIO",1,0)</formula>
    </cfRule>
  </conditionalFormatting>
  <conditionalFormatting sqref="E131">
    <cfRule type="expression" dxfId="7934" priority="8656">
      <formula>IF(#REF!="FICTICIO",1,0)</formula>
    </cfRule>
  </conditionalFormatting>
  <conditionalFormatting sqref="E131">
    <cfRule type="expression" dxfId="7933" priority="8655">
      <formula>IF(#REF!="FICTICIO",1,0)</formula>
    </cfRule>
  </conditionalFormatting>
  <conditionalFormatting sqref="E131">
    <cfRule type="expression" dxfId="7932" priority="8654">
      <formula>IF(#REF!="FICTICIO",1,0)</formula>
    </cfRule>
  </conditionalFormatting>
  <conditionalFormatting sqref="E131">
    <cfRule type="expression" dxfId="7931" priority="8653">
      <formula>IF(#REF!="FICTICIO",1,0)</formula>
    </cfRule>
  </conditionalFormatting>
  <conditionalFormatting sqref="E131">
    <cfRule type="expression" dxfId="7930" priority="8652">
      <formula>IF(#REF!="FICTICIO",1,0)</formula>
    </cfRule>
  </conditionalFormatting>
  <conditionalFormatting sqref="E131">
    <cfRule type="expression" dxfId="7929" priority="8651">
      <formula>IF(#REF!="FICTICIO",1,0)</formula>
    </cfRule>
  </conditionalFormatting>
  <conditionalFormatting sqref="E131">
    <cfRule type="expression" dxfId="7928" priority="8650">
      <formula>IF(#REF!="FICTICIO",1,0)</formula>
    </cfRule>
  </conditionalFormatting>
  <conditionalFormatting sqref="E131">
    <cfRule type="expression" dxfId="7927" priority="8649">
      <formula>IF(#REF!="FICTICIO",1,0)</formula>
    </cfRule>
  </conditionalFormatting>
  <conditionalFormatting sqref="E131">
    <cfRule type="expression" dxfId="7926" priority="8648">
      <formula>IF(#REF!="FICTICIO",1,0)</formula>
    </cfRule>
  </conditionalFormatting>
  <conditionalFormatting sqref="E131">
    <cfRule type="expression" dxfId="7925" priority="8647">
      <formula>IF(#REF!="FICTICIO",1,0)</formula>
    </cfRule>
  </conditionalFormatting>
  <conditionalFormatting sqref="E131">
    <cfRule type="expression" dxfId="7924" priority="8646">
      <formula>IF(#REF!="FICTICIO",1,0)</formula>
    </cfRule>
  </conditionalFormatting>
  <conditionalFormatting sqref="E131">
    <cfRule type="expression" dxfId="7923" priority="8645">
      <formula>IF(#REF!="FICTICIO",1,0)</formula>
    </cfRule>
  </conditionalFormatting>
  <conditionalFormatting sqref="E131">
    <cfRule type="expression" dxfId="7922" priority="8644">
      <formula>IF(#REF!="FICTICIO",1,0)</formula>
    </cfRule>
  </conditionalFormatting>
  <conditionalFormatting sqref="E131">
    <cfRule type="expression" dxfId="7921" priority="8643">
      <formula>IF(#REF!="FICTICIO",1,0)</formula>
    </cfRule>
  </conditionalFormatting>
  <conditionalFormatting sqref="E131">
    <cfRule type="expression" dxfId="7920" priority="8642">
      <formula>IF(#REF!="FICTICIO",1,0)</formula>
    </cfRule>
  </conditionalFormatting>
  <conditionalFormatting sqref="E131">
    <cfRule type="expression" dxfId="7919" priority="8641">
      <formula>IF(#REF!="FICTICIO",1,0)</formula>
    </cfRule>
  </conditionalFormatting>
  <conditionalFormatting sqref="F131">
    <cfRule type="expression" dxfId="7918" priority="8639">
      <formula>IF(#REF!="FICTICIO",1,0)</formula>
    </cfRule>
  </conditionalFormatting>
  <conditionalFormatting sqref="F131">
    <cfRule type="expression" dxfId="7917" priority="8640">
      <formula>IF(#REF!="FICTICIO",1,0)</formula>
    </cfRule>
  </conditionalFormatting>
  <conditionalFormatting sqref="D133">
    <cfRule type="expression" dxfId="7916" priority="8638">
      <formula>IF(#REF!="FICTICIO",1,0)</formula>
    </cfRule>
  </conditionalFormatting>
  <conditionalFormatting sqref="E132">
    <cfRule type="expression" dxfId="7915" priority="8637">
      <formula>IF(#REF!="FICTICIO",1,0)</formula>
    </cfRule>
  </conditionalFormatting>
  <conditionalFormatting sqref="E132">
    <cfRule type="expression" dxfId="7914" priority="8636">
      <formula>IF(#REF!="FICTICIO",1,0)</formula>
    </cfRule>
  </conditionalFormatting>
  <conditionalFormatting sqref="E132">
    <cfRule type="expression" dxfId="7913" priority="8635">
      <formula>IF(#REF!="FICTICIO",1,0)</formula>
    </cfRule>
  </conditionalFormatting>
  <conditionalFormatting sqref="E132">
    <cfRule type="expression" dxfId="7912" priority="8634">
      <formula>IF(#REF!="FICTICIO",1,0)</formula>
    </cfRule>
  </conditionalFormatting>
  <conditionalFormatting sqref="E132">
    <cfRule type="expression" dxfId="7911" priority="8633">
      <formula>IF(#REF!="FICTICIO",1,0)</formula>
    </cfRule>
  </conditionalFormatting>
  <conditionalFormatting sqref="E132">
    <cfRule type="expression" dxfId="7910" priority="8632">
      <formula>IF(#REF!="FICTICIO",1,0)</formula>
    </cfRule>
  </conditionalFormatting>
  <conditionalFormatting sqref="E132">
    <cfRule type="expression" dxfId="7909" priority="8631">
      <formula>IF(#REF!="FICTICIO",1,0)</formula>
    </cfRule>
  </conditionalFormatting>
  <conditionalFormatting sqref="E132">
    <cfRule type="expression" dxfId="7908" priority="8630">
      <formula>IF(#REF!="FICTICIO",1,0)</formula>
    </cfRule>
  </conditionalFormatting>
  <conditionalFormatting sqref="E132">
    <cfRule type="expression" dxfId="7907" priority="8629">
      <formula>IF(#REF!="FICTICIO",1,0)</formula>
    </cfRule>
  </conditionalFormatting>
  <conditionalFormatting sqref="E132">
    <cfRule type="expression" dxfId="7906" priority="8628">
      <formula>IF(#REF!="FICTICIO",1,0)</formula>
    </cfRule>
  </conditionalFormatting>
  <conditionalFormatting sqref="F132">
    <cfRule type="expression" dxfId="7905" priority="8626">
      <formula>IF(#REF!="FICTICIO",1,0)</formula>
    </cfRule>
  </conditionalFormatting>
  <conditionalFormatting sqref="F132">
    <cfRule type="expression" dxfId="7904" priority="8627">
      <formula>IF(#REF!="FICTICIO",1,0)</formula>
    </cfRule>
  </conditionalFormatting>
  <conditionalFormatting sqref="E132">
    <cfRule type="expression" dxfId="7903" priority="8625">
      <formula>IF(#REF!="FICTICIO",1,0)</formula>
    </cfRule>
  </conditionalFormatting>
  <conditionalFormatting sqref="E132">
    <cfRule type="expression" dxfId="7902" priority="8624">
      <formula>IF(#REF!="FICTICIO",1,0)</formula>
    </cfRule>
  </conditionalFormatting>
  <conditionalFormatting sqref="E132">
    <cfRule type="expression" dxfId="7901" priority="8623">
      <formula>IF(#REF!="FICTICIO",1,0)</formula>
    </cfRule>
  </conditionalFormatting>
  <conditionalFormatting sqref="E132">
    <cfRule type="expression" dxfId="7900" priority="8622">
      <formula>IF(#REF!="FICTICIO",1,0)</formula>
    </cfRule>
  </conditionalFormatting>
  <conditionalFormatting sqref="E132">
    <cfRule type="expression" dxfId="7899" priority="8621">
      <formula>IF(#REF!="FICTICIO",1,0)</formula>
    </cfRule>
  </conditionalFormatting>
  <conditionalFormatting sqref="E132">
    <cfRule type="expression" dxfId="7898" priority="8620">
      <formula>IF(#REF!="FICTICIO",1,0)</formula>
    </cfRule>
  </conditionalFormatting>
  <conditionalFormatting sqref="E132">
    <cfRule type="expression" dxfId="7897" priority="8619">
      <formula>IF(#REF!="FICTICIO",1,0)</formula>
    </cfRule>
  </conditionalFormatting>
  <conditionalFormatting sqref="E132">
    <cfRule type="expression" dxfId="7896" priority="8618">
      <formula>IF(#REF!="FICTICIO",1,0)</formula>
    </cfRule>
  </conditionalFormatting>
  <conditionalFormatting sqref="E132">
    <cfRule type="expression" dxfId="7895" priority="8617">
      <formula>IF(#REF!="FICTICIO",1,0)</formula>
    </cfRule>
  </conditionalFormatting>
  <conditionalFormatting sqref="D132">
    <cfRule type="expression" dxfId="7894" priority="8615">
      <formula>IF(#REF!="FICTICIO",1,0)</formula>
    </cfRule>
  </conditionalFormatting>
  <conditionalFormatting sqref="D132">
    <cfRule type="expression" dxfId="7893" priority="8616">
      <formula>IF(#REF!="FICTICIO",1,0)</formula>
    </cfRule>
  </conditionalFormatting>
  <conditionalFormatting sqref="D132">
    <cfRule type="expression" dxfId="7892" priority="8613">
      <formula>IF(#REF!="FICTICIO",1,0)</formula>
    </cfRule>
  </conditionalFormatting>
  <conditionalFormatting sqref="D132">
    <cfRule type="expression" dxfId="7891" priority="8614">
      <formula>IF(#REF!="FICTICIO",1,0)</formula>
    </cfRule>
  </conditionalFormatting>
  <conditionalFormatting sqref="E133">
    <cfRule type="expression" dxfId="7890" priority="8612">
      <formula>IF(#REF!="FICTICIO",1,0)</formula>
    </cfRule>
  </conditionalFormatting>
  <conditionalFormatting sqref="E133">
    <cfRule type="expression" dxfId="7889" priority="8611">
      <formula>IF(#REF!="FICTICIO",1,0)</formula>
    </cfRule>
  </conditionalFormatting>
  <conditionalFormatting sqref="E133">
    <cfRule type="expression" dxfId="7888" priority="8610">
      <formula>IF(#REF!="FICTICIO",1,0)</formula>
    </cfRule>
  </conditionalFormatting>
  <conditionalFormatting sqref="E133">
    <cfRule type="expression" dxfId="7887" priority="8609">
      <formula>IF(#REF!="FICTICIO",1,0)</formula>
    </cfRule>
  </conditionalFormatting>
  <conditionalFormatting sqref="E133">
    <cfRule type="expression" dxfId="7886" priority="8608">
      <formula>IF(#REF!="FICTICIO",1,0)</formula>
    </cfRule>
  </conditionalFormatting>
  <conditionalFormatting sqref="E133">
    <cfRule type="expression" dxfId="7885" priority="8607">
      <formula>IF(#REF!="FICTICIO",1,0)</formula>
    </cfRule>
  </conditionalFormatting>
  <conditionalFormatting sqref="E133">
    <cfRule type="expression" dxfId="7884" priority="8606">
      <formula>IF(#REF!="FICTICIO",1,0)</formula>
    </cfRule>
  </conditionalFormatting>
  <conditionalFormatting sqref="E133">
    <cfRule type="expression" dxfId="7883" priority="8605">
      <formula>IF(#REF!="FICTICIO",1,0)</formula>
    </cfRule>
  </conditionalFormatting>
  <conditionalFormatting sqref="E133">
    <cfRule type="expression" dxfId="7882" priority="8604">
      <formula>IF(#REF!="FICTICIO",1,0)</formula>
    </cfRule>
  </conditionalFormatting>
  <conditionalFormatting sqref="E133">
    <cfRule type="expression" dxfId="7881" priority="8603">
      <formula>IF(#REF!="FICTICIO",1,0)</formula>
    </cfRule>
  </conditionalFormatting>
  <conditionalFormatting sqref="E133">
    <cfRule type="expression" dxfId="7880" priority="8602">
      <formula>IF(#REF!="FICTICIO",1,0)</formula>
    </cfRule>
  </conditionalFormatting>
  <conditionalFormatting sqref="E133">
    <cfRule type="expression" dxfId="7879" priority="8601">
      <formula>IF(#REF!="FICTICIO",1,0)</formula>
    </cfRule>
  </conditionalFormatting>
  <conditionalFormatting sqref="E133">
    <cfRule type="expression" dxfId="7878" priority="8600">
      <formula>IF(#REF!="FICTICIO",1,0)</formula>
    </cfRule>
  </conditionalFormatting>
  <conditionalFormatting sqref="E133">
    <cfRule type="expression" dxfId="7877" priority="8599">
      <formula>IF(#REF!="FICTICIO",1,0)</formula>
    </cfRule>
  </conditionalFormatting>
  <conditionalFormatting sqref="E133">
    <cfRule type="expression" dxfId="7876" priority="8598">
      <formula>IF(#REF!="FICTICIO",1,0)</formula>
    </cfRule>
  </conditionalFormatting>
  <conditionalFormatting sqref="E133">
    <cfRule type="expression" dxfId="7875" priority="8597">
      <formula>IF(#REF!="FICTICIO",1,0)</formula>
    </cfRule>
  </conditionalFormatting>
  <conditionalFormatting sqref="E133">
    <cfRule type="expression" dxfId="7874" priority="8596">
      <formula>IF(#REF!="FICTICIO",1,0)</formula>
    </cfRule>
  </conditionalFormatting>
  <conditionalFormatting sqref="E133">
    <cfRule type="expression" dxfId="7873" priority="8595">
      <formula>IF(#REF!="FICTICIO",1,0)</formula>
    </cfRule>
  </conditionalFormatting>
  <conditionalFormatting sqref="E133">
    <cfRule type="expression" dxfId="7872" priority="8594">
      <formula>IF(#REF!="FICTICIO",1,0)</formula>
    </cfRule>
  </conditionalFormatting>
  <conditionalFormatting sqref="F133">
    <cfRule type="expression" dxfId="7871" priority="8592">
      <formula>IF(#REF!="FICTICIO",1,0)</formula>
    </cfRule>
  </conditionalFormatting>
  <conditionalFormatting sqref="F133">
    <cfRule type="expression" dxfId="7870" priority="8593">
      <formula>IF(#REF!="FICTICIO",1,0)</formula>
    </cfRule>
  </conditionalFormatting>
  <conditionalFormatting sqref="D134">
    <cfRule type="expression" dxfId="7869" priority="8591">
      <formula>IF(#REF!="FICTICIO",1,0)</formula>
    </cfRule>
  </conditionalFormatting>
  <conditionalFormatting sqref="E134">
    <cfRule type="expression" dxfId="7868" priority="8590">
      <formula>IF(#REF!="FICTICIO",1,0)</formula>
    </cfRule>
  </conditionalFormatting>
  <conditionalFormatting sqref="E134">
    <cfRule type="expression" dxfId="7867" priority="8589">
      <formula>IF(#REF!="FICTICIO",1,0)</formula>
    </cfRule>
  </conditionalFormatting>
  <conditionalFormatting sqref="E134">
    <cfRule type="expression" dxfId="7866" priority="8588">
      <formula>IF(#REF!="FICTICIO",1,0)</formula>
    </cfRule>
  </conditionalFormatting>
  <conditionalFormatting sqref="E134">
    <cfRule type="expression" dxfId="7865" priority="8587">
      <formula>IF(#REF!="FICTICIO",1,0)</formula>
    </cfRule>
  </conditionalFormatting>
  <conditionalFormatting sqref="E134">
    <cfRule type="expression" dxfId="7864" priority="8586">
      <formula>IF(#REF!="FICTICIO",1,0)</formula>
    </cfRule>
  </conditionalFormatting>
  <conditionalFormatting sqref="E134">
    <cfRule type="expression" dxfId="7863" priority="8585">
      <formula>IF(#REF!="FICTICIO",1,0)</formula>
    </cfRule>
  </conditionalFormatting>
  <conditionalFormatting sqref="E134">
    <cfRule type="expression" dxfId="7862" priority="8584">
      <formula>IF(#REF!="FICTICIO",1,0)</formula>
    </cfRule>
  </conditionalFormatting>
  <conditionalFormatting sqref="E134">
    <cfRule type="expression" dxfId="7861" priority="8583">
      <formula>IF(#REF!="FICTICIO",1,0)</formula>
    </cfRule>
  </conditionalFormatting>
  <conditionalFormatting sqref="E134">
    <cfRule type="expression" dxfId="7860" priority="8582">
      <formula>IF(#REF!="FICTICIO",1,0)</formula>
    </cfRule>
  </conditionalFormatting>
  <conditionalFormatting sqref="E134">
    <cfRule type="expression" dxfId="7859" priority="8581">
      <formula>IF(#REF!="FICTICIO",1,0)</formula>
    </cfRule>
  </conditionalFormatting>
  <conditionalFormatting sqref="E134">
    <cfRule type="expression" dxfId="7858" priority="8580">
      <formula>IF(#REF!="FICTICIO",1,0)</formula>
    </cfRule>
  </conditionalFormatting>
  <conditionalFormatting sqref="E134">
    <cfRule type="expression" dxfId="7857" priority="8579">
      <formula>IF(#REF!="FICTICIO",1,0)</formula>
    </cfRule>
  </conditionalFormatting>
  <conditionalFormatting sqref="E134">
    <cfRule type="expression" dxfId="7856" priority="8578">
      <formula>IF(#REF!="FICTICIO",1,0)</formula>
    </cfRule>
  </conditionalFormatting>
  <conditionalFormatting sqref="E134">
    <cfRule type="expression" dxfId="7855" priority="8577">
      <formula>IF(#REF!="FICTICIO",1,0)</formula>
    </cfRule>
  </conditionalFormatting>
  <conditionalFormatting sqref="E134">
    <cfRule type="expression" dxfId="7854" priority="8576">
      <formula>IF(#REF!="FICTICIO",1,0)</formula>
    </cfRule>
  </conditionalFormatting>
  <conditionalFormatting sqref="E134">
    <cfRule type="expression" dxfId="7853" priority="8575">
      <formula>IF(#REF!="FICTICIO",1,0)</formula>
    </cfRule>
  </conditionalFormatting>
  <conditionalFormatting sqref="E134">
    <cfRule type="expression" dxfId="7852" priority="8574">
      <formula>IF(#REF!="FICTICIO",1,0)</formula>
    </cfRule>
  </conditionalFormatting>
  <conditionalFormatting sqref="E134">
    <cfRule type="expression" dxfId="7851" priority="8573">
      <formula>IF(#REF!="FICTICIO",1,0)</formula>
    </cfRule>
  </conditionalFormatting>
  <conditionalFormatting sqref="E134">
    <cfRule type="expression" dxfId="7850" priority="8572">
      <formula>IF(#REF!="FICTICIO",1,0)</formula>
    </cfRule>
  </conditionalFormatting>
  <conditionalFormatting sqref="F134">
    <cfRule type="expression" dxfId="7849" priority="8570">
      <formula>IF(#REF!="FICTICIO",1,0)</formula>
    </cfRule>
  </conditionalFormatting>
  <conditionalFormatting sqref="F134">
    <cfRule type="expression" dxfId="7848" priority="8571">
      <formula>IF(#REF!="FICTICIO",1,0)</formula>
    </cfRule>
  </conditionalFormatting>
  <conditionalFormatting sqref="D136">
    <cfRule type="expression" dxfId="7847" priority="8569">
      <formula>IF(#REF!="FICTICIO",1,0)</formula>
    </cfRule>
  </conditionalFormatting>
  <conditionalFormatting sqref="E135">
    <cfRule type="expression" dxfId="7846" priority="8568">
      <formula>IF(#REF!="FICTICIO",1,0)</formula>
    </cfRule>
  </conditionalFormatting>
  <conditionalFormatting sqref="E135">
    <cfRule type="expression" dxfId="7845" priority="8567">
      <formula>IF(#REF!="FICTICIO",1,0)</formula>
    </cfRule>
  </conditionalFormatting>
  <conditionalFormatting sqref="E135">
    <cfRule type="expression" dxfId="7844" priority="8566">
      <formula>IF(#REF!="FICTICIO",1,0)</formula>
    </cfRule>
  </conditionalFormatting>
  <conditionalFormatting sqref="E135">
    <cfRule type="expression" dxfId="7843" priority="8565">
      <formula>IF(#REF!="FICTICIO",1,0)</formula>
    </cfRule>
  </conditionalFormatting>
  <conditionalFormatting sqref="E135">
    <cfRule type="expression" dxfId="7842" priority="8564">
      <formula>IF(#REF!="FICTICIO",1,0)</formula>
    </cfRule>
  </conditionalFormatting>
  <conditionalFormatting sqref="E135">
    <cfRule type="expression" dxfId="7841" priority="8563">
      <formula>IF(#REF!="FICTICIO",1,0)</formula>
    </cfRule>
  </conditionalFormatting>
  <conditionalFormatting sqref="E135">
    <cfRule type="expression" dxfId="7840" priority="8562">
      <formula>IF(#REF!="FICTICIO",1,0)</formula>
    </cfRule>
  </conditionalFormatting>
  <conditionalFormatting sqref="E135">
    <cfRule type="expression" dxfId="7839" priority="8561">
      <formula>IF(#REF!="FICTICIO",1,0)</formula>
    </cfRule>
  </conditionalFormatting>
  <conditionalFormatting sqref="E135">
    <cfRule type="expression" dxfId="7838" priority="8560">
      <formula>IF(#REF!="FICTICIO",1,0)</formula>
    </cfRule>
  </conditionalFormatting>
  <conditionalFormatting sqref="E135">
    <cfRule type="expression" dxfId="7837" priority="8559">
      <formula>IF(#REF!="FICTICIO",1,0)</formula>
    </cfRule>
  </conditionalFormatting>
  <conditionalFormatting sqref="F135">
    <cfRule type="expression" dxfId="7836" priority="8557">
      <formula>IF(#REF!="FICTICIO",1,0)</formula>
    </cfRule>
  </conditionalFormatting>
  <conditionalFormatting sqref="F135">
    <cfRule type="expression" dxfId="7835" priority="8558">
      <formula>IF(#REF!="FICTICIO",1,0)</formula>
    </cfRule>
  </conditionalFormatting>
  <conditionalFormatting sqref="E135">
    <cfRule type="expression" dxfId="7834" priority="8556">
      <formula>IF(#REF!="FICTICIO",1,0)</formula>
    </cfRule>
  </conditionalFormatting>
  <conditionalFormatting sqref="E135">
    <cfRule type="expression" dxfId="7833" priority="8555">
      <formula>IF(#REF!="FICTICIO",1,0)</formula>
    </cfRule>
  </conditionalFormatting>
  <conditionalFormatting sqref="E135">
    <cfRule type="expression" dxfId="7832" priority="8554">
      <formula>IF(#REF!="FICTICIO",1,0)</formula>
    </cfRule>
  </conditionalFormatting>
  <conditionalFormatting sqref="E135">
    <cfRule type="expression" dxfId="7831" priority="8553">
      <formula>IF(#REF!="FICTICIO",1,0)</formula>
    </cfRule>
  </conditionalFormatting>
  <conditionalFormatting sqref="E135">
    <cfRule type="expression" dxfId="7830" priority="8552">
      <formula>IF(#REF!="FICTICIO",1,0)</formula>
    </cfRule>
  </conditionalFormatting>
  <conditionalFormatting sqref="E135">
    <cfRule type="expression" dxfId="7829" priority="8551">
      <formula>IF(#REF!="FICTICIO",1,0)</formula>
    </cfRule>
  </conditionalFormatting>
  <conditionalFormatting sqref="E135">
    <cfRule type="expression" dxfId="7828" priority="8550">
      <formula>IF(#REF!="FICTICIO",1,0)</formula>
    </cfRule>
  </conditionalFormatting>
  <conditionalFormatting sqref="E135">
    <cfRule type="expression" dxfId="7827" priority="8549">
      <formula>IF(#REF!="FICTICIO",1,0)</formula>
    </cfRule>
  </conditionalFormatting>
  <conditionalFormatting sqref="E135">
    <cfRule type="expression" dxfId="7826" priority="8548">
      <formula>IF(#REF!="FICTICIO",1,0)</formula>
    </cfRule>
  </conditionalFormatting>
  <conditionalFormatting sqref="D135">
    <cfRule type="expression" dxfId="7825" priority="8546">
      <formula>IF(#REF!="FICTICIO",1,0)</formula>
    </cfRule>
  </conditionalFormatting>
  <conditionalFormatting sqref="D135">
    <cfRule type="expression" dxfId="7824" priority="8547">
      <formula>IF(#REF!="FICTICIO",1,0)</formula>
    </cfRule>
  </conditionalFormatting>
  <conditionalFormatting sqref="D135">
    <cfRule type="expression" dxfId="7823" priority="8544">
      <formula>IF(#REF!="FICTICIO",1,0)</formula>
    </cfRule>
  </conditionalFormatting>
  <conditionalFormatting sqref="D135">
    <cfRule type="expression" dxfId="7822" priority="8545">
      <formula>IF(#REF!="FICTICIO",1,0)</formula>
    </cfRule>
  </conditionalFormatting>
  <conditionalFormatting sqref="E136">
    <cfRule type="expression" dxfId="7821" priority="8543">
      <formula>IF(#REF!="FICTICIO",1,0)</formula>
    </cfRule>
  </conditionalFormatting>
  <conditionalFormatting sqref="E136">
    <cfRule type="expression" dxfId="7820" priority="8542">
      <formula>IF(#REF!="FICTICIO",1,0)</formula>
    </cfRule>
  </conditionalFormatting>
  <conditionalFormatting sqref="E136">
    <cfRule type="expression" dxfId="7819" priority="8541">
      <formula>IF(#REF!="FICTICIO",1,0)</formula>
    </cfRule>
  </conditionalFormatting>
  <conditionalFormatting sqref="E136">
    <cfRule type="expression" dxfId="7818" priority="8540">
      <formula>IF(#REF!="FICTICIO",1,0)</formula>
    </cfRule>
  </conditionalFormatting>
  <conditionalFormatting sqref="E136">
    <cfRule type="expression" dxfId="7817" priority="8539">
      <formula>IF(#REF!="FICTICIO",1,0)</formula>
    </cfRule>
  </conditionalFormatting>
  <conditionalFormatting sqref="E136">
    <cfRule type="expression" dxfId="7816" priority="8538">
      <formula>IF(#REF!="FICTICIO",1,0)</formula>
    </cfRule>
  </conditionalFormatting>
  <conditionalFormatting sqref="E136">
    <cfRule type="expression" dxfId="7815" priority="8537">
      <formula>IF(#REF!="FICTICIO",1,0)</formula>
    </cfRule>
  </conditionalFormatting>
  <conditionalFormatting sqref="E136">
    <cfRule type="expression" dxfId="7814" priority="8536">
      <formula>IF(#REF!="FICTICIO",1,0)</formula>
    </cfRule>
  </conditionalFormatting>
  <conditionalFormatting sqref="E136">
    <cfRule type="expression" dxfId="7813" priority="8535">
      <formula>IF(#REF!="FICTICIO",1,0)</formula>
    </cfRule>
  </conditionalFormatting>
  <conditionalFormatting sqref="E136">
    <cfRule type="expression" dxfId="7812" priority="8534">
      <formula>IF(#REF!="FICTICIO",1,0)</formula>
    </cfRule>
  </conditionalFormatting>
  <conditionalFormatting sqref="E136">
    <cfRule type="expression" dxfId="7811" priority="8533">
      <formula>IF(#REF!="FICTICIO",1,0)</formula>
    </cfRule>
  </conditionalFormatting>
  <conditionalFormatting sqref="E136">
    <cfRule type="expression" dxfId="7810" priority="8532">
      <formula>IF(#REF!="FICTICIO",1,0)</formula>
    </cfRule>
  </conditionalFormatting>
  <conditionalFormatting sqref="E136">
    <cfRule type="expression" dxfId="7809" priority="8531">
      <formula>IF(#REF!="FICTICIO",1,0)</formula>
    </cfRule>
  </conditionalFormatting>
  <conditionalFormatting sqref="E136">
    <cfRule type="expression" dxfId="7808" priority="8530">
      <formula>IF(#REF!="FICTICIO",1,0)</formula>
    </cfRule>
  </conditionalFormatting>
  <conditionalFormatting sqref="E136">
    <cfRule type="expression" dxfId="7807" priority="8529">
      <formula>IF(#REF!="FICTICIO",1,0)</formula>
    </cfRule>
  </conditionalFormatting>
  <conditionalFormatting sqref="E136">
    <cfRule type="expression" dxfId="7806" priority="8528">
      <formula>IF(#REF!="FICTICIO",1,0)</formula>
    </cfRule>
  </conditionalFormatting>
  <conditionalFormatting sqref="E136">
    <cfRule type="expression" dxfId="7805" priority="8527">
      <formula>IF(#REF!="FICTICIO",1,0)</formula>
    </cfRule>
  </conditionalFormatting>
  <conditionalFormatting sqref="E136">
    <cfRule type="expression" dxfId="7804" priority="8526">
      <formula>IF(#REF!="FICTICIO",1,0)</formula>
    </cfRule>
  </conditionalFormatting>
  <conditionalFormatting sqref="E136">
    <cfRule type="expression" dxfId="7803" priority="8525">
      <formula>IF(#REF!="FICTICIO",1,0)</formula>
    </cfRule>
  </conditionalFormatting>
  <conditionalFormatting sqref="F136">
    <cfRule type="expression" dxfId="7802" priority="8523">
      <formula>IF(#REF!="FICTICIO",1,0)</formula>
    </cfRule>
  </conditionalFormatting>
  <conditionalFormatting sqref="F136">
    <cfRule type="expression" dxfId="7801" priority="8524">
      <formula>IF(#REF!="FICTICIO",1,0)</formula>
    </cfRule>
  </conditionalFormatting>
  <conditionalFormatting sqref="D137">
    <cfRule type="expression" dxfId="7800" priority="8500">
      <formula>IF(#REF!="FICTICIO",1,0)</formula>
    </cfRule>
  </conditionalFormatting>
  <conditionalFormatting sqref="E137">
    <cfRule type="expression" dxfId="7799" priority="8499">
      <formula>IF(#REF!="FICTICIO",1,0)</formula>
    </cfRule>
  </conditionalFormatting>
  <conditionalFormatting sqref="E137">
    <cfRule type="expression" dxfId="7798" priority="8498">
      <formula>IF(#REF!="FICTICIO",1,0)</formula>
    </cfRule>
  </conditionalFormatting>
  <conditionalFormatting sqref="E137">
    <cfRule type="expression" dxfId="7797" priority="8497">
      <formula>IF(#REF!="FICTICIO",1,0)</formula>
    </cfRule>
  </conditionalFormatting>
  <conditionalFormatting sqref="E137">
    <cfRule type="expression" dxfId="7796" priority="8496">
      <formula>IF(#REF!="FICTICIO",1,0)</formula>
    </cfRule>
  </conditionalFormatting>
  <conditionalFormatting sqref="E137">
    <cfRule type="expression" dxfId="7795" priority="8495">
      <formula>IF(#REF!="FICTICIO",1,0)</formula>
    </cfRule>
  </conditionalFormatting>
  <conditionalFormatting sqref="E137">
    <cfRule type="expression" dxfId="7794" priority="8494">
      <formula>IF(#REF!="FICTICIO",1,0)</formula>
    </cfRule>
  </conditionalFormatting>
  <conditionalFormatting sqref="E137">
    <cfRule type="expression" dxfId="7793" priority="8493">
      <formula>IF(#REF!="FICTICIO",1,0)</formula>
    </cfRule>
  </conditionalFormatting>
  <conditionalFormatting sqref="E137">
    <cfRule type="expression" dxfId="7792" priority="8492">
      <formula>IF(#REF!="FICTICIO",1,0)</formula>
    </cfRule>
  </conditionalFormatting>
  <conditionalFormatting sqref="E137">
    <cfRule type="expression" dxfId="7791" priority="8491">
      <formula>IF(#REF!="FICTICIO",1,0)</formula>
    </cfRule>
  </conditionalFormatting>
  <conditionalFormatting sqref="E137">
    <cfRule type="expression" dxfId="7790" priority="8490">
      <formula>IF(#REF!="FICTICIO",1,0)</formula>
    </cfRule>
  </conditionalFormatting>
  <conditionalFormatting sqref="E137">
    <cfRule type="expression" dxfId="7789" priority="8489">
      <formula>IF(#REF!="FICTICIO",1,0)</formula>
    </cfRule>
  </conditionalFormatting>
  <conditionalFormatting sqref="E137">
    <cfRule type="expression" dxfId="7788" priority="8488">
      <formula>IF(#REF!="FICTICIO",1,0)</formula>
    </cfRule>
  </conditionalFormatting>
  <conditionalFormatting sqref="E137">
    <cfRule type="expression" dxfId="7787" priority="8487">
      <formula>IF(#REF!="FICTICIO",1,0)</formula>
    </cfRule>
  </conditionalFormatting>
  <conditionalFormatting sqref="E137">
    <cfRule type="expression" dxfId="7786" priority="8486">
      <formula>IF(#REF!="FICTICIO",1,0)</formula>
    </cfRule>
  </conditionalFormatting>
  <conditionalFormatting sqref="E137">
    <cfRule type="expression" dxfId="7785" priority="8485">
      <formula>IF(#REF!="FICTICIO",1,0)</formula>
    </cfRule>
  </conditionalFormatting>
  <conditionalFormatting sqref="E137">
    <cfRule type="expression" dxfId="7784" priority="8484">
      <formula>IF(#REF!="FICTICIO",1,0)</formula>
    </cfRule>
  </conditionalFormatting>
  <conditionalFormatting sqref="E137">
    <cfRule type="expression" dxfId="7783" priority="8483">
      <formula>IF(#REF!="FICTICIO",1,0)</formula>
    </cfRule>
  </conditionalFormatting>
  <conditionalFormatting sqref="E137">
    <cfRule type="expression" dxfId="7782" priority="8482">
      <formula>IF(#REF!="FICTICIO",1,0)</formula>
    </cfRule>
  </conditionalFormatting>
  <conditionalFormatting sqref="E137">
    <cfRule type="expression" dxfId="7781" priority="8481">
      <formula>IF(#REF!="FICTICIO",1,0)</formula>
    </cfRule>
  </conditionalFormatting>
  <conditionalFormatting sqref="F137">
    <cfRule type="expression" dxfId="7780" priority="8479">
      <formula>IF(#REF!="FICTICIO",1,0)</formula>
    </cfRule>
  </conditionalFormatting>
  <conditionalFormatting sqref="F137">
    <cfRule type="expression" dxfId="7779" priority="8480">
      <formula>IF(#REF!="FICTICIO",1,0)</formula>
    </cfRule>
  </conditionalFormatting>
  <conditionalFormatting sqref="D139">
    <cfRule type="expression" dxfId="7778" priority="8478">
      <formula>IF(#REF!="FICTICIO",1,0)</formula>
    </cfRule>
  </conditionalFormatting>
  <conditionalFormatting sqref="E138">
    <cfRule type="expression" dxfId="7777" priority="8477">
      <formula>IF(#REF!="FICTICIO",1,0)</formula>
    </cfRule>
  </conditionalFormatting>
  <conditionalFormatting sqref="E138">
    <cfRule type="expression" dxfId="7776" priority="8476">
      <formula>IF(#REF!="FICTICIO",1,0)</formula>
    </cfRule>
  </conditionalFormatting>
  <conditionalFormatting sqref="E138">
    <cfRule type="expression" dxfId="7775" priority="8475">
      <formula>IF(#REF!="FICTICIO",1,0)</formula>
    </cfRule>
  </conditionalFormatting>
  <conditionalFormatting sqref="E138">
    <cfRule type="expression" dxfId="7774" priority="8474">
      <formula>IF(#REF!="FICTICIO",1,0)</formula>
    </cfRule>
  </conditionalFormatting>
  <conditionalFormatting sqref="E138">
    <cfRule type="expression" dxfId="7773" priority="8473">
      <formula>IF(#REF!="FICTICIO",1,0)</formula>
    </cfRule>
  </conditionalFormatting>
  <conditionalFormatting sqref="E138">
    <cfRule type="expression" dxfId="7772" priority="8472">
      <formula>IF(#REF!="FICTICIO",1,0)</formula>
    </cfRule>
  </conditionalFormatting>
  <conditionalFormatting sqref="E138">
    <cfRule type="expression" dxfId="7771" priority="8471">
      <formula>IF(#REF!="FICTICIO",1,0)</formula>
    </cfRule>
  </conditionalFormatting>
  <conditionalFormatting sqref="E138">
    <cfRule type="expression" dxfId="7770" priority="8470">
      <formula>IF(#REF!="FICTICIO",1,0)</formula>
    </cfRule>
  </conditionalFormatting>
  <conditionalFormatting sqref="E138">
    <cfRule type="expression" dxfId="7769" priority="8469">
      <formula>IF(#REF!="FICTICIO",1,0)</formula>
    </cfRule>
  </conditionalFormatting>
  <conditionalFormatting sqref="E138">
    <cfRule type="expression" dxfId="7768" priority="8468">
      <formula>IF(#REF!="FICTICIO",1,0)</formula>
    </cfRule>
  </conditionalFormatting>
  <conditionalFormatting sqref="F138">
    <cfRule type="expression" dxfId="7767" priority="8466">
      <formula>IF(#REF!="FICTICIO",1,0)</formula>
    </cfRule>
  </conditionalFormatting>
  <conditionalFormatting sqref="F138">
    <cfRule type="expression" dxfId="7766" priority="8467">
      <formula>IF(#REF!="FICTICIO",1,0)</formula>
    </cfRule>
  </conditionalFormatting>
  <conditionalFormatting sqref="E138">
    <cfRule type="expression" dxfId="7765" priority="8465">
      <formula>IF(#REF!="FICTICIO",1,0)</formula>
    </cfRule>
  </conditionalFormatting>
  <conditionalFormatting sqref="E138">
    <cfRule type="expression" dxfId="7764" priority="8464">
      <formula>IF(#REF!="FICTICIO",1,0)</formula>
    </cfRule>
  </conditionalFormatting>
  <conditionalFormatting sqref="E138">
    <cfRule type="expression" dxfId="7763" priority="8463">
      <formula>IF(#REF!="FICTICIO",1,0)</formula>
    </cfRule>
  </conditionalFormatting>
  <conditionalFormatting sqref="E138">
    <cfRule type="expression" dxfId="7762" priority="8462">
      <formula>IF(#REF!="FICTICIO",1,0)</formula>
    </cfRule>
  </conditionalFormatting>
  <conditionalFormatting sqref="E138">
    <cfRule type="expression" dxfId="7761" priority="8461">
      <formula>IF(#REF!="FICTICIO",1,0)</formula>
    </cfRule>
  </conditionalFormatting>
  <conditionalFormatting sqref="E138">
    <cfRule type="expression" dxfId="7760" priority="8460">
      <formula>IF(#REF!="FICTICIO",1,0)</formula>
    </cfRule>
  </conditionalFormatting>
  <conditionalFormatting sqref="E138">
    <cfRule type="expression" dxfId="7759" priority="8459">
      <formula>IF(#REF!="FICTICIO",1,0)</formula>
    </cfRule>
  </conditionalFormatting>
  <conditionalFormatting sqref="E138">
    <cfRule type="expression" dxfId="7758" priority="8458">
      <formula>IF(#REF!="FICTICIO",1,0)</formula>
    </cfRule>
  </conditionalFormatting>
  <conditionalFormatting sqref="E138">
    <cfRule type="expression" dxfId="7757" priority="8457">
      <formula>IF(#REF!="FICTICIO",1,0)</formula>
    </cfRule>
  </conditionalFormatting>
  <conditionalFormatting sqref="D138">
    <cfRule type="expression" dxfId="7756" priority="8455">
      <formula>IF(#REF!="FICTICIO",1,0)</formula>
    </cfRule>
  </conditionalFormatting>
  <conditionalFormatting sqref="D138">
    <cfRule type="expression" dxfId="7755" priority="8456">
      <formula>IF(#REF!="FICTICIO",1,0)</formula>
    </cfRule>
  </conditionalFormatting>
  <conditionalFormatting sqref="D138">
    <cfRule type="expression" dxfId="7754" priority="8453">
      <formula>IF(#REF!="FICTICIO",1,0)</formula>
    </cfRule>
  </conditionalFormatting>
  <conditionalFormatting sqref="D138">
    <cfRule type="expression" dxfId="7753" priority="8454">
      <formula>IF(#REF!="FICTICIO",1,0)</formula>
    </cfRule>
  </conditionalFormatting>
  <conditionalFormatting sqref="E139">
    <cfRule type="expression" dxfId="7752" priority="8452">
      <formula>IF(#REF!="FICTICIO",1,0)</formula>
    </cfRule>
  </conditionalFormatting>
  <conditionalFormatting sqref="E139">
    <cfRule type="expression" dxfId="7751" priority="8451">
      <formula>IF(#REF!="FICTICIO",1,0)</formula>
    </cfRule>
  </conditionalFormatting>
  <conditionalFormatting sqref="E139">
    <cfRule type="expression" dxfId="7750" priority="8450">
      <formula>IF(#REF!="FICTICIO",1,0)</formula>
    </cfRule>
  </conditionalFormatting>
  <conditionalFormatting sqref="E139">
    <cfRule type="expression" dxfId="7749" priority="8449">
      <formula>IF(#REF!="FICTICIO",1,0)</formula>
    </cfRule>
  </conditionalFormatting>
  <conditionalFormatting sqref="E139">
    <cfRule type="expression" dxfId="7748" priority="8448">
      <formula>IF(#REF!="FICTICIO",1,0)</formula>
    </cfRule>
  </conditionalFormatting>
  <conditionalFormatting sqref="E139">
    <cfRule type="expression" dxfId="7747" priority="8447">
      <formula>IF(#REF!="FICTICIO",1,0)</formula>
    </cfRule>
  </conditionalFormatting>
  <conditionalFormatting sqref="E139">
    <cfRule type="expression" dxfId="7746" priority="8446">
      <formula>IF(#REF!="FICTICIO",1,0)</formula>
    </cfRule>
  </conditionalFormatting>
  <conditionalFormatting sqref="E139">
    <cfRule type="expression" dxfId="7745" priority="8445">
      <formula>IF(#REF!="FICTICIO",1,0)</formula>
    </cfRule>
  </conditionalFormatting>
  <conditionalFormatting sqref="E139">
    <cfRule type="expression" dxfId="7744" priority="8444">
      <formula>IF(#REF!="FICTICIO",1,0)</formula>
    </cfRule>
  </conditionalFormatting>
  <conditionalFormatting sqref="E139">
    <cfRule type="expression" dxfId="7743" priority="8443">
      <formula>IF(#REF!="FICTICIO",1,0)</formula>
    </cfRule>
  </conditionalFormatting>
  <conditionalFormatting sqref="E139">
    <cfRule type="expression" dxfId="7742" priority="8442">
      <formula>IF(#REF!="FICTICIO",1,0)</formula>
    </cfRule>
  </conditionalFormatting>
  <conditionalFormatting sqref="E139">
    <cfRule type="expression" dxfId="7741" priority="8441">
      <formula>IF(#REF!="FICTICIO",1,0)</formula>
    </cfRule>
  </conditionalFormatting>
  <conditionalFormatting sqref="E139">
    <cfRule type="expression" dxfId="7740" priority="8440">
      <formula>IF(#REF!="FICTICIO",1,0)</formula>
    </cfRule>
  </conditionalFormatting>
  <conditionalFormatting sqref="E139">
    <cfRule type="expression" dxfId="7739" priority="8439">
      <formula>IF(#REF!="FICTICIO",1,0)</formula>
    </cfRule>
  </conditionalFormatting>
  <conditionalFormatting sqref="E139">
    <cfRule type="expression" dxfId="7738" priority="8438">
      <formula>IF(#REF!="FICTICIO",1,0)</formula>
    </cfRule>
  </conditionalFormatting>
  <conditionalFormatting sqref="E139">
    <cfRule type="expression" dxfId="7737" priority="8437">
      <formula>IF(#REF!="FICTICIO",1,0)</formula>
    </cfRule>
  </conditionalFormatting>
  <conditionalFormatting sqref="E139">
    <cfRule type="expression" dxfId="7736" priority="8436">
      <formula>IF(#REF!="FICTICIO",1,0)</formula>
    </cfRule>
  </conditionalFormatting>
  <conditionalFormatting sqref="E139">
    <cfRule type="expression" dxfId="7735" priority="8435">
      <formula>IF(#REF!="FICTICIO",1,0)</formula>
    </cfRule>
  </conditionalFormatting>
  <conditionalFormatting sqref="E139">
    <cfRule type="expression" dxfId="7734" priority="8434">
      <formula>IF(#REF!="FICTICIO",1,0)</formula>
    </cfRule>
  </conditionalFormatting>
  <conditionalFormatting sqref="F139">
    <cfRule type="expression" dxfId="7733" priority="8432">
      <formula>IF(#REF!="FICTICIO",1,0)</formula>
    </cfRule>
  </conditionalFormatting>
  <conditionalFormatting sqref="F139">
    <cfRule type="expression" dxfId="7732" priority="8433">
      <formula>IF(#REF!="FICTICIO",1,0)</formula>
    </cfRule>
  </conditionalFormatting>
  <conditionalFormatting sqref="D140">
    <cfRule type="expression" dxfId="7731" priority="8431">
      <formula>IF(#REF!="FICTICIO",1,0)</formula>
    </cfRule>
  </conditionalFormatting>
  <conditionalFormatting sqref="E140">
    <cfRule type="expression" dxfId="7730" priority="8430">
      <formula>IF(#REF!="FICTICIO",1,0)</formula>
    </cfRule>
  </conditionalFormatting>
  <conditionalFormatting sqref="E140">
    <cfRule type="expression" dxfId="7729" priority="8429">
      <formula>IF(#REF!="FICTICIO",1,0)</formula>
    </cfRule>
  </conditionalFormatting>
  <conditionalFormatting sqref="E140">
    <cfRule type="expression" dxfId="7728" priority="8428">
      <formula>IF(#REF!="FICTICIO",1,0)</formula>
    </cfRule>
  </conditionalFormatting>
  <conditionalFormatting sqref="E140">
    <cfRule type="expression" dxfId="7727" priority="8427">
      <formula>IF(#REF!="FICTICIO",1,0)</formula>
    </cfRule>
  </conditionalFormatting>
  <conditionalFormatting sqref="E140">
    <cfRule type="expression" dxfId="7726" priority="8426">
      <formula>IF(#REF!="FICTICIO",1,0)</formula>
    </cfRule>
  </conditionalFormatting>
  <conditionalFormatting sqref="E140">
    <cfRule type="expression" dxfId="7725" priority="8425">
      <formula>IF(#REF!="FICTICIO",1,0)</formula>
    </cfRule>
  </conditionalFormatting>
  <conditionalFormatting sqref="E140">
    <cfRule type="expression" dxfId="7724" priority="8424">
      <formula>IF(#REF!="FICTICIO",1,0)</formula>
    </cfRule>
  </conditionalFormatting>
  <conditionalFormatting sqref="E140">
    <cfRule type="expression" dxfId="7723" priority="8423">
      <formula>IF(#REF!="FICTICIO",1,0)</formula>
    </cfRule>
  </conditionalFormatting>
  <conditionalFormatting sqref="E140">
    <cfRule type="expression" dxfId="7722" priority="8422">
      <formula>IF(#REF!="FICTICIO",1,0)</formula>
    </cfRule>
  </conditionalFormatting>
  <conditionalFormatting sqref="E140">
    <cfRule type="expression" dxfId="7721" priority="8421">
      <formula>IF(#REF!="FICTICIO",1,0)</formula>
    </cfRule>
  </conditionalFormatting>
  <conditionalFormatting sqref="E140">
    <cfRule type="expression" dxfId="7720" priority="8420">
      <formula>IF(#REF!="FICTICIO",1,0)</formula>
    </cfRule>
  </conditionalFormatting>
  <conditionalFormatting sqref="E140">
    <cfRule type="expression" dxfId="7719" priority="8419">
      <formula>IF(#REF!="FICTICIO",1,0)</formula>
    </cfRule>
  </conditionalFormatting>
  <conditionalFormatting sqref="E140">
    <cfRule type="expression" dxfId="7718" priority="8418">
      <formula>IF(#REF!="FICTICIO",1,0)</formula>
    </cfRule>
  </conditionalFormatting>
  <conditionalFormatting sqref="E140">
    <cfRule type="expression" dxfId="7717" priority="8417">
      <formula>IF(#REF!="FICTICIO",1,0)</formula>
    </cfRule>
  </conditionalFormatting>
  <conditionalFormatting sqref="E140">
    <cfRule type="expression" dxfId="7716" priority="8416">
      <formula>IF(#REF!="FICTICIO",1,0)</formula>
    </cfRule>
  </conditionalFormatting>
  <conditionalFormatting sqref="E140">
    <cfRule type="expression" dxfId="7715" priority="8415">
      <formula>IF(#REF!="FICTICIO",1,0)</formula>
    </cfRule>
  </conditionalFormatting>
  <conditionalFormatting sqref="E140">
    <cfRule type="expression" dxfId="7714" priority="8414">
      <formula>IF(#REF!="FICTICIO",1,0)</formula>
    </cfRule>
  </conditionalFormatting>
  <conditionalFormatting sqref="E140">
    <cfRule type="expression" dxfId="7713" priority="8413">
      <formula>IF(#REF!="FICTICIO",1,0)</formula>
    </cfRule>
  </conditionalFormatting>
  <conditionalFormatting sqref="E140">
    <cfRule type="expression" dxfId="7712" priority="8412">
      <formula>IF(#REF!="FICTICIO",1,0)</formula>
    </cfRule>
  </conditionalFormatting>
  <conditionalFormatting sqref="F140">
    <cfRule type="expression" dxfId="7711" priority="8410">
      <formula>IF(#REF!="FICTICIO",1,0)</formula>
    </cfRule>
  </conditionalFormatting>
  <conditionalFormatting sqref="F140">
    <cfRule type="expression" dxfId="7710" priority="8411">
      <formula>IF(#REF!="FICTICIO",1,0)</formula>
    </cfRule>
  </conditionalFormatting>
  <conditionalFormatting sqref="D142">
    <cfRule type="expression" dxfId="7709" priority="8409">
      <formula>IF(#REF!="FICTICIO",1,0)</formula>
    </cfRule>
  </conditionalFormatting>
  <conditionalFormatting sqref="E141">
    <cfRule type="expression" dxfId="7708" priority="8408">
      <formula>IF(#REF!="FICTICIO",1,0)</formula>
    </cfRule>
  </conditionalFormatting>
  <conditionalFormatting sqref="E141">
    <cfRule type="expression" dxfId="7707" priority="8407">
      <formula>IF(#REF!="FICTICIO",1,0)</formula>
    </cfRule>
  </conditionalFormatting>
  <conditionalFormatting sqref="E141">
    <cfRule type="expression" dxfId="7706" priority="8406">
      <formula>IF(#REF!="FICTICIO",1,0)</formula>
    </cfRule>
  </conditionalFormatting>
  <conditionalFormatting sqref="E141">
    <cfRule type="expression" dxfId="7705" priority="8405">
      <formula>IF(#REF!="FICTICIO",1,0)</formula>
    </cfRule>
  </conditionalFormatting>
  <conditionalFormatting sqref="E141">
    <cfRule type="expression" dxfId="7704" priority="8404">
      <formula>IF(#REF!="FICTICIO",1,0)</formula>
    </cfRule>
  </conditionalFormatting>
  <conditionalFormatting sqref="E141">
    <cfRule type="expression" dxfId="7703" priority="8403">
      <formula>IF(#REF!="FICTICIO",1,0)</formula>
    </cfRule>
  </conditionalFormatting>
  <conditionalFormatting sqref="E141">
    <cfRule type="expression" dxfId="7702" priority="8402">
      <formula>IF(#REF!="FICTICIO",1,0)</formula>
    </cfRule>
  </conditionalFormatting>
  <conditionalFormatting sqref="E141">
    <cfRule type="expression" dxfId="7701" priority="8401">
      <formula>IF(#REF!="FICTICIO",1,0)</formula>
    </cfRule>
  </conditionalFormatting>
  <conditionalFormatting sqref="E141">
    <cfRule type="expression" dxfId="7700" priority="8400">
      <formula>IF(#REF!="FICTICIO",1,0)</formula>
    </cfRule>
  </conditionalFormatting>
  <conditionalFormatting sqref="E141">
    <cfRule type="expression" dxfId="7699" priority="8399">
      <formula>IF(#REF!="FICTICIO",1,0)</formula>
    </cfRule>
  </conditionalFormatting>
  <conditionalFormatting sqref="F141">
    <cfRule type="expression" dxfId="7698" priority="8397">
      <formula>IF(#REF!="FICTICIO",1,0)</formula>
    </cfRule>
  </conditionalFormatting>
  <conditionalFormatting sqref="F141">
    <cfRule type="expression" dxfId="7697" priority="8398">
      <formula>IF(#REF!="FICTICIO",1,0)</formula>
    </cfRule>
  </conditionalFormatting>
  <conditionalFormatting sqref="E141">
    <cfRule type="expression" dxfId="7696" priority="8396">
      <formula>IF(#REF!="FICTICIO",1,0)</formula>
    </cfRule>
  </conditionalFormatting>
  <conditionalFormatting sqref="E141">
    <cfRule type="expression" dxfId="7695" priority="8395">
      <formula>IF(#REF!="FICTICIO",1,0)</formula>
    </cfRule>
  </conditionalFormatting>
  <conditionalFormatting sqref="E141">
    <cfRule type="expression" dxfId="7694" priority="8394">
      <formula>IF(#REF!="FICTICIO",1,0)</formula>
    </cfRule>
  </conditionalFormatting>
  <conditionalFormatting sqref="E141">
    <cfRule type="expression" dxfId="7693" priority="8393">
      <formula>IF(#REF!="FICTICIO",1,0)</formula>
    </cfRule>
  </conditionalFormatting>
  <conditionalFormatting sqref="E141">
    <cfRule type="expression" dxfId="7692" priority="8392">
      <formula>IF(#REF!="FICTICIO",1,0)</formula>
    </cfRule>
  </conditionalFormatting>
  <conditionalFormatting sqref="E141">
    <cfRule type="expression" dxfId="7691" priority="8391">
      <formula>IF(#REF!="FICTICIO",1,0)</formula>
    </cfRule>
  </conditionalFormatting>
  <conditionalFormatting sqref="E141">
    <cfRule type="expression" dxfId="7690" priority="8390">
      <formula>IF(#REF!="FICTICIO",1,0)</formula>
    </cfRule>
  </conditionalFormatting>
  <conditionalFormatting sqref="E141">
    <cfRule type="expression" dxfId="7689" priority="8389">
      <formula>IF(#REF!="FICTICIO",1,0)</formula>
    </cfRule>
  </conditionalFormatting>
  <conditionalFormatting sqref="E141">
    <cfRule type="expression" dxfId="7688" priority="8388">
      <formula>IF(#REF!="FICTICIO",1,0)</formula>
    </cfRule>
  </conditionalFormatting>
  <conditionalFormatting sqref="D141">
    <cfRule type="expression" dxfId="7687" priority="8386">
      <formula>IF(#REF!="FICTICIO",1,0)</formula>
    </cfRule>
  </conditionalFormatting>
  <conditionalFormatting sqref="D141">
    <cfRule type="expression" dxfId="7686" priority="8387">
      <formula>IF(#REF!="FICTICIO",1,0)</formula>
    </cfRule>
  </conditionalFormatting>
  <conditionalFormatting sqref="D141">
    <cfRule type="expression" dxfId="7685" priority="8384">
      <formula>IF(#REF!="FICTICIO",1,0)</formula>
    </cfRule>
  </conditionalFormatting>
  <conditionalFormatting sqref="D141">
    <cfRule type="expression" dxfId="7684" priority="8385">
      <formula>IF(#REF!="FICTICIO",1,0)</formula>
    </cfRule>
  </conditionalFormatting>
  <conditionalFormatting sqref="E142">
    <cfRule type="expression" dxfId="7683" priority="8383">
      <formula>IF(#REF!="FICTICIO",1,0)</formula>
    </cfRule>
  </conditionalFormatting>
  <conditionalFormatting sqref="E142">
    <cfRule type="expression" dxfId="7682" priority="8382">
      <formula>IF(#REF!="FICTICIO",1,0)</formula>
    </cfRule>
  </conditionalFormatting>
  <conditionalFormatting sqref="E142">
    <cfRule type="expression" dxfId="7681" priority="8381">
      <formula>IF(#REF!="FICTICIO",1,0)</formula>
    </cfRule>
  </conditionalFormatting>
  <conditionalFormatting sqref="E142">
    <cfRule type="expression" dxfId="7680" priority="8380">
      <formula>IF(#REF!="FICTICIO",1,0)</formula>
    </cfRule>
  </conditionalFormatting>
  <conditionalFormatting sqref="E142">
    <cfRule type="expression" dxfId="7679" priority="8379">
      <formula>IF(#REF!="FICTICIO",1,0)</formula>
    </cfRule>
  </conditionalFormatting>
  <conditionalFormatting sqref="E142">
    <cfRule type="expression" dxfId="7678" priority="8378">
      <formula>IF(#REF!="FICTICIO",1,0)</formula>
    </cfRule>
  </conditionalFormatting>
  <conditionalFormatting sqref="E142">
    <cfRule type="expression" dxfId="7677" priority="8377">
      <formula>IF(#REF!="FICTICIO",1,0)</formula>
    </cfRule>
  </conditionalFormatting>
  <conditionalFormatting sqref="E142">
    <cfRule type="expression" dxfId="7676" priority="8376">
      <formula>IF(#REF!="FICTICIO",1,0)</formula>
    </cfRule>
  </conditionalFormatting>
  <conditionalFormatting sqref="E142">
    <cfRule type="expression" dxfId="7675" priority="8375">
      <formula>IF(#REF!="FICTICIO",1,0)</formula>
    </cfRule>
  </conditionalFormatting>
  <conditionalFormatting sqref="E142">
    <cfRule type="expression" dxfId="7674" priority="8374">
      <formula>IF(#REF!="FICTICIO",1,0)</formula>
    </cfRule>
  </conditionalFormatting>
  <conditionalFormatting sqref="E142">
    <cfRule type="expression" dxfId="7673" priority="8373">
      <formula>IF(#REF!="FICTICIO",1,0)</formula>
    </cfRule>
  </conditionalFormatting>
  <conditionalFormatting sqref="E142">
    <cfRule type="expression" dxfId="7672" priority="8372">
      <formula>IF(#REF!="FICTICIO",1,0)</formula>
    </cfRule>
  </conditionalFormatting>
  <conditionalFormatting sqref="E142">
    <cfRule type="expression" dxfId="7671" priority="8371">
      <formula>IF(#REF!="FICTICIO",1,0)</formula>
    </cfRule>
  </conditionalFormatting>
  <conditionalFormatting sqref="E142">
    <cfRule type="expression" dxfId="7670" priority="8370">
      <formula>IF(#REF!="FICTICIO",1,0)</formula>
    </cfRule>
  </conditionalFormatting>
  <conditionalFormatting sqref="E142">
    <cfRule type="expression" dxfId="7669" priority="8369">
      <formula>IF(#REF!="FICTICIO",1,0)</formula>
    </cfRule>
  </conditionalFormatting>
  <conditionalFormatting sqref="E142">
    <cfRule type="expression" dxfId="7668" priority="8368">
      <formula>IF(#REF!="FICTICIO",1,0)</formula>
    </cfRule>
  </conditionalFormatting>
  <conditionalFormatting sqref="E142">
    <cfRule type="expression" dxfId="7667" priority="8367">
      <formula>IF(#REF!="FICTICIO",1,0)</formula>
    </cfRule>
  </conditionalFormatting>
  <conditionalFormatting sqref="E142">
    <cfRule type="expression" dxfId="7666" priority="8366">
      <formula>IF(#REF!="FICTICIO",1,0)</formula>
    </cfRule>
  </conditionalFormatting>
  <conditionalFormatting sqref="E142">
    <cfRule type="expression" dxfId="7665" priority="8365">
      <formula>IF(#REF!="FICTICIO",1,0)</formula>
    </cfRule>
  </conditionalFormatting>
  <conditionalFormatting sqref="F142">
    <cfRule type="expression" dxfId="7664" priority="8363">
      <formula>IF(#REF!="FICTICIO",1,0)</formula>
    </cfRule>
  </conditionalFormatting>
  <conditionalFormatting sqref="F142">
    <cfRule type="expression" dxfId="7663" priority="8364">
      <formula>IF(#REF!="FICTICIO",1,0)</formula>
    </cfRule>
  </conditionalFormatting>
  <conditionalFormatting sqref="D143">
    <cfRule type="expression" dxfId="7662" priority="8362">
      <formula>IF(#REF!="FICTICIO",1,0)</formula>
    </cfRule>
  </conditionalFormatting>
  <conditionalFormatting sqref="E143">
    <cfRule type="expression" dxfId="7661" priority="8361">
      <formula>IF(#REF!="FICTICIO",1,0)</formula>
    </cfRule>
  </conditionalFormatting>
  <conditionalFormatting sqref="E143">
    <cfRule type="expression" dxfId="7660" priority="8360">
      <formula>IF(#REF!="FICTICIO",1,0)</formula>
    </cfRule>
  </conditionalFormatting>
  <conditionalFormatting sqref="E143">
    <cfRule type="expression" dxfId="7659" priority="8359">
      <formula>IF(#REF!="FICTICIO",1,0)</formula>
    </cfRule>
  </conditionalFormatting>
  <conditionalFormatting sqref="E143">
    <cfRule type="expression" dxfId="7658" priority="8358">
      <formula>IF(#REF!="FICTICIO",1,0)</formula>
    </cfRule>
  </conditionalFormatting>
  <conditionalFormatting sqref="E143">
    <cfRule type="expression" dxfId="7657" priority="8357">
      <formula>IF(#REF!="FICTICIO",1,0)</formula>
    </cfRule>
  </conditionalFormatting>
  <conditionalFormatting sqref="E143">
    <cfRule type="expression" dxfId="7656" priority="8356">
      <formula>IF(#REF!="FICTICIO",1,0)</formula>
    </cfRule>
  </conditionalFormatting>
  <conditionalFormatting sqref="E143">
    <cfRule type="expression" dxfId="7655" priority="8355">
      <formula>IF(#REF!="FICTICIO",1,0)</formula>
    </cfRule>
  </conditionalFormatting>
  <conditionalFormatting sqref="E143">
    <cfRule type="expression" dxfId="7654" priority="8354">
      <formula>IF(#REF!="FICTICIO",1,0)</formula>
    </cfRule>
  </conditionalFormatting>
  <conditionalFormatting sqref="E143">
    <cfRule type="expression" dxfId="7653" priority="8353">
      <formula>IF(#REF!="FICTICIO",1,0)</formula>
    </cfRule>
  </conditionalFormatting>
  <conditionalFormatting sqref="E143">
    <cfRule type="expression" dxfId="7652" priority="8352">
      <formula>IF(#REF!="FICTICIO",1,0)</formula>
    </cfRule>
  </conditionalFormatting>
  <conditionalFormatting sqref="E143">
    <cfRule type="expression" dxfId="7651" priority="8351">
      <formula>IF(#REF!="FICTICIO",1,0)</formula>
    </cfRule>
  </conditionalFormatting>
  <conditionalFormatting sqref="E143">
    <cfRule type="expression" dxfId="7650" priority="8350">
      <formula>IF(#REF!="FICTICIO",1,0)</formula>
    </cfRule>
  </conditionalFormatting>
  <conditionalFormatting sqref="E143">
    <cfRule type="expression" dxfId="7649" priority="8349">
      <formula>IF(#REF!="FICTICIO",1,0)</formula>
    </cfRule>
  </conditionalFormatting>
  <conditionalFormatting sqref="E143">
    <cfRule type="expression" dxfId="7648" priority="8348">
      <formula>IF(#REF!="FICTICIO",1,0)</formula>
    </cfRule>
  </conditionalFormatting>
  <conditionalFormatting sqref="E143">
    <cfRule type="expression" dxfId="7647" priority="8347">
      <formula>IF(#REF!="FICTICIO",1,0)</formula>
    </cfRule>
  </conditionalFormatting>
  <conditionalFormatting sqref="E143">
    <cfRule type="expression" dxfId="7646" priority="8346">
      <formula>IF(#REF!="FICTICIO",1,0)</formula>
    </cfRule>
  </conditionalFormatting>
  <conditionalFormatting sqref="E143">
    <cfRule type="expression" dxfId="7645" priority="8345">
      <formula>IF(#REF!="FICTICIO",1,0)</formula>
    </cfRule>
  </conditionalFormatting>
  <conditionalFormatting sqref="E143">
    <cfRule type="expression" dxfId="7644" priority="8344">
      <formula>IF(#REF!="FICTICIO",1,0)</formula>
    </cfRule>
  </conditionalFormatting>
  <conditionalFormatting sqref="E143">
    <cfRule type="expression" dxfId="7643" priority="8343">
      <formula>IF(#REF!="FICTICIO",1,0)</formula>
    </cfRule>
  </conditionalFormatting>
  <conditionalFormatting sqref="F143">
    <cfRule type="expression" dxfId="7642" priority="8341">
      <formula>IF(#REF!="FICTICIO",1,0)</formula>
    </cfRule>
  </conditionalFormatting>
  <conditionalFormatting sqref="F143">
    <cfRule type="expression" dxfId="7641" priority="8342">
      <formula>IF(#REF!="FICTICIO",1,0)</formula>
    </cfRule>
  </conditionalFormatting>
  <conditionalFormatting sqref="E144">
    <cfRule type="expression" dxfId="7640" priority="8340">
      <formula>IF(#REF!="FICTICIO",1,0)</formula>
    </cfRule>
  </conditionalFormatting>
  <conditionalFormatting sqref="E144">
    <cfRule type="expression" dxfId="7639" priority="8339">
      <formula>IF(#REF!="FICTICIO",1,0)</formula>
    </cfRule>
  </conditionalFormatting>
  <conditionalFormatting sqref="E144">
    <cfRule type="expression" dxfId="7638" priority="8338">
      <formula>IF(#REF!="FICTICIO",1,0)</formula>
    </cfRule>
  </conditionalFormatting>
  <conditionalFormatting sqref="E144">
    <cfRule type="expression" dxfId="7637" priority="8337">
      <formula>IF(#REF!="FICTICIO",1,0)</formula>
    </cfRule>
  </conditionalFormatting>
  <conditionalFormatting sqref="E144">
    <cfRule type="expression" dxfId="7636" priority="8336">
      <formula>IF(#REF!="FICTICIO",1,0)</formula>
    </cfRule>
  </conditionalFormatting>
  <conditionalFormatting sqref="E144">
    <cfRule type="expression" dxfId="7635" priority="8335">
      <formula>IF(#REF!="FICTICIO",1,0)</formula>
    </cfRule>
  </conditionalFormatting>
  <conditionalFormatting sqref="E144">
    <cfRule type="expression" dxfId="7634" priority="8334">
      <formula>IF(#REF!="FICTICIO",1,0)</formula>
    </cfRule>
  </conditionalFormatting>
  <conditionalFormatting sqref="E144">
    <cfRule type="expression" dxfId="7633" priority="8333">
      <formula>IF(#REF!="FICTICIO",1,0)</formula>
    </cfRule>
  </conditionalFormatting>
  <conditionalFormatting sqref="E144">
    <cfRule type="expression" dxfId="7632" priority="8332">
      <formula>IF(#REF!="FICTICIO",1,0)</formula>
    </cfRule>
  </conditionalFormatting>
  <conditionalFormatting sqref="E144">
    <cfRule type="expression" dxfId="7631" priority="8331">
      <formula>IF(#REF!="FICTICIO",1,0)</formula>
    </cfRule>
  </conditionalFormatting>
  <conditionalFormatting sqref="F144">
    <cfRule type="expression" dxfId="7630" priority="8329">
      <formula>IF(#REF!="FICTICIO",1,0)</formula>
    </cfRule>
  </conditionalFormatting>
  <conditionalFormatting sqref="F144">
    <cfRule type="expression" dxfId="7629" priority="8330">
      <formula>IF(#REF!="FICTICIO",1,0)</formula>
    </cfRule>
  </conditionalFormatting>
  <conditionalFormatting sqref="E144">
    <cfRule type="expression" dxfId="7628" priority="8328">
      <formula>IF(#REF!="FICTICIO",1,0)</formula>
    </cfRule>
  </conditionalFormatting>
  <conditionalFormatting sqref="E144">
    <cfRule type="expression" dxfId="7627" priority="8327">
      <formula>IF(#REF!="FICTICIO",1,0)</formula>
    </cfRule>
  </conditionalFormatting>
  <conditionalFormatting sqref="E144">
    <cfRule type="expression" dxfId="7626" priority="8326">
      <formula>IF(#REF!="FICTICIO",1,0)</formula>
    </cfRule>
  </conditionalFormatting>
  <conditionalFormatting sqref="E144">
    <cfRule type="expression" dxfId="7625" priority="8325">
      <formula>IF(#REF!="FICTICIO",1,0)</formula>
    </cfRule>
  </conditionalFormatting>
  <conditionalFormatting sqref="E144">
    <cfRule type="expression" dxfId="7624" priority="8324">
      <formula>IF(#REF!="FICTICIO",1,0)</formula>
    </cfRule>
  </conditionalFormatting>
  <conditionalFormatting sqref="E144">
    <cfRule type="expression" dxfId="7623" priority="8323">
      <formula>IF(#REF!="FICTICIO",1,0)</formula>
    </cfRule>
  </conditionalFormatting>
  <conditionalFormatting sqref="E144">
    <cfRule type="expression" dxfId="7622" priority="8322">
      <formula>IF(#REF!="FICTICIO",1,0)</formula>
    </cfRule>
  </conditionalFormatting>
  <conditionalFormatting sqref="E144">
    <cfRule type="expression" dxfId="7621" priority="8321">
      <formula>IF(#REF!="FICTICIO",1,0)</formula>
    </cfRule>
  </conditionalFormatting>
  <conditionalFormatting sqref="E144">
    <cfRule type="expression" dxfId="7620" priority="8320">
      <formula>IF(#REF!="FICTICIO",1,0)</formula>
    </cfRule>
  </conditionalFormatting>
  <conditionalFormatting sqref="D144">
    <cfRule type="expression" dxfId="7619" priority="8318">
      <formula>IF(#REF!="FICTICIO",1,0)</formula>
    </cfRule>
  </conditionalFormatting>
  <conditionalFormatting sqref="D144">
    <cfRule type="expression" dxfId="7618" priority="8319">
      <formula>IF(#REF!="FICTICIO",1,0)</formula>
    </cfRule>
  </conditionalFormatting>
  <conditionalFormatting sqref="D144">
    <cfRule type="expression" dxfId="7617" priority="8316">
      <formula>IF(#REF!="FICTICIO",1,0)</formula>
    </cfRule>
  </conditionalFormatting>
  <conditionalFormatting sqref="D144">
    <cfRule type="expression" dxfId="7616" priority="8317">
      <formula>IF(#REF!="FICTICIO",1,0)</formula>
    </cfRule>
  </conditionalFormatting>
  <conditionalFormatting sqref="D145">
    <cfRule type="expression" dxfId="7615" priority="8315">
      <formula>IF(#REF!="FICTICIO",1,0)</formula>
    </cfRule>
  </conditionalFormatting>
  <conditionalFormatting sqref="E145">
    <cfRule type="expression" dxfId="7614" priority="8314">
      <formula>IF(#REF!="FICTICIO",1,0)</formula>
    </cfRule>
  </conditionalFormatting>
  <conditionalFormatting sqref="E145">
    <cfRule type="expression" dxfId="7613" priority="8313">
      <formula>IF(#REF!="FICTICIO",1,0)</formula>
    </cfRule>
  </conditionalFormatting>
  <conditionalFormatting sqref="E145">
    <cfRule type="expression" dxfId="7612" priority="8312">
      <formula>IF(#REF!="FICTICIO",1,0)</formula>
    </cfRule>
  </conditionalFormatting>
  <conditionalFormatting sqref="E145">
    <cfRule type="expression" dxfId="7611" priority="8311">
      <formula>IF(#REF!="FICTICIO",1,0)</formula>
    </cfRule>
  </conditionalFormatting>
  <conditionalFormatting sqref="E145">
    <cfRule type="expression" dxfId="7610" priority="8310">
      <formula>IF(#REF!="FICTICIO",1,0)</formula>
    </cfRule>
  </conditionalFormatting>
  <conditionalFormatting sqref="E145">
    <cfRule type="expression" dxfId="7609" priority="8309">
      <formula>IF(#REF!="FICTICIO",1,0)</formula>
    </cfRule>
  </conditionalFormatting>
  <conditionalFormatting sqref="E145">
    <cfRule type="expression" dxfId="7608" priority="8308">
      <formula>IF(#REF!="FICTICIO",1,0)</formula>
    </cfRule>
  </conditionalFormatting>
  <conditionalFormatting sqref="E145">
    <cfRule type="expression" dxfId="7607" priority="8307">
      <formula>IF(#REF!="FICTICIO",1,0)</formula>
    </cfRule>
  </conditionalFormatting>
  <conditionalFormatting sqref="E145">
    <cfRule type="expression" dxfId="7606" priority="8306">
      <formula>IF(#REF!="FICTICIO",1,0)</formula>
    </cfRule>
  </conditionalFormatting>
  <conditionalFormatting sqref="E145">
    <cfRule type="expression" dxfId="7605" priority="8305">
      <formula>IF(#REF!="FICTICIO",1,0)</formula>
    </cfRule>
  </conditionalFormatting>
  <conditionalFormatting sqref="E145">
    <cfRule type="expression" dxfId="7604" priority="8304">
      <formula>IF(#REF!="FICTICIO",1,0)</formula>
    </cfRule>
  </conditionalFormatting>
  <conditionalFormatting sqref="E145">
    <cfRule type="expression" dxfId="7603" priority="8303">
      <formula>IF(#REF!="FICTICIO",1,0)</formula>
    </cfRule>
  </conditionalFormatting>
  <conditionalFormatting sqref="E145">
    <cfRule type="expression" dxfId="7602" priority="8302">
      <formula>IF(#REF!="FICTICIO",1,0)</formula>
    </cfRule>
  </conditionalFormatting>
  <conditionalFormatting sqref="E145">
    <cfRule type="expression" dxfId="7601" priority="8301">
      <formula>IF(#REF!="FICTICIO",1,0)</formula>
    </cfRule>
  </conditionalFormatting>
  <conditionalFormatting sqref="E145">
    <cfRule type="expression" dxfId="7600" priority="8300">
      <formula>IF(#REF!="FICTICIO",1,0)</formula>
    </cfRule>
  </conditionalFormatting>
  <conditionalFormatting sqref="E145">
    <cfRule type="expression" dxfId="7599" priority="8299">
      <formula>IF(#REF!="FICTICIO",1,0)</formula>
    </cfRule>
  </conditionalFormatting>
  <conditionalFormatting sqref="E145">
    <cfRule type="expression" dxfId="7598" priority="8298">
      <formula>IF(#REF!="FICTICIO",1,0)</formula>
    </cfRule>
  </conditionalFormatting>
  <conditionalFormatting sqref="E145">
    <cfRule type="expression" dxfId="7597" priority="8297">
      <formula>IF(#REF!="FICTICIO",1,0)</formula>
    </cfRule>
  </conditionalFormatting>
  <conditionalFormatting sqref="E145">
    <cfRule type="expression" dxfId="7596" priority="8296">
      <formula>IF(#REF!="FICTICIO",1,0)</formula>
    </cfRule>
  </conditionalFormatting>
  <conditionalFormatting sqref="F145">
    <cfRule type="expression" dxfId="7595" priority="8294">
      <formula>IF(#REF!="FICTICIO",1,0)</formula>
    </cfRule>
  </conditionalFormatting>
  <conditionalFormatting sqref="F145">
    <cfRule type="expression" dxfId="7594" priority="8295">
      <formula>IF(#REF!="FICTICIO",1,0)</formula>
    </cfRule>
  </conditionalFormatting>
  <conditionalFormatting sqref="E146">
    <cfRule type="expression" dxfId="7593" priority="8293">
      <formula>IF(#REF!="FICTICIO",1,0)</formula>
    </cfRule>
  </conditionalFormatting>
  <conditionalFormatting sqref="E146">
    <cfRule type="expression" dxfId="7592" priority="8292">
      <formula>IF(#REF!="FICTICIO",1,0)</formula>
    </cfRule>
  </conditionalFormatting>
  <conditionalFormatting sqref="E146">
    <cfRule type="expression" dxfId="7591" priority="8291">
      <formula>IF(#REF!="FICTICIO",1,0)</formula>
    </cfRule>
  </conditionalFormatting>
  <conditionalFormatting sqref="E146">
    <cfRule type="expression" dxfId="7590" priority="8290">
      <formula>IF(#REF!="FICTICIO",1,0)</formula>
    </cfRule>
  </conditionalFormatting>
  <conditionalFormatting sqref="E146">
    <cfRule type="expression" dxfId="7589" priority="8289">
      <formula>IF(#REF!="FICTICIO",1,0)</formula>
    </cfRule>
  </conditionalFormatting>
  <conditionalFormatting sqref="E146">
    <cfRule type="expression" dxfId="7588" priority="8288">
      <formula>IF(#REF!="FICTICIO",1,0)</formula>
    </cfRule>
  </conditionalFormatting>
  <conditionalFormatting sqref="E146">
    <cfRule type="expression" dxfId="7587" priority="8287">
      <formula>IF(#REF!="FICTICIO",1,0)</formula>
    </cfRule>
  </conditionalFormatting>
  <conditionalFormatting sqref="E146">
    <cfRule type="expression" dxfId="7586" priority="8286">
      <formula>IF(#REF!="FICTICIO",1,0)</formula>
    </cfRule>
  </conditionalFormatting>
  <conditionalFormatting sqref="E146">
    <cfRule type="expression" dxfId="7585" priority="8285">
      <formula>IF(#REF!="FICTICIO",1,0)</formula>
    </cfRule>
  </conditionalFormatting>
  <conditionalFormatting sqref="E146">
    <cfRule type="expression" dxfId="7584" priority="8284">
      <formula>IF(#REF!="FICTICIO",1,0)</formula>
    </cfRule>
  </conditionalFormatting>
  <conditionalFormatting sqref="E146">
    <cfRule type="expression" dxfId="7583" priority="8283">
      <formula>IF(#REF!="FICTICIO",1,0)</formula>
    </cfRule>
  </conditionalFormatting>
  <conditionalFormatting sqref="E146">
    <cfRule type="expression" dxfId="7582" priority="8282">
      <formula>IF(#REF!="FICTICIO",1,0)</formula>
    </cfRule>
  </conditionalFormatting>
  <conditionalFormatting sqref="E146">
    <cfRule type="expression" dxfId="7581" priority="8281">
      <formula>IF(#REF!="FICTICIO",1,0)</formula>
    </cfRule>
  </conditionalFormatting>
  <conditionalFormatting sqref="E146">
    <cfRule type="expression" dxfId="7580" priority="8280">
      <formula>IF(#REF!="FICTICIO",1,0)</formula>
    </cfRule>
  </conditionalFormatting>
  <conditionalFormatting sqref="E146">
    <cfRule type="expression" dxfId="7579" priority="8279">
      <formula>IF(#REF!="FICTICIO",1,0)</formula>
    </cfRule>
  </conditionalFormatting>
  <conditionalFormatting sqref="E146">
    <cfRule type="expression" dxfId="7578" priority="8278">
      <formula>IF(#REF!="FICTICIO",1,0)</formula>
    </cfRule>
  </conditionalFormatting>
  <conditionalFormatting sqref="E146">
    <cfRule type="expression" dxfId="7577" priority="8277">
      <formula>IF(#REF!="FICTICIO",1,0)</formula>
    </cfRule>
  </conditionalFormatting>
  <conditionalFormatting sqref="E146">
    <cfRule type="expression" dxfId="7576" priority="8276">
      <formula>IF(#REF!="FICTICIO",1,0)</formula>
    </cfRule>
  </conditionalFormatting>
  <conditionalFormatting sqref="E146">
    <cfRule type="expression" dxfId="7575" priority="8275">
      <formula>IF(#REF!="FICTICIO",1,0)</formula>
    </cfRule>
  </conditionalFormatting>
  <conditionalFormatting sqref="E147">
    <cfRule type="expression" dxfId="7574" priority="8274">
      <formula>IF(#REF!="FICTICIO",1,0)</formula>
    </cfRule>
  </conditionalFormatting>
  <conditionalFormatting sqref="E147">
    <cfRule type="expression" dxfId="7573" priority="8273">
      <formula>IF(#REF!="FICTICIO",1,0)</formula>
    </cfRule>
  </conditionalFormatting>
  <conditionalFormatting sqref="E147">
    <cfRule type="expression" dxfId="7572" priority="8272">
      <formula>IF(#REF!="FICTICIO",1,0)</formula>
    </cfRule>
  </conditionalFormatting>
  <conditionalFormatting sqref="E147">
    <cfRule type="expression" dxfId="7571" priority="8271">
      <formula>IF(#REF!="FICTICIO",1,0)</formula>
    </cfRule>
  </conditionalFormatting>
  <conditionalFormatting sqref="E147">
    <cfRule type="expression" dxfId="7570" priority="8270">
      <formula>IF(#REF!="FICTICIO",1,0)</formula>
    </cfRule>
  </conditionalFormatting>
  <conditionalFormatting sqref="E147">
    <cfRule type="expression" dxfId="7569" priority="8269">
      <formula>IF(#REF!="FICTICIO",1,0)</formula>
    </cfRule>
  </conditionalFormatting>
  <conditionalFormatting sqref="E147">
    <cfRule type="expression" dxfId="7568" priority="8268">
      <formula>IF(#REF!="FICTICIO",1,0)</formula>
    </cfRule>
  </conditionalFormatting>
  <conditionalFormatting sqref="E147">
    <cfRule type="expression" dxfId="7567" priority="8267">
      <formula>IF(#REF!="FICTICIO",1,0)</formula>
    </cfRule>
  </conditionalFormatting>
  <conditionalFormatting sqref="E147">
    <cfRule type="expression" dxfId="7566" priority="8266">
      <formula>IF(#REF!="FICTICIO",1,0)</formula>
    </cfRule>
  </conditionalFormatting>
  <conditionalFormatting sqref="E147">
    <cfRule type="expression" dxfId="7565" priority="8265">
      <formula>IF(#REF!="FICTICIO",1,0)</formula>
    </cfRule>
  </conditionalFormatting>
  <conditionalFormatting sqref="E147">
    <cfRule type="expression" dxfId="7564" priority="8264">
      <formula>IF(#REF!="FICTICIO",1,0)</formula>
    </cfRule>
  </conditionalFormatting>
  <conditionalFormatting sqref="E147">
    <cfRule type="expression" dxfId="7563" priority="8263">
      <formula>IF(#REF!="FICTICIO",1,0)</formula>
    </cfRule>
  </conditionalFormatting>
  <conditionalFormatting sqref="E147">
    <cfRule type="expression" dxfId="7562" priority="8262">
      <formula>IF(#REF!="FICTICIO",1,0)</formula>
    </cfRule>
  </conditionalFormatting>
  <conditionalFormatting sqref="E147">
    <cfRule type="expression" dxfId="7561" priority="8261">
      <formula>IF(#REF!="FICTICIO",1,0)</formula>
    </cfRule>
  </conditionalFormatting>
  <conditionalFormatting sqref="E147">
    <cfRule type="expression" dxfId="7560" priority="8260">
      <formula>IF(#REF!="FICTICIO",1,0)</formula>
    </cfRule>
  </conditionalFormatting>
  <conditionalFormatting sqref="E147">
    <cfRule type="expression" dxfId="7559" priority="8259">
      <formula>IF(#REF!="FICTICIO",1,0)</formula>
    </cfRule>
  </conditionalFormatting>
  <conditionalFormatting sqref="E147">
    <cfRule type="expression" dxfId="7558" priority="8258">
      <formula>IF(#REF!="FICTICIO",1,0)</formula>
    </cfRule>
  </conditionalFormatting>
  <conditionalFormatting sqref="E147">
    <cfRule type="expression" dxfId="7557" priority="8257">
      <formula>IF(#REF!="FICTICIO",1,0)</formula>
    </cfRule>
  </conditionalFormatting>
  <conditionalFormatting sqref="E147">
    <cfRule type="expression" dxfId="7556" priority="8256">
      <formula>IF(#REF!="FICTICIO",1,0)</formula>
    </cfRule>
  </conditionalFormatting>
  <conditionalFormatting sqref="D148">
    <cfRule type="expression" dxfId="7555" priority="8255">
      <formula>IF(#REF!="FICTICIO",1,0)</formula>
    </cfRule>
  </conditionalFormatting>
  <conditionalFormatting sqref="D148">
    <cfRule type="expression" dxfId="7554" priority="8254">
      <formula>IF(#REF!="FICTICIO",1,0)</formula>
    </cfRule>
  </conditionalFormatting>
  <conditionalFormatting sqref="F148">
    <cfRule type="expression" dxfId="7553" priority="8253">
      <formula>IF(#REF!="FICTICIO",1,0)</formula>
    </cfRule>
  </conditionalFormatting>
  <conditionalFormatting sqref="E148">
    <cfRule type="expression" dxfId="7552" priority="8252">
      <formula>IF(#REF!="FICTICIO",1,0)</formula>
    </cfRule>
  </conditionalFormatting>
  <conditionalFormatting sqref="E148">
    <cfRule type="expression" dxfId="7551" priority="8251">
      <formula>IF(#REF!="FICTICIO",1,0)</formula>
    </cfRule>
  </conditionalFormatting>
  <conditionalFormatting sqref="E148">
    <cfRule type="expression" dxfId="7550" priority="8250">
      <formula>IF(#REF!="FICTICIO",1,0)</formula>
    </cfRule>
  </conditionalFormatting>
  <conditionalFormatting sqref="E148">
    <cfRule type="expression" dxfId="7549" priority="8249">
      <formula>IF(#REF!="FICTICIO",1,0)</formula>
    </cfRule>
  </conditionalFormatting>
  <conditionalFormatting sqref="E148">
    <cfRule type="expression" dxfId="7548" priority="8248">
      <formula>IF(#REF!="FICTICIO",1,0)</formula>
    </cfRule>
  </conditionalFormatting>
  <conditionalFormatting sqref="E148">
    <cfRule type="expression" dxfId="7547" priority="8247">
      <formula>IF(#REF!="FICTICIO",1,0)</formula>
    </cfRule>
  </conditionalFormatting>
  <conditionalFormatting sqref="E148">
    <cfRule type="expression" dxfId="7546" priority="8246">
      <formula>IF(#REF!="FICTICIO",1,0)</formula>
    </cfRule>
  </conditionalFormatting>
  <conditionalFormatting sqref="E148">
    <cfRule type="expression" dxfId="7545" priority="8245">
      <formula>IF(#REF!="FICTICIO",1,0)</formula>
    </cfRule>
  </conditionalFormatting>
  <conditionalFormatting sqref="E148">
    <cfRule type="expression" dxfId="7544" priority="8244">
      <formula>IF(#REF!="FICTICIO",1,0)</formula>
    </cfRule>
  </conditionalFormatting>
  <conditionalFormatting sqref="E148">
    <cfRule type="expression" dxfId="7543" priority="8243">
      <formula>IF(#REF!="FICTICIO",1,0)</formula>
    </cfRule>
  </conditionalFormatting>
  <conditionalFormatting sqref="E148">
    <cfRule type="expression" dxfId="7542" priority="8242">
      <formula>IF(#REF!="FICTICIO",1,0)</formula>
    </cfRule>
  </conditionalFormatting>
  <conditionalFormatting sqref="E148">
    <cfRule type="expression" dxfId="7541" priority="8241">
      <formula>IF(#REF!="FICTICIO",1,0)</formula>
    </cfRule>
  </conditionalFormatting>
  <conditionalFormatting sqref="E148">
    <cfRule type="expression" dxfId="7540" priority="8240">
      <formula>IF(#REF!="FICTICIO",1,0)</formula>
    </cfRule>
  </conditionalFormatting>
  <conditionalFormatting sqref="E148">
    <cfRule type="expression" dxfId="7539" priority="8239">
      <formula>IF(#REF!="FICTICIO",1,0)</formula>
    </cfRule>
  </conditionalFormatting>
  <conditionalFormatting sqref="E148">
    <cfRule type="expression" dxfId="7538" priority="8238">
      <formula>IF(#REF!="FICTICIO",1,0)</formula>
    </cfRule>
  </conditionalFormatting>
  <conditionalFormatting sqref="E148">
    <cfRule type="expression" dxfId="7537" priority="8237">
      <formula>IF(#REF!="FICTICIO",1,0)</formula>
    </cfRule>
  </conditionalFormatting>
  <conditionalFormatting sqref="E148">
    <cfRule type="expression" dxfId="7536" priority="8236">
      <formula>IF(#REF!="FICTICIO",1,0)</formula>
    </cfRule>
  </conditionalFormatting>
  <conditionalFormatting sqref="E148">
    <cfRule type="expression" dxfId="7535" priority="8235">
      <formula>IF(#REF!="FICTICIO",1,0)</formula>
    </cfRule>
  </conditionalFormatting>
  <conditionalFormatting sqref="E148">
    <cfRule type="expression" dxfId="7534" priority="8234">
      <formula>IF(#REF!="FICTICIO",1,0)</formula>
    </cfRule>
  </conditionalFormatting>
  <conditionalFormatting sqref="E149">
    <cfRule type="expression" dxfId="7533" priority="8233">
      <formula>IF(#REF!="FICTICIO",1,0)</formula>
    </cfRule>
  </conditionalFormatting>
  <conditionalFormatting sqref="E149">
    <cfRule type="expression" dxfId="7532" priority="8232">
      <formula>IF(#REF!="FICTICIO",1,0)</formula>
    </cfRule>
  </conditionalFormatting>
  <conditionalFormatting sqref="E149">
    <cfRule type="expression" dxfId="7531" priority="8231">
      <formula>IF(#REF!="FICTICIO",1,0)</formula>
    </cfRule>
  </conditionalFormatting>
  <conditionalFormatting sqref="E149">
    <cfRule type="expression" dxfId="7530" priority="8230">
      <formula>IF(#REF!="FICTICIO",1,0)</formula>
    </cfRule>
  </conditionalFormatting>
  <conditionalFormatting sqref="E149">
    <cfRule type="expression" dxfId="7529" priority="8229">
      <formula>IF(#REF!="FICTICIO",1,0)</formula>
    </cfRule>
  </conditionalFormatting>
  <conditionalFormatting sqref="E149">
    <cfRule type="expression" dxfId="7528" priority="8228">
      <formula>IF(#REF!="FICTICIO",1,0)</formula>
    </cfRule>
  </conditionalFormatting>
  <conditionalFormatting sqref="E149">
    <cfRule type="expression" dxfId="7527" priority="8227">
      <formula>IF(#REF!="FICTICIO",1,0)</formula>
    </cfRule>
  </conditionalFormatting>
  <conditionalFormatting sqref="E149">
    <cfRule type="expression" dxfId="7526" priority="8226">
      <formula>IF(#REF!="FICTICIO",1,0)</formula>
    </cfRule>
  </conditionalFormatting>
  <conditionalFormatting sqref="E149">
    <cfRule type="expression" dxfId="7525" priority="8225">
      <formula>IF(#REF!="FICTICIO",1,0)</formula>
    </cfRule>
  </conditionalFormatting>
  <conditionalFormatting sqref="E149">
    <cfRule type="expression" dxfId="7524" priority="8224">
      <formula>IF(#REF!="FICTICIO",1,0)</formula>
    </cfRule>
  </conditionalFormatting>
  <conditionalFormatting sqref="E149">
    <cfRule type="expression" dxfId="7523" priority="8223">
      <formula>IF(#REF!="FICTICIO",1,0)</formula>
    </cfRule>
  </conditionalFormatting>
  <conditionalFormatting sqref="E149">
    <cfRule type="expression" dxfId="7522" priority="8222">
      <formula>IF(#REF!="FICTICIO",1,0)</formula>
    </cfRule>
  </conditionalFormatting>
  <conditionalFormatting sqref="E149">
    <cfRule type="expression" dxfId="7521" priority="8221">
      <formula>IF(#REF!="FICTICIO",1,0)</formula>
    </cfRule>
  </conditionalFormatting>
  <conditionalFormatting sqref="E149">
    <cfRule type="expression" dxfId="7520" priority="8220">
      <formula>IF(#REF!="FICTICIO",1,0)</formula>
    </cfRule>
  </conditionalFormatting>
  <conditionalFormatting sqref="E149">
    <cfRule type="expression" dxfId="7519" priority="8219">
      <formula>IF(#REF!="FICTICIO",1,0)</formula>
    </cfRule>
  </conditionalFormatting>
  <conditionalFormatting sqref="E149">
    <cfRule type="expression" dxfId="7518" priority="8218">
      <formula>IF(#REF!="FICTICIO",1,0)</formula>
    </cfRule>
  </conditionalFormatting>
  <conditionalFormatting sqref="E149">
    <cfRule type="expression" dxfId="7517" priority="8217">
      <formula>IF(#REF!="FICTICIO",1,0)</formula>
    </cfRule>
  </conditionalFormatting>
  <conditionalFormatting sqref="E149">
    <cfRule type="expression" dxfId="7516" priority="8216">
      <formula>IF(#REF!="FICTICIO",1,0)</formula>
    </cfRule>
  </conditionalFormatting>
  <conditionalFormatting sqref="E149">
    <cfRule type="expression" dxfId="7515" priority="8215">
      <formula>IF(#REF!="FICTICIO",1,0)</formula>
    </cfRule>
  </conditionalFormatting>
  <conditionalFormatting sqref="E151">
    <cfRule type="expression" dxfId="7514" priority="8214">
      <formula>IF(#REF!="FICTICIO",1,0)</formula>
    </cfRule>
  </conditionalFormatting>
  <conditionalFormatting sqref="E151">
    <cfRule type="expression" dxfId="7513" priority="8213">
      <formula>IF(#REF!="FICTICIO",1,0)</formula>
    </cfRule>
  </conditionalFormatting>
  <conditionalFormatting sqref="E151">
    <cfRule type="expression" dxfId="7512" priority="8212">
      <formula>IF(#REF!="FICTICIO",1,0)</formula>
    </cfRule>
  </conditionalFormatting>
  <conditionalFormatting sqref="E151">
    <cfRule type="expression" dxfId="7511" priority="8211">
      <formula>IF(#REF!="FICTICIO",1,0)</formula>
    </cfRule>
  </conditionalFormatting>
  <conditionalFormatting sqref="E151">
    <cfRule type="expression" dxfId="7510" priority="8210">
      <formula>IF(#REF!="FICTICIO",1,0)</formula>
    </cfRule>
  </conditionalFormatting>
  <conditionalFormatting sqref="E151">
    <cfRule type="expression" dxfId="7509" priority="8209">
      <formula>IF(#REF!="FICTICIO",1,0)</formula>
    </cfRule>
  </conditionalFormatting>
  <conditionalFormatting sqref="E151">
    <cfRule type="expression" dxfId="7508" priority="8208">
      <formula>IF(#REF!="FICTICIO",1,0)</formula>
    </cfRule>
  </conditionalFormatting>
  <conditionalFormatting sqref="E151">
    <cfRule type="expression" dxfId="7507" priority="8207">
      <formula>IF(#REF!="FICTICIO",1,0)</formula>
    </cfRule>
  </conditionalFormatting>
  <conditionalFormatting sqref="E151">
    <cfRule type="expression" dxfId="7506" priority="8206">
      <formula>IF(#REF!="FICTICIO",1,0)</formula>
    </cfRule>
  </conditionalFormatting>
  <conditionalFormatting sqref="E151">
    <cfRule type="expression" dxfId="7505" priority="8205">
      <formula>IF(#REF!="FICTICIO",1,0)</formula>
    </cfRule>
  </conditionalFormatting>
  <conditionalFormatting sqref="E151">
    <cfRule type="expression" dxfId="7504" priority="8204">
      <formula>IF(#REF!="FICTICIO",1,0)</formula>
    </cfRule>
  </conditionalFormatting>
  <conditionalFormatting sqref="E151">
    <cfRule type="expression" dxfId="7503" priority="8203">
      <formula>IF(#REF!="FICTICIO",1,0)</formula>
    </cfRule>
  </conditionalFormatting>
  <conditionalFormatting sqref="E151">
    <cfRule type="expression" dxfId="7502" priority="8202">
      <formula>IF(#REF!="FICTICIO",1,0)</formula>
    </cfRule>
  </conditionalFormatting>
  <conditionalFormatting sqref="E151">
    <cfRule type="expression" dxfId="7501" priority="8201">
      <formula>IF(#REF!="FICTICIO",1,0)</formula>
    </cfRule>
  </conditionalFormatting>
  <conditionalFormatting sqref="E151">
    <cfRule type="expression" dxfId="7500" priority="8200">
      <formula>IF(#REF!="FICTICIO",1,0)</formula>
    </cfRule>
  </conditionalFormatting>
  <conditionalFormatting sqref="E151">
    <cfRule type="expression" dxfId="7499" priority="8199">
      <formula>IF(#REF!="FICTICIO",1,0)</formula>
    </cfRule>
  </conditionalFormatting>
  <conditionalFormatting sqref="E151">
    <cfRule type="expression" dxfId="7498" priority="8198">
      <formula>IF(#REF!="FICTICIO",1,0)</formula>
    </cfRule>
  </conditionalFormatting>
  <conditionalFormatting sqref="E151">
    <cfRule type="expression" dxfId="7497" priority="8197">
      <formula>IF(#REF!="FICTICIO",1,0)</formula>
    </cfRule>
  </conditionalFormatting>
  <conditionalFormatting sqref="E151">
    <cfRule type="expression" dxfId="7496" priority="8196">
      <formula>IF(#REF!="FICTICIO",1,0)</formula>
    </cfRule>
  </conditionalFormatting>
  <conditionalFormatting sqref="D150">
    <cfRule type="expression" dxfId="7495" priority="8193">
      <formula>IF(#REF!="FICTICIO",1,0)</formula>
    </cfRule>
  </conditionalFormatting>
  <conditionalFormatting sqref="D150">
    <cfRule type="expression" dxfId="7494" priority="8192">
      <formula>IF(#REF!="FICTICIO",1,0)</formula>
    </cfRule>
  </conditionalFormatting>
  <conditionalFormatting sqref="E150">
    <cfRule type="expression" dxfId="7493" priority="8191">
      <formula>IF(#REF!="FICTICIO",1,0)</formula>
    </cfRule>
  </conditionalFormatting>
  <conditionalFormatting sqref="E150">
    <cfRule type="expression" dxfId="7492" priority="8190">
      <formula>IF(#REF!="FICTICIO",1,0)</formula>
    </cfRule>
  </conditionalFormatting>
  <conditionalFormatting sqref="E150">
    <cfRule type="expression" dxfId="7491" priority="8189">
      <formula>IF(#REF!="FICTICIO",1,0)</formula>
    </cfRule>
  </conditionalFormatting>
  <conditionalFormatting sqref="E150">
    <cfRule type="expression" dxfId="7490" priority="8188">
      <formula>IF(#REF!="FICTICIO",1,0)</formula>
    </cfRule>
  </conditionalFormatting>
  <conditionalFormatting sqref="E150">
    <cfRule type="expression" dxfId="7489" priority="8187">
      <formula>IF(#REF!="FICTICIO",1,0)</formula>
    </cfRule>
  </conditionalFormatting>
  <conditionalFormatting sqref="E150">
    <cfRule type="expression" dxfId="7488" priority="8186">
      <formula>IF(#REF!="FICTICIO",1,0)</formula>
    </cfRule>
  </conditionalFormatting>
  <conditionalFormatting sqref="E150">
    <cfRule type="expression" dxfId="7487" priority="8185">
      <formula>IF(#REF!="FICTICIO",1,0)</formula>
    </cfRule>
  </conditionalFormatting>
  <conditionalFormatting sqref="E150">
    <cfRule type="expression" dxfId="7486" priority="8184">
      <formula>IF(#REF!="FICTICIO",1,0)</formula>
    </cfRule>
  </conditionalFormatting>
  <conditionalFormatting sqref="E150">
    <cfRule type="expression" dxfId="7485" priority="8183">
      <formula>IF(#REF!="FICTICIO",1,0)</formula>
    </cfRule>
  </conditionalFormatting>
  <conditionalFormatting sqref="E150">
    <cfRule type="expression" dxfId="7484" priority="8182">
      <formula>IF(#REF!="FICTICIO",1,0)</formula>
    </cfRule>
  </conditionalFormatting>
  <conditionalFormatting sqref="E150">
    <cfRule type="expression" dxfId="7483" priority="8181">
      <formula>IF(#REF!="FICTICIO",1,0)</formula>
    </cfRule>
  </conditionalFormatting>
  <conditionalFormatting sqref="E150">
    <cfRule type="expression" dxfId="7482" priority="8180">
      <formula>IF(#REF!="FICTICIO",1,0)</formula>
    </cfRule>
  </conditionalFormatting>
  <conditionalFormatting sqref="E150">
    <cfRule type="expression" dxfId="7481" priority="8179">
      <formula>IF(#REF!="FICTICIO",1,0)</formula>
    </cfRule>
  </conditionalFormatting>
  <conditionalFormatting sqref="E150">
    <cfRule type="expression" dxfId="7480" priority="8178">
      <formula>IF(#REF!="FICTICIO",1,0)</formula>
    </cfRule>
  </conditionalFormatting>
  <conditionalFormatting sqref="E150">
    <cfRule type="expression" dxfId="7479" priority="8177">
      <formula>IF(#REF!="FICTICIO",1,0)</formula>
    </cfRule>
  </conditionalFormatting>
  <conditionalFormatting sqref="E150">
    <cfRule type="expression" dxfId="7478" priority="8176">
      <formula>IF(#REF!="FICTICIO",1,0)</formula>
    </cfRule>
  </conditionalFormatting>
  <conditionalFormatting sqref="E150">
    <cfRule type="expression" dxfId="7477" priority="8175">
      <formula>IF(#REF!="FICTICIO",1,0)</formula>
    </cfRule>
  </conditionalFormatting>
  <conditionalFormatting sqref="E150">
    <cfRule type="expression" dxfId="7476" priority="8174">
      <formula>IF(#REF!="FICTICIO",1,0)</formula>
    </cfRule>
  </conditionalFormatting>
  <conditionalFormatting sqref="E150">
    <cfRule type="expression" dxfId="7475" priority="8173">
      <formula>IF(#REF!="FICTICIO",1,0)</formula>
    </cfRule>
  </conditionalFormatting>
  <conditionalFormatting sqref="F150">
    <cfRule type="expression" dxfId="7474" priority="8172">
      <formula>IF(#REF!="FICTICIO",1,0)</formula>
    </cfRule>
  </conditionalFormatting>
  <conditionalFormatting sqref="F150">
    <cfRule type="expression" dxfId="7473" priority="8171">
      <formula>IF(#REF!="FICTICIO",1,0)</formula>
    </cfRule>
  </conditionalFormatting>
  <conditionalFormatting sqref="F151">
    <cfRule type="expression" dxfId="7472" priority="8170">
      <formula>IF(#REF!="FICTICIO",1,0)</formula>
    </cfRule>
  </conditionalFormatting>
  <conditionalFormatting sqref="F151">
    <cfRule type="expression" dxfId="7471" priority="8169">
      <formula>IF(#REF!="FICTICIO",1,0)</formula>
    </cfRule>
  </conditionalFormatting>
  <conditionalFormatting sqref="D152">
    <cfRule type="expression" dxfId="7470" priority="8167">
      <formula>IF(#REF!="FICTICIO",1,0)</formula>
    </cfRule>
  </conditionalFormatting>
  <conditionalFormatting sqref="D152">
    <cfRule type="expression" dxfId="7469" priority="8168">
      <formula>IF(#REF!="FICTICIO",1,0)</formula>
    </cfRule>
  </conditionalFormatting>
  <conditionalFormatting sqref="E152">
    <cfRule type="expression" dxfId="7468" priority="8166">
      <formula>IF(#REF!="FICTICIO",1,0)</formula>
    </cfRule>
  </conditionalFormatting>
  <conditionalFormatting sqref="E152">
    <cfRule type="expression" dxfId="7467" priority="8165">
      <formula>IF(#REF!="FICTICIO",1,0)</formula>
    </cfRule>
  </conditionalFormatting>
  <conditionalFormatting sqref="E152">
    <cfRule type="expression" dxfId="7466" priority="8164">
      <formula>IF(#REF!="FICTICIO",1,0)</formula>
    </cfRule>
  </conditionalFormatting>
  <conditionalFormatting sqref="E152">
    <cfRule type="expression" dxfId="7465" priority="8163">
      <formula>IF(#REF!="FICTICIO",1,0)</formula>
    </cfRule>
  </conditionalFormatting>
  <conditionalFormatting sqref="E152">
    <cfRule type="expression" dxfId="7464" priority="8162">
      <formula>IF(#REF!="FICTICIO",1,0)</formula>
    </cfRule>
  </conditionalFormatting>
  <conditionalFormatting sqref="E152">
    <cfRule type="expression" dxfId="7463" priority="8161">
      <formula>IF(#REF!="FICTICIO",1,0)</formula>
    </cfRule>
  </conditionalFormatting>
  <conditionalFormatting sqref="E152">
    <cfRule type="expression" dxfId="7462" priority="8160">
      <formula>IF(#REF!="FICTICIO",1,0)</formula>
    </cfRule>
  </conditionalFormatting>
  <conditionalFormatting sqref="E152">
    <cfRule type="expression" dxfId="7461" priority="8159">
      <formula>IF(#REF!="FICTICIO",1,0)</formula>
    </cfRule>
  </conditionalFormatting>
  <conditionalFormatting sqref="E152">
    <cfRule type="expression" dxfId="7460" priority="8158">
      <formula>IF(#REF!="FICTICIO",1,0)</formula>
    </cfRule>
  </conditionalFormatting>
  <conditionalFormatting sqref="E152">
    <cfRule type="expression" dxfId="7459" priority="8157">
      <formula>IF(#REF!="FICTICIO",1,0)</formula>
    </cfRule>
  </conditionalFormatting>
  <conditionalFormatting sqref="E152">
    <cfRule type="expression" dxfId="7458" priority="8156">
      <formula>IF(#REF!="FICTICIO",1,0)</formula>
    </cfRule>
  </conditionalFormatting>
  <conditionalFormatting sqref="E152">
    <cfRule type="expression" dxfId="7457" priority="8155">
      <formula>IF(#REF!="FICTICIO",1,0)</formula>
    </cfRule>
  </conditionalFormatting>
  <conditionalFormatting sqref="E152">
    <cfRule type="expression" dxfId="7456" priority="8154">
      <formula>IF(#REF!="FICTICIO",1,0)</formula>
    </cfRule>
  </conditionalFormatting>
  <conditionalFormatting sqref="E152">
    <cfRule type="expression" dxfId="7455" priority="8153">
      <formula>IF(#REF!="FICTICIO",1,0)</formula>
    </cfRule>
  </conditionalFormatting>
  <conditionalFormatting sqref="E152">
    <cfRule type="expression" dxfId="7454" priority="8152">
      <formula>IF(#REF!="FICTICIO",1,0)</formula>
    </cfRule>
  </conditionalFormatting>
  <conditionalFormatting sqref="E152">
    <cfRule type="expression" dxfId="7453" priority="8151">
      <formula>IF(#REF!="FICTICIO",1,0)</formula>
    </cfRule>
  </conditionalFormatting>
  <conditionalFormatting sqref="E152">
    <cfRule type="expression" dxfId="7452" priority="8150">
      <formula>IF(#REF!="FICTICIO",1,0)</formula>
    </cfRule>
  </conditionalFormatting>
  <conditionalFormatting sqref="E152">
    <cfRule type="expression" dxfId="7451" priority="8149">
      <formula>IF(#REF!="FICTICIO",1,0)</formula>
    </cfRule>
  </conditionalFormatting>
  <conditionalFormatting sqref="E152">
    <cfRule type="expression" dxfId="7450" priority="8148">
      <formula>IF(#REF!="FICTICIO",1,0)</formula>
    </cfRule>
  </conditionalFormatting>
  <conditionalFormatting sqref="F152">
    <cfRule type="expression" dxfId="7449" priority="8147">
      <formula>IF(#REF!="FICTICIO",1,0)</formula>
    </cfRule>
  </conditionalFormatting>
  <conditionalFormatting sqref="F152">
    <cfRule type="expression" dxfId="7448" priority="8146">
      <formula>IF(#REF!="FICTICIO",1,0)</formula>
    </cfRule>
  </conditionalFormatting>
  <conditionalFormatting sqref="D9">
    <cfRule type="expression" dxfId="7447" priority="8144">
      <formula>IF(#REF!="FICTICIO",1,0)</formula>
    </cfRule>
  </conditionalFormatting>
  <conditionalFormatting sqref="D9">
    <cfRule type="expression" dxfId="7446" priority="8145">
      <formula>IF(#REF!="FICTICIO",1,0)</formula>
    </cfRule>
  </conditionalFormatting>
  <conditionalFormatting sqref="E9">
    <cfRule type="expression" dxfId="7445" priority="8140">
      <formula>IF(#REF!="FICTICIO",1,0)</formula>
    </cfRule>
  </conditionalFormatting>
  <conditionalFormatting sqref="E9">
    <cfRule type="expression" dxfId="7444" priority="8139">
      <formula>IF(#REF!="FICTICIO",1,0)</formula>
    </cfRule>
  </conditionalFormatting>
  <conditionalFormatting sqref="E9">
    <cfRule type="expression" dxfId="7443" priority="8138">
      <formula>IF(#REF!="FICTICIO",1,0)</formula>
    </cfRule>
  </conditionalFormatting>
  <conditionalFormatting sqref="E9">
    <cfRule type="expression" dxfId="7442" priority="8143">
      <formula>IF(#REF!="FICTICIO",1,0)</formula>
    </cfRule>
  </conditionalFormatting>
  <conditionalFormatting sqref="E9">
    <cfRule type="expression" dxfId="7441" priority="8142">
      <formula>IF(#REF!="FICTICIO",1,0)</formula>
    </cfRule>
  </conditionalFormatting>
  <conditionalFormatting sqref="E9">
    <cfRule type="expression" dxfId="7440" priority="8141">
      <formula>IF(#REF!="FICTICIO",1,0)</formula>
    </cfRule>
  </conditionalFormatting>
  <conditionalFormatting sqref="E9">
    <cfRule type="expression" dxfId="7439" priority="8134">
      <formula>IF(#REF!="FICTICIO",1,0)</formula>
    </cfRule>
  </conditionalFormatting>
  <conditionalFormatting sqref="E9">
    <cfRule type="expression" dxfId="7438" priority="8133">
      <formula>IF(#REF!="FICTICIO",1,0)</formula>
    </cfRule>
  </conditionalFormatting>
  <conditionalFormatting sqref="E9">
    <cfRule type="expression" dxfId="7437" priority="8132">
      <formula>IF(#REF!="FICTICIO",1,0)</formula>
    </cfRule>
  </conditionalFormatting>
  <conditionalFormatting sqref="E9">
    <cfRule type="expression" dxfId="7436" priority="8137">
      <formula>IF(#REF!="FICTICIO",1,0)</formula>
    </cfRule>
  </conditionalFormatting>
  <conditionalFormatting sqref="E9">
    <cfRule type="expression" dxfId="7435" priority="8136">
      <formula>IF(#REF!="FICTICIO",1,0)</formula>
    </cfRule>
  </conditionalFormatting>
  <conditionalFormatting sqref="E9">
    <cfRule type="expression" dxfId="7434" priority="8135">
      <formula>IF(#REF!="FICTICIO",1,0)</formula>
    </cfRule>
  </conditionalFormatting>
  <conditionalFormatting sqref="D9">
    <cfRule type="expression" dxfId="7433" priority="8130">
      <formula>IF(#REF!="FICTICIO",1,0)</formula>
    </cfRule>
  </conditionalFormatting>
  <conditionalFormatting sqref="D9">
    <cfRule type="expression" dxfId="7432" priority="8131">
      <formula>IF(#REF!="FICTICIO",1,0)</formula>
    </cfRule>
  </conditionalFormatting>
  <conditionalFormatting sqref="F9">
    <cfRule type="expression" dxfId="7431" priority="8129">
      <formula>IF(#REF!="FICTICIO",1,0)</formula>
    </cfRule>
  </conditionalFormatting>
  <conditionalFormatting sqref="F9">
    <cfRule type="expression" dxfId="7430" priority="8127">
      <formula>IF(#REF!="FICTICIO",1,0)</formula>
    </cfRule>
  </conditionalFormatting>
  <conditionalFormatting sqref="F9">
    <cfRule type="expression" dxfId="7429" priority="8128">
      <formula>IF(#REF!="FICTICIO",1,0)</formula>
    </cfRule>
  </conditionalFormatting>
  <conditionalFormatting sqref="E9">
    <cfRule type="expression" dxfId="7428" priority="8123">
      <formula>IF(#REF!="FICTICIO",1,0)</formula>
    </cfRule>
  </conditionalFormatting>
  <conditionalFormatting sqref="E9">
    <cfRule type="expression" dxfId="7427" priority="8122">
      <formula>IF(#REF!="FICTICIO",1,0)</formula>
    </cfRule>
  </conditionalFormatting>
  <conditionalFormatting sqref="E9">
    <cfRule type="expression" dxfId="7426" priority="8121">
      <formula>IF(#REF!="FICTICIO",1,0)</formula>
    </cfRule>
  </conditionalFormatting>
  <conditionalFormatting sqref="E9">
    <cfRule type="expression" dxfId="7425" priority="8126">
      <formula>IF(#REF!="FICTICIO",1,0)</formula>
    </cfRule>
  </conditionalFormatting>
  <conditionalFormatting sqref="E9">
    <cfRule type="expression" dxfId="7424" priority="8125">
      <formula>IF(#REF!="FICTICIO",1,0)</formula>
    </cfRule>
  </conditionalFormatting>
  <conditionalFormatting sqref="E9">
    <cfRule type="expression" dxfId="7423" priority="8124">
      <formula>IF(#REF!="FICTICIO",1,0)</formula>
    </cfRule>
  </conditionalFormatting>
  <conditionalFormatting sqref="F8">
    <cfRule type="expression" dxfId="7422" priority="8120">
      <formula>IF(#REF!="FICTICIO",1,0)</formula>
    </cfRule>
  </conditionalFormatting>
  <conditionalFormatting sqref="F8">
    <cfRule type="expression" dxfId="7421" priority="8118">
      <formula>IF(#REF!="FICTICIO",1,0)</formula>
    </cfRule>
  </conditionalFormatting>
  <conditionalFormatting sqref="F8">
    <cfRule type="expression" dxfId="7420" priority="8119">
      <formula>IF(#REF!="FICTICIO",1,0)</formula>
    </cfRule>
  </conditionalFormatting>
  <conditionalFormatting sqref="D8">
    <cfRule type="expression" dxfId="7419" priority="8117">
      <formula>IF(#REF!="FICTICIO",1,0)</formula>
    </cfRule>
  </conditionalFormatting>
  <conditionalFormatting sqref="D8">
    <cfRule type="expression" dxfId="7418" priority="8116">
      <formula>IF(#REF!="FICTICIO",1,0)</formula>
    </cfRule>
  </conditionalFormatting>
  <conditionalFormatting sqref="F10">
    <cfRule type="expression" dxfId="7417" priority="8115">
      <formula>IF(#REF!="FICTICIO",1,0)</formula>
    </cfRule>
  </conditionalFormatting>
  <conditionalFormatting sqref="F10">
    <cfRule type="expression" dxfId="7416" priority="8113">
      <formula>IF(#REF!="FICTICIO",1,0)</formula>
    </cfRule>
  </conditionalFormatting>
  <conditionalFormatting sqref="F10">
    <cfRule type="expression" dxfId="7415" priority="8114">
      <formula>IF(#REF!="FICTICIO",1,0)</formula>
    </cfRule>
  </conditionalFormatting>
  <conditionalFormatting sqref="D10">
    <cfRule type="expression" dxfId="7414" priority="8111">
      <formula>IF(#REF!="FICTICIO",1,0)</formula>
    </cfRule>
  </conditionalFormatting>
  <conditionalFormatting sqref="D10">
    <cfRule type="expression" dxfId="7413" priority="8112">
      <formula>IF(#REF!="FICTICIO",1,0)</formula>
    </cfRule>
  </conditionalFormatting>
  <conditionalFormatting sqref="E10">
    <cfRule type="expression" dxfId="7412" priority="8107">
      <formula>IF(#REF!="FICTICIO",1,0)</formula>
    </cfRule>
  </conditionalFormatting>
  <conditionalFormatting sqref="E10">
    <cfRule type="expression" dxfId="7411" priority="8106">
      <formula>IF(#REF!="FICTICIO",1,0)</formula>
    </cfRule>
  </conditionalFormatting>
  <conditionalFormatting sqref="E10">
    <cfRule type="expression" dxfId="7410" priority="8105">
      <formula>IF(#REF!="FICTICIO",1,0)</formula>
    </cfRule>
  </conditionalFormatting>
  <conditionalFormatting sqref="E10">
    <cfRule type="expression" dxfId="7409" priority="8110">
      <formula>IF(#REF!="FICTICIO",1,0)</formula>
    </cfRule>
  </conditionalFormatting>
  <conditionalFormatting sqref="E10">
    <cfRule type="expression" dxfId="7408" priority="8109">
      <formula>IF(#REF!="FICTICIO",1,0)</formula>
    </cfRule>
  </conditionalFormatting>
  <conditionalFormatting sqref="E10">
    <cfRule type="expression" dxfId="7407" priority="8108">
      <formula>IF(#REF!="FICTICIO",1,0)</formula>
    </cfRule>
  </conditionalFormatting>
  <conditionalFormatting sqref="E10">
    <cfRule type="expression" dxfId="7406" priority="8101">
      <formula>IF(#REF!="FICTICIO",1,0)</formula>
    </cfRule>
  </conditionalFormatting>
  <conditionalFormatting sqref="E10">
    <cfRule type="expression" dxfId="7405" priority="8100">
      <formula>IF(#REF!="FICTICIO",1,0)</formula>
    </cfRule>
  </conditionalFormatting>
  <conditionalFormatting sqref="E10">
    <cfRule type="expression" dxfId="7404" priority="8099">
      <formula>IF(#REF!="FICTICIO",1,0)</formula>
    </cfRule>
  </conditionalFormatting>
  <conditionalFormatting sqref="E10">
    <cfRule type="expression" dxfId="7403" priority="8104">
      <formula>IF(#REF!="FICTICIO",1,0)</formula>
    </cfRule>
  </conditionalFormatting>
  <conditionalFormatting sqref="E10">
    <cfRule type="expression" dxfId="7402" priority="8103">
      <formula>IF(#REF!="FICTICIO",1,0)</formula>
    </cfRule>
  </conditionalFormatting>
  <conditionalFormatting sqref="E10">
    <cfRule type="expression" dxfId="7401" priority="8102">
      <formula>IF(#REF!="FICTICIO",1,0)</formula>
    </cfRule>
  </conditionalFormatting>
  <conditionalFormatting sqref="F7">
    <cfRule type="expression" dxfId="7400" priority="8098">
      <formula>IF(#REF!="FICTICIO",1,0)</formula>
    </cfRule>
  </conditionalFormatting>
  <conditionalFormatting sqref="F7">
    <cfRule type="expression" dxfId="7399" priority="8096">
      <formula>IF(#REF!="FICTICIO",1,0)</formula>
    </cfRule>
  </conditionalFormatting>
  <conditionalFormatting sqref="F7">
    <cfRule type="expression" dxfId="7398" priority="8097">
      <formula>IF(#REF!="FICTICIO",1,0)</formula>
    </cfRule>
  </conditionalFormatting>
  <conditionalFormatting sqref="D7">
    <cfRule type="expression" dxfId="7397" priority="8095">
      <formula>IF(#REF!="FICTICIO",1,0)</formula>
    </cfRule>
  </conditionalFormatting>
  <conditionalFormatting sqref="E7">
    <cfRule type="expression" dxfId="7396" priority="8090">
      <formula>IF(#REF!="FICTICIO",1,0)</formula>
    </cfRule>
  </conditionalFormatting>
  <conditionalFormatting sqref="E7">
    <cfRule type="expression" dxfId="7395" priority="8089">
      <formula>IF(#REF!="FICTICIO",1,0)</formula>
    </cfRule>
  </conditionalFormatting>
  <conditionalFormatting sqref="E7">
    <cfRule type="expression" dxfId="7394" priority="8088">
      <formula>IF(#REF!="FICTICIO",1,0)</formula>
    </cfRule>
  </conditionalFormatting>
  <conditionalFormatting sqref="D7">
    <cfRule type="expression" dxfId="7393" priority="8094">
      <formula>IF(#REF!="FICTICIO",1,0)</formula>
    </cfRule>
  </conditionalFormatting>
  <conditionalFormatting sqref="E7">
    <cfRule type="expression" dxfId="7392" priority="8093">
      <formula>IF(#REF!="FICTICIO",1,0)</formula>
    </cfRule>
  </conditionalFormatting>
  <conditionalFormatting sqref="E7">
    <cfRule type="expression" dxfId="7391" priority="8092">
      <formula>IF(#REF!="FICTICIO",1,0)</formula>
    </cfRule>
  </conditionalFormatting>
  <conditionalFormatting sqref="E7">
    <cfRule type="expression" dxfId="7390" priority="8091">
      <formula>IF(#REF!="FICTICIO",1,0)</formula>
    </cfRule>
  </conditionalFormatting>
  <conditionalFormatting sqref="E11">
    <cfRule type="expression" dxfId="7389" priority="8084">
      <formula>IF(#REF!="FICTICIO",1,0)</formula>
    </cfRule>
  </conditionalFormatting>
  <conditionalFormatting sqref="E11">
    <cfRule type="expression" dxfId="7388" priority="8083">
      <formula>IF(#REF!="FICTICIO",1,0)</formula>
    </cfRule>
  </conditionalFormatting>
  <conditionalFormatting sqref="E11">
    <cfRule type="expression" dxfId="7387" priority="8082">
      <formula>IF(#REF!="FICTICIO",1,0)</formula>
    </cfRule>
  </conditionalFormatting>
  <conditionalFormatting sqref="E11">
    <cfRule type="expression" dxfId="7386" priority="8087">
      <formula>IF(#REF!="FICTICIO",1,0)</formula>
    </cfRule>
  </conditionalFormatting>
  <conditionalFormatting sqref="E11">
    <cfRule type="expression" dxfId="7385" priority="8086">
      <formula>IF(#REF!="FICTICIO",1,0)</formula>
    </cfRule>
  </conditionalFormatting>
  <conditionalFormatting sqref="E11">
    <cfRule type="expression" dxfId="7384" priority="8085">
      <formula>IF(#REF!="FICTICIO",1,0)</formula>
    </cfRule>
  </conditionalFormatting>
  <conditionalFormatting sqref="E11">
    <cfRule type="expression" dxfId="7383" priority="8078">
      <formula>IF(#REF!="FICTICIO",1,0)</formula>
    </cfRule>
  </conditionalFormatting>
  <conditionalFormatting sqref="E11">
    <cfRule type="expression" dxfId="7382" priority="8077">
      <formula>IF(#REF!="FICTICIO",1,0)</formula>
    </cfRule>
  </conditionalFormatting>
  <conditionalFormatting sqref="E11">
    <cfRule type="expression" dxfId="7381" priority="8076">
      <formula>IF(#REF!="FICTICIO",1,0)</formula>
    </cfRule>
  </conditionalFormatting>
  <conditionalFormatting sqref="E11">
    <cfRule type="expression" dxfId="7380" priority="8081">
      <formula>IF(#REF!="FICTICIO",1,0)</formula>
    </cfRule>
  </conditionalFormatting>
  <conditionalFormatting sqref="E11">
    <cfRule type="expression" dxfId="7379" priority="8080">
      <formula>IF(#REF!="FICTICIO",1,0)</formula>
    </cfRule>
  </conditionalFormatting>
  <conditionalFormatting sqref="E11">
    <cfRule type="expression" dxfId="7378" priority="8079">
      <formula>IF(#REF!="FICTICIO",1,0)</formula>
    </cfRule>
  </conditionalFormatting>
  <conditionalFormatting sqref="D12">
    <cfRule type="expression" dxfId="7377" priority="8074">
      <formula>IF(#REF!="FICTICIO",1,0)</formula>
    </cfRule>
  </conditionalFormatting>
  <conditionalFormatting sqref="D12">
    <cfRule type="expression" dxfId="7376" priority="8075">
      <formula>IF(#REF!="FICTICIO",1,0)</formula>
    </cfRule>
  </conditionalFormatting>
  <conditionalFormatting sqref="E12">
    <cfRule type="expression" dxfId="7375" priority="8070">
      <formula>IF(#REF!="FICTICIO",1,0)</formula>
    </cfRule>
  </conditionalFormatting>
  <conditionalFormatting sqref="E12">
    <cfRule type="expression" dxfId="7374" priority="8069">
      <formula>IF(#REF!="FICTICIO",1,0)</formula>
    </cfRule>
  </conditionalFormatting>
  <conditionalFormatting sqref="E12">
    <cfRule type="expression" dxfId="7373" priority="8068">
      <formula>IF(#REF!="FICTICIO",1,0)</formula>
    </cfRule>
  </conditionalFormatting>
  <conditionalFormatting sqref="E12">
    <cfRule type="expression" dxfId="7372" priority="8073">
      <formula>IF(#REF!="FICTICIO",1,0)</formula>
    </cfRule>
  </conditionalFormatting>
  <conditionalFormatting sqref="E12">
    <cfRule type="expression" dxfId="7371" priority="8072">
      <formula>IF(#REF!="FICTICIO",1,0)</formula>
    </cfRule>
  </conditionalFormatting>
  <conditionalFormatting sqref="E12">
    <cfRule type="expression" dxfId="7370" priority="8071">
      <formula>IF(#REF!="FICTICIO",1,0)</formula>
    </cfRule>
  </conditionalFormatting>
  <conditionalFormatting sqref="E12">
    <cfRule type="expression" dxfId="7369" priority="8064">
      <formula>IF(#REF!="FICTICIO",1,0)</formula>
    </cfRule>
  </conditionalFormatting>
  <conditionalFormatting sqref="E12">
    <cfRule type="expression" dxfId="7368" priority="8063">
      <formula>IF(#REF!="FICTICIO",1,0)</formula>
    </cfRule>
  </conditionalFormatting>
  <conditionalFormatting sqref="E12">
    <cfRule type="expression" dxfId="7367" priority="8062">
      <formula>IF(#REF!="FICTICIO",1,0)</formula>
    </cfRule>
  </conditionalFormatting>
  <conditionalFormatting sqref="E12">
    <cfRule type="expression" dxfId="7366" priority="8067">
      <formula>IF(#REF!="FICTICIO",1,0)</formula>
    </cfRule>
  </conditionalFormatting>
  <conditionalFormatting sqref="E12">
    <cfRule type="expression" dxfId="7365" priority="8066">
      <formula>IF(#REF!="FICTICIO",1,0)</formula>
    </cfRule>
  </conditionalFormatting>
  <conditionalFormatting sqref="E12">
    <cfRule type="expression" dxfId="7364" priority="8065">
      <formula>IF(#REF!="FICTICIO",1,0)</formula>
    </cfRule>
  </conditionalFormatting>
  <conditionalFormatting sqref="E12">
    <cfRule type="expression" dxfId="7363" priority="8058">
      <formula>IF(#REF!="FICTICIO",1,0)</formula>
    </cfRule>
  </conditionalFormatting>
  <conditionalFormatting sqref="E12">
    <cfRule type="expression" dxfId="7362" priority="8057">
      <formula>IF(#REF!="FICTICIO",1,0)</formula>
    </cfRule>
  </conditionalFormatting>
  <conditionalFormatting sqref="E12">
    <cfRule type="expression" dxfId="7361" priority="8056">
      <formula>IF(#REF!="FICTICIO",1,0)</formula>
    </cfRule>
  </conditionalFormatting>
  <conditionalFormatting sqref="E12">
    <cfRule type="expression" dxfId="7360" priority="8061">
      <formula>IF(#REF!="FICTICIO",1,0)</formula>
    </cfRule>
  </conditionalFormatting>
  <conditionalFormatting sqref="E12">
    <cfRule type="expression" dxfId="7359" priority="8060">
      <formula>IF(#REF!="FICTICIO",1,0)</formula>
    </cfRule>
  </conditionalFormatting>
  <conditionalFormatting sqref="E12">
    <cfRule type="expression" dxfId="7358" priority="8059">
      <formula>IF(#REF!="FICTICIO",1,0)</formula>
    </cfRule>
  </conditionalFormatting>
  <conditionalFormatting sqref="F12">
    <cfRule type="expression" dxfId="7357" priority="8055">
      <formula>IF(#REF!="FICTICIO",1,0)</formula>
    </cfRule>
  </conditionalFormatting>
  <conditionalFormatting sqref="F12">
    <cfRule type="expression" dxfId="7356" priority="8053">
      <formula>IF(#REF!="FICTICIO",1,0)</formula>
    </cfRule>
  </conditionalFormatting>
  <conditionalFormatting sqref="F12">
    <cfRule type="expression" dxfId="7355" priority="8054">
      <formula>IF(#REF!="FICTICIO",1,0)</formula>
    </cfRule>
  </conditionalFormatting>
  <conditionalFormatting sqref="E12">
    <cfRule type="expression" dxfId="7354" priority="8049">
      <formula>IF(#REF!="FICTICIO",1,0)</formula>
    </cfRule>
  </conditionalFormatting>
  <conditionalFormatting sqref="E12">
    <cfRule type="expression" dxfId="7353" priority="8048">
      <formula>IF(#REF!="FICTICIO",1,0)</formula>
    </cfRule>
  </conditionalFormatting>
  <conditionalFormatting sqref="E12">
    <cfRule type="expression" dxfId="7352" priority="8047">
      <formula>IF(#REF!="FICTICIO",1,0)</formula>
    </cfRule>
  </conditionalFormatting>
  <conditionalFormatting sqref="E12">
    <cfRule type="expression" dxfId="7351" priority="8052">
      <formula>IF(#REF!="FICTICIO",1,0)</formula>
    </cfRule>
  </conditionalFormatting>
  <conditionalFormatting sqref="E12">
    <cfRule type="expression" dxfId="7350" priority="8051">
      <formula>IF(#REF!="FICTICIO",1,0)</formula>
    </cfRule>
  </conditionalFormatting>
  <conditionalFormatting sqref="E12">
    <cfRule type="expression" dxfId="7349" priority="8050">
      <formula>IF(#REF!="FICTICIO",1,0)</formula>
    </cfRule>
  </conditionalFormatting>
  <conditionalFormatting sqref="E12">
    <cfRule type="expression" dxfId="7348" priority="8043">
      <formula>IF(#REF!="FICTICIO",1,0)</formula>
    </cfRule>
  </conditionalFormatting>
  <conditionalFormatting sqref="E12">
    <cfRule type="expression" dxfId="7347" priority="8042">
      <formula>IF(#REF!="FICTICIO",1,0)</formula>
    </cfRule>
  </conditionalFormatting>
  <conditionalFormatting sqref="E12">
    <cfRule type="expression" dxfId="7346" priority="8041">
      <formula>IF(#REF!="FICTICIO",1,0)</formula>
    </cfRule>
  </conditionalFormatting>
  <conditionalFormatting sqref="E12">
    <cfRule type="expression" dxfId="7345" priority="8046">
      <formula>IF(#REF!="FICTICIO",1,0)</formula>
    </cfRule>
  </conditionalFormatting>
  <conditionalFormatting sqref="E12">
    <cfRule type="expression" dxfId="7344" priority="8045">
      <formula>IF(#REF!="FICTICIO",1,0)</formula>
    </cfRule>
  </conditionalFormatting>
  <conditionalFormatting sqref="E12">
    <cfRule type="expression" dxfId="7343" priority="8044">
      <formula>IF(#REF!="FICTICIO",1,0)</formula>
    </cfRule>
  </conditionalFormatting>
  <conditionalFormatting sqref="E13">
    <cfRule type="expression" dxfId="7342" priority="8037">
      <formula>IF(#REF!="FICTICIO",1,0)</formula>
    </cfRule>
  </conditionalFormatting>
  <conditionalFormatting sqref="E13">
    <cfRule type="expression" dxfId="7341" priority="8036">
      <formula>IF(#REF!="FICTICIO",1,0)</formula>
    </cfRule>
  </conditionalFormatting>
  <conditionalFormatting sqref="E13">
    <cfRule type="expression" dxfId="7340" priority="8035">
      <formula>IF(#REF!="FICTICIO",1,0)</formula>
    </cfRule>
  </conditionalFormatting>
  <conditionalFormatting sqref="E13">
    <cfRule type="expression" dxfId="7339" priority="8040">
      <formula>IF(#REF!="FICTICIO",1,0)</formula>
    </cfRule>
  </conditionalFormatting>
  <conditionalFormatting sqref="E13">
    <cfRule type="expression" dxfId="7338" priority="8039">
      <formula>IF(#REF!="FICTICIO",1,0)</formula>
    </cfRule>
  </conditionalFormatting>
  <conditionalFormatting sqref="E13">
    <cfRule type="expression" dxfId="7337" priority="8038">
      <formula>IF(#REF!="FICTICIO",1,0)</formula>
    </cfRule>
  </conditionalFormatting>
  <conditionalFormatting sqref="E13">
    <cfRule type="expression" dxfId="7336" priority="8031">
      <formula>IF(#REF!="FICTICIO",1,0)</formula>
    </cfRule>
  </conditionalFormatting>
  <conditionalFormatting sqref="E13">
    <cfRule type="expression" dxfId="7335" priority="8030">
      <formula>IF(#REF!="FICTICIO",1,0)</formula>
    </cfRule>
  </conditionalFormatting>
  <conditionalFormatting sqref="E13">
    <cfRule type="expression" dxfId="7334" priority="8029">
      <formula>IF(#REF!="FICTICIO",1,0)</formula>
    </cfRule>
  </conditionalFormatting>
  <conditionalFormatting sqref="E13">
    <cfRule type="expression" dxfId="7333" priority="8034">
      <formula>IF(#REF!="FICTICIO",1,0)</formula>
    </cfRule>
  </conditionalFormatting>
  <conditionalFormatting sqref="E13">
    <cfRule type="expression" dxfId="7332" priority="8033">
      <formula>IF(#REF!="FICTICIO",1,0)</formula>
    </cfRule>
  </conditionalFormatting>
  <conditionalFormatting sqref="E13">
    <cfRule type="expression" dxfId="7331" priority="8032">
      <formula>IF(#REF!="FICTICIO",1,0)</formula>
    </cfRule>
  </conditionalFormatting>
  <conditionalFormatting sqref="E13">
    <cfRule type="expression" dxfId="7330" priority="8025">
      <formula>IF(#REF!="FICTICIO",1,0)</formula>
    </cfRule>
  </conditionalFormatting>
  <conditionalFormatting sqref="E13">
    <cfRule type="expression" dxfId="7329" priority="8024">
      <formula>IF(#REF!="FICTICIO",1,0)</formula>
    </cfRule>
  </conditionalFormatting>
  <conditionalFormatting sqref="E13">
    <cfRule type="expression" dxfId="7328" priority="8023">
      <formula>IF(#REF!="FICTICIO",1,0)</formula>
    </cfRule>
  </conditionalFormatting>
  <conditionalFormatting sqref="E13">
    <cfRule type="expression" dxfId="7327" priority="8028">
      <formula>IF(#REF!="FICTICIO",1,0)</formula>
    </cfRule>
  </conditionalFormatting>
  <conditionalFormatting sqref="E13">
    <cfRule type="expression" dxfId="7326" priority="8027">
      <formula>IF(#REF!="FICTICIO",1,0)</formula>
    </cfRule>
  </conditionalFormatting>
  <conditionalFormatting sqref="E13">
    <cfRule type="expression" dxfId="7325" priority="8026">
      <formula>IF(#REF!="FICTICIO",1,0)</formula>
    </cfRule>
  </conditionalFormatting>
  <conditionalFormatting sqref="F13">
    <cfRule type="expression" dxfId="7324" priority="8022">
      <formula>IF(#REF!="FICTICIO",1,0)</formula>
    </cfRule>
  </conditionalFormatting>
  <conditionalFormatting sqref="F13">
    <cfRule type="expression" dxfId="7323" priority="8020">
      <formula>IF(#REF!="FICTICIO",1,0)</formula>
    </cfRule>
  </conditionalFormatting>
  <conditionalFormatting sqref="F13">
    <cfRule type="expression" dxfId="7322" priority="8021">
      <formula>IF(#REF!="FICTICIO",1,0)</formula>
    </cfRule>
  </conditionalFormatting>
  <conditionalFormatting sqref="E13">
    <cfRule type="expression" dxfId="7321" priority="8016">
      <formula>IF(#REF!="FICTICIO",1,0)</formula>
    </cfRule>
  </conditionalFormatting>
  <conditionalFormatting sqref="E13">
    <cfRule type="expression" dxfId="7320" priority="8015">
      <formula>IF(#REF!="FICTICIO",1,0)</formula>
    </cfRule>
  </conditionalFormatting>
  <conditionalFormatting sqref="E13">
    <cfRule type="expression" dxfId="7319" priority="8014">
      <formula>IF(#REF!="FICTICIO",1,0)</formula>
    </cfRule>
  </conditionalFormatting>
  <conditionalFormatting sqref="E13">
    <cfRule type="expression" dxfId="7318" priority="8019">
      <formula>IF(#REF!="FICTICIO",1,0)</formula>
    </cfRule>
  </conditionalFormatting>
  <conditionalFormatting sqref="E13">
    <cfRule type="expression" dxfId="7317" priority="8018">
      <formula>IF(#REF!="FICTICIO",1,0)</formula>
    </cfRule>
  </conditionalFormatting>
  <conditionalFormatting sqref="E13">
    <cfRule type="expression" dxfId="7316" priority="8017">
      <formula>IF(#REF!="FICTICIO",1,0)</formula>
    </cfRule>
  </conditionalFormatting>
  <conditionalFormatting sqref="E13">
    <cfRule type="expression" dxfId="7315" priority="8010">
      <formula>IF(#REF!="FICTICIO",1,0)</formula>
    </cfRule>
  </conditionalFormatting>
  <conditionalFormatting sqref="E13">
    <cfRule type="expression" dxfId="7314" priority="8009">
      <formula>IF(#REF!="FICTICIO",1,0)</formula>
    </cfRule>
  </conditionalFormatting>
  <conditionalFormatting sqref="E13">
    <cfRule type="expression" dxfId="7313" priority="8008">
      <formula>IF(#REF!="FICTICIO",1,0)</formula>
    </cfRule>
  </conditionalFormatting>
  <conditionalFormatting sqref="E13">
    <cfRule type="expression" dxfId="7312" priority="8013">
      <formula>IF(#REF!="FICTICIO",1,0)</formula>
    </cfRule>
  </conditionalFormatting>
  <conditionalFormatting sqref="E13">
    <cfRule type="expression" dxfId="7311" priority="8012">
      <formula>IF(#REF!="FICTICIO",1,0)</formula>
    </cfRule>
  </conditionalFormatting>
  <conditionalFormatting sqref="E13">
    <cfRule type="expression" dxfId="7310" priority="8011">
      <formula>IF(#REF!="FICTICIO",1,0)</formula>
    </cfRule>
  </conditionalFormatting>
  <conditionalFormatting sqref="E14">
    <cfRule type="expression" dxfId="7309" priority="8004">
      <formula>IF(#REF!="FICTICIO",1,0)</formula>
    </cfRule>
  </conditionalFormatting>
  <conditionalFormatting sqref="E14">
    <cfRule type="expression" dxfId="7308" priority="8003">
      <formula>IF(#REF!="FICTICIO",1,0)</formula>
    </cfRule>
  </conditionalFormatting>
  <conditionalFormatting sqref="E14">
    <cfRule type="expression" dxfId="7307" priority="8002">
      <formula>IF(#REF!="FICTICIO",1,0)</formula>
    </cfRule>
  </conditionalFormatting>
  <conditionalFormatting sqref="E14">
    <cfRule type="expression" dxfId="7306" priority="8007">
      <formula>IF(#REF!="FICTICIO",1,0)</formula>
    </cfRule>
  </conditionalFormatting>
  <conditionalFormatting sqref="E14">
    <cfRule type="expression" dxfId="7305" priority="8006">
      <formula>IF(#REF!="FICTICIO",1,0)</formula>
    </cfRule>
  </conditionalFormatting>
  <conditionalFormatting sqref="E14">
    <cfRule type="expression" dxfId="7304" priority="8005">
      <formula>IF(#REF!="FICTICIO",1,0)</formula>
    </cfRule>
  </conditionalFormatting>
  <conditionalFormatting sqref="E14">
    <cfRule type="expression" dxfId="7303" priority="7998">
      <formula>IF(#REF!="FICTICIO",1,0)</formula>
    </cfRule>
  </conditionalFormatting>
  <conditionalFormatting sqref="E14">
    <cfRule type="expression" dxfId="7302" priority="7997">
      <formula>IF(#REF!="FICTICIO",1,0)</formula>
    </cfRule>
  </conditionalFormatting>
  <conditionalFormatting sqref="E14">
    <cfRule type="expression" dxfId="7301" priority="7996">
      <formula>IF(#REF!="FICTICIO",1,0)</formula>
    </cfRule>
  </conditionalFormatting>
  <conditionalFormatting sqref="E14">
    <cfRule type="expression" dxfId="7300" priority="8001">
      <formula>IF(#REF!="FICTICIO",1,0)</formula>
    </cfRule>
  </conditionalFormatting>
  <conditionalFormatting sqref="E14">
    <cfRule type="expression" dxfId="7299" priority="8000">
      <formula>IF(#REF!="FICTICIO",1,0)</formula>
    </cfRule>
  </conditionalFormatting>
  <conditionalFormatting sqref="E14">
    <cfRule type="expression" dxfId="7298" priority="7999">
      <formula>IF(#REF!="FICTICIO",1,0)</formula>
    </cfRule>
  </conditionalFormatting>
  <conditionalFormatting sqref="E14">
    <cfRule type="expression" dxfId="7297" priority="7992">
      <formula>IF(#REF!="FICTICIO",1,0)</formula>
    </cfRule>
  </conditionalFormatting>
  <conditionalFormatting sqref="E14">
    <cfRule type="expression" dxfId="7296" priority="7991">
      <formula>IF(#REF!="FICTICIO",1,0)</formula>
    </cfRule>
  </conditionalFormatting>
  <conditionalFormatting sqref="E14">
    <cfRule type="expression" dxfId="7295" priority="7990">
      <formula>IF(#REF!="FICTICIO",1,0)</formula>
    </cfRule>
  </conditionalFormatting>
  <conditionalFormatting sqref="E14">
    <cfRule type="expression" dxfId="7294" priority="7995">
      <formula>IF(#REF!="FICTICIO",1,0)</formula>
    </cfRule>
  </conditionalFormatting>
  <conditionalFormatting sqref="E14">
    <cfRule type="expression" dxfId="7293" priority="7994">
      <formula>IF(#REF!="FICTICIO",1,0)</formula>
    </cfRule>
  </conditionalFormatting>
  <conditionalFormatting sqref="E14">
    <cfRule type="expression" dxfId="7292" priority="7993">
      <formula>IF(#REF!="FICTICIO",1,0)</formula>
    </cfRule>
  </conditionalFormatting>
  <conditionalFormatting sqref="E14">
    <cfRule type="expression" dxfId="7291" priority="7986">
      <formula>IF(#REF!="FICTICIO",1,0)</formula>
    </cfRule>
  </conditionalFormatting>
  <conditionalFormatting sqref="E14">
    <cfRule type="expression" dxfId="7290" priority="7985">
      <formula>IF(#REF!="FICTICIO",1,0)</formula>
    </cfRule>
  </conditionalFormatting>
  <conditionalFormatting sqref="E14">
    <cfRule type="expression" dxfId="7289" priority="7984">
      <formula>IF(#REF!="FICTICIO",1,0)</formula>
    </cfRule>
  </conditionalFormatting>
  <conditionalFormatting sqref="E14">
    <cfRule type="expression" dxfId="7288" priority="7989">
      <formula>IF(#REF!="FICTICIO",1,0)</formula>
    </cfRule>
  </conditionalFormatting>
  <conditionalFormatting sqref="E14">
    <cfRule type="expression" dxfId="7287" priority="7988">
      <formula>IF(#REF!="FICTICIO",1,0)</formula>
    </cfRule>
  </conditionalFormatting>
  <conditionalFormatting sqref="E14">
    <cfRule type="expression" dxfId="7286" priority="7987">
      <formula>IF(#REF!="FICTICIO",1,0)</formula>
    </cfRule>
  </conditionalFormatting>
  <conditionalFormatting sqref="E14">
    <cfRule type="expression" dxfId="7285" priority="7980">
      <formula>IF(#REF!="FICTICIO",1,0)</formula>
    </cfRule>
  </conditionalFormatting>
  <conditionalFormatting sqref="E14">
    <cfRule type="expression" dxfId="7284" priority="7979">
      <formula>IF(#REF!="FICTICIO",1,0)</formula>
    </cfRule>
  </conditionalFormatting>
  <conditionalFormatting sqref="E14">
    <cfRule type="expression" dxfId="7283" priority="7978">
      <formula>IF(#REF!="FICTICIO",1,0)</formula>
    </cfRule>
  </conditionalFormatting>
  <conditionalFormatting sqref="E14">
    <cfRule type="expression" dxfId="7282" priority="7983">
      <formula>IF(#REF!="FICTICIO",1,0)</formula>
    </cfRule>
  </conditionalFormatting>
  <conditionalFormatting sqref="E14">
    <cfRule type="expression" dxfId="7281" priority="7982">
      <formula>IF(#REF!="FICTICIO",1,0)</formula>
    </cfRule>
  </conditionalFormatting>
  <conditionalFormatting sqref="E14">
    <cfRule type="expression" dxfId="7280" priority="7981">
      <formula>IF(#REF!="FICTICIO",1,0)</formula>
    </cfRule>
  </conditionalFormatting>
  <conditionalFormatting sqref="E15">
    <cfRule type="expression" dxfId="7279" priority="7974">
      <formula>IF(#REF!="FICTICIO",1,0)</formula>
    </cfRule>
  </conditionalFormatting>
  <conditionalFormatting sqref="E15">
    <cfRule type="expression" dxfId="7278" priority="7973">
      <formula>IF(#REF!="FICTICIO",1,0)</formula>
    </cfRule>
  </conditionalFormatting>
  <conditionalFormatting sqref="E15">
    <cfRule type="expression" dxfId="7277" priority="7972">
      <formula>IF(#REF!="FICTICIO",1,0)</formula>
    </cfRule>
  </conditionalFormatting>
  <conditionalFormatting sqref="E15">
    <cfRule type="expression" dxfId="7276" priority="7977">
      <formula>IF(#REF!="FICTICIO",1,0)</formula>
    </cfRule>
  </conditionalFormatting>
  <conditionalFormatting sqref="E15">
    <cfRule type="expression" dxfId="7275" priority="7976">
      <formula>IF(#REF!="FICTICIO",1,0)</formula>
    </cfRule>
  </conditionalFormatting>
  <conditionalFormatting sqref="E15">
    <cfRule type="expression" dxfId="7274" priority="7975">
      <formula>IF(#REF!="FICTICIO",1,0)</formula>
    </cfRule>
  </conditionalFormatting>
  <conditionalFormatting sqref="E15">
    <cfRule type="expression" dxfId="7273" priority="7968">
      <formula>IF(#REF!="FICTICIO",1,0)</formula>
    </cfRule>
  </conditionalFormatting>
  <conditionalFormatting sqref="E15">
    <cfRule type="expression" dxfId="7272" priority="7967">
      <formula>IF(#REF!="FICTICIO",1,0)</formula>
    </cfRule>
  </conditionalFormatting>
  <conditionalFormatting sqref="E15">
    <cfRule type="expression" dxfId="7271" priority="7966">
      <formula>IF(#REF!="FICTICIO",1,0)</formula>
    </cfRule>
  </conditionalFormatting>
  <conditionalFormatting sqref="E15">
    <cfRule type="expression" dxfId="7270" priority="7971">
      <formula>IF(#REF!="FICTICIO",1,0)</formula>
    </cfRule>
  </conditionalFormatting>
  <conditionalFormatting sqref="E15">
    <cfRule type="expression" dxfId="7269" priority="7970">
      <formula>IF(#REF!="FICTICIO",1,0)</formula>
    </cfRule>
  </conditionalFormatting>
  <conditionalFormatting sqref="E15">
    <cfRule type="expression" dxfId="7268" priority="7969">
      <formula>IF(#REF!="FICTICIO",1,0)</formula>
    </cfRule>
  </conditionalFormatting>
  <conditionalFormatting sqref="E15">
    <cfRule type="expression" dxfId="7267" priority="7962">
      <formula>IF(#REF!="FICTICIO",1,0)</formula>
    </cfRule>
  </conditionalFormatting>
  <conditionalFormatting sqref="E15">
    <cfRule type="expression" dxfId="7266" priority="7961">
      <formula>IF(#REF!="FICTICIO",1,0)</formula>
    </cfRule>
  </conditionalFormatting>
  <conditionalFormatting sqref="E15">
    <cfRule type="expression" dxfId="7265" priority="7960">
      <formula>IF(#REF!="FICTICIO",1,0)</formula>
    </cfRule>
  </conditionalFormatting>
  <conditionalFormatting sqref="E15">
    <cfRule type="expression" dxfId="7264" priority="7965">
      <formula>IF(#REF!="FICTICIO",1,0)</formula>
    </cfRule>
  </conditionalFormatting>
  <conditionalFormatting sqref="E15">
    <cfRule type="expression" dxfId="7263" priority="7964">
      <formula>IF(#REF!="FICTICIO",1,0)</formula>
    </cfRule>
  </conditionalFormatting>
  <conditionalFormatting sqref="E15">
    <cfRule type="expression" dxfId="7262" priority="7963">
      <formula>IF(#REF!="FICTICIO",1,0)</formula>
    </cfRule>
  </conditionalFormatting>
  <conditionalFormatting sqref="E15">
    <cfRule type="expression" dxfId="7261" priority="7956">
      <formula>IF(#REF!="FICTICIO",1,0)</formula>
    </cfRule>
  </conditionalFormatting>
  <conditionalFormatting sqref="E15">
    <cfRule type="expression" dxfId="7260" priority="7955">
      <formula>IF(#REF!="FICTICIO",1,0)</formula>
    </cfRule>
  </conditionalFormatting>
  <conditionalFormatting sqref="E15">
    <cfRule type="expression" dxfId="7259" priority="7954">
      <formula>IF(#REF!="FICTICIO",1,0)</formula>
    </cfRule>
  </conditionalFormatting>
  <conditionalFormatting sqref="E15">
    <cfRule type="expression" dxfId="7258" priority="7959">
      <formula>IF(#REF!="FICTICIO",1,0)</formula>
    </cfRule>
  </conditionalFormatting>
  <conditionalFormatting sqref="E15">
    <cfRule type="expression" dxfId="7257" priority="7958">
      <formula>IF(#REF!="FICTICIO",1,0)</formula>
    </cfRule>
  </conditionalFormatting>
  <conditionalFormatting sqref="E15">
    <cfRule type="expression" dxfId="7256" priority="7957">
      <formula>IF(#REF!="FICTICIO",1,0)</formula>
    </cfRule>
  </conditionalFormatting>
  <conditionalFormatting sqref="E15">
    <cfRule type="expression" dxfId="7255" priority="7950">
      <formula>IF(#REF!="FICTICIO",1,0)</formula>
    </cfRule>
  </conditionalFormatting>
  <conditionalFormatting sqref="E15">
    <cfRule type="expression" dxfId="7254" priority="7949">
      <formula>IF(#REF!="FICTICIO",1,0)</formula>
    </cfRule>
  </conditionalFormatting>
  <conditionalFormatting sqref="E15">
    <cfRule type="expression" dxfId="7253" priority="7948">
      <formula>IF(#REF!="FICTICIO",1,0)</formula>
    </cfRule>
  </conditionalFormatting>
  <conditionalFormatting sqref="E15">
    <cfRule type="expression" dxfId="7252" priority="7953">
      <formula>IF(#REF!="FICTICIO",1,0)</formula>
    </cfRule>
  </conditionalFormatting>
  <conditionalFormatting sqref="E15">
    <cfRule type="expression" dxfId="7251" priority="7952">
      <formula>IF(#REF!="FICTICIO",1,0)</formula>
    </cfRule>
  </conditionalFormatting>
  <conditionalFormatting sqref="E15">
    <cfRule type="expression" dxfId="7250" priority="7951">
      <formula>IF(#REF!="FICTICIO",1,0)</formula>
    </cfRule>
  </conditionalFormatting>
  <conditionalFormatting sqref="D17">
    <cfRule type="expression" dxfId="7249" priority="7946">
      <formula>IF(#REF!="FICTICIO",1,0)</formula>
    </cfRule>
  </conditionalFormatting>
  <conditionalFormatting sqref="D17">
    <cfRule type="expression" dxfId="7248" priority="7947">
      <formula>IF(#REF!="FICTICIO",1,0)</formula>
    </cfRule>
  </conditionalFormatting>
  <conditionalFormatting sqref="F17">
    <cfRule type="expression" dxfId="7247" priority="7945">
      <formula>IF(#REF!="FICTICIO",1,0)</formula>
    </cfRule>
  </conditionalFormatting>
  <conditionalFormatting sqref="E17">
    <cfRule type="expression" dxfId="7246" priority="7941">
      <formula>IF(#REF!="FICTICIO",1,0)</formula>
    </cfRule>
  </conditionalFormatting>
  <conditionalFormatting sqref="E17">
    <cfRule type="expression" dxfId="7245" priority="7940">
      <formula>IF(#REF!="FICTICIO",1,0)</formula>
    </cfRule>
  </conditionalFormatting>
  <conditionalFormatting sqref="E17">
    <cfRule type="expression" dxfId="7244" priority="7939">
      <formula>IF(#REF!="FICTICIO",1,0)</formula>
    </cfRule>
  </conditionalFormatting>
  <conditionalFormatting sqref="E17">
    <cfRule type="expression" dxfId="7243" priority="7944">
      <formula>IF(#REF!="FICTICIO",1,0)</formula>
    </cfRule>
  </conditionalFormatting>
  <conditionalFormatting sqref="E17">
    <cfRule type="expression" dxfId="7242" priority="7943">
      <formula>IF(#REF!="FICTICIO",1,0)</formula>
    </cfRule>
  </conditionalFormatting>
  <conditionalFormatting sqref="E17">
    <cfRule type="expression" dxfId="7241" priority="7942">
      <formula>IF(#REF!="FICTICIO",1,0)</formula>
    </cfRule>
  </conditionalFormatting>
  <conditionalFormatting sqref="E17">
    <cfRule type="expression" dxfId="7240" priority="7935">
      <formula>IF(#REF!="FICTICIO",1,0)</formula>
    </cfRule>
  </conditionalFormatting>
  <conditionalFormatting sqref="E17">
    <cfRule type="expression" dxfId="7239" priority="7934">
      <formula>IF(#REF!="FICTICIO",1,0)</formula>
    </cfRule>
  </conditionalFormatting>
  <conditionalFormatting sqref="E17">
    <cfRule type="expression" dxfId="7238" priority="7933">
      <formula>IF(#REF!="FICTICIO",1,0)</formula>
    </cfRule>
  </conditionalFormatting>
  <conditionalFormatting sqref="E17">
    <cfRule type="expression" dxfId="7237" priority="7938">
      <formula>IF(#REF!="FICTICIO",1,0)</formula>
    </cfRule>
  </conditionalFormatting>
  <conditionalFormatting sqref="E17">
    <cfRule type="expression" dxfId="7236" priority="7937">
      <formula>IF(#REF!="FICTICIO",1,0)</formula>
    </cfRule>
  </conditionalFormatting>
  <conditionalFormatting sqref="E17">
    <cfRule type="expression" dxfId="7235" priority="7936">
      <formula>IF(#REF!="FICTICIO",1,0)</formula>
    </cfRule>
  </conditionalFormatting>
  <conditionalFormatting sqref="D17">
    <cfRule type="expression" dxfId="7234" priority="7931">
      <formula>IF(#REF!="FICTICIO",1,0)</formula>
    </cfRule>
  </conditionalFormatting>
  <conditionalFormatting sqref="D17">
    <cfRule type="expression" dxfId="7233" priority="7932">
      <formula>IF(#REF!="FICTICIO",1,0)</formula>
    </cfRule>
  </conditionalFormatting>
  <conditionalFormatting sqref="E17">
    <cfRule type="expression" dxfId="7232" priority="7927">
      <formula>IF(#REF!="FICTICIO",1,0)</formula>
    </cfRule>
  </conditionalFormatting>
  <conditionalFormatting sqref="E17">
    <cfRule type="expression" dxfId="7231" priority="7926">
      <formula>IF(#REF!="FICTICIO",1,0)</formula>
    </cfRule>
  </conditionalFormatting>
  <conditionalFormatting sqref="E17">
    <cfRule type="expression" dxfId="7230" priority="7925">
      <formula>IF(#REF!="FICTICIO",1,0)</formula>
    </cfRule>
  </conditionalFormatting>
  <conditionalFormatting sqref="E17">
    <cfRule type="expression" dxfId="7229" priority="7930">
      <formula>IF(#REF!="FICTICIO",1,0)</formula>
    </cfRule>
  </conditionalFormatting>
  <conditionalFormatting sqref="E17">
    <cfRule type="expression" dxfId="7228" priority="7929">
      <formula>IF(#REF!="FICTICIO",1,0)</formula>
    </cfRule>
  </conditionalFormatting>
  <conditionalFormatting sqref="E17">
    <cfRule type="expression" dxfId="7227" priority="7928">
      <formula>IF(#REF!="FICTICIO",1,0)</formula>
    </cfRule>
  </conditionalFormatting>
  <conditionalFormatting sqref="E17">
    <cfRule type="expression" dxfId="7226" priority="7921">
      <formula>IF(#REF!="FICTICIO",1,0)</formula>
    </cfRule>
  </conditionalFormatting>
  <conditionalFormatting sqref="E17">
    <cfRule type="expression" dxfId="7225" priority="7920">
      <formula>IF(#REF!="FICTICIO",1,0)</formula>
    </cfRule>
  </conditionalFormatting>
  <conditionalFormatting sqref="E17">
    <cfRule type="expression" dxfId="7224" priority="7919">
      <formula>IF(#REF!="FICTICIO",1,0)</formula>
    </cfRule>
  </conditionalFormatting>
  <conditionalFormatting sqref="E17">
    <cfRule type="expression" dxfId="7223" priority="7924">
      <formula>IF(#REF!="FICTICIO",1,0)</formula>
    </cfRule>
  </conditionalFormatting>
  <conditionalFormatting sqref="E17">
    <cfRule type="expression" dxfId="7222" priority="7923">
      <formula>IF(#REF!="FICTICIO",1,0)</formula>
    </cfRule>
  </conditionalFormatting>
  <conditionalFormatting sqref="E17">
    <cfRule type="expression" dxfId="7221" priority="7922">
      <formula>IF(#REF!="FICTICIO",1,0)</formula>
    </cfRule>
  </conditionalFormatting>
  <conditionalFormatting sqref="E17">
    <cfRule type="expression" dxfId="7220" priority="7915">
      <formula>IF(#REF!="FICTICIO",1,0)</formula>
    </cfRule>
  </conditionalFormatting>
  <conditionalFormatting sqref="E17">
    <cfRule type="expression" dxfId="7219" priority="7914">
      <formula>IF(#REF!="FICTICIO",1,0)</formula>
    </cfRule>
  </conditionalFormatting>
  <conditionalFormatting sqref="E17">
    <cfRule type="expression" dxfId="7218" priority="7913">
      <formula>IF(#REF!="FICTICIO",1,0)</formula>
    </cfRule>
  </conditionalFormatting>
  <conditionalFormatting sqref="E17">
    <cfRule type="expression" dxfId="7217" priority="7918">
      <formula>IF(#REF!="FICTICIO",1,0)</formula>
    </cfRule>
  </conditionalFormatting>
  <conditionalFormatting sqref="E17">
    <cfRule type="expression" dxfId="7216" priority="7917">
      <formula>IF(#REF!="FICTICIO",1,0)</formula>
    </cfRule>
  </conditionalFormatting>
  <conditionalFormatting sqref="E17">
    <cfRule type="expression" dxfId="7215" priority="7916">
      <formula>IF(#REF!="FICTICIO",1,0)</formula>
    </cfRule>
  </conditionalFormatting>
  <conditionalFormatting sqref="E19">
    <cfRule type="expression" dxfId="7214" priority="7912">
      <formula>IF(#REF!="FICTICIO",1,0)</formula>
    </cfRule>
  </conditionalFormatting>
  <conditionalFormatting sqref="E19">
    <cfRule type="expression" dxfId="7213" priority="7911">
      <formula>IF(#REF!="FICTICIO",1,0)</formula>
    </cfRule>
  </conditionalFormatting>
  <conditionalFormatting sqref="E19">
    <cfRule type="expression" dxfId="7212" priority="7910">
      <formula>IF(#REF!="FICTICIO",1,0)</formula>
    </cfRule>
  </conditionalFormatting>
  <conditionalFormatting sqref="E19">
    <cfRule type="expression" dxfId="7211" priority="7909">
      <formula>IF(#REF!="FICTICIO",1,0)</formula>
    </cfRule>
  </conditionalFormatting>
  <conditionalFormatting sqref="E19">
    <cfRule type="expression" dxfId="7210" priority="7908">
      <formula>IF(#REF!="FICTICIO",1,0)</formula>
    </cfRule>
  </conditionalFormatting>
  <conditionalFormatting sqref="E19">
    <cfRule type="expression" dxfId="7209" priority="7907">
      <formula>IF(#REF!="FICTICIO",1,0)</formula>
    </cfRule>
  </conditionalFormatting>
  <conditionalFormatting sqref="E19">
    <cfRule type="expression" dxfId="7208" priority="7906">
      <formula>IF(#REF!="FICTICIO",1,0)</formula>
    </cfRule>
  </conditionalFormatting>
  <conditionalFormatting sqref="E19">
    <cfRule type="expression" dxfId="7207" priority="7905">
      <formula>IF(#REF!="FICTICIO",1,0)</formula>
    </cfRule>
  </conditionalFormatting>
  <conditionalFormatting sqref="E19">
    <cfRule type="expression" dxfId="7206" priority="7904">
      <formula>IF(#REF!="FICTICIO",1,0)</formula>
    </cfRule>
  </conditionalFormatting>
  <conditionalFormatting sqref="E19">
    <cfRule type="expression" dxfId="7205" priority="7903">
      <formula>IF(#REF!="FICTICIO",1,0)</formula>
    </cfRule>
  </conditionalFormatting>
  <conditionalFormatting sqref="F19">
    <cfRule type="expression" dxfId="7204" priority="7901">
      <formula>IF(#REF!="FICTICIO",1,0)</formula>
    </cfRule>
  </conditionalFormatting>
  <conditionalFormatting sqref="F19">
    <cfRule type="expression" dxfId="7203" priority="7902">
      <formula>IF(#REF!="FICTICIO",1,0)</formula>
    </cfRule>
  </conditionalFormatting>
  <conditionalFormatting sqref="D18">
    <cfRule type="expression" dxfId="7202" priority="7893">
      <formula>IF(#REF!="FICTICIO",1,0)</formula>
    </cfRule>
  </conditionalFormatting>
  <conditionalFormatting sqref="D18">
    <cfRule type="expression" dxfId="7201" priority="7894">
      <formula>IF(#REF!="FICTICIO",1,0)</formula>
    </cfRule>
  </conditionalFormatting>
  <conditionalFormatting sqref="D18">
    <cfRule type="expression" dxfId="7200" priority="7891">
      <formula>IF(#REF!="FICTICIO",1,0)</formula>
    </cfRule>
  </conditionalFormatting>
  <conditionalFormatting sqref="D18">
    <cfRule type="expression" dxfId="7199" priority="7892">
      <formula>IF(#REF!="FICTICIO",1,0)</formula>
    </cfRule>
  </conditionalFormatting>
  <conditionalFormatting sqref="F18">
    <cfRule type="expression" dxfId="7198" priority="7889">
      <formula>IF(#REF!="FICTICIO",1,0)</formula>
    </cfRule>
  </conditionalFormatting>
  <conditionalFormatting sqref="F18">
    <cfRule type="expression" dxfId="7197" priority="7890">
      <formula>IF(#REF!="FICTICIO",1,0)</formula>
    </cfRule>
  </conditionalFormatting>
  <conditionalFormatting sqref="F21">
    <cfRule type="expression" dxfId="7196" priority="7884">
      <formula>IF(#REF!="FICTICIO",1,0)</formula>
    </cfRule>
  </conditionalFormatting>
  <conditionalFormatting sqref="F22:F23">
    <cfRule type="expression" dxfId="7195" priority="7869">
      <formula>IF(#REF!="FICTICIO",1,0)</formula>
    </cfRule>
  </conditionalFormatting>
  <conditionalFormatting sqref="E19">
    <cfRule type="expression" dxfId="7194" priority="7862">
      <formula>IF(#REF!="FICTICIO",1,0)</formula>
    </cfRule>
  </conditionalFormatting>
  <conditionalFormatting sqref="E19">
    <cfRule type="expression" dxfId="7193" priority="7861">
      <formula>IF(#REF!="FICTICIO",1,0)</formula>
    </cfRule>
  </conditionalFormatting>
  <conditionalFormatting sqref="E19">
    <cfRule type="expression" dxfId="7192" priority="7860">
      <formula>IF(#REF!="FICTICIO",1,0)</formula>
    </cfRule>
  </conditionalFormatting>
  <conditionalFormatting sqref="F20">
    <cfRule type="expression" dxfId="7191" priority="7858">
      <formula>IF(#REF!="FICTICIO",1,0)</formula>
    </cfRule>
  </conditionalFormatting>
  <conditionalFormatting sqref="F20">
    <cfRule type="expression" dxfId="7190" priority="7859">
      <formula>IF(#REF!="FICTICIO",1,0)</formula>
    </cfRule>
  </conditionalFormatting>
  <conditionalFormatting sqref="F24">
    <cfRule type="expression" dxfId="7189" priority="7837">
      <formula>IF(#REF!="FICTICIO",1,0)</formula>
    </cfRule>
  </conditionalFormatting>
  <conditionalFormatting sqref="E19">
    <cfRule type="expression" dxfId="7188" priority="7833">
      <formula>IF(#REF!="FICTICIO",1,0)</formula>
    </cfRule>
  </conditionalFormatting>
  <conditionalFormatting sqref="E19">
    <cfRule type="expression" dxfId="7187" priority="7832">
      <formula>IF(#REF!="FICTICIO",1,0)</formula>
    </cfRule>
  </conditionalFormatting>
  <conditionalFormatting sqref="E19">
    <cfRule type="expression" dxfId="7186" priority="7831">
      <formula>IF(#REF!="FICTICIO",1,0)</formula>
    </cfRule>
  </conditionalFormatting>
  <conditionalFormatting sqref="F24">
    <cfRule type="expression" dxfId="7185" priority="7813">
      <formula>IF(#REF!="FICTICIO",1,0)</formula>
    </cfRule>
  </conditionalFormatting>
  <conditionalFormatting sqref="E19">
    <cfRule type="expression" dxfId="7184" priority="7809">
      <formula>IF(#REF!="FICTICIO",1,0)</formula>
    </cfRule>
  </conditionalFormatting>
  <conditionalFormatting sqref="E19">
    <cfRule type="expression" dxfId="7183" priority="7808">
      <formula>IF(#REF!="FICTICIO",1,0)</formula>
    </cfRule>
  </conditionalFormatting>
  <conditionalFormatting sqref="E19">
    <cfRule type="expression" dxfId="7182" priority="7807">
      <formula>IF(#REF!="FICTICIO",1,0)</formula>
    </cfRule>
  </conditionalFormatting>
  <conditionalFormatting sqref="D19">
    <cfRule type="expression" dxfId="7181" priority="7805">
      <formula>IF(#REF!="FICTICIO",1,0)</formula>
    </cfRule>
  </conditionalFormatting>
  <conditionalFormatting sqref="D19">
    <cfRule type="expression" dxfId="7180" priority="7806">
      <formula>IF(#REF!="FICTICIO",1,0)</formula>
    </cfRule>
  </conditionalFormatting>
  <conditionalFormatting sqref="D19">
    <cfRule type="expression" dxfId="7179" priority="7803">
      <formula>IF(#REF!="FICTICIO",1,0)</formula>
    </cfRule>
  </conditionalFormatting>
  <conditionalFormatting sqref="D19">
    <cfRule type="expression" dxfId="7178" priority="7804">
      <formula>IF(#REF!="FICTICIO",1,0)</formula>
    </cfRule>
  </conditionalFormatting>
  <conditionalFormatting sqref="E19">
    <cfRule type="expression" dxfId="7177" priority="7802">
      <formula>IF(#REF!="FICTICIO",1,0)</formula>
    </cfRule>
  </conditionalFormatting>
  <conditionalFormatting sqref="E19">
    <cfRule type="expression" dxfId="7176" priority="7801">
      <formula>IF(#REF!="FICTICIO",1,0)</formula>
    </cfRule>
  </conditionalFormatting>
  <conditionalFormatting sqref="E19">
    <cfRule type="expression" dxfId="7175" priority="7800">
      <formula>IF(#REF!="FICTICIO",1,0)</formula>
    </cfRule>
  </conditionalFormatting>
  <conditionalFormatting sqref="F25">
    <cfRule type="expression" dxfId="7174" priority="7740">
      <formula>IF(#REF!="FICTICIO",1,0)</formula>
    </cfRule>
  </conditionalFormatting>
  <conditionalFormatting sqref="F25">
    <cfRule type="expression" dxfId="7173" priority="7739">
      <formula>IF(#REF!="FICTICIO",1,0)</formula>
    </cfRule>
  </conditionalFormatting>
  <conditionalFormatting sqref="F26">
    <cfRule type="expression" dxfId="7172" priority="7738">
      <formula>IF(#REF!="FICTICIO",1,0)</formula>
    </cfRule>
  </conditionalFormatting>
  <conditionalFormatting sqref="F26">
    <cfRule type="expression" dxfId="7171" priority="7737">
      <formula>IF(#REF!="FICTICIO",1,0)</formula>
    </cfRule>
  </conditionalFormatting>
  <conditionalFormatting sqref="D34">
    <cfRule type="expression" dxfId="7170" priority="7735">
      <formula>IF(#REF!="FICTICIO",1,0)</formula>
    </cfRule>
  </conditionalFormatting>
  <conditionalFormatting sqref="D34">
    <cfRule type="expression" dxfId="7169" priority="7736">
      <formula>IF(#REF!="FICTICIO",1,0)</formula>
    </cfRule>
  </conditionalFormatting>
  <conditionalFormatting sqref="E29 E31">
    <cfRule type="expression" dxfId="7168" priority="7734">
      <formula>IF(#REF!="FICTICIO",1,0)</formula>
    </cfRule>
  </conditionalFormatting>
  <conditionalFormatting sqref="E29 E31">
    <cfRule type="expression" dxfId="7167" priority="7733">
      <formula>IF(#REF!="FICTICIO",1,0)</formula>
    </cfRule>
  </conditionalFormatting>
  <conditionalFormatting sqref="E29 E31">
    <cfRule type="expression" dxfId="7166" priority="7732">
      <formula>IF(#REF!="FICTICIO",1,0)</formula>
    </cfRule>
  </conditionalFormatting>
  <conditionalFormatting sqref="E29 E31">
    <cfRule type="expression" dxfId="7165" priority="7731">
      <formula>IF(#REF!="FICTICIO",1,0)</formula>
    </cfRule>
  </conditionalFormatting>
  <conditionalFormatting sqref="E29 E31">
    <cfRule type="expression" dxfId="7164" priority="7730">
      <formula>IF(#REF!="FICTICIO",1,0)</formula>
    </cfRule>
  </conditionalFormatting>
  <conditionalFormatting sqref="E29 E31">
    <cfRule type="expression" dxfId="7163" priority="7729">
      <formula>IF(#REF!="FICTICIO",1,0)</formula>
    </cfRule>
  </conditionalFormatting>
  <conditionalFormatting sqref="E29 E31">
    <cfRule type="expression" dxfId="7162" priority="7728">
      <formula>IF(#REF!="FICTICIO",1,0)</formula>
    </cfRule>
  </conditionalFormatting>
  <conditionalFormatting sqref="E29 E31">
    <cfRule type="expression" dxfId="7161" priority="7727">
      <formula>IF(#REF!="FICTICIO",1,0)</formula>
    </cfRule>
  </conditionalFormatting>
  <conditionalFormatting sqref="E29 E31">
    <cfRule type="expression" dxfId="7160" priority="7726">
      <formula>IF(#REF!="FICTICIO",1,0)</formula>
    </cfRule>
  </conditionalFormatting>
  <conditionalFormatting sqref="E29 E31">
    <cfRule type="expression" dxfId="7159" priority="7725">
      <formula>IF(#REF!="FICTICIO",1,0)</formula>
    </cfRule>
  </conditionalFormatting>
  <conditionalFormatting sqref="E31">
    <cfRule type="expression" dxfId="7158" priority="7722">
      <formula>IF(#REF!="FICTICIO",1,0)</formula>
    </cfRule>
  </conditionalFormatting>
  <conditionalFormatting sqref="E31">
    <cfRule type="expression" dxfId="7157" priority="7721">
      <formula>IF(#REF!="FICTICIO",1,0)</formula>
    </cfRule>
  </conditionalFormatting>
  <conditionalFormatting sqref="E31">
    <cfRule type="expression" dxfId="7156" priority="7720">
      <formula>IF(#REF!="FICTICIO",1,0)</formula>
    </cfRule>
  </conditionalFormatting>
  <conditionalFormatting sqref="E31">
    <cfRule type="expression" dxfId="7155" priority="7719">
      <formula>IF(#REF!="FICTICIO",1,0)</formula>
    </cfRule>
  </conditionalFormatting>
  <conditionalFormatting sqref="E31">
    <cfRule type="expression" dxfId="7154" priority="7718">
      <formula>IF(#REF!="FICTICIO",1,0)</formula>
    </cfRule>
  </conditionalFormatting>
  <conditionalFormatting sqref="E31">
    <cfRule type="expression" dxfId="7153" priority="7717">
      <formula>IF(#REF!="FICTICIO",1,0)</formula>
    </cfRule>
  </conditionalFormatting>
  <conditionalFormatting sqref="D27">
    <cfRule type="expression" dxfId="7152" priority="7715">
      <formula>IF(#REF!="FICTICIO",1,0)</formula>
    </cfRule>
  </conditionalFormatting>
  <conditionalFormatting sqref="D27">
    <cfRule type="expression" dxfId="7151" priority="7716">
      <formula>IF(#REF!="FICTICIO",1,0)</formula>
    </cfRule>
  </conditionalFormatting>
  <conditionalFormatting sqref="D27">
    <cfRule type="expression" dxfId="7150" priority="7713">
      <formula>IF(#REF!="FICTICIO",1,0)</formula>
    </cfRule>
  </conditionalFormatting>
  <conditionalFormatting sqref="D27">
    <cfRule type="expression" dxfId="7149" priority="7714">
      <formula>IF(#REF!="FICTICIO",1,0)</formula>
    </cfRule>
  </conditionalFormatting>
  <conditionalFormatting sqref="F27">
    <cfRule type="expression" dxfId="7148" priority="7711">
      <formula>IF(#REF!="FICTICIO",1,0)</formula>
    </cfRule>
  </conditionalFormatting>
  <conditionalFormatting sqref="F27">
    <cfRule type="expression" dxfId="7147" priority="7712">
      <formula>IF(#REF!="FICTICIO",1,0)</formula>
    </cfRule>
  </conditionalFormatting>
  <conditionalFormatting sqref="E31">
    <cfRule type="expression" dxfId="7146" priority="7710">
      <formula>IF(#REF!="FICTICIO",1,0)</formula>
    </cfRule>
  </conditionalFormatting>
  <conditionalFormatting sqref="E31">
    <cfRule type="expression" dxfId="7145" priority="7709">
      <formula>IF(#REF!="FICTICIO",1,0)</formula>
    </cfRule>
  </conditionalFormatting>
  <conditionalFormatting sqref="E31">
    <cfRule type="expression" dxfId="7144" priority="7708">
      <formula>IF(#REF!="FICTICIO",1,0)</formula>
    </cfRule>
  </conditionalFormatting>
  <conditionalFormatting sqref="E31">
    <cfRule type="expression" dxfId="7143" priority="7707">
      <formula>IF(#REF!="FICTICIO",1,0)</formula>
    </cfRule>
  </conditionalFormatting>
  <conditionalFormatting sqref="E31">
    <cfRule type="expression" dxfId="7142" priority="7698">
      <formula>IF(#REF!="FICTICIO",1,0)</formula>
    </cfRule>
  </conditionalFormatting>
  <conditionalFormatting sqref="E31">
    <cfRule type="expression" dxfId="7141" priority="7697">
      <formula>IF(#REF!="FICTICIO",1,0)</formula>
    </cfRule>
  </conditionalFormatting>
  <conditionalFormatting sqref="E31">
    <cfRule type="expression" dxfId="7140" priority="7696">
      <formula>IF(#REF!="FICTICIO",1,0)</formula>
    </cfRule>
  </conditionalFormatting>
  <conditionalFormatting sqref="E31">
    <cfRule type="expression" dxfId="7139" priority="7695">
      <formula>IF(#REF!="FICTICIO",1,0)</formula>
    </cfRule>
  </conditionalFormatting>
  <conditionalFormatting sqref="E31">
    <cfRule type="expression" dxfId="7138" priority="7694">
      <formula>IF(#REF!="FICTICIO",1,0)</formula>
    </cfRule>
  </conditionalFormatting>
  <conditionalFormatting sqref="E31">
    <cfRule type="expression" dxfId="7137" priority="7692">
      <formula>IF(#REF!="FICTICIO",1,0)</formula>
    </cfRule>
  </conditionalFormatting>
  <conditionalFormatting sqref="E31">
    <cfRule type="expression" dxfId="7136" priority="7693">
      <formula>IF(#REF!="FICTICIO",1,0)</formula>
    </cfRule>
  </conditionalFormatting>
  <conditionalFormatting sqref="F31">
    <cfRule type="expression" dxfId="7135" priority="7691">
      <formula>IF(#REF!="FICTICIO",1,0)</formula>
    </cfRule>
  </conditionalFormatting>
  <conditionalFormatting sqref="E31">
    <cfRule type="expression" dxfId="7134" priority="7690">
      <formula>IF(#REF!="FICTICIO",1,0)</formula>
    </cfRule>
  </conditionalFormatting>
  <conditionalFormatting sqref="E31">
    <cfRule type="expression" dxfId="7133" priority="7689">
      <formula>IF(#REF!="FICTICIO",1,0)</formula>
    </cfRule>
  </conditionalFormatting>
  <conditionalFormatting sqref="E31">
    <cfRule type="expression" dxfId="7132" priority="7688">
      <formula>IF(#REF!="FICTICIO",1,0)</formula>
    </cfRule>
  </conditionalFormatting>
  <conditionalFormatting sqref="F29">
    <cfRule type="expression" dxfId="7131" priority="7680">
      <formula>IF(#REF!="FICTICIO",1,0)</formula>
    </cfRule>
  </conditionalFormatting>
  <conditionalFormatting sqref="F29">
    <cfRule type="expression" dxfId="7130" priority="7681">
      <formula>IF(#REF!="FICTICIO",1,0)</formula>
    </cfRule>
  </conditionalFormatting>
  <conditionalFormatting sqref="E29">
    <cfRule type="expression" dxfId="7129" priority="7679">
      <formula>IF(#REF!="FICTICIO",1,0)</formula>
    </cfRule>
  </conditionalFormatting>
  <conditionalFormatting sqref="E29">
    <cfRule type="expression" dxfId="7128" priority="7678">
      <formula>IF(#REF!="FICTICIO",1,0)</formula>
    </cfRule>
  </conditionalFormatting>
  <conditionalFormatting sqref="E29">
    <cfRule type="expression" dxfId="7127" priority="7677">
      <formula>IF(#REF!="FICTICIO",1,0)</formula>
    </cfRule>
  </conditionalFormatting>
  <conditionalFormatting sqref="E29 E31">
    <cfRule type="expression" dxfId="7126" priority="7655">
      <formula>IF(#REF!="FICTICIO",1,0)</formula>
    </cfRule>
  </conditionalFormatting>
  <conditionalFormatting sqref="E29 E31">
    <cfRule type="expression" dxfId="7125" priority="7654">
      <formula>IF(#REF!="FICTICIO",1,0)</formula>
    </cfRule>
  </conditionalFormatting>
  <conditionalFormatting sqref="E29 E31">
    <cfRule type="expression" dxfId="7124" priority="7653">
      <formula>IF(#REF!="FICTICIO",1,0)</formula>
    </cfRule>
  </conditionalFormatting>
  <conditionalFormatting sqref="E29 E31">
    <cfRule type="expression" dxfId="7123" priority="7631">
      <formula>IF(#REF!="FICTICIO",1,0)</formula>
    </cfRule>
  </conditionalFormatting>
  <conditionalFormatting sqref="E29 E31">
    <cfRule type="expression" dxfId="7122" priority="7630">
      <formula>IF(#REF!="FICTICIO",1,0)</formula>
    </cfRule>
  </conditionalFormatting>
  <conditionalFormatting sqref="E29 E31">
    <cfRule type="expression" dxfId="7121" priority="7629">
      <formula>IF(#REF!="FICTICIO",1,0)</formula>
    </cfRule>
  </conditionalFormatting>
  <conditionalFormatting sqref="D29:D31 D33">
    <cfRule type="expression" dxfId="7120" priority="7627">
      <formula>IF(#REF!="FICTICIO",1,0)</formula>
    </cfRule>
  </conditionalFormatting>
  <conditionalFormatting sqref="D29:D31 D33">
    <cfRule type="expression" dxfId="7119" priority="7628">
      <formula>IF(#REF!="FICTICIO",1,0)</formula>
    </cfRule>
  </conditionalFormatting>
  <conditionalFormatting sqref="D29:D31 D33">
    <cfRule type="expression" dxfId="7118" priority="7625">
      <formula>IF(#REF!="FICTICIO",1,0)</formula>
    </cfRule>
  </conditionalFormatting>
  <conditionalFormatting sqref="D29:D31 D33">
    <cfRule type="expression" dxfId="7117" priority="7626">
      <formula>IF(#REF!="FICTICIO",1,0)</formula>
    </cfRule>
  </conditionalFormatting>
  <conditionalFormatting sqref="E29 E31">
    <cfRule type="expression" dxfId="7116" priority="7624">
      <formula>IF(#REF!="FICTICIO",1,0)</formula>
    </cfRule>
  </conditionalFormatting>
  <conditionalFormatting sqref="E29 E31">
    <cfRule type="expression" dxfId="7115" priority="7623">
      <formula>IF(#REF!="FICTICIO",1,0)</formula>
    </cfRule>
  </conditionalFormatting>
  <conditionalFormatting sqref="E29 E31">
    <cfRule type="expression" dxfId="7114" priority="7622">
      <formula>IF(#REF!="FICTICIO",1,0)</formula>
    </cfRule>
  </conditionalFormatting>
  <conditionalFormatting sqref="E34">
    <cfRule type="expression" dxfId="7113" priority="7621">
      <formula>IF(#REF!="FICTICIO",1,0)</formula>
    </cfRule>
  </conditionalFormatting>
  <conditionalFormatting sqref="E34">
    <cfRule type="expression" dxfId="7112" priority="7620">
      <formula>IF(#REF!="FICTICIO",1,0)</formula>
    </cfRule>
  </conditionalFormatting>
  <conditionalFormatting sqref="E34">
    <cfRule type="expression" dxfId="7111" priority="7619">
      <formula>IF(#REF!="FICTICIO",1,0)</formula>
    </cfRule>
  </conditionalFormatting>
  <conditionalFormatting sqref="E34">
    <cfRule type="expression" dxfId="7110" priority="7618">
      <formula>IF(#REF!="FICTICIO",1,0)</formula>
    </cfRule>
  </conditionalFormatting>
  <conditionalFormatting sqref="E34">
    <cfRule type="expression" dxfId="7109" priority="7617">
      <formula>IF(#REF!="FICTICIO",1,0)</formula>
    </cfRule>
  </conditionalFormatting>
  <conditionalFormatting sqref="E34">
    <cfRule type="expression" dxfId="7108" priority="7616">
      <formula>IF(#REF!="FICTICIO",1,0)</formula>
    </cfRule>
  </conditionalFormatting>
  <conditionalFormatting sqref="E34">
    <cfRule type="expression" dxfId="7107" priority="7615">
      <formula>IF(#REF!="FICTICIO",1,0)</formula>
    </cfRule>
  </conditionalFormatting>
  <conditionalFormatting sqref="E34">
    <cfRule type="expression" dxfId="7106" priority="7614">
      <formula>IF(#REF!="FICTICIO",1,0)</formula>
    </cfRule>
  </conditionalFormatting>
  <conditionalFormatting sqref="E34">
    <cfRule type="expression" dxfId="7105" priority="7613">
      <formula>IF(#REF!="FICTICIO",1,0)</formula>
    </cfRule>
  </conditionalFormatting>
  <conditionalFormatting sqref="E34">
    <cfRule type="expression" dxfId="7104" priority="7612">
      <formula>IF(#REF!="FICTICIO",1,0)</formula>
    </cfRule>
  </conditionalFormatting>
  <conditionalFormatting sqref="E34">
    <cfRule type="expression" dxfId="7103" priority="7611">
      <formula>IF(#REF!="FICTICIO",1,0)</formula>
    </cfRule>
  </conditionalFormatting>
  <conditionalFormatting sqref="E34">
    <cfRule type="expression" dxfId="7102" priority="7610">
      <formula>IF(#REF!="FICTICIO",1,0)</formula>
    </cfRule>
  </conditionalFormatting>
  <conditionalFormatting sqref="E34">
    <cfRule type="expression" dxfId="7101" priority="7609">
      <formula>IF(#REF!="FICTICIO",1,0)</formula>
    </cfRule>
  </conditionalFormatting>
  <conditionalFormatting sqref="E34">
    <cfRule type="expression" dxfId="7100" priority="7608">
      <formula>IF(#REF!="FICTICIO",1,0)</formula>
    </cfRule>
  </conditionalFormatting>
  <conditionalFormatting sqref="E34">
    <cfRule type="expression" dxfId="7099" priority="7607">
      <formula>IF(#REF!="FICTICIO",1,0)</formula>
    </cfRule>
  </conditionalFormatting>
  <conditionalFormatting sqref="E34">
    <cfRule type="expression" dxfId="7098" priority="7606">
      <formula>IF(#REF!="FICTICIO",1,0)</formula>
    </cfRule>
  </conditionalFormatting>
  <conditionalFormatting sqref="E34">
    <cfRule type="expression" dxfId="7097" priority="7605">
      <formula>IF(#REF!="FICTICIO",1,0)</formula>
    </cfRule>
  </conditionalFormatting>
  <conditionalFormatting sqref="E34">
    <cfRule type="expression" dxfId="7096" priority="7604">
      <formula>IF(#REF!="FICTICIO",1,0)</formula>
    </cfRule>
  </conditionalFormatting>
  <conditionalFormatting sqref="E34">
    <cfRule type="expression" dxfId="7095" priority="7603">
      <formula>IF(#REF!="FICTICIO",1,0)</formula>
    </cfRule>
  </conditionalFormatting>
  <conditionalFormatting sqref="E34">
    <cfRule type="expression" dxfId="7094" priority="7602">
      <formula>IF(#REF!="FICTICIO",1,0)</formula>
    </cfRule>
  </conditionalFormatting>
  <conditionalFormatting sqref="E34">
    <cfRule type="expression" dxfId="7093" priority="7601">
      <formula>IF(#REF!="FICTICIO",1,0)</formula>
    </cfRule>
  </conditionalFormatting>
  <conditionalFormatting sqref="E34">
    <cfRule type="expression" dxfId="7092" priority="7600">
      <formula>IF(#REF!="FICTICIO",1,0)</formula>
    </cfRule>
  </conditionalFormatting>
  <conditionalFormatting sqref="E34">
    <cfRule type="expression" dxfId="7091" priority="7599">
      <formula>IF(#REF!="FICTICIO",1,0)</formula>
    </cfRule>
  </conditionalFormatting>
  <conditionalFormatting sqref="E34">
    <cfRule type="expression" dxfId="7090" priority="7598">
      <formula>IF(#REF!="FICTICIO",1,0)</formula>
    </cfRule>
  </conditionalFormatting>
  <conditionalFormatting sqref="E34">
    <cfRule type="expression" dxfId="7089" priority="7597">
      <formula>IF(#REF!="FICTICIO",1,0)</formula>
    </cfRule>
  </conditionalFormatting>
  <conditionalFormatting sqref="E34">
    <cfRule type="expression" dxfId="7088" priority="7595">
      <formula>IF(#REF!="FICTICIO",1,0)</formula>
    </cfRule>
  </conditionalFormatting>
  <conditionalFormatting sqref="E34">
    <cfRule type="expression" dxfId="7087" priority="7596">
      <formula>IF(#REF!="FICTICIO",1,0)</formula>
    </cfRule>
  </conditionalFormatting>
  <conditionalFormatting sqref="E34">
    <cfRule type="expression" dxfId="7086" priority="7594">
      <formula>IF(#REF!="FICTICIO",1,0)</formula>
    </cfRule>
  </conditionalFormatting>
  <conditionalFormatting sqref="E34">
    <cfRule type="expression" dxfId="7085" priority="7593">
      <formula>IF(#REF!="FICTICIO",1,0)</formula>
    </cfRule>
  </conditionalFormatting>
  <conditionalFormatting sqref="E34">
    <cfRule type="expression" dxfId="7084" priority="7592">
      <formula>IF(#REF!="FICTICIO",1,0)</formula>
    </cfRule>
  </conditionalFormatting>
  <conditionalFormatting sqref="E34">
    <cfRule type="expression" dxfId="7083" priority="7591">
      <formula>IF(#REF!="FICTICIO",1,0)</formula>
    </cfRule>
  </conditionalFormatting>
  <conditionalFormatting sqref="E34">
    <cfRule type="expression" dxfId="7082" priority="7590">
      <formula>IF(#REF!="FICTICIO",1,0)</formula>
    </cfRule>
  </conditionalFormatting>
  <conditionalFormatting sqref="E34">
    <cfRule type="expression" dxfId="7081" priority="7589">
      <formula>IF(#REF!="FICTICIO",1,0)</formula>
    </cfRule>
  </conditionalFormatting>
  <conditionalFormatting sqref="E34">
    <cfRule type="expression" dxfId="7080" priority="7588">
      <formula>IF(#REF!="FICTICIO",1,0)</formula>
    </cfRule>
  </conditionalFormatting>
  <conditionalFormatting sqref="E34">
    <cfRule type="expression" dxfId="7079" priority="7587">
      <formula>IF(#REF!="FICTICIO",1,0)</formula>
    </cfRule>
  </conditionalFormatting>
  <conditionalFormatting sqref="E34">
    <cfRule type="expression" dxfId="7078" priority="7586">
      <formula>IF(#REF!="FICTICIO",1,0)</formula>
    </cfRule>
  </conditionalFormatting>
  <conditionalFormatting sqref="E34">
    <cfRule type="expression" dxfId="7077" priority="7585">
      <formula>IF(#REF!="FICTICIO",1,0)</formula>
    </cfRule>
  </conditionalFormatting>
  <conditionalFormatting sqref="E34">
    <cfRule type="expression" dxfId="7076" priority="7584">
      <formula>IF(#REF!="FICTICIO",1,0)</formula>
    </cfRule>
  </conditionalFormatting>
  <conditionalFormatting sqref="E34">
    <cfRule type="expression" dxfId="7075" priority="7583">
      <formula>IF(#REF!="FICTICIO",1,0)</formula>
    </cfRule>
  </conditionalFormatting>
  <conditionalFormatting sqref="E34">
    <cfRule type="expression" dxfId="7074" priority="7582">
      <formula>IF(#REF!="FICTICIO",1,0)</formula>
    </cfRule>
  </conditionalFormatting>
  <conditionalFormatting sqref="E34">
    <cfRule type="expression" dxfId="7073" priority="7581">
      <formula>IF(#REF!="FICTICIO",1,0)</formula>
    </cfRule>
  </conditionalFormatting>
  <conditionalFormatting sqref="E34">
    <cfRule type="expression" dxfId="7072" priority="7580">
      <formula>IF(#REF!="FICTICIO",1,0)</formula>
    </cfRule>
  </conditionalFormatting>
  <conditionalFormatting sqref="E34">
    <cfRule type="expression" dxfId="7071" priority="7579">
      <formula>IF(#REF!="FICTICIO",1,0)</formula>
    </cfRule>
  </conditionalFormatting>
  <conditionalFormatting sqref="E34">
    <cfRule type="expression" dxfId="7070" priority="7578">
      <formula>IF(#REF!="FICTICIO",1,0)</formula>
    </cfRule>
  </conditionalFormatting>
  <conditionalFormatting sqref="E34">
    <cfRule type="expression" dxfId="7069" priority="7577">
      <formula>IF(#REF!="FICTICIO",1,0)</formula>
    </cfRule>
  </conditionalFormatting>
  <conditionalFormatting sqref="E34">
    <cfRule type="expression" dxfId="7068" priority="7576">
      <formula>IF(#REF!="FICTICIO",1,0)</formula>
    </cfRule>
  </conditionalFormatting>
  <conditionalFormatting sqref="E34">
    <cfRule type="expression" dxfId="7067" priority="7575">
      <formula>IF(#REF!="FICTICIO",1,0)</formula>
    </cfRule>
  </conditionalFormatting>
  <conditionalFormatting sqref="E34">
    <cfRule type="expression" dxfId="7066" priority="7574">
      <formula>IF(#REF!="FICTICIO",1,0)</formula>
    </cfRule>
  </conditionalFormatting>
  <conditionalFormatting sqref="E34">
    <cfRule type="expression" dxfId="7065" priority="7572">
      <formula>IF(#REF!="FICTICIO",1,0)</formula>
    </cfRule>
  </conditionalFormatting>
  <conditionalFormatting sqref="E34">
    <cfRule type="expression" dxfId="7064" priority="7573">
      <formula>IF(#REF!="FICTICIO",1,0)</formula>
    </cfRule>
  </conditionalFormatting>
  <conditionalFormatting sqref="E34">
    <cfRule type="expression" dxfId="7063" priority="7571">
      <formula>IF(#REF!="FICTICIO",1,0)</formula>
    </cfRule>
  </conditionalFormatting>
  <conditionalFormatting sqref="E34">
    <cfRule type="expression" dxfId="7062" priority="7570">
      <formula>IF(#REF!="FICTICIO",1,0)</formula>
    </cfRule>
  </conditionalFormatting>
  <conditionalFormatting sqref="E34">
    <cfRule type="expression" dxfId="7061" priority="7569">
      <formula>IF(#REF!="FICTICIO",1,0)</formula>
    </cfRule>
  </conditionalFormatting>
  <conditionalFormatting sqref="E34">
    <cfRule type="expression" dxfId="7060" priority="7568">
      <formula>IF(#REF!="FICTICIO",1,0)</formula>
    </cfRule>
  </conditionalFormatting>
  <conditionalFormatting sqref="E34">
    <cfRule type="expression" dxfId="7059" priority="7567">
      <formula>IF(#REF!="FICTICIO",1,0)</formula>
    </cfRule>
  </conditionalFormatting>
  <conditionalFormatting sqref="E34">
    <cfRule type="expression" dxfId="7058" priority="7566">
      <formula>IF(#REF!="FICTICIO",1,0)</formula>
    </cfRule>
  </conditionalFormatting>
  <conditionalFormatting sqref="E34">
    <cfRule type="expression" dxfId="7057" priority="7565">
      <formula>IF(#REF!="FICTICIO",1,0)</formula>
    </cfRule>
  </conditionalFormatting>
  <conditionalFormatting sqref="E34">
    <cfRule type="expression" dxfId="7056" priority="7564">
      <formula>IF(#REF!="FICTICIO",1,0)</formula>
    </cfRule>
  </conditionalFormatting>
  <conditionalFormatting sqref="E34">
    <cfRule type="expression" dxfId="7055" priority="7563">
      <formula>IF(#REF!="FICTICIO",1,0)</formula>
    </cfRule>
  </conditionalFormatting>
  <conditionalFormatting sqref="F34">
    <cfRule type="expression" dxfId="7054" priority="7562">
      <formula>IF(#REF!="FICTICIO",1,0)</formula>
    </cfRule>
  </conditionalFormatting>
  <conditionalFormatting sqref="F34">
    <cfRule type="expression" dxfId="7053" priority="7561">
      <formula>IF(#REF!="FICTICIO",1,0)</formula>
    </cfRule>
  </conditionalFormatting>
  <conditionalFormatting sqref="D18">
    <cfRule type="expression" dxfId="7052" priority="7559">
      <formula>IF(#REF!="FICTICIO",1,0)</formula>
    </cfRule>
  </conditionalFormatting>
  <conditionalFormatting sqref="D18">
    <cfRule type="expression" dxfId="7051" priority="7560">
      <formula>IF(#REF!="FICTICIO",1,0)</formula>
    </cfRule>
  </conditionalFormatting>
  <conditionalFormatting sqref="D18">
    <cfRule type="expression" dxfId="7050" priority="7557">
      <formula>IF(#REF!="FICTICIO",1,0)</formula>
    </cfRule>
  </conditionalFormatting>
  <conditionalFormatting sqref="D18">
    <cfRule type="expression" dxfId="7049" priority="7558">
      <formula>IF(#REF!="FICTICIO",1,0)</formula>
    </cfRule>
  </conditionalFormatting>
  <conditionalFormatting sqref="F18">
    <cfRule type="expression" dxfId="7048" priority="7553">
      <formula>IF(#REF!="FICTICIO",1,0)</formula>
    </cfRule>
  </conditionalFormatting>
  <conditionalFormatting sqref="F18">
    <cfRule type="expression" dxfId="7047" priority="7552">
      <formula>IF(#REF!="FICTICIO",1,0)</formula>
    </cfRule>
  </conditionalFormatting>
  <conditionalFormatting sqref="D26">
    <cfRule type="expression" dxfId="7046" priority="7550">
      <formula>IF(#REF!="FICTICIO",1,0)</formula>
    </cfRule>
  </conditionalFormatting>
  <conditionalFormatting sqref="D26">
    <cfRule type="expression" dxfId="7045" priority="7551">
      <formula>IF(#REF!="FICTICIO",1,0)</formula>
    </cfRule>
  </conditionalFormatting>
  <conditionalFormatting sqref="E19">
    <cfRule type="expression" dxfId="7044" priority="7549">
      <formula>IF(#REF!="FICTICIO",1,0)</formula>
    </cfRule>
  </conditionalFormatting>
  <conditionalFormatting sqref="E19">
    <cfRule type="expression" dxfId="7043" priority="7548">
      <formula>IF(#REF!="FICTICIO",1,0)</formula>
    </cfRule>
  </conditionalFormatting>
  <conditionalFormatting sqref="E19">
    <cfRule type="expression" dxfId="7042" priority="7547">
      <formula>IF(#REF!="FICTICIO",1,0)</formula>
    </cfRule>
  </conditionalFormatting>
  <conditionalFormatting sqref="E19">
    <cfRule type="expression" dxfId="7041" priority="7546">
      <formula>IF(#REF!="FICTICIO",1,0)</formula>
    </cfRule>
  </conditionalFormatting>
  <conditionalFormatting sqref="E19">
    <cfRule type="expression" dxfId="7040" priority="7545">
      <formula>IF(#REF!="FICTICIO",1,0)</formula>
    </cfRule>
  </conditionalFormatting>
  <conditionalFormatting sqref="E19">
    <cfRule type="expression" dxfId="7039" priority="7544">
      <formula>IF(#REF!="FICTICIO",1,0)</formula>
    </cfRule>
  </conditionalFormatting>
  <conditionalFormatting sqref="E19">
    <cfRule type="expression" dxfId="7038" priority="7543">
      <formula>IF(#REF!="FICTICIO",1,0)</formula>
    </cfRule>
  </conditionalFormatting>
  <conditionalFormatting sqref="E19">
    <cfRule type="expression" dxfId="7037" priority="7542">
      <formula>IF(#REF!="FICTICIO",1,0)</formula>
    </cfRule>
  </conditionalFormatting>
  <conditionalFormatting sqref="E19">
    <cfRule type="expression" dxfId="7036" priority="7541">
      <formula>IF(#REF!="FICTICIO",1,0)</formula>
    </cfRule>
  </conditionalFormatting>
  <conditionalFormatting sqref="E19">
    <cfRule type="expression" dxfId="7035" priority="7540">
      <formula>IF(#REF!="FICTICIO",1,0)</formula>
    </cfRule>
  </conditionalFormatting>
  <conditionalFormatting sqref="F20">
    <cfRule type="expression" dxfId="7034" priority="7538">
      <formula>IF(#REF!="FICTICIO",1,0)</formula>
    </cfRule>
  </conditionalFormatting>
  <conditionalFormatting sqref="F20">
    <cfRule type="expression" dxfId="7033" priority="7539">
      <formula>IF(#REF!="FICTICIO",1,0)</formula>
    </cfRule>
  </conditionalFormatting>
  <conditionalFormatting sqref="D19">
    <cfRule type="expression" dxfId="7032" priority="7530">
      <formula>IF(#REF!="FICTICIO",1,0)</formula>
    </cfRule>
  </conditionalFormatting>
  <conditionalFormatting sqref="D19">
    <cfRule type="expression" dxfId="7031" priority="7531">
      <formula>IF(#REF!="FICTICIO",1,0)</formula>
    </cfRule>
  </conditionalFormatting>
  <conditionalFormatting sqref="D19">
    <cfRule type="expression" dxfId="7030" priority="7528">
      <formula>IF(#REF!="FICTICIO",1,0)</formula>
    </cfRule>
  </conditionalFormatting>
  <conditionalFormatting sqref="D19">
    <cfRule type="expression" dxfId="7029" priority="7529">
      <formula>IF(#REF!="FICTICIO",1,0)</formula>
    </cfRule>
  </conditionalFormatting>
  <conditionalFormatting sqref="F19">
    <cfRule type="expression" dxfId="7028" priority="7526">
      <formula>IF(#REF!="FICTICIO",1,0)</formula>
    </cfRule>
  </conditionalFormatting>
  <conditionalFormatting sqref="F19">
    <cfRule type="expression" dxfId="7027" priority="7527">
      <formula>IF(#REF!="FICTICIO",1,0)</formula>
    </cfRule>
  </conditionalFormatting>
  <conditionalFormatting sqref="F22">
    <cfRule type="expression" dxfId="7026" priority="7521">
      <formula>IF(#REF!="FICTICIO",1,0)</formula>
    </cfRule>
  </conditionalFormatting>
  <conditionalFormatting sqref="F23:F24">
    <cfRule type="expression" dxfId="7025" priority="7506">
      <formula>IF(#REF!="FICTICIO",1,0)</formula>
    </cfRule>
  </conditionalFormatting>
  <conditionalFormatting sqref="E19">
    <cfRule type="expression" dxfId="7024" priority="7502">
      <formula>IF(#REF!="FICTICIO",1,0)</formula>
    </cfRule>
  </conditionalFormatting>
  <conditionalFormatting sqref="E19">
    <cfRule type="expression" dxfId="7023" priority="7501">
      <formula>IF(#REF!="FICTICIO",1,0)</formula>
    </cfRule>
  </conditionalFormatting>
  <conditionalFormatting sqref="E19">
    <cfRule type="expression" dxfId="7022" priority="7500">
      <formula>IF(#REF!="FICTICIO",1,0)</formula>
    </cfRule>
  </conditionalFormatting>
  <conditionalFormatting sqref="F21">
    <cfRule type="expression" dxfId="7021" priority="7495">
      <formula>IF(#REF!="FICTICIO",1,0)</formula>
    </cfRule>
  </conditionalFormatting>
  <conditionalFormatting sqref="F21">
    <cfRule type="expression" dxfId="7020" priority="7496">
      <formula>IF(#REF!="FICTICIO",1,0)</formula>
    </cfRule>
  </conditionalFormatting>
  <conditionalFormatting sqref="F25">
    <cfRule type="expression" dxfId="7019" priority="7474">
      <formula>IF(#REF!="FICTICIO",1,0)</formula>
    </cfRule>
  </conditionalFormatting>
  <conditionalFormatting sqref="E19">
    <cfRule type="expression" dxfId="7018" priority="7470">
      <formula>IF(#REF!="FICTICIO",1,0)</formula>
    </cfRule>
  </conditionalFormatting>
  <conditionalFormatting sqref="E19">
    <cfRule type="expression" dxfId="7017" priority="7469">
      <formula>IF(#REF!="FICTICIO",1,0)</formula>
    </cfRule>
  </conditionalFormatting>
  <conditionalFormatting sqref="E19">
    <cfRule type="expression" dxfId="7016" priority="7468">
      <formula>IF(#REF!="FICTICIO",1,0)</formula>
    </cfRule>
  </conditionalFormatting>
  <conditionalFormatting sqref="F25">
    <cfRule type="expression" dxfId="7015" priority="7450">
      <formula>IF(#REF!="FICTICIO",1,0)</formula>
    </cfRule>
  </conditionalFormatting>
  <conditionalFormatting sqref="F26">
    <cfRule type="expression" dxfId="7014" priority="7377">
      <formula>IF(#REF!="FICTICIO",1,0)</formula>
    </cfRule>
  </conditionalFormatting>
  <conditionalFormatting sqref="F26">
    <cfRule type="expression" dxfId="7013" priority="7376">
      <formula>IF(#REF!="FICTICIO",1,0)</formula>
    </cfRule>
  </conditionalFormatting>
  <conditionalFormatting sqref="D20:D25">
    <cfRule type="expression" dxfId="7012" priority="7311">
      <formula>IF(#REF!="FICTICIO",1,0)</formula>
    </cfRule>
  </conditionalFormatting>
  <conditionalFormatting sqref="D20:D25">
    <cfRule type="expression" dxfId="7011" priority="7312">
      <formula>IF(#REF!="FICTICIO",1,0)</formula>
    </cfRule>
  </conditionalFormatting>
  <conditionalFormatting sqref="D20:D25">
    <cfRule type="expression" dxfId="7010" priority="7309">
      <formula>IF(#REF!="FICTICIO",1,0)</formula>
    </cfRule>
  </conditionalFormatting>
  <conditionalFormatting sqref="D20:D25">
    <cfRule type="expression" dxfId="7009" priority="7310">
      <formula>IF(#REF!="FICTICIO",1,0)</formula>
    </cfRule>
  </conditionalFormatting>
  <conditionalFormatting sqref="D20:D25">
    <cfRule type="expression" dxfId="7008" priority="7307">
      <formula>IF(#REF!="FICTICIO",1,0)</formula>
    </cfRule>
  </conditionalFormatting>
  <conditionalFormatting sqref="D20:D25">
    <cfRule type="expression" dxfId="7007" priority="7308">
      <formula>IF(#REF!="FICTICIO",1,0)</formula>
    </cfRule>
  </conditionalFormatting>
  <conditionalFormatting sqref="D20:D25">
    <cfRule type="expression" dxfId="7006" priority="7305">
      <formula>IF(#REF!="FICTICIO",1,0)</formula>
    </cfRule>
  </conditionalFormatting>
  <conditionalFormatting sqref="D20:D25">
    <cfRule type="expression" dxfId="7005" priority="7306">
      <formula>IF(#REF!="FICTICIO",1,0)</formula>
    </cfRule>
  </conditionalFormatting>
  <conditionalFormatting sqref="E18">
    <cfRule type="expression" dxfId="7004" priority="7293">
      <formula>IF(#REF!="FICTICIO",1,0)</formula>
    </cfRule>
  </conditionalFormatting>
  <conditionalFormatting sqref="E18">
    <cfRule type="expression" dxfId="7003" priority="7292">
      <formula>IF(#REF!="FICTICIO",1,0)</formula>
    </cfRule>
  </conditionalFormatting>
  <conditionalFormatting sqref="E18">
    <cfRule type="expression" dxfId="7002" priority="7291">
      <formula>IF(#REF!="FICTICIO",1,0)</formula>
    </cfRule>
  </conditionalFormatting>
  <conditionalFormatting sqref="E18">
    <cfRule type="expression" dxfId="7001" priority="7296">
      <formula>IF(#REF!="FICTICIO",1,0)</formula>
    </cfRule>
  </conditionalFormatting>
  <conditionalFormatting sqref="E18">
    <cfRule type="expression" dxfId="7000" priority="7295">
      <formula>IF(#REF!="FICTICIO",1,0)</formula>
    </cfRule>
  </conditionalFormatting>
  <conditionalFormatting sqref="E18">
    <cfRule type="expression" dxfId="6999" priority="7294">
      <formula>IF(#REF!="FICTICIO",1,0)</formula>
    </cfRule>
  </conditionalFormatting>
  <conditionalFormatting sqref="E18">
    <cfRule type="expression" dxfId="6998" priority="7287">
      <formula>IF(#REF!="FICTICIO",1,0)</formula>
    </cfRule>
  </conditionalFormatting>
  <conditionalFormatting sqref="E18">
    <cfRule type="expression" dxfId="6997" priority="7286">
      <formula>IF(#REF!="FICTICIO",1,0)</formula>
    </cfRule>
  </conditionalFormatting>
  <conditionalFormatting sqref="E18">
    <cfRule type="expression" dxfId="6996" priority="7285">
      <formula>IF(#REF!="FICTICIO",1,0)</formula>
    </cfRule>
  </conditionalFormatting>
  <conditionalFormatting sqref="E18">
    <cfRule type="expression" dxfId="6995" priority="7290">
      <formula>IF(#REF!="FICTICIO",1,0)</formula>
    </cfRule>
  </conditionalFormatting>
  <conditionalFormatting sqref="E18">
    <cfRule type="expression" dxfId="6994" priority="7289">
      <formula>IF(#REF!="FICTICIO",1,0)</formula>
    </cfRule>
  </conditionalFormatting>
  <conditionalFormatting sqref="E18">
    <cfRule type="expression" dxfId="6993" priority="7288">
      <formula>IF(#REF!="FICTICIO",1,0)</formula>
    </cfRule>
  </conditionalFormatting>
  <conditionalFormatting sqref="E18">
    <cfRule type="expression" dxfId="6992" priority="7281">
      <formula>IF(#REF!="FICTICIO",1,0)</formula>
    </cfRule>
  </conditionalFormatting>
  <conditionalFormatting sqref="E18">
    <cfRule type="expression" dxfId="6991" priority="7280">
      <formula>IF(#REF!="FICTICIO",1,0)</formula>
    </cfRule>
  </conditionalFormatting>
  <conditionalFormatting sqref="E18">
    <cfRule type="expression" dxfId="6990" priority="7279">
      <formula>IF(#REF!="FICTICIO",1,0)</formula>
    </cfRule>
  </conditionalFormatting>
  <conditionalFormatting sqref="E18">
    <cfRule type="expression" dxfId="6989" priority="7284">
      <formula>IF(#REF!="FICTICIO",1,0)</formula>
    </cfRule>
  </conditionalFormatting>
  <conditionalFormatting sqref="E18">
    <cfRule type="expression" dxfId="6988" priority="7283">
      <formula>IF(#REF!="FICTICIO",1,0)</formula>
    </cfRule>
  </conditionalFormatting>
  <conditionalFormatting sqref="E18">
    <cfRule type="expression" dxfId="6987" priority="7282">
      <formula>IF(#REF!="FICTICIO",1,0)</formula>
    </cfRule>
  </conditionalFormatting>
  <conditionalFormatting sqref="E18">
    <cfRule type="expression" dxfId="6986" priority="7275">
      <formula>IF(#REF!="FICTICIO",1,0)</formula>
    </cfRule>
  </conditionalFormatting>
  <conditionalFormatting sqref="E18">
    <cfRule type="expression" dxfId="6985" priority="7274">
      <formula>IF(#REF!="FICTICIO",1,0)</formula>
    </cfRule>
  </conditionalFormatting>
  <conditionalFormatting sqref="E18">
    <cfRule type="expression" dxfId="6984" priority="7273">
      <formula>IF(#REF!="FICTICIO",1,0)</formula>
    </cfRule>
  </conditionalFormatting>
  <conditionalFormatting sqref="E18">
    <cfRule type="expression" dxfId="6983" priority="7278">
      <formula>IF(#REF!="FICTICIO",1,0)</formula>
    </cfRule>
  </conditionalFormatting>
  <conditionalFormatting sqref="E18">
    <cfRule type="expression" dxfId="6982" priority="7277">
      <formula>IF(#REF!="FICTICIO",1,0)</formula>
    </cfRule>
  </conditionalFormatting>
  <conditionalFormatting sqref="E18">
    <cfRule type="expression" dxfId="6981" priority="7276">
      <formula>IF(#REF!="FICTICIO",1,0)</formula>
    </cfRule>
  </conditionalFormatting>
  <conditionalFormatting sqref="E18">
    <cfRule type="expression" dxfId="6980" priority="7269">
      <formula>IF(#REF!="FICTICIO",1,0)</formula>
    </cfRule>
  </conditionalFormatting>
  <conditionalFormatting sqref="E18">
    <cfRule type="expression" dxfId="6979" priority="7268">
      <formula>IF(#REF!="FICTICIO",1,0)</formula>
    </cfRule>
  </conditionalFormatting>
  <conditionalFormatting sqref="E18">
    <cfRule type="expression" dxfId="6978" priority="7267">
      <formula>IF(#REF!="FICTICIO",1,0)</formula>
    </cfRule>
  </conditionalFormatting>
  <conditionalFormatting sqref="E18">
    <cfRule type="expression" dxfId="6977" priority="7272">
      <formula>IF(#REF!="FICTICIO",1,0)</formula>
    </cfRule>
  </conditionalFormatting>
  <conditionalFormatting sqref="E18">
    <cfRule type="expression" dxfId="6976" priority="7271">
      <formula>IF(#REF!="FICTICIO",1,0)</formula>
    </cfRule>
  </conditionalFormatting>
  <conditionalFormatting sqref="E18">
    <cfRule type="expression" dxfId="6975" priority="7270">
      <formula>IF(#REF!="FICTICIO",1,0)</formula>
    </cfRule>
  </conditionalFormatting>
  <conditionalFormatting sqref="E20:E26">
    <cfRule type="expression" dxfId="6974" priority="7266">
      <formula>IF(#REF!="FICTICIO",1,0)</formula>
    </cfRule>
  </conditionalFormatting>
  <conditionalFormatting sqref="E20:E26">
    <cfRule type="expression" dxfId="6973" priority="7265">
      <formula>IF(#REF!="FICTICIO",1,0)</formula>
    </cfRule>
  </conditionalFormatting>
  <conditionalFormatting sqref="E20:E26">
    <cfRule type="expression" dxfId="6972" priority="7264">
      <formula>IF(#REF!="FICTICIO",1,0)</formula>
    </cfRule>
  </conditionalFormatting>
  <conditionalFormatting sqref="E20:E26">
    <cfRule type="expression" dxfId="6971" priority="7263">
      <formula>IF(#REF!="FICTICIO",1,0)</formula>
    </cfRule>
  </conditionalFormatting>
  <conditionalFormatting sqref="E20:E26">
    <cfRule type="expression" dxfId="6970" priority="7262">
      <formula>IF(#REF!="FICTICIO",1,0)</formula>
    </cfRule>
  </conditionalFormatting>
  <conditionalFormatting sqref="E20:E26">
    <cfRule type="expression" dxfId="6969" priority="7261">
      <formula>IF(#REF!="FICTICIO",1,0)</formula>
    </cfRule>
  </conditionalFormatting>
  <conditionalFormatting sqref="E20:E26">
    <cfRule type="expression" dxfId="6968" priority="7260">
      <formula>IF(#REF!="FICTICIO",1,0)</formula>
    </cfRule>
  </conditionalFormatting>
  <conditionalFormatting sqref="E20:E26">
    <cfRule type="expression" dxfId="6967" priority="7259">
      <formula>IF(#REF!="FICTICIO",1,0)</formula>
    </cfRule>
  </conditionalFormatting>
  <conditionalFormatting sqref="E20:E26">
    <cfRule type="expression" dxfId="6966" priority="7258">
      <formula>IF(#REF!="FICTICIO",1,0)</formula>
    </cfRule>
  </conditionalFormatting>
  <conditionalFormatting sqref="E20:E26">
    <cfRule type="expression" dxfId="6965" priority="7257">
      <formula>IF(#REF!="FICTICIO",1,0)</formula>
    </cfRule>
  </conditionalFormatting>
  <conditionalFormatting sqref="E20:E26">
    <cfRule type="expression" dxfId="6964" priority="7256">
      <formula>IF(#REF!="FICTICIO",1,0)</formula>
    </cfRule>
  </conditionalFormatting>
  <conditionalFormatting sqref="E20:E26">
    <cfRule type="expression" dxfId="6963" priority="7255">
      <formula>IF(#REF!="FICTICIO",1,0)</formula>
    </cfRule>
  </conditionalFormatting>
  <conditionalFormatting sqref="E20:E26">
    <cfRule type="expression" dxfId="6962" priority="7254">
      <formula>IF(#REF!="FICTICIO",1,0)</formula>
    </cfRule>
  </conditionalFormatting>
  <conditionalFormatting sqref="E20:E26">
    <cfRule type="expression" dxfId="6961" priority="7253">
      <formula>IF(#REF!="FICTICIO",1,0)</formula>
    </cfRule>
  </conditionalFormatting>
  <conditionalFormatting sqref="E20:E26">
    <cfRule type="expression" dxfId="6960" priority="7252">
      <formula>IF(#REF!="FICTICIO",1,0)</formula>
    </cfRule>
  </conditionalFormatting>
  <conditionalFormatting sqref="E20:E26">
    <cfRule type="expression" dxfId="6959" priority="7251">
      <formula>IF(#REF!="FICTICIO",1,0)</formula>
    </cfRule>
  </conditionalFormatting>
  <conditionalFormatting sqref="E20:E26">
    <cfRule type="expression" dxfId="6958" priority="7250">
      <formula>IF(#REF!="FICTICIO",1,0)</formula>
    </cfRule>
  </conditionalFormatting>
  <conditionalFormatting sqref="E20:E26">
    <cfRule type="expression" dxfId="6957" priority="7249">
      <formula>IF(#REF!="FICTICIO",1,0)</formula>
    </cfRule>
  </conditionalFormatting>
  <conditionalFormatting sqref="E20:E26">
    <cfRule type="expression" dxfId="6956" priority="7248">
      <formula>IF(#REF!="FICTICIO",1,0)</formula>
    </cfRule>
  </conditionalFormatting>
  <conditionalFormatting sqref="E20:E26">
    <cfRule type="expression" dxfId="6955" priority="7247">
      <formula>IF(#REF!="FICTICIO",1,0)</formula>
    </cfRule>
  </conditionalFormatting>
  <conditionalFormatting sqref="E20:E26">
    <cfRule type="expression" dxfId="6954" priority="7246">
      <formula>IF(#REF!="FICTICIO",1,0)</formula>
    </cfRule>
  </conditionalFormatting>
  <conditionalFormatting sqref="E20:E26">
    <cfRule type="expression" dxfId="6953" priority="7245">
      <formula>IF(#REF!="FICTICIO",1,0)</formula>
    </cfRule>
  </conditionalFormatting>
  <conditionalFormatting sqref="E20:E26">
    <cfRule type="expression" dxfId="6952" priority="7244">
      <formula>IF(#REF!="FICTICIO",1,0)</formula>
    </cfRule>
  </conditionalFormatting>
  <conditionalFormatting sqref="E20:E26">
    <cfRule type="expression" dxfId="6951" priority="7243">
      <formula>IF(#REF!="FICTICIO",1,0)</formula>
    </cfRule>
  </conditionalFormatting>
  <conditionalFormatting sqref="E20:E26">
    <cfRule type="expression" dxfId="6950" priority="7242">
      <formula>IF(#REF!="FICTICIO",1,0)</formula>
    </cfRule>
  </conditionalFormatting>
  <conditionalFormatting sqref="E20:E26">
    <cfRule type="expression" dxfId="6949" priority="7241">
      <formula>IF(#REF!="FICTICIO",1,0)</formula>
    </cfRule>
  </conditionalFormatting>
  <conditionalFormatting sqref="E20:E26">
    <cfRule type="expression" dxfId="6948" priority="7240">
      <formula>IF(#REF!="FICTICIO",1,0)</formula>
    </cfRule>
  </conditionalFormatting>
  <conditionalFormatting sqref="E20:E26">
    <cfRule type="expression" dxfId="6947" priority="7239">
      <formula>IF(#REF!="FICTICIO",1,0)</formula>
    </cfRule>
  </conditionalFormatting>
  <conditionalFormatting sqref="E20:E26">
    <cfRule type="expression" dxfId="6946" priority="7238">
      <formula>IF(#REF!="FICTICIO",1,0)</formula>
    </cfRule>
  </conditionalFormatting>
  <conditionalFormatting sqref="E20:E26">
    <cfRule type="expression" dxfId="6945" priority="7237">
      <formula>IF(#REF!="FICTICIO",1,0)</formula>
    </cfRule>
  </conditionalFormatting>
  <conditionalFormatting sqref="E20:E26">
    <cfRule type="expression" dxfId="6944" priority="7236">
      <formula>IF(#REF!="FICTICIO",1,0)</formula>
    </cfRule>
  </conditionalFormatting>
  <conditionalFormatting sqref="E20:E26">
    <cfRule type="expression" dxfId="6943" priority="7235">
      <formula>IF(#REF!="FICTICIO",1,0)</formula>
    </cfRule>
  </conditionalFormatting>
  <conditionalFormatting sqref="E20:E26">
    <cfRule type="expression" dxfId="6942" priority="7234">
      <formula>IF(#REF!="FICTICIO",1,0)</formula>
    </cfRule>
  </conditionalFormatting>
  <conditionalFormatting sqref="E20:E26">
    <cfRule type="expression" dxfId="6941" priority="7233">
      <formula>IF(#REF!="FICTICIO",1,0)</formula>
    </cfRule>
  </conditionalFormatting>
  <conditionalFormatting sqref="E20:E26">
    <cfRule type="expression" dxfId="6940" priority="7232">
      <formula>IF(#REF!="FICTICIO",1,0)</formula>
    </cfRule>
  </conditionalFormatting>
  <conditionalFormatting sqref="E20:E26">
    <cfRule type="expression" dxfId="6939" priority="7231">
      <formula>IF(#REF!="FICTICIO",1,0)</formula>
    </cfRule>
  </conditionalFormatting>
  <conditionalFormatting sqref="E20:E26">
    <cfRule type="expression" dxfId="6938" priority="7230">
      <formula>IF(#REF!="FICTICIO",1,0)</formula>
    </cfRule>
  </conditionalFormatting>
  <conditionalFormatting sqref="E20:E26">
    <cfRule type="expression" dxfId="6937" priority="7229">
      <formula>IF(#REF!="FICTICIO",1,0)</formula>
    </cfRule>
  </conditionalFormatting>
  <conditionalFormatting sqref="E27">
    <cfRule type="expression" dxfId="6936" priority="7228">
      <formula>IF(#REF!="FICTICIO",1,0)</formula>
    </cfRule>
  </conditionalFormatting>
  <conditionalFormatting sqref="E27">
    <cfRule type="expression" dxfId="6935" priority="7227">
      <formula>IF(#REF!="FICTICIO",1,0)</formula>
    </cfRule>
  </conditionalFormatting>
  <conditionalFormatting sqref="E27">
    <cfRule type="expression" dxfId="6934" priority="7226">
      <formula>IF(#REF!="FICTICIO",1,0)</formula>
    </cfRule>
  </conditionalFormatting>
  <conditionalFormatting sqref="E27">
    <cfRule type="expression" dxfId="6933" priority="7225">
      <formula>IF(#REF!="FICTICIO",1,0)</formula>
    </cfRule>
  </conditionalFormatting>
  <conditionalFormatting sqref="E27">
    <cfRule type="expression" dxfId="6932" priority="7224">
      <formula>IF(#REF!="FICTICIO",1,0)</formula>
    </cfRule>
  </conditionalFormatting>
  <conditionalFormatting sqref="E27">
    <cfRule type="expression" dxfId="6931" priority="7223">
      <formula>IF(#REF!="FICTICIO",1,0)</formula>
    </cfRule>
  </conditionalFormatting>
  <conditionalFormatting sqref="E27">
    <cfRule type="expression" dxfId="6930" priority="7222">
      <formula>IF(#REF!="FICTICIO",1,0)</formula>
    </cfRule>
  </conditionalFormatting>
  <conditionalFormatting sqref="E27">
    <cfRule type="expression" dxfId="6929" priority="7221">
      <formula>IF(#REF!="FICTICIO",1,0)</formula>
    </cfRule>
  </conditionalFormatting>
  <conditionalFormatting sqref="E27">
    <cfRule type="expression" dxfId="6928" priority="7220">
      <formula>IF(#REF!="FICTICIO",1,0)</formula>
    </cfRule>
  </conditionalFormatting>
  <conditionalFormatting sqref="E27">
    <cfRule type="expression" dxfId="6927" priority="7219">
      <formula>IF(#REF!="FICTICIO",1,0)</formula>
    </cfRule>
  </conditionalFormatting>
  <conditionalFormatting sqref="E27">
    <cfRule type="expression" dxfId="6926" priority="7218">
      <formula>IF(#REF!="FICTICIO",1,0)</formula>
    </cfRule>
  </conditionalFormatting>
  <conditionalFormatting sqref="E27">
    <cfRule type="expression" dxfId="6925" priority="7217">
      <formula>IF(#REF!="FICTICIO",1,0)</formula>
    </cfRule>
  </conditionalFormatting>
  <conditionalFormatting sqref="E27">
    <cfRule type="expression" dxfId="6924" priority="7216">
      <formula>IF(#REF!="FICTICIO",1,0)</formula>
    </cfRule>
  </conditionalFormatting>
  <conditionalFormatting sqref="E27">
    <cfRule type="expression" dxfId="6923" priority="7215">
      <formula>IF(#REF!="FICTICIO",1,0)</formula>
    </cfRule>
  </conditionalFormatting>
  <conditionalFormatting sqref="E27">
    <cfRule type="expression" dxfId="6922" priority="7214">
      <formula>IF(#REF!="FICTICIO",1,0)</formula>
    </cfRule>
  </conditionalFormatting>
  <conditionalFormatting sqref="E27">
    <cfRule type="expression" dxfId="6921" priority="7213">
      <formula>IF(#REF!="FICTICIO",1,0)</formula>
    </cfRule>
  </conditionalFormatting>
  <conditionalFormatting sqref="E27">
    <cfRule type="expression" dxfId="6920" priority="7212">
      <formula>IF(#REF!="FICTICIO",1,0)</formula>
    </cfRule>
  </conditionalFormatting>
  <conditionalFormatting sqref="E27">
    <cfRule type="expression" dxfId="6919" priority="7211">
      <formula>IF(#REF!="FICTICIO",1,0)</formula>
    </cfRule>
  </conditionalFormatting>
  <conditionalFormatting sqref="E27">
    <cfRule type="expression" dxfId="6918" priority="7210">
      <formula>IF(#REF!="FICTICIO",1,0)</formula>
    </cfRule>
  </conditionalFormatting>
  <conditionalFormatting sqref="E27">
    <cfRule type="expression" dxfId="6917" priority="7209">
      <formula>IF(#REF!="FICTICIO",1,0)</formula>
    </cfRule>
  </conditionalFormatting>
  <conditionalFormatting sqref="E27">
    <cfRule type="expression" dxfId="6916" priority="7208">
      <formula>IF(#REF!="FICTICIO",1,0)</formula>
    </cfRule>
  </conditionalFormatting>
  <conditionalFormatting sqref="E27">
    <cfRule type="expression" dxfId="6915" priority="7207">
      <formula>IF(#REF!="FICTICIO",1,0)</formula>
    </cfRule>
  </conditionalFormatting>
  <conditionalFormatting sqref="E27">
    <cfRule type="expression" dxfId="6914" priority="7206">
      <formula>IF(#REF!="FICTICIO",1,0)</formula>
    </cfRule>
  </conditionalFormatting>
  <conditionalFormatting sqref="E27">
    <cfRule type="expression" dxfId="6913" priority="7205">
      <formula>IF(#REF!="FICTICIO",1,0)</formula>
    </cfRule>
  </conditionalFormatting>
  <conditionalFormatting sqref="E27">
    <cfRule type="expression" dxfId="6912" priority="7204">
      <formula>IF(#REF!="FICTICIO",1,0)</formula>
    </cfRule>
  </conditionalFormatting>
  <conditionalFormatting sqref="E27">
    <cfRule type="expression" dxfId="6911" priority="7203">
      <formula>IF(#REF!="FICTICIO",1,0)</formula>
    </cfRule>
  </conditionalFormatting>
  <conditionalFormatting sqref="E27">
    <cfRule type="expression" dxfId="6910" priority="7202">
      <formula>IF(#REF!="FICTICIO",1,0)</formula>
    </cfRule>
  </conditionalFormatting>
  <conditionalFormatting sqref="E27">
    <cfRule type="expression" dxfId="6909" priority="7201">
      <formula>IF(#REF!="FICTICIO",1,0)</formula>
    </cfRule>
  </conditionalFormatting>
  <conditionalFormatting sqref="E27">
    <cfRule type="expression" dxfId="6908" priority="7200">
      <formula>IF(#REF!="FICTICIO",1,0)</formula>
    </cfRule>
  </conditionalFormatting>
  <conditionalFormatting sqref="E27">
    <cfRule type="expression" dxfId="6907" priority="7199">
      <formula>IF(#REF!="FICTICIO",1,0)</formula>
    </cfRule>
  </conditionalFormatting>
  <conditionalFormatting sqref="E27">
    <cfRule type="expression" dxfId="6906" priority="7198">
      <formula>IF(#REF!="FICTICIO",1,0)</formula>
    </cfRule>
  </conditionalFormatting>
  <conditionalFormatting sqref="E27">
    <cfRule type="expression" dxfId="6905" priority="7197">
      <formula>IF(#REF!="FICTICIO",1,0)</formula>
    </cfRule>
  </conditionalFormatting>
  <conditionalFormatting sqref="E27">
    <cfRule type="expression" dxfId="6904" priority="7196">
      <formula>IF(#REF!="FICTICIO",1,0)</formula>
    </cfRule>
  </conditionalFormatting>
  <conditionalFormatting sqref="E27">
    <cfRule type="expression" dxfId="6903" priority="7195">
      <formula>IF(#REF!="FICTICIO",1,0)</formula>
    </cfRule>
  </conditionalFormatting>
  <conditionalFormatting sqref="E27">
    <cfRule type="expression" dxfId="6902" priority="7194">
      <formula>IF(#REF!="FICTICIO",1,0)</formula>
    </cfRule>
  </conditionalFormatting>
  <conditionalFormatting sqref="E27">
    <cfRule type="expression" dxfId="6901" priority="7193">
      <formula>IF(#REF!="FICTICIO",1,0)</formula>
    </cfRule>
  </conditionalFormatting>
  <conditionalFormatting sqref="E27">
    <cfRule type="expression" dxfId="6900" priority="7192">
      <formula>IF(#REF!="FICTICIO",1,0)</formula>
    </cfRule>
  </conditionalFormatting>
  <conditionalFormatting sqref="E27">
    <cfRule type="expression" dxfId="6899" priority="7191">
      <formula>IF(#REF!="FICTICIO",1,0)</formula>
    </cfRule>
  </conditionalFormatting>
  <conditionalFormatting sqref="D28">
    <cfRule type="expression" dxfId="6898" priority="7189">
      <formula>IF(#REF!="FICTICIO",1,0)</formula>
    </cfRule>
  </conditionalFormatting>
  <conditionalFormatting sqref="D28">
    <cfRule type="expression" dxfId="6897" priority="7190">
      <formula>IF(#REF!="FICTICIO",1,0)</formula>
    </cfRule>
  </conditionalFormatting>
  <conditionalFormatting sqref="D28">
    <cfRule type="expression" dxfId="6896" priority="7187">
      <formula>IF(#REF!="FICTICIO",1,0)</formula>
    </cfRule>
  </conditionalFormatting>
  <conditionalFormatting sqref="D28">
    <cfRule type="expression" dxfId="6895" priority="7188">
      <formula>IF(#REF!="FICTICIO",1,0)</formula>
    </cfRule>
  </conditionalFormatting>
  <conditionalFormatting sqref="F28">
    <cfRule type="expression" dxfId="6894" priority="7185">
      <formula>IF(#REF!="FICTICIO",1,0)</formula>
    </cfRule>
  </conditionalFormatting>
  <conditionalFormatting sqref="F28">
    <cfRule type="expression" dxfId="6893" priority="7186">
      <formula>IF(#REF!="FICTICIO",1,0)</formula>
    </cfRule>
  </conditionalFormatting>
  <conditionalFormatting sqref="E28">
    <cfRule type="expression" dxfId="6892" priority="7184">
      <formula>IF(#REF!="FICTICIO",1,0)</formula>
    </cfRule>
  </conditionalFormatting>
  <conditionalFormatting sqref="E28">
    <cfRule type="expression" dxfId="6891" priority="7183">
      <formula>IF(#REF!="FICTICIO",1,0)</formula>
    </cfRule>
  </conditionalFormatting>
  <conditionalFormatting sqref="E28">
    <cfRule type="expression" dxfId="6890" priority="7182">
      <formula>IF(#REF!="FICTICIO",1,0)</formula>
    </cfRule>
  </conditionalFormatting>
  <conditionalFormatting sqref="E28">
    <cfRule type="expression" dxfId="6889" priority="7181">
      <formula>IF(#REF!="FICTICIO",1,0)</formula>
    </cfRule>
  </conditionalFormatting>
  <conditionalFormatting sqref="E28">
    <cfRule type="expression" dxfId="6888" priority="7180">
      <formula>IF(#REF!="FICTICIO",1,0)</formula>
    </cfRule>
  </conditionalFormatting>
  <conditionalFormatting sqref="E28">
    <cfRule type="expression" dxfId="6887" priority="7179">
      <formula>IF(#REF!="FICTICIO",1,0)</formula>
    </cfRule>
  </conditionalFormatting>
  <conditionalFormatting sqref="E28">
    <cfRule type="expression" dxfId="6886" priority="7178">
      <formula>IF(#REF!="FICTICIO",1,0)</formula>
    </cfRule>
  </conditionalFormatting>
  <conditionalFormatting sqref="E28">
    <cfRule type="expression" dxfId="6885" priority="7177">
      <formula>IF(#REF!="FICTICIO",1,0)</formula>
    </cfRule>
  </conditionalFormatting>
  <conditionalFormatting sqref="E28">
    <cfRule type="expression" dxfId="6884" priority="7176">
      <formula>IF(#REF!="FICTICIO",1,0)</formula>
    </cfRule>
  </conditionalFormatting>
  <conditionalFormatting sqref="E28">
    <cfRule type="expression" dxfId="6883" priority="7175">
      <formula>IF(#REF!="FICTICIO",1,0)</formula>
    </cfRule>
  </conditionalFormatting>
  <conditionalFormatting sqref="E28">
    <cfRule type="expression" dxfId="6882" priority="7174">
      <formula>IF(#REF!="FICTICIO",1,0)</formula>
    </cfRule>
  </conditionalFormatting>
  <conditionalFormatting sqref="E28">
    <cfRule type="expression" dxfId="6881" priority="7173">
      <formula>IF(#REF!="FICTICIO",1,0)</formula>
    </cfRule>
  </conditionalFormatting>
  <conditionalFormatting sqref="E28">
    <cfRule type="expression" dxfId="6880" priority="7172">
      <formula>IF(#REF!="FICTICIO",1,0)</formula>
    </cfRule>
  </conditionalFormatting>
  <conditionalFormatting sqref="E28">
    <cfRule type="expression" dxfId="6879" priority="7171">
      <formula>IF(#REF!="FICTICIO",1,0)</formula>
    </cfRule>
  </conditionalFormatting>
  <conditionalFormatting sqref="E28">
    <cfRule type="expression" dxfId="6878" priority="7170">
      <formula>IF(#REF!="FICTICIO",1,0)</formula>
    </cfRule>
  </conditionalFormatting>
  <conditionalFormatting sqref="E28">
    <cfRule type="expression" dxfId="6877" priority="7169">
      <formula>IF(#REF!="FICTICIO",1,0)</formula>
    </cfRule>
  </conditionalFormatting>
  <conditionalFormatting sqref="E28">
    <cfRule type="expression" dxfId="6876" priority="7168">
      <formula>IF(#REF!="FICTICIO",1,0)</formula>
    </cfRule>
  </conditionalFormatting>
  <conditionalFormatting sqref="E28">
    <cfRule type="expression" dxfId="6875" priority="7167">
      <formula>IF(#REF!="FICTICIO",1,0)</formula>
    </cfRule>
  </conditionalFormatting>
  <conditionalFormatting sqref="E28">
    <cfRule type="expression" dxfId="6874" priority="7166">
      <formula>IF(#REF!="FICTICIO",1,0)</formula>
    </cfRule>
  </conditionalFormatting>
  <conditionalFormatting sqref="E28">
    <cfRule type="expression" dxfId="6873" priority="7165">
      <formula>IF(#REF!="FICTICIO",1,0)</formula>
    </cfRule>
  </conditionalFormatting>
  <conditionalFormatting sqref="E28">
    <cfRule type="expression" dxfId="6872" priority="7164">
      <formula>IF(#REF!="FICTICIO",1,0)</formula>
    </cfRule>
  </conditionalFormatting>
  <conditionalFormatting sqref="E28">
    <cfRule type="expression" dxfId="6871" priority="7163">
      <formula>IF(#REF!="FICTICIO",1,0)</formula>
    </cfRule>
  </conditionalFormatting>
  <conditionalFormatting sqref="E28">
    <cfRule type="expression" dxfId="6870" priority="7162">
      <formula>IF(#REF!="FICTICIO",1,0)</formula>
    </cfRule>
  </conditionalFormatting>
  <conditionalFormatting sqref="E28">
    <cfRule type="expression" dxfId="6869" priority="7161">
      <formula>IF(#REF!="FICTICIO",1,0)</formula>
    </cfRule>
  </conditionalFormatting>
  <conditionalFormatting sqref="E28">
    <cfRule type="expression" dxfId="6868" priority="7160">
      <formula>IF(#REF!="FICTICIO",1,0)</formula>
    </cfRule>
  </conditionalFormatting>
  <conditionalFormatting sqref="E28">
    <cfRule type="expression" dxfId="6867" priority="7159">
      <formula>IF(#REF!="FICTICIO",1,0)</formula>
    </cfRule>
  </conditionalFormatting>
  <conditionalFormatting sqref="E28">
    <cfRule type="expression" dxfId="6866" priority="7158">
      <formula>IF(#REF!="FICTICIO",1,0)</formula>
    </cfRule>
  </conditionalFormatting>
  <conditionalFormatting sqref="E28">
    <cfRule type="expression" dxfId="6865" priority="7157">
      <formula>IF(#REF!="FICTICIO",1,0)</formula>
    </cfRule>
  </conditionalFormatting>
  <conditionalFormatting sqref="E28">
    <cfRule type="expression" dxfId="6864" priority="7156">
      <formula>IF(#REF!="FICTICIO",1,0)</formula>
    </cfRule>
  </conditionalFormatting>
  <conditionalFormatting sqref="E28">
    <cfRule type="expression" dxfId="6863" priority="7155">
      <formula>IF(#REF!="FICTICIO",1,0)</formula>
    </cfRule>
  </conditionalFormatting>
  <conditionalFormatting sqref="E28">
    <cfRule type="expression" dxfId="6862" priority="7154">
      <formula>IF(#REF!="FICTICIO",1,0)</formula>
    </cfRule>
  </conditionalFormatting>
  <conditionalFormatting sqref="E28">
    <cfRule type="expression" dxfId="6861" priority="7153">
      <formula>IF(#REF!="FICTICIO",1,0)</formula>
    </cfRule>
  </conditionalFormatting>
  <conditionalFormatting sqref="E28">
    <cfRule type="expression" dxfId="6860" priority="7152">
      <formula>IF(#REF!="FICTICIO",1,0)</formula>
    </cfRule>
  </conditionalFormatting>
  <conditionalFormatting sqref="E28">
    <cfRule type="expression" dxfId="6859" priority="7151">
      <formula>IF(#REF!="FICTICIO",1,0)</formula>
    </cfRule>
  </conditionalFormatting>
  <conditionalFormatting sqref="E28">
    <cfRule type="expression" dxfId="6858" priority="7150">
      <formula>IF(#REF!="FICTICIO",1,0)</formula>
    </cfRule>
  </conditionalFormatting>
  <conditionalFormatting sqref="E28">
    <cfRule type="expression" dxfId="6857" priority="7149">
      <formula>IF(#REF!="FICTICIO",1,0)</formula>
    </cfRule>
  </conditionalFormatting>
  <conditionalFormatting sqref="E28">
    <cfRule type="expression" dxfId="6856" priority="7148">
      <formula>IF(#REF!="FICTICIO",1,0)</formula>
    </cfRule>
  </conditionalFormatting>
  <conditionalFormatting sqref="E28">
    <cfRule type="expression" dxfId="6855" priority="7147">
      <formula>IF(#REF!="FICTICIO",1,0)</formula>
    </cfRule>
  </conditionalFormatting>
  <conditionalFormatting sqref="E30">
    <cfRule type="expression" dxfId="6854" priority="7146">
      <formula>IF(#REF!="FICTICIO",1,0)</formula>
    </cfRule>
  </conditionalFormatting>
  <conditionalFormatting sqref="E30">
    <cfRule type="expression" dxfId="6853" priority="7145">
      <formula>IF(#REF!="FICTICIO",1,0)</formula>
    </cfRule>
  </conditionalFormatting>
  <conditionalFormatting sqref="E30">
    <cfRule type="expression" dxfId="6852" priority="7144">
      <formula>IF(#REF!="FICTICIO",1,0)</formula>
    </cfRule>
  </conditionalFormatting>
  <conditionalFormatting sqref="E30">
    <cfRule type="expression" dxfId="6851" priority="7143">
      <formula>IF(#REF!="FICTICIO",1,0)</formula>
    </cfRule>
  </conditionalFormatting>
  <conditionalFormatting sqref="E30">
    <cfRule type="expression" dxfId="6850" priority="7142">
      <formula>IF(#REF!="FICTICIO",1,0)</formula>
    </cfRule>
  </conditionalFormatting>
  <conditionalFormatting sqref="E30">
    <cfRule type="expression" dxfId="6849" priority="7141">
      <formula>IF(#REF!="FICTICIO",1,0)</formula>
    </cfRule>
  </conditionalFormatting>
  <conditionalFormatting sqref="E30">
    <cfRule type="expression" dxfId="6848" priority="7140">
      <formula>IF(#REF!="FICTICIO",1,0)</formula>
    </cfRule>
  </conditionalFormatting>
  <conditionalFormatting sqref="E30">
    <cfRule type="expression" dxfId="6847" priority="7139">
      <formula>IF(#REF!="FICTICIO",1,0)</formula>
    </cfRule>
  </conditionalFormatting>
  <conditionalFormatting sqref="E30">
    <cfRule type="expression" dxfId="6846" priority="7138">
      <formula>IF(#REF!="FICTICIO",1,0)</formula>
    </cfRule>
  </conditionalFormatting>
  <conditionalFormatting sqref="E30">
    <cfRule type="expression" dxfId="6845" priority="7137">
      <formula>IF(#REF!="FICTICIO",1,0)</formula>
    </cfRule>
  </conditionalFormatting>
  <conditionalFormatting sqref="F30">
    <cfRule type="expression" dxfId="6844" priority="7135">
      <formula>IF(#REF!="FICTICIO",1,0)</formula>
    </cfRule>
  </conditionalFormatting>
  <conditionalFormatting sqref="F30">
    <cfRule type="expression" dxfId="6843" priority="7136">
      <formula>IF(#REF!="FICTICIO",1,0)</formula>
    </cfRule>
  </conditionalFormatting>
  <conditionalFormatting sqref="E30">
    <cfRule type="expression" dxfId="6842" priority="7134">
      <formula>IF(#REF!="FICTICIO",1,0)</formula>
    </cfRule>
  </conditionalFormatting>
  <conditionalFormatting sqref="E30">
    <cfRule type="expression" dxfId="6841" priority="7133">
      <formula>IF(#REF!="FICTICIO",1,0)</formula>
    </cfRule>
  </conditionalFormatting>
  <conditionalFormatting sqref="E30">
    <cfRule type="expression" dxfId="6840" priority="7132">
      <formula>IF(#REF!="FICTICIO",1,0)</formula>
    </cfRule>
  </conditionalFormatting>
  <conditionalFormatting sqref="E30">
    <cfRule type="expression" dxfId="6839" priority="7131">
      <formula>IF(#REF!="FICTICIO",1,0)</formula>
    </cfRule>
  </conditionalFormatting>
  <conditionalFormatting sqref="E30">
    <cfRule type="expression" dxfId="6838" priority="7130">
      <formula>IF(#REF!="FICTICIO",1,0)</formula>
    </cfRule>
  </conditionalFormatting>
  <conditionalFormatting sqref="E30">
    <cfRule type="expression" dxfId="6837" priority="7129">
      <formula>IF(#REF!="FICTICIO",1,0)</formula>
    </cfRule>
  </conditionalFormatting>
  <conditionalFormatting sqref="E30">
    <cfRule type="expression" dxfId="6836" priority="7128">
      <formula>IF(#REF!="FICTICIO",1,0)</formula>
    </cfRule>
  </conditionalFormatting>
  <conditionalFormatting sqref="E30">
    <cfRule type="expression" dxfId="6835" priority="7127">
      <formula>IF(#REF!="FICTICIO",1,0)</formula>
    </cfRule>
  </conditionalFormatting>
  <conditionalFormatting sqref="E30">
    <cfRule type="expression" dxfId="6834" priority="7126">
      <formula>IF(#REF!="FICTICIO",1,0)</formula>
    </cfRule>
  </conditionalFormatting>
  <conditionalFormatting sqref="E30">
    <cfRule type="expression" dxfId="6833" priority="7125">
      <formula>IF(#REF!="FICTICIO",1,0)</formula>
    </cfRule>
  </conditionalFormatting>
  <conditionalFormatting sqref="E30">
    <cfRule type="expression" dxfId="6832" priority="7124">
      <formula>IF(#REF!="FICTICIO",1,0)</formula>
    </cfRule>
  </conditionalFormatting>
  <conditionalFormatting sqref="E30">
    <cfRule type="expression" dxfId="6831" priority="7123">
      <formula>IF(#REF!="FICTICIO",1,0)</formula>
    </cfRule>
  </conditionalFormatting>
  <conditionalFormatting sqref="E32">
    <cfRule type="expression" dxfId="6830" priority="7122">
      <formula>IF(#REF!="FICTICIO",1,0)</formula>
    </cfRule>
  </conditionalFormatting>
  <conditionalFormatting sqref="E32">
    <cfRule type="expression" dxfId="6829" priority="7121">
      <formula>IF(#REF!="FICTICIO",1,0)</formula>
    </cfRule>
  </conditionalFormatting>
  <conditionalFormatting sqref="E32">
    <cfRule type="expression" dxfId="6828" priority="7120">
      <formula>IF(#REF!="FICTICIO",1,0)</formula>
    </cfRule>
  </conditionalFormatting>
  <conditionalFormatting sqref="E32">
    <cfRule type="expression" dxfId="6827" priority="7119">
      <formula>IF(#REF!="FICTICIO",1,0)</formula>
    </cfRule>
  </conditionalFormatting>
  <conditionalFormatting sqref="E32">
    <cfRule type="expression" dxfId="6826" priority="7118">
      <formula>IF(#REF!="FICTICIO",1,0)</formula>
    </cfRule>
  </conditionalFormatting>
  <conditionalFormatting sqref="E32">
    <cfRule type="expression" dxfId="6825" priority="7117">
      <formula>IF(#REF!="FICTICIO",1,0)</formula>
    </cfRule>
  </conditionalFormatting>
  <conditionalFormatting sqref="E32">
    <cfRule type="expression" dxfId="6824" priority="7116">
      <formula>IF(#REF!="FICTICIO",1,0)</formula>
    </cfRule>
  </conditionalFormatting>
  <conditionalFormatting sqref="E32">
    <cfRule type="expression" dxfId="6823" priority="7115">
      <formula>IF(#REF!="FICTICIO",1,0)</formula>
    </cfRule>
  </conditionalFormatting>
  <conditionalFormatting sqref="E32">
    <cfRule type="expression" dxfId="6822" priority="7114">
      <formula>IF(#REF!="FICTICIO",1,0)</formula>
    </cfRule>
  </conditionalFormatting>
  <conditionalFormatting sqref="E32">
    <cfRule type="expression" dxfId="6821" priority="7113">
      <formula>IF(#REF!="FICTICIO",1,0)</formula>
    </cfRule>
  </conditionalFormatting>
  <conditionalFormatting sqref="E32">
    <cfRule type="expression" dxfId="6820" priority="7112">
      <formula>IF(#REF!="FICTICIO",1,0)</formula>
    </cfRule>
  </conditionalFormatting>
  <conditionalFormatting sqref="E32">
    <cfRule type="expression" dxfId="6819" priority="7111">
      <formula>IF(#REF!="FICTICIO",1,0)</formula>
    </cfRule>
  </conditionalFormatting>
  <conditionalFormatting sqref="E32">
    <cfRule type="expression" dxfId="6818" priority="7110">
      <formula>IF(#REF!="FICTICIO",1,0)</formula>
    </cfRule>
  </conditionalFormatting>
  <conditionalFormatting sqref="E32">
    <cfRule type="expression" dxfId="6817" priority="7109">
      <formula>IF(#REF!="FICTICIO",1,0)</formula>
    </cfRule>
  </conditionalFormatting>
  <conditionalFormatting sqref="E32">
    <cfRule type="expression" dxfId="6816" priority="7108">
      <formula>IF(#REF!="FICTICIO",1,0)</formula>
    </cfRule>
  </conditionalFormatting>
  <conditionalFormatting sqref="E32">
    <cfRule type="expression" dxfId="6815" priority="7107">
      <formula>IF(#REF!="FICTICIO",1,0)</formula>
    </cfRule>
  </conditionalFormatting>
  <conditionalFormatting sqref="E32">
    <cfRule type="expression" dxfId="6814" priority="7106">
      <formula>IF(#REF!="FICTICIO",1,0)</formula>
    </cfRule>
  </conditionalFormatting>
  <conditionalFormatting sqref="E32">
    <cfRule type="expression" dxfId="6813" priority="7105">
      <formula>IF(#REF!="FICTICIO",1,0)</formula>
    </cfRule>
  </conditionalFormatting>
  <conditionalFormatting sqref="E32">
    <cfRule type="expression" dxfId="6812" priority="7104">
      <formula>IF(#REF!="FICTICIO",1,0)</formula>
    </cfRule>
  </conditionalFormatting>
  <conditionalFormatting sqref="E32">
    <cfRule type="expression" dxfId="6811" priority="7103">
      <formula>IF(#REF!="FICTICIO",1,0)</formula>
    </cfRule>
  </conditionalFormatting>
  <conditionalFormatting sqref="E32">
    <cfRule type="expression" dxfId="6810" priority="7102">
      <formula>IF(#REF!="FICTICIO",1,0)</formula>
    </cfRule>
  </conditionalFormatting>
  <conditionalFormatting sqref="E32">
    <cfRule type="expression" dxfId="6809" priority="7101">
      <formula>IF(#REF!="FICTICIO",1,0)</formula>
    </cfRule>
  </conditionalFormatting>
  <conditionalFormatting sqref="E32">
    <cfRule type="expression" dxfId="6808" priority="7100">
      <formula>IF(#REF!="FICTICIO",1,0)</formula>
    </cfRule>
  </conditionalFormatting>
  <conditionalFormatting sqref="E32">
    <cfRule type="expression" dxfId="6807" priority="7099">
      <formula>IF(#REF!="FICTICIO",1,0)</formula>
    </cfRule>
  </conditionalFormatting>
  <conditionalFormatting sqref="E32">
    <cfRule type="expression" dxfId="6806" priority="7098">
      <formula>IF(#REF!="FICTICIO",1,0)</formula>
    </cfRule>
  </conditionalFormatting>
  <conditionalFormatting sqref="E32">
    <cfRule type="expression" dxfId="6805" priority="7096">
      <formula>IF(#REF!="FICTICIO",1,0)</formula>
    </cfRule>
  </conditionalFormatting>
  <conditionalFormatting sqref="E32">
    <cfRule type="expression" dxfId="6804" priority="7097">
      <formula>IF(#REF!="FICTICIO",1,0)</formula>
    </cfRule>
  </conditionalFormatting>
  <conditionalFormatting sqref="F32">
    <cfRule type="expression" dxfId="6803" priority="7095">
      <formula>IF(#REF!="FICTICIO",1,0)</formula>
    </cfRule>
  </conditionalFormatting>
  <conditionalFormatting sqref="E32">
    <cfRule type="expression" dxfId="6802" priority="7094">
      <formula>IF(#REF!="FICTICIO",1,0)</formula>
    </cfRule>
  </conditionalFormatting>
  <conditionalFormatting sqref="E32">
    <cfRule type="expression" dxfId="6801" priority="7093">
      <formula>IF(#REF!="FICTICIO",1,0)</formula>
    </cfRule>
  </conditionalFormatting>
  <conditionalFormatting sqref="E32">
    <cfRule type="expression" dxfId="6800" priority="7092">
      <formula>IF(#REF!="FICTICIO",1,0)</formula>
    </cfRule>
  </conditionalFormatting>
  <conditionalFormatting sqref="E32">
    <cfRule type="expression" dxfId="6799" priority="7091">
      <formula>IF(#REF!="FICTICIO",1,0)</formula>
    </cfRule>
  </conditionalFormatting>
  <conditionalFormatting sqref="E32">
    <cfRule type="expression" dxfId="6798" priority="7090">
      <formula>IF(#REF!="FICTICIO",1,0)</formula>
    </cfRule>
  </conditionalFormatting>
  <conditionalFormatting sqref="E32">
    <cfRule type="expression" dxfId="6797" priority="7089">
      <formula>IF(#REF!="FICTICIO",1,0)</formula>
    </cfRule>
  </conditionalFormatting>
  <conditionalFormatting sqref="E32">
    <cfRule type="expression" dxfId="6796" priority="7088">
      <formula>IF(#REF!="FICTICIO",1,0)</formula>
    </cfRule>
  </conditionalFormatting>
  <conditionalFormatting sqref="E32">
    <cfRule type="expression" dxfId="6795" priority="7087">
      <formula>IF(#REF!="FICTICIO",1,0)</formula>
    </cfRule>
  </conditionalFormatting>
  <conditionalFormatting sqref="E32">
    <cfRule type="expression" dxfId="6794" priority="7086">
      <formula>IF(#REF!="FICTICIO",1,0)</formula>
    </cfRule>
  </conditionalFormatting>
  <conditionalFormatting sqref="D32">
    <cfRule type="expression" dxfId="6793" priority="7084">
      <formula>IF(#REF!="FICTICIO",1,0)</formula>
    </cfRule>
  </conditionalFormatting>
  <conditionalFormatting sqref="D32">
    <cfRule type="expression" dxfId="6792" priority="7085">
      <formula>IF(#REF!="FICTICIO",1,0)</formula>
    </cfRule>
  </conditionalFormatting>
  <conditionalFormatting sqref="D32">
    <cfRule type="expression" dxfId="6791" priority="7082">
      <formula>IF(#REF!="FICTICIO",1,0)</formula>
    </cfRule>
  </conditionalFormatting>
  <conditionalFormatting sqref="D32">
    <cfRule type="expression" dxfId="6790" priority="7083">
      <formula>IF(#REF!="FICTICIO",1,0)</formula>
    </cfRule>
  </conditionalFormatting>
  <conditionalFormatting sqref="E32">
    <cfRule type="expression" dxfId="6789" priority="7081">
      <formula>IF(#REF!="FICTICIO",1,0)</formula>
    </cfRule>
  </conditionalFormatting>
  <conditionalFormatting sqref="E32">
    <cfRule type="expression" dxfId="6788" priority="7080">
      <formula>IF(#REF!="FICTICIO",1,0)</formula>
    </cfRule>
  </conditionalFormatting>
  <conditionalFormatting sqref="E32">
    <cfRule type="expression" dxfId="6787" priority="7079">
      <formula>IF(#REF!="FICTICIO",1,0)</formula>
    </cfRule>
  </conditionalFormatting>
  <conditionalFormatting sqref="E33">
    <cfRule type="expression" dxfId="6786" priority="7078">
      <formula>IF(#REF!="FICTICIO",1,0)</formula>
    </cfRule>
  </conditionalFormatting>
  <conditionalFormatting sqref="E33">
    <cfRule type="expression" dxfId="6785" priority="7077">
      <formula>IF(#REF!="FICTICIO",1,0)</formula>
    </cfRule>
  </conditionalFormatting>
  <conditionalFormatting sqref="E33">
    <cfRule type="expression" dxfId="6784" priority="7076">
      <formula>IF(#REF!="FICTICIO",1,0)</formula>
    </cfRule>
  </conditionalFormatting>
  <conditionalFormatting sqref="E33">
    <cfRule type="expression" dxfId="6783" priority="7075">
      <formula>IF(#REF!="FICTICIO",1,0)</formula>
    </cfRule>
  </conditionalFormatting>
  <conditionalFormatting sqref="E33">
    <cfRule type="expression" dxfId="6782" priority="7074">
      <formula>IF(#REF!="FICTICIO",1,0)</formula>
    </cfRule>
  </conditionalFormatting>
  <conditionalFormatting sqref="E33">
    <cfRule type="expression" dxfId="6781" priority="7073">
      <formula>IF(#REF!="FICTICIO",1,0)</formula>
    </cfRule>
  </conditionalFormatting>
  <conditionalFormatting sqref="E33">
    <cfRule type="expression" dxfId="6780" priority="7072">
      <formula>IF(#REF!="FICTICIO",1,0)</formula>
    </cfRule>
  </conditionalFormatting>
  <conditionalFormatting sqref="E33">
    <cfRule type="expression" dxfId="6779" priority="7071">
      <formula>IF(#REF!="FICTICIO",1,0)</formula>
    </cfRule>
  </conditionalFormatting>
  <conditionalFormatting sqref="E33">
    <cfRule type="expression" dxfId="6778" priority="7070">
      <formula>IF(#REF!="FICTICIO",1,0)</formula>
    </cfRule>
  </conditionalFormatting>
  <conditionalFormatting sqref="E33">
    <cfRule type="expression" dxfId="6777" priority="7069">
      <formula>IF(#REF!="FICTICIO",1,0)</formula>
    </cfRule>
  </conditionalFormatting>
  <conditionalFormatting sqref="E33">
    <cfRule type="expression" dxfId="6776" priority="7068">
      <formula>IF(#REF!="FICTICIO",1,0)</formula>
    </cfRule>
  </conditionalFormatting>
  <conditionalFormatting sqref="E33">
    <cfRule type="expression" dxfId="6775" priority="7067">
      <formula>IF(#REF!="FICTICIO",1,0)</formula>
    </cfRule>
  </conditionalFormatting>
  <conditionalFormatting sqref="E33">
    <cfRule type="expression" dxfId="6774" priority="7066">
      <formula>IF(#REF!="FICTICIO",1,0)</formula>
    </cfRule>
  </conditionalFormatting>
  <conditionalFormatting sqref="E33">
    <cfRule type="expression" dxfId="6773" priority="7065">
      <formula>IF(#REF!="FICTICIO",1,0)</formula>
    </cfRule>
  </conditionalFormatting>
  <conditionalFormatting sqref="E33">
    <cfRule type="expression" dxfId="6772" priority="7064">
      <formula>IF(#REF!="FICTICIO",1,0)</formula>
    </cfRule>
  </conditionalFormatting>
  <conditionalFormatting sqref="E33">
    <cfRule type="expression" dxfId="6771" priority="7063">
      <formula>IF(#REF!="FICTICIO",1,0)</formula>
    </cfRule>
  </conditionalFormatting>
  <conditionalFormatting sqref="E33">
    <cfRule type="expression" dxfId="6770" priority="7062">
      <formula>IF(#REF!="FICTICIO",1,0)</formula>
    </cfRule>
  </conditionalFormatting>
  <conditionalFormatting sqref="E33">
    <cfRule type="expression" dxfId="6769" priority="7061">
      <formula>IF(#REF!="FICTICIO",1,0)</formula>
    </cfRule>
  </conditionalFormatting>
  <conditionalFormatting sqref="E33">
    <cfRule type="expression" dxfId="6768" priority="7060">
      <formula>IF(#REF!="FICTICIO",1,0)</formula>
    </cfRule>
  </conditionalFormatting>
  <conditionalFormatting sqref="E33">
    <cfRule type="expression" dxfId="6767" priority="7059">
      <formula>IF(#REF!="FICTICIO",1,0)</formula>
    </cfRule>
  </conditionalFormatting>
  <conditionalFormatting sqref="E33">
    <cfRule type="expression" dxfId="6766" priority="7058">
      <formula>IF(#REF!="FICTICIO",1,0)</formula>
    </cfRule>
  </conditionalFormatting>
  <conditionalFormatting sqref="E33">
    <cfRule type="expression" dxfId="6765" priority="7057">
      <formula>IF(#REF!="FICTICIO",1,0)</formula>
    </cfRule>
  </conditionalFormatting>
  <conditionalFormatting sqref="E33">
    <cfRule type="expression" dxfId="6764" priority="7056">
      <formula>IF(#REF!="FICTICIO",1,0)</formula>
    </cfRule>
  </conditionalFormatting>
  <conditionalFormatting sqref="E33">
    <cfRule type="expression" dxfId="6763" priority="7055">
      <formula>IF(#REF!="FICTICIO",1,0)</formula>
    </cfRule>
  </conditionalFormatting>
  <conditionalFormatting sqref="E33">
    <cfRule type="expression" dxfId="6762" priority="7054">
      <formula>IF(#REF!="FICTICIO",1,0)</formula>
    </cfRule>
  </conditionalFormatting>
  <conditionalFormatting sqref="E33">
    <cfRule type="expression" dxfId="6761" priority="7052">
      <formula>IF(#REF!="FICTICIO",1,0)</formula>
    </cfRule>
  </conditionalFormatting>
  <conditionalFormatting sqref="E33">
    <cfRule type="expression" dxfId="6760" priority="7053">
      <formula>IF(#REF!="FICTICIO",1,0)</formula>
    </cfRule>
  </conditionalFormatting>
  <conditionalFormatting sqref="F33">
    <cfRule type="expression" dxfId="6759" priority="7051">
      <formula>IF(#REF!="FICTICIO",1,0)</formula>
    </cfRule>
  </conditionalFormatting>
  <conditionalFormatting sqref="E33">
    <cfRule type="expression" dxfId="6758" priority="7050">
      <formula>IF(#REF!="FICTICIO",1,0)</formula>
    </cfRule>
  </conditionalFormatting>
  <conditionalFormatting sqref="E33">
    <cfRule type="expression" dxfId="6757" priority="7049">
      <formula>IF(#REF!="FICTICIO",1,0)</formula>
    </cfRule>
  </conditionalFormatting>
  <conditionalFormatting sqref="E33">
    <cfRule type="expression" dxfId="6756" priority="7048">
      <formula>IF(#REF!="FICTICIO",1,0)</formula>
    </cfRule>
  </conditionalFormatting>
  <conditionalFormatting sqref="E33">
    <cfRule type="expression" dxfId="6755" priority="7047">
      <formula>IF(#REF!="FICTICIO",1,0)</formula>
    </cfRule>
  </conditionalFormatting>
  <conditionalFormatting sqref="E33">
    <cfRule type="expression" dxfId="6754" priority="7046">
      <formula>IF(#REF!="FICTICIO",1,0)</formula>
    </cfRule>
  </conditionalFormatting>
  <conditionalFormatting sqref="E33">
    <cfRule type="expression" dxfId="6753" priority="7045">
      <formula>IF(#REF!="FICTICIO",1,0)</formula>
    </cfRule>
  </conditionalFormatting>
  <conditionalFormatting sqref="E33">
    <cfRule type="expression" dxfId="6752" priority="7044">
      <formula>IF(#REF!="FICTICIO",1,0)</formula>
    </cfRule>
  </conditionalFormatting>
  <conditionalFormatting sqref="E33">
    <cfRule type="expression" dxfId="6751" priority="7043">
      <formula>IF(#REF!="FICTICIO",1,0)</formula>
    </cfRule>
  </conditionalFormatting>
  <conditionalFormatting sqref="E33">
    <cfRule type="expression" dxfId="6750" priority="7042">
      <formula>IF(#REF!="FICTICIO",1,0)</formula>
    </cfRule>
  </conditionalFormatting>
  <conditionalFormatting sqref="E33">
    <cfRule type="expression" dxfId="6749" priority="7041">
      <formula>IF(#REF!="FICTICIO",1,0)</formula>
    </cfRule>
  </conditionalFormatting>
  <conditionalFormatting sqref="E33">
    <cfRule type="expression" dxfId="6748" priority="7040">
      <formula>IF(#REF!="FICTICIO",1,0)</formula>
    </cfRule>
  </conditionalFormatting>
  <conditionalFormatting sqref="E33">
    <cfRule type="expression" dxfId="6747" priority="7039">
      <formula>IF(#REF!="FICTICIO",1,0)</formula>
    </cfRule>
  </conditionalFormatting>
  <conditionalFormatting sqref="E33:E36">
    <cfRule type="expression" dxfId="6746" priority="7038">
      <formula>IF(#REF!="FICTICIO",1,0)</formula>
    </cfRule>
  </conditionalFormatting>
  <conditionalFormatting sqref="E33:E36">
    <cfRule type="expression" dxfId="6745" priority="7037">
      <formula>IF(#REF!="FICTICIO",1,0)</formula>
    </cfRule>
  </conditionalFormatting>
  <conditionalFormatting sqref="E33:E36">
    <cfRule type="expression" dxfId="6744" priority="7036">
      <formula>IF(#REF!="FICTICIO",1,0)</formula>
    </cfRule>
  </conditionalFormatting>
  <conditionalFormatting sqref="E33:E36">
    <cfRule type="expression" dxfId="6743" priority="7035">
      <formula>IF(#REF!="FICTICIO",1,0)</formula>
    </cfRule>
  </conditionalFormatting>
  <conditionalFormatting sqref="E33:E36">
    <cfRule type="expression" dxfId="6742" priority="7034">
      <formula>IF(#REF!="FICTICIO",1,0)</formula>
    </cfRule>
  </conditionalFormatting>
  <conditionalFormatting sqref="E33:E36">
    <cfRule type="expression" dxfId="6741" priority="7033">
      <formula>IF(#REF!="FICTICIO",1,0)</formula>
    </cfRule>
  </conditionalFormatting>
  <conditionalFormatting sqref="E33:E36">
    <cfRule type="expression" dxfId="6740" priority="7032">
      <formula>IF(#REF!="FICTICIO",1,0)</formula>
    </cfRule>
  </conditionalFormatting>
  <conditionalFormatting sqref="E33:E36">
    <cfRule type="expression" dxfId="6739" priority="7031">
      <formula>IF(#REF!="FICTICIO",1,0)</formula>
    </cfRule>
  </conditionalFormatting>
  <conditionalFormatting sqref="E33:E36">
    <cfRule type="expression" dxfId="6738" priority="7030">
      <formula>IF(#REF!="FICTICIO",1,0)</formula>
    </cfRule>
  </conditionalFormatting>
  <conditionalFormatting sqref="E33:E36">
    <cfRule type="expression" dxfId="6737" priority="7029">
      <formula>IF(#REF!="FICTICIO",1,0)</formula>
    </cfRule>
  </conditionalFormatting>
  <conditionalFormatting sqref="F36">
    <cfRule type="expression" dxfId="6736" priority="7027">
      <formula>IF(#REF!="FICTICIO",1,0)</formula>
    </cfRule>
  </conditionalFormatting>
  <conditionalFormatting sqref="F36">
    <cfRule type="expression" dxfId="6735" priority="7028">
      <formula>IF(#REF!="FICTICIO",1,0)</formula>
    </cfRule>
  </conditionalFormatting>
  <conditionalFormatting sqref="E33:E36">
    <cfRule type="expression" dxfId="6734" priority="7026">
      <formula>IF(#REF!="FICTICIO",1,0)</formula>
    </cfRule>
  </conditionalFormatting>
  <conditionalFormatting sqref="E33:E36">
    <cfRule type="expression" dxfId="6733" priority="7025">
      <formula>IF(#REF!="FICTICIO",1,0)</formula>
    </cfRule>
  </conditionalFormatting>
  <conditionalFormatting sqref="E33:E36">
    <cfRule type="expression" dxfId="6732" priority="7024">
      <formula>IF(#REF!="FICTICIO",1,0)</formula>
    </cfRule>
  </conditionalFormatting>
  <conditionalFormatting sqref="E33:E36">
    <cfRule type="expression" dxfId="6731" priority="7023">
      <formula>IF(#REF!="FICTICIO",1,0)</formula>
    </cfRule>
  </conditionalFormatting>
  <conditionalFormatting sqref="E33:E36">
    <cfRule type="expression" dxfId="6730" priority="7022">
      <formula>IF(#REF!="FICTICIO",1,0)</formula>
    </cfRule>
  </conditionalFormatting>
  <conditionalFormatting sqref="E33:E36">
    <cfRule type="expression" dxfId="6729" priority="7021">
      <formula>IF(#REF!="FICTICIO",1,0)</formula>
    </cfRule>
  </conditionalFormatting>
  <conditionalFormatting sqref="E33:E36">
    <cfRule type="expression" dxfId="6728" priority="7020">
      <formula>IF(#REF!="FICTICIO",1,0)</formula>
    </cfRule>
  </conditionalFormatting>
  <conditionalFormatting sqref="E33:E36">
    <cfRule type="expression" dxfId="6727" priority="7019">
      <formula>IF(#REF!="FICTICIO",1,0)</formula>
    </cfRule>
  </conditionalFormatting>
  <conditionalFormatting sqref="E33:E36">
    <cfRule type="expression" dxfId="6726" priority="7018">
      <formula>IF(#REF!="FICTICIO",1,0)</formula>
    </cfRule>
  </conditionalFormatting>
  <conditionalFormatting sqref="D36">
    <cfRule type="expression" dxfId="6725" priority="7016">
      <formula>IF(#REF!="FICTICIO",1,0)</formula>
    </cfRule>
  </conditionalFormatting>
  <conditionalFormatting sqref="D36">
    <cfRule type="expression" dxfId="6724" priority="7017">
      <formula>IF(#REF!="FICTICIO",1,0)</formula>
    </cfRule>
  </conditionalFormatting>
  <conditionalFormatting sqref="D36">
    <cfRule type="expression" dxfId="6723" priority="7014">
      <formula>IF(#REF!="FICTICIO",1,0)</formula>
    </cfRule>
  </conditionalFormatting>
  <conditionalFormatting sqref="D36">
    <cfRule type="expression" dxfId="6722" priority="7015">
      <formula>IF(#REF!="FICTICIO",1,0)</formula>
    </cfRule>
  </conditionalFormatting>
  <conditionalFormatting sqref="E33:E36">
    <cfRule type="expression" dxfId="6721" priority="7013">
      <formula>IF(#REF!="FICTICIO",1,0)</formula>
    </cfRule>
  </conditionalFormatting>
  <conditionalFormatting sqref="E33:E36">
    <cfRule type="expression" dxfId="6720" priority="7012">
      <formula>IF(#REF!="FICTICIO",1,0)</formula>
    </cfRule>
  </conditionalFormatting>
  <conditionalFormatting sqref="E33:E36">
    <cfRule type="expression" dxfId="6719" priority="7011">
      <formula>IF(#REF!="FICTICIO",1,0)</formula>
    </cfRule>
  </conditionalFormatting>
  <conditionalFormatting sqref="E33:E36">
    <cfRule type="expression" dxfId="6718" priority="7010">
      <formula>IF(#REF!="FICTICIO",1,0)</formula>
    </cfRule>
  </conditionalFormatting>
  <conditionalFormatting sqref="E33:E36">
    <cfRule type="expression" dxfId="6717" priority="7009">
      <formula>IF(#REF!="FICTICIO",1,0)</formula>
    </cfRule>
  </conditionalFormatting>
  <conditionalFormatting sqref="E33:E36">
    <cfRule type="expression" dxfId="6716" priority="7008">
      <formula>IF(#REF!="FICTICIO",1,0)</formula>
    </cfRule>
  </conditionalFormatting>
  <conditionalFormatting sqref="E33:E36">
    <cfRule type="expression" dxfId="6715" priority="7007">
      <formula>IF(#REF!="FICTICIO",1,0)</formula>
    </cfRule>
  </conditionalFormatting>
  <conditionalFormatting sqref="E33:E36">
    <cfRule type="expression" dxfId="6714" priority="7006">
      <formula>IF(#REF!="FICTICIO",1,0)</formula>
    </cfRule>
  </conditionalFormatting>
  <conditionalFormatting sqref="E33:E36">
    <cfRule type="expression" dxfId="6713" priority="7005">
      <formula>IF(#REF!="FICTICIO",1,0)</formula>
    </cfRule>
  </conditionalFormatting>
  <conditionalFormatting sqref="E33:E36">
    <cfRule type="expression" dxfId="6712" priority="7004">
      <formula>IF(#REF!="FICTICIO",1,0)</formula>
    </cfRule>
  </conditionalFormatting>
  <conditionalFormatting sqref="E33:E36">
    <cfRule type="expression" dxfId="6711" priority="7003">
      <formula>IF(#REF!="FICTICIO",1,0)</formula>
    </cfRule>
  </conditionalFormatting>
  <conditionalFormatting sqref="E33:E36">
    <cfRule type="expression" dxfId="6710" priority="7002">
      <formula>IF(#REF!="FICTICIO",1,0)</formula>
    </cfRule>
  </conditionalFormatting>
  <conditionalFormatting sqref="E33:E36">
    <cfRule type="expression" dxfId="6709" priority="7001">
      <formula>IF(#REF!="FICTICIO",1,0)</formula>
    </cfRule>
  </conditionalFormatting>
  <conditionalFormatting sqref="D36">
    <cfRule type="expression" dxfId="6708" priority="6999">
      <formula>IF(#REF!="FICTICIO",1,0)</formula>
    </cfRule>
  </conditionalFormatting>
  <conditionalFormatting sqref="D36">
    <cfRule type="expression" dxfId="6707" priority="7000">
      <formula>IF(#REF!="FICTICIO",1,0)</formula>
    </cfRule>
  </conditionalFormatting>
  <conditionalFormatting sqref="D36">
    <cfRule type="expression" dxfId="6706" priority="6997">
      <formula>IF(#REF!="FICTICIO",1,0)</formula>
    </cfRule>
  </conditionalFormatting>
  <conditionalFormatting sqref="D36">
    <cfRule type="expression" dxfId="6705" priority="6998">
      <formula>IF(#REF!="FICTICIO",1,0)</formula>
    </cfRule>
  </conditionalFormatting>
  <conditionalFormatting sqref="F36">
    <cfRule type="expression" dxfId="6704" priority="6995">
      <formula>IF(#REF!="FICTICIO",1,0)</formula>
    </cfRule>
  </conditionalFormatting>
  <conditionalFormatting sqref="F36">
    <cfRule type="expression" dxfId="6703" priority="6996">
      <formula>IF(#REF!="FICTICIO",1,0)</formula>
    </cfRule>
  </conditionalFormatting>
  <conditionalFormatting sqref="E33:E36">
    <cfRule type="expression" dxfId="6702" priority="6994">
      <formula>IF(#REF!="FICTICIO",1,0)</formula>
    </cfRule>
  </conditionalFormatting>
  <conditionalFormatting sqref="E33:E36">
    <cfRule type="expression" dxfId="6701" priority="6993">
      <formula>IF(#REF!="FICTICIO",1,0)</formula>
    </cfRule>
  </conditionalFormatting>
  <conditionalFormatting sqref="E33:E36">
    <cfRule type="expression" dxfId="6700" priority="6992">
      <formula>IF(#REF!="FICTICIO",1,0)</formula>
    </cfRule>
  </conditionalFormatting>
  <conditionalFormatting sqref="E33:E36">
    <cfRule type="expression" dxfId="6699" priority="6991">
      <formula>IF(#REF!="FICTICIO",1,0)</formula>
    </cfRule>
  </conditionalFormatting>
  <conditionalFormatting sqref="E33:E36">
    <cfRule type="expression" dxfId="6698" priority="6990">
      <formula>IF(#REF!="FICTICIO",1,0)</formula>
    </cfRule>
  </conditionalFormatting>
  <conditionalFormatting sqref="E33:E36">
    <cfRule type="expression" dxfId="6697" priority="6989">
      <formula>IF(#REF!="FICTICIO",1,0)</formula>
    </cfRule>
  </conditionalFormatting>
  <conditionalFormatting sqref="E41">
    <cfRule type="expression" dxfId="6696" priority="6988">
      <formula>IF(#REF!="FICTICIO",1,0)</formula>
    </cfRule>
  </conditionalFormatting>
  <conditionalFormatting sqref="E41">
    <cfRule type="expression" dxfId="6695" priority="6987">
      <formula>IF(#REF!="FICTICIO",1,0)</formula>
    </cfRule>
  </conditionalFormatting>
  <conditionalFormatting sqref="E41">
    <cfRule type="expression" dxfId="6694" priority="6986">
      <formula>IF(#REF!="FICTICIO",1,0)</formula>
    </cfRule>
  </conditionalFormatting>
  <conditionalFormatting sqref="E41">
    <cfRule type="expression" dxfId="6693" priority="6985">
      <formula>IF(#REF!="FICTICIO",1,0)</formula>
    </cfRule>
  </conditionalFormatting>
  <conditionalFormatting sqref="E41">
    <cfRule type="expression" dxfId="6692" priority="6984">
      <formula>IF(#REF!="FICTICIO",1,0)</formula>
    </cfRule>
  </conditionalFormatting>
  <conditionalFormatting sqref="E41">
    <cfRule type="expression" dxfId="6691" priority="6983">
      <formula>IF(#REF!="FICTICIO",1,0)</formula>
    </cfRule>
  </conditionalFormatting>
  <conditionalFormatting sqref="E41">
    <cfRule type="expression" dxfId="6690" priority="6982">
      <formula>IF(#REF!="FICTICIO",1,0)</formula>
    </cfRule>
  </conditionalFormatting>
  <conditionalFormatting sqref="E41">
    <cfRule type="expression" dxfId="6689" priority="6981">
      <formula>IF(#REF!="FICTICIO",1,0)</formula>
    </cfRule>
  </conditionalFormatting>
  <conditionalFormatting sqref="E41">
    <cfRule type="expression" dxfId="6688" priority="6980">
      <formula>IF(#REF!="FICTICIO",1,0)</formula>
    </cfRule>
  </conditionalFormatting>
  <conditionalFormatting sqref="E41">
    <cfRule type="expression" dxfId="6687" priority="6979">
      <formula>IF(#REF!="FICTICIO",1,0)</formula>
    </cfRule>
  </conditionalFormatting>
  <conditionalFormatting sqref="E41">
    <cfRule type="expression" dxfId="6686" priority="6978">
      <formula>IF(#REF!="FICTICIO",1,0)</formula>
    </cfRule>
  </conditionalFormatting>
  <conditionalFormatting sqref="E41">
    <cfRule type="expression" dxfId="6685" priority="6977">
      <formula>IF(#REF!="FICTICIO",1,0)</formula>
    </cfRule>
  </conditionalFormatting>
  <conditionalFormatting sqref="E41">
    <cfRule type="expression" dxfId="6684" priority="6976">
      <formula>IF(#REF!="FICTICIO",1,0)</formula>
    </cfRule>
  </conditionalFormatting>
  <conditionalFormatting sqref="E41">
    <cfRule type="expression" dxfId="6683" priority="6975">
      <formula>IF(#REF!="FICTICIO",1,0)</formula>
    </cfRule>
  </conditionalFormatting>
  <conditionalFormatting sqref="E41">
    <cfRule type="expression" dxfId="6682" priority="6974">
      <formula>IF(#REF!="FICTICIO",1,0)</formula>
    </cfRule>
  </conditionalFormatting>
  <conditionalFormatting sqref="E41">
    <cfRule type="expression" dxfId="6681" priority="6972">
      <formula>IF(#REF!="FICTICIO",1,0)</formula>
    </cfRule>
  </conditionalFormatting>
  <conditionalFormatting sqref="E41">
    <cfRule type="expression" dxfId="6680" priority="6973">
      <formula>IF(#REF!="FICTICIO",1,0)</formula>
    </cfRule>
  </conditionalFormatting>
  <conditionalFormatting sqref="E41">
    <cfRule type="expression" dxfId="6679" priority="6971">
      <formula>IF(#REF!="FICTICIO",1,0)</formula>
    </cfRule>
  </conditionalFormatting>
  <conditionalFormatting sqref="E41">
    <cfRule type="expression" dxfId="6678" priority="6970">
      <formula>IF(#REF!="FICTICIO",1,0)</formula>
    </cfRule>
  </conditionalFormatting>
  <conditionalFormatting sqref="E41">
    <cfRule type="expression" dxfId="6677" priority="6969">
      <formula>IF(#REF!="FICTICIO",1,0)</formula>
    </cfRule>
  </conditionalFormatting>
  <conditionalFormatting sqref="E41">
    <cfRule type="expression" dxfId="6676" priority="6968">
      <formula>IF(#REF!="FICTICIO",1,0)</formula>
    </cfRule>
  </conditionalFormatting>
  <conditionalFormatting sqref="E41">
    <cfRule type="expression" dxfId="6675" priority="6967">
      <formula>IF(#REF!="FICTICIO",1,0)</formula>
    </cfRule>
  </conditionalFormatting>
  <conditionalFormatting sqref="E41">
    <cfRule type="expression" dxfId="6674" priority="6966">
      <formula>IF(#REF!="FICTICIO",1,0)</formula>
    </cfRule>
  </conditionalFormatting>
  <conditionalFormatting sqref="D41">
    <cfRule type="expression" dxfId="6673" priority="6964">
      <formula>IF(#REF!="FICTICIO",1,0)</formula>
    </cfRule>
  </conditionalFormatting>
  <conditionalFormatting sqref="D41">
    <cfRule type="expression" dxfId="6672" priority="6965">
      <formula>IF(#REF!="FICTICIO",1,0)</formula>
    </cfRule>
  </conditionalFormatting>
  <conditionalFormatting sqref="F41">
    <cfRule type="expression" dxfId="6671" priority="6962">
      <formula>IF(#REF!="FICTICIO",1,0)</formula>
    </cfRule>
  </conditionalFormatting>
  <conditionalFormatting sqref="F41">
    <cfRule type="expression" dxfId="6670" priority="6963">
      <formula>IF(#REF!="FICTICIO",1,0)</formula>
    </cfRule>
  </conditionalFormatting>
  <conditionalFormatting sqref="E41">
    <cfRule type="expression" dxfId="6669" priority="6961">
      <formula>IF(#REF!="FICTICIO",1,0)</formula>
    </cfRule>
  </conditionalFormatting>
  <conditionalFormatting sqref="E41">
    <cfRule type="expression" dxfId="6668" priority="6960">
      <formula>IF(#REF!="FICTICIO",1,0)</formula>
    </cfRule>
  </conditionalFormatting>
  <conditionalFormatting sqref="E41">
    <cfRule type="expression" dxfId="6667" priority="6959">
      <formula>IF(#REF!="FICTICIO",1,0)</formula>
    </cfRule>
  </conditionalFormatting>
  <conditionalFormatting sqref="E41">
    <cfRule type="expression" dxfId="6666" priority="6958">
      <formula>IF(#REF!="FICTICIO",1,0)</formula>
    </cfRule>
  </conditionalFormatting>
  <conditionalFormatting sqref="E41">
    <cfRule type="expression" dxfId="6665" priority="6957">
      <formula>IF(#REF!="FICTICIO",1,0)</formula>
    </cfRule>
  </conditionalFormatting>
  <conditionalFormatting sqref="E41">
    <cfRule type="expression" dxfId="6664" priority="6956">
      <formula>IF(#REF!="FICTICIO",1,0)</formula>
    </cfRule>
  </conditionalFormatting>
  <conditionalFormatting sqref="E41">
    <cfRule type="expression" dxfId="6663" priority="6955">
      <formula>IF(#REF!="FICTICIO",1,0)</formula>
    </cfRule>
  </conditionalFormatting>
  <conditionalFormatting sqref="E41">
    <cfRule type="expression" dxfId="6662" priority="6954">
      <formula>IF(#REF!="FICTICIO",1,0)</formula>
    </cfRule>
  </conditionalFormatting>
  <conditionalFormatting sqref="E41">
    <cfRule type="expression" dxfId="6661" priority="6953">
      <formula>IF(#REF!="FICTICIO",1,0)</formula>
    </cfRule>
  </conditionalFormatting>
  <conditionalFormatting sqref="E41">
    <cfRule type="expression" dxfId="6660" priority="6952">
      <formula>IF(#REF!="FICTICIO",1,0)</formula>
    </cfRule>
  </conditionalFormatting>
  <conditionalFormatting sqref="E41">
    <cfRule type="expression" dxfId="6659" priority="6951">
      <formula>IF(#REF!="FICTICIO",1,0)</formula>
    </cfRule>
  </conditionalFormatting>
  <conditionalFormatting sqref="E41">
    <cfRule type="expression" dxfId="6658" priority="6950">
      <formula>IF(#REF!="FICTICIO",1,0)</formula>
    </cfRule>
  </conditionalFormatting>
  <conditionalFormatting sqref="E41">
    <cfRule type="expression" dxfId="6657" priority="6949">
      <formula>IF(#REF!="FICTICIO",1,0)</formula>
    </cfRule>
  </conditionalFormatting>
  <conditionalFormatting sqref="E42">
    <cfRule type="expression" dxfId="6656" priority="6948">
      <formula>IF(#REF!="FICTICIO",1,0)</formula>
    </cfRule>
  </conditionalFormatting>
  <conditionalFormatting sqref="E42">
    <cfRule type="expression" dxfId="6655" priority="6947">
      <formula>IF(#REF!="FICTICIO",1,0)</formula>
    </cfRule>
  </conditionalFormatting>
  <conditionalFormatting sqref="E42">
    <cfRule type="expression" dxfId="6654" priority="6946">
      <formula>IF(#REF!="FICTICIO",1,0)</formula>
    </cfRule>
  </conditionalFormatting>
  <conditionalFormatting sqref="E42">
    <cfRule type="expression" dxfId="6653" priority="6945">
      <formula>IF(#REF!="FICTICIO",1,0)</formula>
    </cfRule>
  </conditionalFormatting>
  <conditionalFormatting sqref="E42">
    <cfRule type="expression" dxfId="6652" priority="6944">
      <formula>IF(#REF!="FICTICIO",1,0)</formula>
    </cfRule>
  </conditionalFormatting>
  <conditionalFormatting sqref="E42">
    <cfRule type="expression" dxfId="6651" priority="6943">
      <formula>IF(#REF!="FICTICIO",1,0)</formula>
    </cfRule>
  </conditionalFormatting>
  <conditionalFormatting sqref="E42">
    <cfRule type="expression" dxfId="6650" priority="6942">
      <formula>IF(#REF!="FICTICIO",1,0)</formula>
    </cfRule>
  </conditionalFormatting>
  <conditionalFormatting sqref="E42">
    <cfRule type="expression" dxfId="6649" priority="6941">
      <formula>IF(#REF!="FICTICIO",1,0)</formula>
    </cfRule>
  </conditionalFormatting>
  <conditionalFormatting sqref="E42">
    <cfRule type="expression" dxfId="6648" priority="6940">
      <formula>IF(#REF!="FICTICIO",1,0)</formula>
    </cfRule>
  </conditionalFormatting>
  <conditionalFormatting sqref="E42">
    <cfRule type="expression" dxfId="6647" priority="6939">
      <formula>IF(#REF!="FICTICIO",1,0)</formula>
    </cfRule>
  </conditionalFormatting>
  <conditionalFormatting sqref="E42">
    <cfRule type="expression" dxfId="6646" priority="6938">
      <formula>IF(#REF!="FICTICIO",1,0)</formula>
    </cfRule>
  </conditionalFormatting>
  <conditionalFormatting sqref="E42">
    <cfRule type="expression" dxfId="6645" priority="6937">
      <formula>IF(#REF!="FICTICIO",1,0)</formula>
    </cfRule>
  </conditionalFormatting>
  <conditionalFormatting sqref="E42">
    <cfRule type="expression" dxfId="6644" priority="6936">
      <formula>IF(#REF!="FICTICIO",1,0)</formula>
    </cfRule>
  </conditionalFormatting>
  <conditionalFormatting sqref="E42">
    <cfRule type="expression" dxfId="6643" priority="6935">
      <formula>IF(#REF!="FICTICIO",1,0)</formula>
    </cfRule>
  </conditionalFormatting>
  <conditionalFormatting sqref="E42">
    <cfRule type="expression" dxfId="6642" priority="6934">
      <formula>IF(#REF!="FICTICIO",1,0)</formula>
    </cfRule>
  </conditionalFormatting>
  <conditionalFormatting sqref="E42">
    <cfRule type="expression" dxfId="6641" priority="6932">
      <formula>IF(#REF!="FICTICIO",1,0)</formula>
    </cfRule>
  </conditionalFormatting>
  <conditionalFormatting sqref="E42">
    <cfRule type="expression" dxfId="6640" priority="6933">
      <formula>IF(#REF!="FICTICIO",1,0)</formula>
    </cfRule>
  </conditionalFormatting>
  <conditionalFormatting sqref="E42">
    <cfRule type="expression" dxfId="6639" priority="6931">
      <formula>IF(#REF!="FICTICIO",1,0)</formula>
    </cfRule>
  </conditionalFormatting>
  <conditionalFormatting sqref="E42">
    <cfRule type="expression" dxfId="6638" priority="6930">
      <formula>IF(#REF!="FICTICIO",1,0)</formula>
    </cfRule>
  </conditionalFormatting>
  <conditionalFormatting sqref="E42">
    <cfRule type="expression" dxfId="6637" priority="6929">
      <formula>IF(#REF!="FICTICIO",1,0)</formula>
    </cfRule>
  </conditionalFormatting>
  <conditionalFormatting sqref="E42">
    <cfRule type="expression" dxfId="6636" priority="6928">
      <formula>IF(#REF!="FICTICIO",1,0)</formula>
    </cfRule>
  </conditionalFormatting>
  <conditionalFormatting sqref="E42">
    <cfRule type="expression" dxfId="6635" priority="6927">
      <formula>IF(#REF!="FICTICIO",1,0)</formula>
    </cfRule>
  </conditionalFormatting>
  <conditionalFormatting sqref="E42">
    <cfRule type="expression" dxfId="6634" priority="6926">
      <formula>IF(#REF!="FICTICIO",1,0)</formula>
    </cfRule>
  </conditionalFormatting>
  <conditionalFormatting sqref="E42">
    <cfRule type="expression" dxfId="6633" priority="6925">
      <formula>IF(#REF!="FICTICIO",1,0)</formula>
    </cfRule>
  </conditionalFormatting>
  <conditionalFormatting sqref="E42">
    <cfRule type="expression" dxfId="6632" priority="6924">
      <formula>IF(#REF!="FICTICIO",1,0)</formula>
    </cfRule>
  </conditionalFormatting>
  <conditionalFormatting sqref="E42">
    <cfRule type="expression" dxfId="6631" priority="6923">
      <formula>IF(#REF!="FICTICIO",1,0)</formula>
    </cfRule>
  </conditionalFormatting>
  <conditionalFormatting sqref="E42">
    <cfRule type="expression" dxfId="6630" priority="6922">
      <formula>IF(#REF!="FICTICIO",1,0)</formula>
    </cfRule>
  </conditionalFormatting>
  <conditionalFormatting sqref="E42">
    <cfRule type="expression" dxfId="6629" priority="6921">
      <formula>IF(#REF!="FICTICIO",1,0)</formula>
    </cfRule>
  </conditionalFormatting>
  <conditionalFormatting sqref="E42">
    <cfRule type="expression" dxfId="6628" priority="6920">
      <formula>IF(#REF!="FICTICIO",1,0)</formula>
    </cfRule>
  </conditionalFormatting>
  <conditionalFormatting sqref="E42">
    <cfRule type="expression" dxfId="6627" priority="6919">
      <formula>IF(#REF!="FICTICIO",1,0)</formula>
    </cfRule>
  </conditionalFormatting>
  <conditionalFormatting sqref="E42">
    <cfRule type="expression" dxfId="6626" priority="6918">
      <formula>IF(#REF!="FICTICIO",1,0)</formula>
    </cfRule>
  </conditionalFormatting>
  <conditionalFormatting sqref="E42">
    <cfRule type="expression" dxfId="6625" priority="6917">
      <formula>IF(#REF!="FICTICIO",1,0)</formula>
    </cfRule>
  </conditionalFormatting>
  <conditionalFormatting sqref="E42">
    <cfRule type="expression" dxfId="6624" priority="6916">
      <formula>IF(#REF!="FICTICIO",1,0)</formula>
    </cfRule>
  </conditionalFormatting>
  <conditionalFormatting sqref="E42">
    <cfRule type="expression" dxfId="6623" priority="6915">
      <formula>IF(#REF!="FICTICIO",1,0)</formula>
    </cfRule>
  </conditionalFormatting>
  <conditionalFormatting sqref="E42">
    <cfRule type="expression" dxfId="6622" priority="6914">
      <formula>IF(#REF!="FICTICIO",1,0)</formula>
    </cfRule>
  </conditionalFormatting>
  <conditionalFormatting sqref="E42">
    <cfRule type="expression" dxfId="6621" priority="6913">
      <formula>IF(#REF!="FICTICIO",1,0)</formula>
    </cfRule>
  </conditionalFormatting>
  <conditionalFormatting sqref="E43">
    <cfRule type="expression" dxfId="6620" priority="6912">
      <formula>IF(#REF!="FICTICIO",1,0)</formula>
    </cfRule>
  </conditionalFormatting>
  <conditionalFormatting sqref="E43">
    <cfRule type="expression" dxfId="6619" priority="6911">
      <formula>IF(#REF!="FICTICIO",1,0)</formula>
    </cfRule>
  </conditionalFormatting>
  <conditionalFormatting sqref="E43">
    <cfRule type="expression" dxfId="6618" priority="6910">
      <formula>IF(#REF!="FICTICIO",1,0)</formula>
    </cfRule>
  </conditionalFormatting>
  <conditionalFormatting sqref="E43">
    <cfRule type="expression" dxfId="6617" priority="6909">
      <formula>IF(#REF!="FICTICIO",1,0)</formula>
    </cfRule>
  </conditionalFormatting>
  <conditionalFormatting sqref="E43">
    <cfRule type="expression" dxfId="6616" priority="6908">
      <formula>IF(#REF!="FICTICIO",1,0)</formula>
    </cfRule>
  </conditionalFormatting>
  <conditionalFormatting sqref="E43">
    <cfRule type="expression" dxfId="6615" priority="6907">
      <formula>IF(#REF!="FICTICIO",1,0)</formula>
    </cfRule>
  </conditionalFormatting>
  <conditionalFormatting sqref="E43">
    <cfRule type="expression" dxfId="6614" priority="6906">
      <formula>IF(#REF!="FICTICIO",1,0)</formula>
    </cfRule>
  </conditionalFormatting>
  <conditionalFormatting sqref="E43">
    <cfRule type="expression" dxfId="6613" priority="6905">
      <formula>IF(#REF!="FICTICIO",1,0)</formula>
    </cfRule>
  </conditionalFormatting>
  <conditionalFormatting sqref="E43">
    <cfRule type="expression" dxfId="6612" priority="6904">
      <formula>IF(#REF!="FICTICIO",1,0)</formula>
    </cfRule>
  </conditionalFormatting>
  <conditionalFormatting sqref="E43">
    <cfRule type="expression" dxfId="6611" priority="6903">
      <formula>IF(#REF!="FICTICIO",1,0)</formula>
    </cfRule>
  </conditionalFormatting>
  <conditionalFormatting sqref="E43">
    <cfRule type="expression" dxfId="6610" priority="6902">
      <formula>IF(#REF!="FICTICIO",1,0)</formula>
    </cfRule>
  </conditionalFormatting>
  <conditionalFormatting sqref="E43">
    <cfRule type="expression" dxfId="6609" priority="6901">
      <formula>IF(#REF!="FICTICIO",1,0)</formula>
    </cfRule>
  </conditionalFormatting>
  <conditionalFormatting sqref="E43">
    <cfRule type="expression" dxfId="6608" priority="6900">
      <formula>IF(#REF!="FICTICIO",1,0)</formula>
    </cfRule>
  </conditionalFormatting>
  <conditionalFormatting sqref="E43">
    <cfRule type="expression" dxfId="6607" priority="6899">
      <formula>IF(#REF!="FICTICIO",1,0)</formula>
    </cfRule>
  </conditionalFormatting>
  <conditionalFormatting sqref="E43">
    <cfRule type="expression" dxfId="6606" priority="6898">
      <formula>IF(#REF!="FICTICIO",1,0)</formula>
    </cfRule>
  </conditionalFormatting>
  <conditionalFormatting sqref="E43">
    <cfRule type="expression" dxfId="6605" priority="6896">
      <formula>IF(#REF!="FICTICIO",1,0)</formula>
    </cfRule>
  </conditionalFormatting>
  <conditionalFormatting sqref="E43">
    <cfRule type="expression" dxfId="6604" priority="6897">
      <formula>IF(#REF!="FICTICIO",1,0)</formula>
    </cfRule>
  </conditionalFormatting>
  <conditionalFormatting sqref="E43">
    <cfRule type="expression" dxfId="6603" priority="6895">
      <formula>IF(#REF!="FICTICIO",1,0)</formula>
    </cfRule>
  </conditionalFormatting>
  <conditionalFormatting sqref="E43">
    <cfRule type="expression" dxfId="6602" priority="6894">
      <formula>IF(#REF!="FICTICIO",1,0)</formula>
    </cfRule>
  </conditionalFormatting>
  <conditionalFormatting sqref="E43">
    <cfRule type="expression" dxfId="6601" priority="6893">
      <formula>IF(#REF!="FICTICIO",1,0)</formula>
    </cfRule>
  </conditionalFormatting>
  <conditionalFormatting sqref="E43">
    <cfRule type="expression" dxfId="6600" priority="6892">
      <formula>IF(#REF!="FICTICIO",1,0)</formula>
    </cfRule>
  </conditionalFormatting>
  <conditionalFormatting sqref="E43">
    <cfRule type="expression" dxfId="6599" priority="6891">
      <formula>IF(#REF!="FICTICIO",1,0)</formula>
    </cfRule>
  </conditionalFormatting>
  <conditionalFormatting sqref="E43">
    <cfRule type="expression" dxfId="6598" priority="6890">
      <formula>IF(#REF!="FICTICIO",1,0)</formula>
    </cfRule>
  </conditionalFormatting>
  <conditionalFormatting sqref="E43">
    <cfRule type="expression" dxfId="6597" priority="6889">
      <formula>IF(#REF!="FICTICIO",1,0)</formula>
    </cfRule>
  </conditionalFormatting>
  <conditionalFormatting sqref="E43">
    <cfRule type="expression" dxfId="6596" priority="6888">
      <formula>IF(#REF!="FICTICIO",1,0)</formula>
    </cfRule>
  </conditionalFormatting>
  <conditionalFormatting sqref="E43">
    <cfRule type="expression" dxfId="6595" priority="6887">
      <formula>IF(#REF!="FICTICIO",1,0)</formula>
    </cfRule>
  </conditionalFormatting>
  <conditionalFormatting sqref="E43">
    <cfRule type="expression" dxfId="6594" priority="6886">
      <formula>IF(#REF!="FICTICIO",1,0)</formula>
    </cfRule>
  </conditionalFormatting>
  <conditionalFormatting sqref="E43">
    <cfRule type="expression" dxfId="6593" priority="6885">
      <formula>IF(#REF!="FICTICIO",1,0)</formula>
    </cfRule>
  </conditionalFormatting>
  <conditionalFormatting sqref="E43">
    <cfRule type="expression" dxfId="6592" priority="6884">
      <formula>IF(#REF!="FICTICIO",1,0)</formula>
    </cfRule>
  </conditionalFormatting>
  <conditionalFormatting sqref="E43">
    <cfRule type="expression" dxfId="6591" priority="6883">
      <formula>IF(#REF!="FICTICIO",1,0)</formula>
    </cfRule>
  </conditionalFormatting>
  <conditionalFormatting sqref="E43">
    <cfRule type="expression" dxfId="6590" priority="6882">
      <formula>IF(#REF!="FICTICIO",1,0)</formula>
    </cfRule>
  </conditionalFormatting>
  <conditionalFormatting sqref="E43">
    <cfRule type="expression" dxfId="6589" priority="6881">
      <formula>IF(#REF!="FICTICIO",1,0)</formula>
    </cfRule>
  </conditionalFormatting>
  <conditionalFormatting sqref="E43">
    <cfRule type="expression" dxfId="6588" priority="6880">
      <formula>IF(#REF!="FICTICIO",1,0)</formula>
    </cfRule>
  </conditionalFormatting>
  <conditionalFormatting sqref="E43">
    <cfRule type="expression" dxfId="6587" priority="6879">
      <formula>IF(#REF!="FICTICIO",1,0)</formula>
    </cfRule>
  </conditionalFormatting>
  <conditionalFormatting sqref="E43">
    <cfRule type="expression" dxfId="6586" priority="6878">
      <formula>IF(#REF!="FICTICIO",1,0)</formula>
    </cfRule>
  </conditionalFormatting>
  <conditionalFormatting sqref="E43">
    <cfRule type="expression" dxfId="6585" priority="6877">
      <formula>IF(#REF!="FICTICIO",1,0)</formula>
    </cfRule>
  </conditionalFormatting>
  <conditionalFormatting sqref="E44">
    <cfRule type="expression" dxfId="6584" priority="6876">
      <formula>IF(#REF!="FICTICIO",1,0)</formula>
    </cfRule>
  </conditionalFormatting>
  <conditionalFormatting sqref="E44">
    <cfRule type="expression" dxfId="6583" priority="6875">
      <formula>IF(#REF!="FICTICIO",1,0)</formula>
    </cfRule>
  </conditionalFormatting>
  <conditionalFormatting sqref="E44">
    <cfRule type="expression" dxfId="6582" priority="6874">
      <formula>IF(#REF!="FICTICIO",1,0)</formula>
    </cfRule>
  </conditionalFormatting>
  <conditionalFormatting sqref="E44">
    <cfRule type="expression" dxfId="6581" priority="6873">
      <formula>IF(#REF!="FICTICIO",1,0)</formula>
    </cfRule>
  </conditionalFormatting>
  <conditionalFormatting sqref="E44">
    <cfRule type="expression" dxfId="6580" priority="6872">
      <formula>IF(#REF!="FICTICIO",1,0)</formula>
    </cfRule>
  </conditionalFormatting>
  <conditionalFormatting sqref="E44">
    <cfRule type="expression" dxfId="6579" priority="6871">
      <formula>IF(#REF!="FICTICIO",1,0)</formula>
    </cfRule>
  </conditionalFormatting>
  <conditionalFormatting sqref="E44">
    <cfRule type="expression" dxfId="6578" priority="6870">
      <formula>IF(#REF!="FICTICIO",1,0)</formula>
    </cfRule>
  </conditionalFormatting>
  <conditionalFormatting sqref="E44">
    <cfRule type="expression" dxfId="6577" priority="6869">
      <formula>IF(#REF!="FICTICIO",1,0)</formula>
    </cfRule>
  </conditionalFormatting>
  <conditionalFormatting sqref="E44">
    <cfRule type="expression" dxfId="6576" priority="6868">
      <formula>IF(#REF!="FICTICIO",1,0)</formula>
    </cfRule>
  </conditionalFormatting>
  <conditionalFormatting sqref="E44">
    <cfRule type="expression" dxfId="6575" priority="6867">
      <formula>IF(#REF!="FICTICIO",1,0)</formula>
    </cfRule>
  </conditionalFormatting>
  <conditionalFormatting sqref="E44">
    <cfRule type="expression" dxfId="6574" priority="6866">
      <formula>IF(#REF!="FICTICIO",1,0)</formula>
    </cfRule>
  </conditionalFormatting>
  <conditionalFormatting sqref="E44">
    <cfRule type="expression" dxfId="6573" priority="6865">
      <formula>IF(#REF!="FICTICIO",1,0)</formula>
    </cfRule>
  </conditionalFormatting>
  <conditionalFormatting sqref="E44">
    <cfRule type="expression" dxfId="6572" priority="6864">
      <formula>IF(#REF!="FICTICIO",1,0)</formula>
    </cfRule>
  </conditionalFormatting>
  <conditionalFormatting sqref="E44">
    <cfRule type="expression" dxfId="6571" priority="6863">
      <formula>IF(#REF!="FICTICIO",1,0)</formula>
    </cfRule>
  </conditionalFormatting>
  <conditionalFormatting sqref="E44">
    <cfRule type="expression" dxfId="6570" priority="6862">
      <formula>IF(#REF!="FICTICIO",1,0)</formula>
    </cfRule>
  </conditionalFormatting>
  <conditionalFormatting sqref="E44">
    <cfRule type="expression" dxfId="6569" priority="6860">
      <formula>IF(#REF!="FICTICIO",1,0)</formula>
    </cfRule>
  </conditionalFormatting>
  <conditionalFormatting sqref="E44">
    <cfRule type="expression" dxfId="6568" priority="6861">
      <formula>IF(#REF!="FICTICIO",1,0)</formula>
    </cfRule>
  </conditionalFormatting>
  <conditionalFormatting sqref="E44">
    <cfRule type="expression" dxfId="6567" priority="6859">
      <formula>IF(#REF!="FICTICIO",1,0)</formula>
    </cfRule>
  </conditionalFormatting>
  <conditionalFormatting sqref="E44">
    <cfRule type="expression" dxfId="6566" priority="6858">
      <formula>IF(#REF!="FICTICIO",1,0)</formula>
    </cfRule>
  </conditionalFormatting>
  <conditionalFormatting sqref="E44">
    <cfRule type="expression" dxfId="6565" priority="6857">
      <formula>IF(#REF!="FICTICIO",1,0)</formula>
    </cfRule>
  </conditionalFormatting>
  <conditionalFormatting sqref="E44">
    <cfRule type="expression" dxfId="6564" priority="6856">
      <formula>IF(#REF!="FICTICIO",1,0)</formula>
    </cfRule>
  </conditionalFormatting>
  <conditionalFormatting sqref="E44">
    <cfRule type="expression" dxfId="6563" priority="6855">
      <formula>IF(#REF!="FICTICIO",1,0)</formula>
    </cfRule>
  </conditionalFormatting>
  <conditionalFormatting sqref="E44">
    <cfRule type="expression" dxfId="6562" priority="6854">
      <formula>IF(#REF!="FICTICIO",1,0)</formula>
    </cfRule>
  </conditionalFormatting>
  <conditionalFormatting sqref="E44">
    <cfRule type="expression" dxfId="6561" priority="6853">
      <formula>IF(#REF!="FICTICIO",1,0)</formula>
    </cfRule>
  </conditionalFormatting>
  <conditionalFormatting sqref="E44">
    <cfRule type="expression" dxfId="6560" priority="6852">
      <formula>IF(#REF!="FICTICIO",1,0)</formula>
    </cfRule>
  </conditionalFormatting>
  <conditionalFormatting sqref="E44">
    <cfRule type="expression" dxfId="6559" priority="6851">
      <formula>IF(#REF!="FICTICIO",1,0)</formula>
    </cfRule>
  </conditionalFormatting>
  <conditionalFormatting sqref="E44">
    <cfRule type="expression" dxfId="6558" priority="6850">
      <formula>IF(#REF!="FICTICIO",1,0)</formula>
    </cfRule>
  </conditionalFormatting>
  <conditionalFormatting sqref="E44">
    <cfRule type="expression" dxfId="6557" priority="6849">
      <formula>IF(#REF!="FICTICIO",1,0)</formula>
    </cfRule>
  </conditionalFormatting>
  <conditionalFormatting sqref="E44">
    <cfRule type="expression" dxfId="6556" priority="6848">
      <formula>IF(#REF!="FICTICIO",1,0)</formula>
    </cfRule>
  </conditionalFormatting>
  <conditionalFormatting sqref="E44">
    <cfRule type="expression" dxfId="6555" priority="6847">
      <formula>IF(#REF!="FICTICIO",1,0)</formula>
    </cfRule>
  </conditionalFormatting>
  <conditionalFormatting sqref="E44">
    <cfRule type="expression" dxfId="6554" priority="6846">
      <formula>IF(#REF!="FICTICIO",1,0)</formula>
    </cfRule>
  </conditionalFormatting>
  <conditionalFormatting sqref="E44">
    <cfRule type="expression" dxfId="6553" priority="6845">
      <formula>IF(#REF!="FICTICIO",1,0)</formula>
    </cfRule>
  </conditionalFormatting>
  <conditionalFormatting sqref="E44">
    <cfRule type="expression" dxfId="6552" priority="6844">
      <formula>IF(#REF!="FICTICIO",1,0)</formula>
    </cfRule>
  </conditionalFormatting>
  <conditionalFormatting sqref="E44">
    <cfRule type="expression" dxfId="6551" priority="6843">
      <formula>IF(#REF!="FICTICIO",1,0)</formula>
    </cfRule>
  </conditionalFormatting>
  <conditionalFormatting sqref="E44">
    <cfRule type="expression" dxfId="6550" priority="6842">
      <formula>IF(#REF!="FICTICIO",1,0)</formula>
    </cfRule>
  </conditionalFormatting>
  <conditionalFormatting sqref="E44">
    <cfRule type="expression" dxfId="6549" priority="6841">
      <formula>IF(#REF!="FICTICIO",1,0)</formula>
    </cfRule>
  </conditionalFormatting>
  <conditionalFormatting sqref="D45">
    <cfRule type="expression" dxfId="6548" priority="6839">
      <formula>IF(#REF!="FICTICIO",1,0)</formula>
    </cfRule>
  </conditionalFormatting>
  <conditionalFormatting sqref="D45">
    <cfRule type="expression" dxfId="6547" priority="6840">
      <formula>IF(#REF!="FICTICIO",1,0)</formula>
    </cfRule>
  </conditionalFormatting>
  <conditionalFormatting sqref="D45">
    <cfRule type="expression" dxfId="6546" priority="6837">
      <formula>IF(#REF!="FICTICIO",1,0)</formula>
    </cfRule>
  </conditionalFormatting>
  <conditionalFormatting sqref="D45">
    <cfRule type="expression" dxfId="6545" priority="6838">
      <formula>IF(#REF!="FICTICIO",1,0)</formula>
    </cfRule>
  </conditionalFormatting>
  <conditionalFormatting sqref="D45">
    <cfRule type="expression" dxfId="6544" priority="6835">
      <formula>IF(#REF!="FICTICIO",1,0)</formula>
    </cfRule>
  </conditionalFormatting>
  <conditionalFormatting sqref="D45">
    <cfRule type="expression" dxfId="6543" priority="6836">
      <formula>IF(#REF!="FICTICIO",1,0)</formula>
    </cfRule>
  </conditionalFormatting>
  <conditionalFormatting sqref="D45">
    <cfRule type="expression" dxfId="6542" priority="6833">
      <formula>IF(#REF!="FICTICIO",1,0)</formula>
    </cfRule>
  </conditionalFormatting>
  <conditionalFormatting sqref="D45">
    <cfRule type="expression" dxfId="6541" priority="6834">
      <formula>IF(#REF!="FICTICIO",1,0)</formula>
    </cfRule>
  </conditionalFormatting>
  <conditionalFormatting sqref="F45">
    <cfRule type="expression" dxfId="6540" priority="6831">
      <formula>IF(#REF!="FICTICIO",1,0)</formula>
    </cfRule>
  </conditionalFormatting>
  <conditionalFormatting sqref="F45">
    <cfRule type="expression" dxfId="6539" priority="6832">
      <formula>IF(#REF!="FICTICIO",1,0)</formula>
    </cfRule>
  </conditionalFormatting>
  <conditionalFormatting sqref="E45">
    <cfRule type="expression" dxfId="6538" priority="6830">
      <formula>IF(#REF!="FICTICIO",1,0)</formula>
    </cfRule>
  </conditionalFormatting>
  <conditionalFormatting sqref="E45">
    <cfRule type="expression" dxfId="6537" priority="6829">
      <formula>IF(#REF!="FICTICIO",1,0)</formula>
    </cfRule>
  </conditionalFormatting>
  <conditionalFormatting sqref="E45">
    <cfRule type="expression" dxfId="6536" priority="6828">
      <formula>IF(#REF!="FICTICIO",1,0)</formula>
    </cfRule>
  </conditionalFormatting>
  <conditionalFormatting sqref="E45">
    <cfRule type="expression" dxfId="6535" priority="6827">
      <formula>IF(#REF!="FICTICIO",1,0)</formula>
    </cfRule>
  </conditionalFormatting>
  <conditionalFormatting sqref="E45">
    <cfRule type="expression" dxfId="6534" priority="6826">
      <formula>IF(#REF!="FICTICIO",1,0)</formula>
    </cfRule>
  </conditionalFormatting>
  <conditionalFormatting sqref="E45">
    <cfRule type="expression" dxfId="6533" priority="6825">
      <formula>IF(#REF!="FICTICIO",1,0)</formula>
    </cfRule>
  </conditionalFormatting>
  <conditionalFormatting sqref="E45">
    <cfRule type="expression" dxfId="6532" priority="6824">
      <formula>IF(#REF!="FICTICIO",1,0)</formula>
    </cfRule>
  </conditionalFormatting>
  <conditionalFormatting sqref="E45">
    <cfRule type="expression" dxfId="6531" priority="6823">
      <formula>IF(#REF!="FICTICIO",1,0)</formula>
    </cfRule>
  </conditionalFormatting>
  <conditionalFormatting sqref="E45">
    <cfRule type="expression" dxfId="6530" priority="6822">
      <formula>IF(#REF!="FICTICIO",1,0)</formula>
    </cfRule>
  </conditionalFormatting>
  <conditionalFormatting sqref="E45">
    <cfRule type="expression" dxfId="6529" priority="6821">
      <formula>IF(#REF!="FICTICIO",1,0)</formula>
    </cfRule>
  </conditionalFormatting>
  <conditionalFormatting sqref="E45">
    <cfRule type="expression" dxfId="6528" priority="6820">
      <formula>IF(#REF!="FICTICIO",1,0)</formula>
    </cfRule>
  </conditionalFormatting>
  <conditionalFormatting sqref="E45">
    <cfRule type="expression" dxfId="6527" priority="6819">
      <formula>IF(#REF!="FICTICIO",1,0)</formula>
    </cfRule>
  </conditionalFormatting>
  <conditionalFormatting sqref="E45">
    <cfRule type="expression" dxfId="6526" priority="6818">
      <formula>IF(#REF!="FICTICIO",1,0)</formula>
    </cfRule>
  </conditionalFormatting>
  <conditionalFormatting sqref="E45">
    <cfRule type="expression" dxfId="6525" priority="6817">
      <formula>IF(#REF!="FICTICIO",1,0)</formula>
    </cfRule>
  </conditionalFormatting>
  <conditionalFormatting sqref="E45">
    <cfRule type="expression" dxfId="6524" priority="6816">
      <formula>IF(#REF!="FICTICIO",1,0)</formula>
    </cfRule>
  </conditionalFormatting>
  <conditionalFormatting sqref="E45">
    <cfRule type="expression" dxfId="6523" priority="6814">
      <formula>IF(#REF!="FICTICIO",1,0)</formula>
    </cfRule>
  </conditionalFormatting>
  <conditionalFormatting sqref="E45">
    <cfRule type="expression" dxfId="6522" priority="6815">
      <formula>IF(#REF!="FICTICIO",1,0)</formula>
    </cfRule>
  </conditionalFormatting>
  <conditionalFormatting sqref="E45">
    <cfRule type="expression" dxfId="6521" priority="6813">
      <formula>IF(#REF!="FICTICIO",1,0)</formula>
    </cfRule>
  </conditionalFormatting>
  <conditionalFormatting sqref="E45">
    <cfRule type="expression" dxfId="6520" priority="6812">
      <formula>IF(#REF!="FICTICIO",1,0)</formula>
    </cfRule>
  </conditionalFormatting>
  <conditionalFormatting sqref="E45">
    <cfRule type="expression" dxfId="6519" priority="6811">
      <formula>IF(#REF!="FICTICIO",1,0)</formula>
    </cfRule>
  </conditionalFormatting>
  <conditionalFormatting sqref="E45">
    <cfRule type="expression" dxfId="6518" priority="6810">
      <formula>IF(#REF!="FICTICIO",1,0)</formula>
    </cfRule>
  </conditionalFormatting>
  <conditionalFormatting sqref="E45">
    <cfRule type="expression" dxfId="6517" priority="6809">
      <formula>IF(#REF!="FICTICIO",1,0)</formula>
    </cfRule>
  </conditionalFormatting>
  <conditionalFormatting sqref="E45">
    <cfRule type="expression" dxfId="6516" priority="6808">
      <formula>IF(#REF!="FICTICIO",1,0)</formula>
    </cfRule>
  </conditionalFormatting>
  <conditionalFormatting sqref="E45">
    <cfRule type="expression" dxfId="6515" priority="6807">
      <formula>IF(#REF!="FICTICIO",1,0)</formula>
    </cfRule>
  </conditionalFormatting>
  <conditionalFormatting sqref="E45">
    <cfRule type="expression" dxfId="6514" priority="6806">
      <formula>IF(#REF!="FICTICIO",1,0)</formula>
    </cfRule>
  </conditionalFormatting>
  <conditionalFormatting sqref="E45">
    <cfRule type="expression" dxfId="6513" priority="6805">
      <formula>IF(#REF!="FICTICIO",1,0)</formula>
    </cfRule>
  </conditionalFormatting>
  <conditionalFormatting sqref="E45">
    <cfRule type="expression" dxfId="6512" priority="6804">
      <formula>IF(#REF!="FICTICIO",1,0)</formula>
    </cfRule>
  </conditionalFormatting>
  <conditionalFormatting sqref="E45">
    <cfRule type="expression" dxfId="6511" priority="6803">
      <formula>IF(#REF!="FICTICIO",1,0)</formula>
    </cfRule>
  </conditionalFormatting>
  <conditionalFormatting sqref="E45">
    <cfRule type="expression" dxfId="6510" priority="6802">
      <formula>IF(#REF!="FICTICIO",1,0)</formula>
    </cfRule>
  </conditionalFormatting>
  <conditionalFormatting sqref="E45">
    <cfRule type="expression" dxfId="6509" priority="6801">
      <formula>IF(#REF!="FICTICIO",1,0)</formula>
    </cfRule>
  </conditionalFormatting>
  <conditionalFormatting sqref="E45">
    <cfRule type="expression" dxfId="6508" priority="6800">
      <formula>IF(#REF!="FICTICIO",1,0)</formula>
    </cfRule>
  </conditionalFormatting>
  <conditionalFormatting sqref="E45">
    <cfRule type="expression" dxfId="6507" priority="6799">
      <formula>IF(#REF!="FICTICIO",1,0)</formula>
    </cfRule>
  </conditionalFormatting>
  <conditionalFormatting sqref="E45">
    <cfRule type="expression" dxfId="6506" priority="6798">
      <formula>IF(#REF!="FICTICIO",1,0)</formula>
    </cfRule>
  </conditionalFormatting>
  <conditionalFormatting sqref="E45">
    <cfRule type="expression" dxfId="6505" priority="6797">
      <formula>IF(#REF!="FICTICIO",1,0)</formula>
    </cfRule>
  </conditionalFormatting>
  <conditionalFormatting sqref="E45">
    <cfRule type="expression" dxfId="6504" priority="6796">
      <formula>IF(#REF!="FICTICIO",1,0)</formula>
    </cfRule>
  </conditionalFormatting>
  <conditionalFormatting sqref="E45">
    <cfRule type="expression" dxfId="6503" priority="6795">
      <formula>IF(#REF!="FICTICIO",1,0)</formula>
    </cfRule>
  </conditionalFormatting>
  <conditionalFormatting sqref="E46">
    <cfRule type="expression" dxfId="6502" priority="6794">
      <formula>IF(#REF!="FICTICIO",1,0)</formula>
    </cfRule>
  </conditionalFormatting>
  <conditionalFormatting sqref="E46">
    <cfRule type="expression" dxfId="6501" priority="6793">
      <formula>IF(#REF!="FICTICIO",1,0)</formula>
    </cfRule>
  </conditionalFormatting>
  <conditionalFormatting sqref="E46">
    <cfRule type="expression" dxfId="6500" priority="6792">
      <formula>IF(#REF!="FICTICIO",1,0)</formula>
    </cfRule>
  </conditionalFormatting>
  <conditionalFormatting sqref="E46">
    <cfRule type="expression" dxfId="6499" priority="6791">
      <formula>IF(#REF!="FICTICIO",1,0)</formula>
    </cfRule>
  </conditionalFormatting>
  <conditionalFormatting sqref="E46">
    <cfRule type="expression" dxfId="6498" priority="6790">
      <formula>IF(#REF!="FICTICIO",1,0)</formula>
    </cfRule>
  </conditionalFormatting>
  <conditionalFormatting sqref="E46">
    <cfRule type="expression" dxfId="6497" priority="6789">
      <formula>IF(#REF!="FICTICIO",1,0)</formula>
    </cfRule>
  </conditionalFormatting>
  <conditionalFormatting sqref="E46">
    <cfRule type="expression" dxfId="6496" priority="6788">
      <formula>IF(#REF!="FICTICIO",1,0)</formula>
    </cfRule>
  </conditionalFormatting>
  <conditionalFormatting sqref="E46">
    <cfRule type="expression" dxfId="6495" priority="6787">
      <formula>IF(#REF!="FICTICIO",1,0)</formula>
    </cfRule>
  </conditionalFormatting>
  <conditionalFormatting sqref="E46">
    <cfRule type="expression" dxfId="6494" priority="6786">
      <formula>IF(#REF!="FICTICIO",1,0)</formula>
    </cfRule>
  </conditionalFormatting>
  <conditionalFormatting sqref="E46">
    <cfRule type="expression" dxfId="6493" priority="6785">
      <formula>IF(#REF!="FICTICIO",1,0)</formula>
    </cfRule>
  </conditionalFormatting>
  <conditionalFormatting sqref="E46">
    <cfRule type="expression" dxfId="6492" priority="6784">
      <formula>IF(#REF!="FICTICIO",1,0)</formula>
    </cfRule>
  </conditionalFormatting>
  <conditionalFormatting sqref="E46">
    <cfRule type="expression" dxfId="6491" priority="6783">
      <formula>IF(#REF!="FICTICIO",1,0)</formula>
    </cfRule>
  </conditionalFormatting>
  <conditionalFormatting sqref="E46">
    <cfRule type="expression" dxfId="6490" priority="6782">
      <formula>IF(#REF!="FICTICIO",1,0)</formula>
    </cfRule>
  </conditionalFormatting>
  <conditionalFormatting sqref="E46">
    <cfRule type="expression" dxfId="6489" priority="6781">
      <formula>IF(#REF!="FICTICIO",1,0)</formula>
    </cfRule>
  </conditionalFormatting>
  <conditionalFormatting sqref="E46">
    <cfRule type="expression" dxfId="6488" priority="6780">
      <formula>IF(#REF!="FICTICIO",1,0)</formula>
    </cfRule>
  </conditionalFormatting>
  <conditionalFormatting sqref="E46">
    <cfRule type="expression" dxfId="6487" priority="6778">
      <formula>IF(#REF!="FICTICIO",1,0)</formula>
    </cfRule>
  </conditionalFormatting>
  <conditionalFormatting sqref="E46">
    <cfRule type="expression" dxfId="6486" priority="6779">
      <formula>IF(#REF!="FICTICIO",1,0)</formula>
    </cfRule>
  </conditionalFormatting>
  <conditionalFormatting sqref="E46">
    <cfRule type="expression" dxfId="6485" priority="6777">
      <formula>IF(#REF!="FICTICIO",1,0)</formula>
    </cfRule>
  </conditionalFormatting>
  <conditionalFormatting sqref="E46">
    <cfRule type="expression" dxfId="6484" priority="6776">
      <formula>IF(#REF!="FICTICIO",1,0)</formula>
    </cfRule>
  </conditionalFormatting>
  <conditionalFormatting sqref="E46">
    <cfRule type="expression" dxfId="6483" priority="6775">
      <formula>IF(#REF!="FICTICIO",1,0)</formula>
    </cfRule>
  </conditionalFormatting>
  <conditionalFormatting sqref="E46">
    <cfRule type="expression" dxfId="6482" priority="6774">
      <formula>IF(#REF!="FICTICIO",1,0)</formula>
    </cfRule>
  </conditionalFormatting>
  <conditionalFormatting sqref="E46">
    <cfRule type="expression" dxfId="6481" priority="6773">
      <formula>IF(#REF!="FICTICIO",1,0)</formula>
    </cfRule>
  </conditionalFormatting>
  <conditionalFormatting sqref="E46">
    <cfRule type="expression" dxfId="6480" priority="6772">
      <formula>IF(#REF!="FICTICIO",1,0)</formula>
    </cfRule>
  </conditionalFormatting>
  <conditionalFormatting sqref="E46">
    <cfRule type="expression" dxfId="6479" priority="6771">
      <formula>IF(#REF!="FICTICIO",1,0)</formula>
    </cfRule>
  </conditionalFormatting>
  <conditionalFormatting sqref="E46">
    <cfRule type="expression" dxfId="6478" priority="6770">
      <formula>IF(#REF!="FICTICIO",1,0)</formula>
    </cfRule>
  </conditionalFormatting>
  <conditionalFormatting sqref="E46">
    <cfRule type="expression" dxfId="6477" priority="6769">
      <formula>IF(#REF!="FICTICIO",1,0)</formula>
    </cfRule>
  </conditionalFormatting>
  <conditionalFormatting sqref="E46">
    <cfRule type="expression" dxfId="6476" priority="6768">
      <formula>IF(#REF!="FICTICIO",1,0)</formula>
    </cfRule>
  </conditionalFormatting>
  <conditionalFormatting sqref="E46">
    <cfRule type="expression" dxfId="6475" priority="6767">
      <formula>IF(#REF!="FICTICIO",1,0)</formula>
    </cfRule>
  </conditionalFormatting>
  <conditionalFormatting sqref="E46">
    <cfRule type="expression" dxfId="6474" priority="6766">
      <formula>IF(#REF!="FICTICIO",1,0)</formula>
    </cfRule>
  </conditionalFormatting>
  <conditionalFormatting sqref="E46">
    <cfRule type="expression" dxfId="6473" priority="6765">
      <formula>IF(#REF!="FICTICIO",1,0)</formula>
    </cfRule>
  </conditionalFormatting>
  <conditionalFormatting sqref="E46">
    <cfRule type="expression" dxfId="6472" priority="6764">
      <formula>IF(#REF!="FICTICIO",1,0)</formula>
    </cfRule>
  </conditionalFormatting>
  <conditionalFormatting sqref="E46">
    <cfRule type="expression" dxfId="6471" priority="6763">
      <formula>IF(#REF!="FICTICIO",1,0)</formula>
    </cfRule>
  </conditionalFormatting>
  <conditionalFormatting sqref="E46">
    <cfRule type="expression" dxfId="6470" priority="6762">
      <formula>IF(#REF!="FICTICIO",1,0)</formula>
    </cfRule>
  </conditionalFormatting>
  <conditionalFormatting sqref="E46">
    <cfRule type="expression" dxfId="6469" priority="6761">
      <formula>IF(#REF!="FICTICIO",1,0)</formula>
    </cfRule>
  </conditionalFormatting>
  <conditionalFormatting sqref="E46">
    <cfRule type="expression" dxfId="6468" priority="6760">
      <formula>IF(#REF!="FICTICIO",1,0)</formula>
    </cfRule>
  </conditionalFormatting>
  <conditionalFormatting sqref="E46">
    <cfRule type="expression" dxfId="6467" priority="6759">
      <formula>IF(#REF!="FICTICIO",1,0)</formula>
    </cfRule>
  </conditionalFormatting>
  <conditionalFormatting sqref="F47">
    <cfRule type="expression" dxfId="6466" priority="6758">
      <formula>IF(#REF!="FICTICIO",1,0)</formula>
    </cfRule>
  </conditionalFormatting>
  <conditionalFormatting sqref="E47">
    <cfRule type="expression" dxfId="6465" priority="6757">
      <formula>IF(#REF!="FICTICIO",1,0)</formula>
    </cfRule>
  </conditionalFormatting>
  <conditionalFormatting sqref="E47">
    <cfRule type="expression" dxfId="6464" priority="6756">
      <formula>IF(#REF!="FICTICIO",1,0)</formula>
    </cfRule>
  </conditionalFormatting>
  <conditionalFormatting sqref="E47">
    <cfRule type="expression" dxfId="6463" priority="6755">
      <formula>IF(#REF!="FICTICIO",1,0)</formula>
    </cfRule>
  </conditionalFormatting>
  <conditionalFormatting sqref="E47">
    <cfRule type="expression" dxfId="6462" priority="6754">
      <formula>IF(#REF!="FICTICIO",1,0)</formula>
    </cfRule>
  </conditionalFormatting>
  <conditionalFormatting sqref="E47">
    <cfRule type="expression" dxfId="6461" priority="6753">
      <formula>IF(#REF!="FICTICIO",1,0)</formula>
    </cfRule>
  </conditionalFormatting>
  <conditionalFormatting sqref="E47">
    <cfRule type="expression" dxfId="6460" priority="6752">
      <formula>IF(#REF!="FICTICIO",1,0)</formula>
    </cfRule>
  </conditionalFormatting>
  <conditionalFormatting sqref="E47">
    <cfRule type="expression" dxfId="6459" priority="6751">
      <formula>IF(#REF!="FICTICIO",1,0)</formula>
    </cfRule>
  </conditionalFormatting>
  <conditionalFormatting sqref="E47">
    <cfRule type="expression" dxfId="6458" priority="6750">
      <formula>IF(#REF!="FICTICIO",1,0)</formula>
    </cfRule>
  </conditionalFormatting>
  <conditionalFormatting sqref="E47">
    <cfRule type="expression" dxfId="6457" priority="6749">
      <formula>IF(#REF!="FICTICIO",1,0)</formula>
    </cfRule>
  </conditionalFormatting>
  <conditionalFormatting sqref="E47">
    <cfRule type="expression" dxfId="6456" priority="6748">
      <formula>IF(#REF!="FICTICIO",1,0)</formula>
    </cfRule>
  </conditionalFormatting>
  <conditionalFormatting sqref="E47">
    <cfRule type="expression" dxfId="6455" priority="6747">
      <formula>IF(#REF!="FICTICIO",1,0)</formula>
    </cfRule>
  </conditionalFormatting>
  <conditionalFormatting sqref="E47">
    <cfRule type="expression" dxfId="6454" priority="6746">
      <formula>IF(#REF!="FICTICIO",1,0)</formula>
    </cfRule>
  </conditionalFormatting>
  <conditionalFormatting sqref="E47">
    <cfRule type="expression" dxfId="6453" priority="6745">
      <formula>IF(#REF!="FICTICIO",1,0)</formula>
    </cfRule>
  </conditionalFormatting>
  <conditionalFormatting sqref="E47">
    <cfRule type="expression" dxfId="6452" priority="6744">
      <formula>IF(#REF!="FICTICIO",1,0)</formula>
    </cfRule>
  </conditionalFormatting>
  <conditionalFormatting sqref="E47">
    <cfRule type="expression" dxfId="6451" priority="6743">
      <formula>IF(#REF!="FICTICIO",1,0)</formula>
    </cfRule>
  </conditionalFormatting>
  <conditionalFormatting sqref="E47">
    <cfRule type="expression" dxfId="6450" priority="6741">
      <formula>IF(#REF!="FICTICIO",1,0)</formula>
    </cfRule>
  </conditionalFormatting>
  <conditionalFormatting sqref="E47">
    <cfRule type="expression" dxfId="6449" priority="6742">
      <formula>IF(#REF!="FICTICIO",1,0)</formula>
    </cfRule>
  </conditionalFormatting>
  <conditionalFormatting sqref="E47">
    <cfRule type="expression" dxfId="6448" priority="6740">
      <formula>IF(#REF!="FICTICIO",1,0)</formula>
    </cfRule>
  </conditionalFormatting>
  <conditionalFormatting sqref="E47">
    <cfRule type="expression" dxfId="6447" priority="6739">
      <formula>IF(#REF!="FICTICIO",1,0)</formula>
    </cfRule>
  </conditionalFormatting>
  <conditionalFormatting sqref="E47">
    <cfRule type="expression" dxfId="6446" priority="6738">
      <formula>IF(#REF!="FICTICIO",1,0)</formula>
    </cfRule>
  </conditionalFormatting>
  <conditionalFormatting sqref="E47">
    <cfRule type="expression" dxfId="6445" priority="6737">
      <formula>IF(#REF!="FICTICIO",1,0)</formula>
    </cfRule>
  </conditionalFormatting>
  <conditionalFormatting sqref="E47">
    <cfRule type="expression" dxfId="6444" priority="6736">
      <formula>IF(#REF!="FICTICIO",1,0)</formula>
    </cfRule>
  </conditionalFormatting>
  <conditionalFormatting sqref="E47">
    <cfRule type="expression" dxfId="6443" priority="6735">
      <formula>IF(#REF!="FICTICIO",1,0)</formula>
    </cfRule>
  </conditionalFormatting>
  <conditionalFormatting sqref="E47">
    <cfRule type="expression" dxfId="6442" priority="6734">
      <formula>IF(#REF!="FICTICIO",1,0)</formula>
    </cfRule>
  </conditionalFormatting>
  <conditionalFormatting sqref="E47">
    <cfRule type="expression" dxfId="6441" priority="6733">
      <formula>IF(#REF!="FICTICIO",1,0)</formula>
    </cfRule>
  </conditionalFormatting>
  <conditionalFormatting sqref="E47">
    <cfRule type="expression" dxfId="6440" priority="6732">
      <formula>IF(#REF!="FICTICIO",1,0)</formula>
    </cfRule>
  </conditionalFormatting>
  <conditionalFormatting sqref="E47">
    <cfRule type="expression" dxfId="6439" priority="6731">
      <formula>IF(#REF!="FICTICIO",1,0)</formula>
    </cfRule>
  </conditionalFormatting>
  <conditionalFormatting sqref="E47">
    <cfRule type="expression" dxfId="6438" priority="6730">
      <formula>IF(#REF!="FICTICIO",1,0)</formula>
    </cfRule>
  </conditionalFormatting>
  <conditionalFormatting sqref="E47">
    <cfRule type="expression" dxfId="6437" priority="6729">
      <formula>IF(#REF!="FICTICIO",1,0)</formula>
    </cfRule>
  </conditionalFormatting>
  <conditionalFormatting sqref="E47">
    <cfRule type="expression" dxfId="6436" priority="6728">
      <formula>IF(#REF!="FICTICIO",1,0)</formula>
    </cfRule>
  </conditionalFormatting>
  <conditionalFormatting sqref="E47">
    <cfRule type="expression" dxfId="6435" priority="6727">
      <formula>IF(#REF!="FICTICIO",1,0)</formula>
    </cfRule>
  </conditionalFormatting>
  <conditionalFormatting sqref="E47">
    <cfRule type="expression" dxfId="6434" priority="6726">
      <formula>IF(#REF!="FICTICIO",1,0)</formula>
    </cfRule>
  </conditionalFormatting>
  <conditionalFormatting sqref="E47">
    <cfRule type="expression" dxfId="6433" priority="6725">
      <formula>IF(#REF!="FICTICIO",1,0)</formula>
    </cfRule>
  </conditionalFormatting>
  <conditionalFormatting sqref="E47">
    <cfRule type="expression" dxfId="6432" priority="6724">
      <formula>IF(#REF!="FICTICIO",1,0)</formula>
    </cfRule>
  </conditionalFormatting>
  <conditionalFormatting sqref="E47">
    <cfRule type="expression" dxfId="6431" priority="6723">
      <formula>IF(#REF!="FICTICIO",1,0)</formula>
    </cfRule>
  </conditionalFormatting>
  <conditionalFormatting sqref="E47">
    <cfRule type="expression" dxfId="6430" priority="6722">
      <formula>IF(#REF!="FICTICIO",1,0)</formula>
    </cfRule>
  </conditionalFormatting>
  <conditionalFormatting sqref="F48">
    <cfRule type="expression" dxfId="6429" priority="6721">
      <formula>IF(#REF!="FICTICIO",1,0)</formula>
    </cfRule>
  </conditionalFormatting>
  <conditionalFormatting sqref="E48">
    <cfRule type="expression" dxfId="6428" priority="6720">
      <formula>IF(#REF!="FICTICIO",1,0)</formula>
    </cfRule>
  </conditionalFormatting>
  <conditionalFormatting sqref="E48">
    <cfRule type="expression" dxfId="6427" priority="6719">
      <formula>IF(#REF!="FICTICIO",1,0)</formula>
    </cfRule>
  </conditionalFormatting>
  <conditionalFormatting sqref="E48">
    <cfRule type="expression" dxfId="6426" priority="6718">
      <formula>IF(#REF!="FICTICIO",1,0)</formula>
    </cfRule>
  </conditionalFormatting>
  <conditionalFormatting sqref="E48">
    <cfRule type="expression" dxfId="6425" priority="6717">
      <formula>IF(#REF!="FICTICIO",1,0)</formula>
    </cfRule>
  </conditionalFormatting>
  <conditionalFormatting sqref="E48">
    <cfRule type="expression" dxfId="6424" priority="6716">
      <formula>IF(#REF!="FICTICIO",1,0)</formula>
    </cfRule>
  </conditionalFormatting>
  <conditionalFormatting sqref="E48">
    <cfRule type="expression" dxfId="6423" priority="6715">
      <formula>IF(#REF!="FICTICIO",1,0)</formula>
    </cfRule>
  </conditionalFormatting>
  <conditionalFormatting sqref="E48">
    <cfRule type="expression" dxfId="6422" priority="6714">
      <formula>IF(#REF!="FICTICIO",1,0)</formula>
    </cfRule>
  </conditionalFormatting>
  <conditionalFormatting sqref="E48">
    <cfRule type="expression" dxfId="6421" priority="6713">
      <formula>IF(#REF!="FICTICIO",1,0)</formula>
    </cfRule>
  </conditionalFormatting>
  <conditionalFormatting sqref="E48">
    <cfRule type="expression" dxfId="6420" priority="6712">
      <formula>IF(#REF!="FICTICIO",1,0)</formula>
    </cfRule>
  </conditionalFormatting>
  <conditionalFormatting sqref="E48">
    <cfRule type="expression" dxfId="6419" priority="6711">
      <formula>IF(#REF!="FICTICIO",1,0)</formula>
    </cfRule>
  </conditionalFormatting>
  <conditionalFormatting sqref="E48">
    <cfRule type="expression" dxfId="6418" priority="6710">
      <formula>IF(#REF!="FICTICIO",1,0)</formula>
    </cfRule>
  </conditionalFormatting>
  <conditionalFormatting sqref="E48">
    <cfRule type="expression" dxfId="6417" priority="6709">
      <formula>IF(#REF!="FICTICIO",1,0)</formula>
    </cfRule>
  </conditionalFormatting>
  <conditionalFormatting sqref="E48">
    <cfRule type="expression" dxfId="6416" priority="6708">
      <formula>IF(#REF!="FICTICIO",1,0)</formula>
    </cfRule>
  </conditionalFormatting>
  <conditionalFormatting sqref="E48">
    <cfRule type="expression" dxfId="6415" priority="6707">
      <formula>IF(#REF!="FICTICIO",1,0)</formula>
    </cfRule>
  </conditionalFormatting>
  <conditionalFormatting sqref="E48">
    <cfRule type="expression" dxfId="6414" priority="6706">
      <formula>IF(#REF!="FICTICIO",1,0)</formula>
    </cfRule>
  </conditionalFormatting>
  <conditionalFormatting sqref="E48">
    <cfRule type="expression" dxfId="6413" priority="6704">
      <formula>IF(#REF!="FICTICIO",1,0)</formula>
    </cfRule>
  </conditionalFormatting>
  <conditionalFormatting sqref="E48">
    <cfRule type="expression" dxfId="6412" priority="6705">
      <formula>IF(#REF!="FICTICIO",1,0)</formula>
    </cfRule>
  </conditionalFormatting>
  <conditionalFormatting sqref="E48">
    <cfRule type="expression" dxfId="6411" priority="6703">
      <formula>IF(#REF!="FICTICIO",1,0)</formula>
    </cfRule>
  </conditionalFormatting>
  <conditionalFormatting sqref="E48">
    <cfRule type="expression" dxfId="6410" priority="6702">
      <formula>IF(#REF!="FICTICIO",1,0)</formula>
    </cfRule>
  </conditionalFormatting>
  <conditionalFormatting sqref="E48">
    <cfRule type="expression" dxfId="6409" priority="6701">
      <formula>IF(#REF!="FICTICIO",1,0)</formula>
    </cfRule>
  </conditionalFormatting>
  <conditionalFormatting sqref="E48">
    <cfRule type="expression" dxfId="6408" priority="6700">
      <formula>IF(#REF!="FICTICIO",1,0)</formula>
    </cfRule>
  </conditionalFormatting>
  <conditionalFormatting sqref="E48">
    <cfRule type="expression" dxfId="6407" priority="6699">
      <formula>IF(#REF!="FICTICIO",1,0)</formula>
    </cfRule>
  </conditionalFormatting>
  <conditionalFormatting sqref="E48">
    <cfRule type="expression" dxfId="6406" priority="6698">
      <formula>IF(#REF!="FICTICIO",1,0)</formula>
    </cfRule>
  </conditionalFormatting>
  <conditionalFormatting sqref="E48">
    <cfRule type="expression" dxfId="6405" priority="6697">
      <formula>IF(#REF!="FICTICIO",1,0)</formula>
    </cfRule>
  </conditionalFormatting>
  <conditionalFormatting sqref="E48">
    <cfRule type="expression" dxfId="6404" priority="6696">
      <formula>IF(#REF!="FICTICIO",1,0)</formula>
    </cfRule>
  </conditionalFormatting>
  <conditionalFormatting sqref="E48">
    <cfRule type="expression" dxfId="6403" priority="6695">
      <formula>IF(#REF!="FICTICIO",1,0)</formula>
    </cfRule>
  </conditionalFormatting>
  <conditionalFormatting sqref="E48">
    <cfRule type="expression" dxfId="6402" priority="6694">
      <formula>IF(#REF!="FICTICIO",1,0)</formula>
    </cfRule>
  </conditionalFormatting>
  <conditionalFormatting sqref="E48">
    <cfRule type="expression" dxfId="6401" priority="6693">
      <formula>IF(#REF!="FICTICIO",1,0)</formula>
    </cfRule>
  </conditionalFormatting>
  <conditionalFormatting sqref="E48">
    <cfRule type="expression" dxfId="6400" priority="6692">
      <formula>IF(#REF!="FICTICIO",1,0)</formula>
    </cfRule>
  </conditionalFormatting>
  <conditionalFormatting sqref="E48">
    <cfRule type="expression" dxfId="6399" priority="6691">
      <formula>IF(#REF!="FICTICIO",1,0)</formula>
    </cfRule>
  </conditionalFormatting>
  <conditionalFormatting sqref="E48">
    <cfRule type="expression" dxfId="6398" priority="6690">
      <formula>IF(#REF!="FICTICIO",1,0)</formula>
    </cfRule>
  </conditionalFormatting>
  <conditionalFormatting sqref="E48">
    <cfRule type="expression" dxfId="6397" priority="6689">
      <formula>IF(#REF!="FICTICIO",1,0)</formula>
    </cfRule>
  </conditionalFormatting>
  <conditionalFormatting sqref="E48">
    <cfRule type="expression" dxfId="6396" priority="6688">
      <formula>IF(#REF!="FICTICIO",1,0)</formula>
    </cfRule>
  </conditionalFormatting>
  <conditionalFormatting sqref="E48">
    <cfRule type="expression" dxfId="6395" priority="6687">
      <formula>IF(#REF!="FICTICIO",1,0)</formula>
    </cfRule>
  </conditionalFormatting>
  <conditionalFormatting sqref="E48">
    <cfRule type="expression" dxfId="6394" priority="6686">
      <formula>IF(#REF!="FICTICIO",1,0)</formula>
    </cfRule>
  </conditionalFormatting>
  <conditionalFormatting sqref="E48">
    <cfRule type="expression" dxfId="6393" priority="6685">
      <formula>IF(#REF!="FICTICIO",1,0)</formula>
    </cfRule>
  </conditionalFormatting>
  <conditionalFormatting sqref="D49">
    <cfRule type="expression" dxfId="6392" priority="6683">
      <formula>IF(#REF!="FICTICIO",1,0)</formula>
    </cfRule>
  </conditionalFormatting>
  <conditionalFormatting sqref="D49">
    <cfRule type="expression" dxfId="6391" priority="6684">
      <formula>IF(#REF!="FICTICIO",1,0)</formula>
    </cfRule>
  </conditionalFormatting>
  <conditionalFormatting sqref="D49">
    <cfRule type="expression" dxfId="6390" priority="6681">
      <formula>IF(#REF!="FICTICIO",1,0)</formula>
    </cfRule>
  </conditionalFormatting>
  <conditionalFormatting sqref="D49">
    <cfRule type="expression" dxfId="6389" priority="6682">
      <formula>IF(#REF!="FICTICIO",1,0)</formula>
    </cfRule>
  </conditionalFormatting>
  <conditionalFormatting sqref="F49">
    <cfRule type="expression" dxfId="6388" priority="6680">
      <formula>IF(#REF!="FICTICIO",1,0)</formula>
    </cfRule>
  </conditionalFormatting>
  <conditionalFormatting sqref="E49">
    <cfRule type="expression" dxfId="6387" priority="6679">
      <formula>IF(#REF!="FICTICIO",1,0)</formula>
    </cfRule>
  </conditionalFormatting>
  <conditionalFormatting sqref="E49">
    <cfRule type="expression" dxfId="6386" priority="6678">
      <formula>IF(#REF!="FICTICIO",1,0)</formula>
    </cfRule>
  </conditionalFormatting>
  <conditionalFormatting sqref="E49">
    <cfRule type="expression" dxfId="6385" priority="6677">
      <formula>IF(#REF!="FICTICIO",1,0)</formula>
    </cfRule>
  </conditionalFormatting>
  <conditionalFormatting sqref="E49">
    <cfRule type="expression" dxfId="6384" priority="6676">
      <formula>IF(#REF!="FICTICIO",1,0)</formula>
    </cfRule>
  </conditionalFormatting>
  <conditionalFormatting sqref="E49">
    <cfRule type="expression" dxfId="6383" priority="6675">
      <formula>IF(#REF!="FICTICIO",1,0)</formula>
    </cfRule>
  </conditionalFormatting>
  <conditionalFormatting sqref="E49">
    <cfRule type="expression" dxfId="6382" priority="6674">
      <formula>IF(#REF!="FICTICIO",1,0)</formula>
    </cfRule>
  </conditionalFormatting>
  <conditionalFormatting sqref="E49">
    <cfRule type="expression" dxfId="6381" priority="6673">
      <formula>IF(#REF!="FICTICIO",1,0)</formula>
    </cfRule>
  </conditionalFormatting>
  <conditionalFormatting sqref="E49">
    <cfRule type="expression" dxfId="6380" priority="6672">
      <formula>IF(#REF!="FICTICIO",1,0)</formula>
    </cfRule>
  </conditionalFormatting>
  <conditionalFormatting sqref="E49">
    <cfRule type="expression" dxfId="6379" priority="6671">
      <formula>IF(#REF!="FICTICIO",1,0)</formula>
    </cfRule>
  </conditionalFormatting>
  <conditionalFormatting sqref="E49">
    <cfRule type="expression" dxfId="6378" priority="6670">
      <formula>IF(#REF!="FICTICIO",1,0)</formula>
    </cfRule>
  </conditionalFormatting>
  <conditionalFormatting sqref="E49">
    <cfRule type="expression" dxfId="6377" priority="6669">
      <formula>IF(#REF!="FICTICIO",1,0)</formula>
    </cfRule>
  </conditionalFormatting>
  <conditionalFormatting sqref="E49">
    <cfRule type="expression" dxfId="6376" priority="6668">
      <formula>IF(#REF!="FICTICIO",1,0)</formula>
    </cfRule>
  </conditionalFormatting>
  <conditionalFormatting sqref="E49">
    <cfRule type="expression" dxfId="6375" priority="6667">
      <formula>IF(#REF!="FICTICIO",1,0)</formula>
    </cfRule>
  </conditionalFormatting>
  <conditionalFormatting sqref="E49">
    <cfRule type="expression" dxfId="6374" priority="6666">
      <formula>IF(#REF!="FICTICIO",1,0)</formula>
    </cfRule>
  </conditionalFormatting>
  <conditionalFormatting sqref="E49">
    <cfRule type="expression" dxfId="6373" priority="6665">
      <formula>IF(#REF!="FICTICIO",1,0)</formula>
    </cfRule>
  </conditionalFormatting>
  <conditionalFormatting sqref="E49">
    <cfRule type="expression" dxfId="6372" priority="6663">
      <formula>IF(#REF!="FICTICIO",1,0)</formula>
    </cfRule>
  </conditionalFormatting>
  <conditionalFormatting sqref="E49">
    <cfRule type="expression" dxfId="6371" priority="6664">
      <formula>IF(#REF!="FICTICIO",1,0)</formula>
    </cfRule>
  </conditionalFormatting>
  <conditionalFormatting sqref="E49">
    <cfRule type="expression" dxfId="6370" priority="6662">
      <formula>IF(#REF!="FICTICIO",1,0)</formula>
    </cfRule>
  </conditionalFormatting>
  <conditionalFormatting sqref="E49">
    <cfRule type="expression" dxfId="6369" priority="6661">
      <formula>IF(#REF!="FICTICIO",1,0)</formula>
    </cfRule>
  </conditionalFormatting>
  <conditionalFormatting sqref="E49">
    <cfRule type="expression" dxfId="6368" priority="6660">
      <formula>IF(#REF!="FICTICIO",1,0)</formula>
    </cfRule>
  </conditionalFormatting>
  <conditionalFormatting sqref="E49">
    <cfRule type="expression" dxfId="6367" priority="6659">
      <formula>IF(#REF!="FICTICIO",1,0)</formula>
    </cfRule>
  </conditionalFormatting>
  <conditionalFormatting sqref="E49">
    <cfRule type="expression" dxfId="6366" priority="6658">
      <formula>IF(#REF!="FICTICIO",1,0)</formula>
    </cfRule>
  </conditionalFormatting>
  <conditionalFormatting sqref="E49">
    <cfRule type="expression" dxfId="6365" priority="6657">
      <formula>IF(#REF!="FICTICIO",1,0)</formula>
    </cfRule>
  </conditionalFormatting>
  <conditionalFormatting sqref="E49">
    <cfRule type="expression" dxfId="6364" priority="6656">
      <formula>IF(#REF!="FICTICIO",1,0)</formula>
    </cfRule>
  </conditionalFormatting>
  <conditionalFormatting sqref="E49">
    <cfRule type="expression" dxfId="6363" priority="6655">
      <formula>IF(#REF!="FICTICIO",1,0)</formula>
    </cfRule>
  </conditionalFormatting>
  <conditionalFormatting sqref="E49">
    <cfRule type="expression" dxfId="6362" priority="6654">
      <formula>IF(#REF!="FICTICIO",1,0)</formula>
    </cfRule>
  </conditionalFormatting>
  <conditionalFormatting sqref="E49">
    <cfRule type="expression" dxfId="6361" priority="6653">
      <formula>IF(#REF!="FICTICIO",1,0)</formula>
    </cfRule>
  </conditionalFormatting>
  <conditionalFormatting sqref="E49">
    <cfRule type="expression" dxfId="6360" priority="6652">
      <formula>IF(#REF!="FICTICIO",1,0)</formula>
    </cfRule>
  </conditionalFormatting>
  <conditionalFormatting sqref="E49">
    <cfRule type="expression" dxfId="6359" priority="6651">
      <formula>IF(#REF!="FICTICIO",1,0)</formula>
    </cfRule>
  </conditionalFormatting>
  <conditionalFormatting sqref="E49">
    <cfRule type="expression" dxfId="6358" priority="6650">
      <formula>IF(#REF!="FICTICIO",1,0)</formula>
    </cfRule>
  </conditionalFormatting>
  <conditionalFormatting sqref="E49">
    <cfRule type="expression" dxfId="6357" priority="6649">
      <formula>IF(#REF!="FICTICIO",1,0)</formula>
    </cfRule>
  </conditionalFormatting>
  <conditionalFormatting sqref="E49">
    <cfRule type="expression" dxfId="6356" priority="6648">
      <formula>IF(#REF!="FICTICIO",1,0)</formula>
    </cfRule>
  </conditionalFormatting>
  <conditionalFormatting sqref="E49">
    <cfRule type="expression" dxfId="6355" priority="6647">
      <formula>IF(#REF!="FICTICIO",1,0)</formula>
    </cfRule>
  </conditionalFormatting>
  <conditionalFormatting sqref="E49">
    <cfRule type="expression" dxfId="6354" priority="6646">
      <formula>IF(#REF!="FICTICIO",1,0)</formula>
    </cfRule>
  </conditionalFormatting>
  <conditionalFormatting sqref="E49">
    <cfRule type="expression" dxfId="6353" priority="6645">
      <formula>IF(#REF!="FICTICIO",1,0)</formula>
    </cfRule>
  </conditionalFormatting>
  <conditionalFormatting sqref="E49">
    <cfRule type="expression" dxfId="6352" priority="6644">
      <formula>IF(#REF!="FICTICIO",1,0)</formula>
    </cfRule>
  </conditionalFormatting>
  <conditionalFormatting sqref="E50">
    <cfRule type="expression" dxfId="6351" priority="6643">
      <formula>IF(#REF!="FICTICIO",1,0)</formula>
    </cfRule>
  </conditionalFormatting>
  <conditionalFormatting sqref="E50">
    <cfRule type="expression" dxfId="6350" priority="6642">
      <formula>IF(#REF!="FICTICIO",1,0)</formula>
    </cfRule>
  </conditionalFormatting>
  <conditionalFormatting sqref="E50">
    <cfRule type="expression" dxfId="6349" priority="6641">
      <formula>IF(#REF!="FICTICIO",1,0)</formula>
    </cfRule>
  </conditionalFormatting>
  <conditionalFormatting sqref="E50">
    <cfRule type="expression" dxfId="6348" priority="6640">
      <formula>IF(#REF!="FICTICIO",1,0)</formula>
    </cfRule>
  </conditionalFormatting>
  <conditionalFormatting sqref="E50">
    <cfRule type="expression" dxfId="6347" priority="6639">
      <formula>IF(#REF!="FICTICIO",1,0)</formula>
    </cfRule>
  </conditionalFormatting>
  <conditionalFormatting sqref="E50">
    <cfRule type="expression" dxfId="6346" priority="6638">
      <formula>IF(#REF!="FICTICIO",1,0)</formula>
    </cfRule>
  </conditionalFormatting>
  <conditionalFormatting sqref="E50">
    <cfRule type="expression" dxfId="6345" priority="6637">
      <formula>IF(#REF!="FICTICIO",1,0)</formula>
    </cfRule>
  </conditionalFormatting>
  <conditionalFormatting sqref="E50">
    <cfRule type="expression" dxfId="6344" priority="6636">
      <formula>IF(#REF!="FICTICIO",1,0)</formula>
    </cfRule>
  </conditionalFormatting>
  <conditionalFormatting sqref="E50">
    <cfRule type="expression" dxfId="6343" priority="6635">
      <formula>IF(#REF!="FICTICIO",1,0)</formula>
    </cfRule>
  </conditionalFormatting>
  <conditionalFormatting sqref="E50">
    <cfRule type="expression" dxfId="6342" priority="6634">
      <formula>IF(#REF!="FICTICIO",1,0)</formula>
    </cfRule>
  </conditionalFormatting>
  <conditionalFormatting sqref="E50">
    <cfRule type="expression" dxfId="6341" priority="6633">
      <formula>IF(#REF!="FICTICIO",1,0)</formula>
    </cfRule>
  </conditionalFormatting>
  <conditionalFormatting sqref="E50">
    <cfRule type="expression" dxfId="6340" priority="6632">
      <formula>IF(#REF!="FICTICIO",1,0)</formula>
    </cfRule>
  </conditionalFormatting>
  <conditionalFormatting sqref="E50">
    <cfRule type="expression" dxfId="6339" priority="6631">
      <formula>IF(#REF!="FICTICIO",1,0)</formula>
    </cfRule>
  </conditionalFormatting>
  <conditionalFormatting sqref="F50">
    <cfRule type="expression" dxfId="6338" priority="6630">
      <formula>IF(#REF!="FICTICIO",1,0)</formula>
    </cfRule>
  </conditionalFormatting>
  <conditionalFormatting sqref="E50">
    <cfRule type="expression" dxfId="6337" priority="6626">
      <formula>IF(#REF!="FICTICIO",1,0)</formula>
    </cfRule>
  </conditionalFormatting>
  <conditionalFormatting sqref="E50">
    <cfRule type="expression" dxfId="6336" priority="6625">
      <formula>IF(#REF!="FICTICIO",1,0)</formula>
    </cfRule>
  </conditionalFormatting>
  <conditionalFormatting sqref="E50">
    <cfRule type="expression" dxfId="6335" priority="6624">
      <formula>IF(#REF!="FICTICIO",1,0)</formula>
    </cfRule>
  </conditionalFormatting>
  <conditionalFormatting sqref="E50">
    <cfRule type="expression" dxfId="6334" priority="6629">
      <formula>IF(#REF!="FICTICIO",1,0)</formula>
    </cfRule>
  </conditionalFormatting>
  <conditionalFormatting sqref="E50">
    <cfRule type="expression" dxfId="6333" priority="6628">
      <formula>IF(#REF!="FICTICIO",1,0)</formula>
    </cfRule>
  </conditionalFormatting>
  <conditionalFormatting sqref="E50">
    <cfRule type="expression" dxfId="6332" priority="6627">
      <formula>IF(#REF!="FICTICIO",1,0)</formula>
    </cfRule>
  </conditionalFormatting>
  <conditionalFormatting sqref="D50">
    <cfRule type="expression" dxfId="6331" priority="6622">
      <formula>IF(#REF!="FICTICIO",1,0)</formula>
    </cfRule>
  </conditionalFormatting>
  <conditionalFormatting sqref="D50">
    <cfRule type="expression" dxfId="6330" priority="6623">
      <formula>IF(#REF!="FICTICIO",1,0)</formula>
    </cfRule>
  </conditionalFormatting>
  <conditionalFormatting sqref="E50">
    <cfRule type="expression" dxfId="6329" priority="6618">
      <formula>IF(#REF!="FICTICIO",1,0)</formula>
    </cfRule>
  </conditionalFormatting>
  <conditionalFormatting sqref="E50">
    <cfRule type="expression" dxfId="6328" priority="6617">
      <formula>IF(#REF!="FICTICIO",1,0)</formula>
    </cfRule>
  </conditionalFormatting>
  <conditionalFormatting sqref="E50">
    <cfRule type="expression" dxfId="6327" priority="6616">
      <formula>IF(#REF!="FICTICIO",1,0)</formula>
    </cfRule>
  </conditionalFormatting>
  <conditionalFormatting sqref="E50">
    <cfRule type="expression" dxfId="6326" priority="6621">
      <formula>IF(#REF!="FICTICIO",1,0)</formula>
    </cfRule>
  </conditionalFormatting>
  <conditionalFormatting sqref="E50">
    <cfRule type="expression" dxfId="6325" priority="6620">
      <formula>IF(#REF!="FICTICIO",1,0)</formula>
    </cfRule>
  </conditionalFormatting>
  <conditionalFormatting sqref="E50">
    <cfRule type="expression" dxfId="6324" priority="6619">
      <formula>IF(#REF!="FICTICIO",1,0)</formula>
    </cfRule>
  </conditionalFormatting>
  <conditionalFormatting sqref="E51">
    <cfRule type="expression" dxfId="6323" priority="6615">
      <formula>IF(#REF!="FICTICIO",1,0)</formula>
    </cfRule>
  </conditionalFormatting>
  <conditionalFormatting sqref="E51">
    <cfRule type="expression" dxfId="6322" priority="6614">
      <formula>IF(#REF!="FICTICIO",1,0)</formula>
    </cfRule>
  </conditionalFormatting>
  <conditionalFormatting sqref="E51">
    <cfRule type="expression" dxfId="6321" priority="6613">
      <formula>IF(#REF!="FICTICIO",1,0)</formula>
    </cfRule>
  </conditionalFormatting>
  <conditionalFormatting sqref="E51">
    <cfRule type="expression" dxfId="6320" priority="6612">
      <formula>IF(#REF!="FICTICIO",1,0)</formula>
    </cfRule>
  </conditionalFormatting>
  <conditionalFormatting sqref="E51">
    <cfRule type="expression" dxfId="6319" priority="6611">
      <formula>IF(#REF!="FICTICIO",1,0)</formula>
    </cfRule>
  </conditionalFormatting>
  <conditionalFormatting sqref="E51">
    <cfRule type="expression" dxfId="6318" priority="6610">
      <formula>IF(#REF!="FICTICIO",1,0)</formula>
    </cfRule>
  </conditionalFormatting>
  <conditionalFormatting sqref="E51">
    <cfRule type="expression" dxfId="6317" priority="6609">
      <formula>IF(#REF!="FICTICIO",1,0)</formula>
    </cfRule>
  </conditionalFormatting>
  <conditionalFormatting sqref="E51">
    <cfRule type="expression" dxfId="6316" priority="6608">
      <formula>IF(#REF!="FICTICIO",1,0)</formula>
    </cfRule>
  </conditionalFormatting>
  <conditionalFormatting sqref="E51">
    <cfRule type="expression" dxfId="6315" priority="6607">
      <formula>IF(#REF!="FICTICIO",1,0)</formula>
    </cfRule>
  </conditionalFormatting>
  <conditionalFormatting sqref="E51">
    <cfRule type="expression" dxfId="6314" priority="6606">
      <formula>IF(#REF!="FICTICIO",1,0)</formula>
    </cfRule>
  </conditionalFormatting>
  <conditionalFormatting sqref="E51">
    <cfRule type="expression" dxfId="6313" priority="6605">
      <formula>IF(#REF!="FICTICIO",1,0)</formula>
    </cfRule>
  </conditionalFormatting>
  <conditionalFormatting sqref="E51">
    <cfRule type="expression" dxfId="6312" priority="6604">
      <formula>IF(#REF!="FICTICIO",1,0)</formula>
    </cfRule>
  </conditionalFormatting>
  <conditionalFormatting sqref="E51">
    <cfRule type="expression" dxfId="6311" priority="6603">
      <formula>IF(#REF!="FICTICIO",1,0)</formula>
    </cfRule>
  </conditionalFormatting>
  <conditionalFormatting sqref="F51">
    <cfRule type="expression" dxfId="6310" priority="6602">
      <formula>IF(#REF!="FICTICIO",1,0)</formula>
    </cfRule>
  </conditionalFormatting>
  <conditionalFormatting sqref="E51">
    <cfRule type="expression" dxfId="6309" priority="6598">
      <formula>IF(#REF!="FICTICIO",1,0)</formula>
    </cfRule>
  </conditionalFormatting>
  <conditionalFormatting sqref="E51">
    <cfRule type="expression" dxfId="6308" priority="6597">
      <formula>IF(#REF!="FICTICIO",1,0)</formula>
    </cfRule>
  </conditionalFormatting>
  <conditionalFormatting sqref="E51">
    <cfRule type="expression" dxfId="6307" priority="6596">
      <formula>IF(#REF!="FICTICIO",1,0)</formula>
    </cfRule>
  </conditionalFormatting>
  <conditionalFormatting sqref="E51">
    <cfRule type="expression" dxfId="6306" priority="6601">
      <formula>IF(#REF!="FICTICIO",1,0)</formula>
    </cfRule>
  </conditionalFormatting>
  <conditionalFormatting sqref="E51">
    <cfRule type="expression" dxfId="6305" priority="6600">
      <formula>IF(#REF!="FICTICIO",1,0)</formula>
    </cfRule>
  </conditionalFormatting>
  <conditionalFormatting sqref="E51">
    <cfRule type="expression" dxfId="6304" priority="6599">
      <formula>IF(#REF!="FICTICIO",1,0)</formula>
    </cfRule>
  </conditionalFormatting>
  <conditionalFormatting sqref="D51">
    <cfRule type="expression" dxfId="6303" priority="6594">
      <formula>IF(#REF!="FICTICIO",1,0)</formula>
    </cfRule>
  </conditionalFormatting>
  <conditionalFormatting sqref="D51">
    <cfRule type="expression" dxfId="6302" priority="6595">
      <formula>IF(#REF!="FICTICIO",1,0)</formula>
    </cfRule>
  </conditionalFormatting>
  <conditionalFormatting sqref="E51">
    <cfRule type="expression" dxfId="6301" priority="6590">
      <formula>IF(#REF!="FICTICIO",1,0)</formula>
    </cfRule>
  </conditionalFormatting>
  <conditionalFormatting sqref="E51">
    <cfRule type="expression" dxfId="6300" priority="6589">
      <formula>IF(#REF!="FICTICIO",1,0)</formula>
    </cfRule>
  </conditionalFormatting>
  <conditionalFormatting sqref="E51">
    <cfRule type="expression" dxfId="6299" priority="6588">
      <formula>IF(#REF!="FICTICIO",1,0)</formula>
    </cfRule>
  </conditionalFormatting>
  <conditionalFormatting sqref="E51">
    <cfRule type="expression" dxfId="6298" priority="6593">
      <formula>IF(#REF!="FICTICIO",1,0)</formula>
    </cfRule>
  </conditionalFormatting>
  <conditionalFormatting sqref="E51">
    <cfRule type="expression" dxfId="6297" priority="6592">
      <formula>IF(#REF!="FICTICIO",1,0)</formula>
    </cfRule>
  </conditionalFormatting>
  <conditionalFormatting sqref="E51">
    <cfRule type="expression" dxfId="6296" priority="6591">
      <formula>IF(#REF!="FICTICIO",1,0)</formula>
    </cfRule>
  </conditionalFormatting>
  <conditionalFormatting sqref="E54">
    <cfRule type="expression" dxfId="6295" priority="6587">
      <formula>IF(#REF!="FICTICIO",1,0)</formula>
    </cfRule>
  </conditionalFormatting>
  <conditionalFormatting sqref="E54">
    <cfRule type="expression" dxfId="6294" priority="6586">
      <formula>IF(#REF!="FICTICIO",1,0)</formula>
    </cfRule>
  </conditionalFormatting>
  <conditionalFormatting sqref="E54">
    <cfRule type="expression" dxfId="6293" priority="6585">
      <formula>IF(#REF!="FICTICIO",1,0)</formula>
    </cfRule>
  </conditionalFormatting>
  <conditionalFormatting sqref="E54">
    <cfRule type="expression" dxfId="6292" priority="6584">
      <formula>IF(#REF!="FICTICIO",1,0)</formula>
    </cfRule>
  </conditionalFormatting>
  <conditionalFormatting sqref="E54">
    <cfRule type="expression" dxfId="6291" priority="6583">
      <formula>IF(#REF!="FICTICIO",1,0)</formula>
    </cfRule>
  </conditionalFormatting>
  <conditionalFormatting sqref="E54">
    <cfRule type="expression" dxfId="6290" priority="6582">
      <formula>IF(#REF!="FICTICIO",1,0)</formula>
    </cfRule>
  </conditionalFormatting>
  <conditionalFormatting sqref="E54">
    <cfRule type="expression" dxfId="6289" priority="6581">
      <formula>IF(#REF!="FICTICIO",1,0)</formula>
    </cfRule>
  </conditionalFormatting>
  <conditionalFormatting sqref="E54">
    <cfRule type="expression" dxfId="6288" priority="6580">
      <formula>IF(#REF!="FICTICIO",1,0)</formula>
    </cfRule>
  </conditionalFormatting>
  <conditionalFormatting sqref="E54">
    <cfRule type="expression" dxfId="6287" priority="6579">
      <formula>IF(#REF!="FICTICIO",1,0)</formula>
    </cfRule>
  </conditionalFormatting>
  <conditionalFormatting sqref="E54">
    <cfRule type="expression" dxfId="6286" priority="6578">
      <formula>IF(#REF!="FICTICIO",1,0)</formula>
    </cfRule>
  </conditionalFormatting>
  <conditionalFormatting sqref="E54">
    <cfRule type="expression" dxfId="6285" priority="6577">
      <formula>IF(#REF!="FICTICIO",1,0)</formula>
    </cfRule>
  </conditionalFormatting>
  <conditionalFormatting sqref="E54">
    <cfRule type="expression" dxfId="6284" priority="6576">
      <formula>IF(#REF!="FICTICIO",1,0)</formula>
    </cfRule>
  </conditionalFormatting>
  <conditionalFormatting sqref="E54">
    <cfRule type="expression" dxfId="6283" priority="6575">
      <formula>IF(#REF!="FICTICIO",1,0)</formula>
    </cfRule>
  </conditionalFormatting>
  <conditionalFormatting sqref="E54">
    <cfRule type="expression" dxfId="6282" priority="6571">
      <formula>IF(#REF!="FICTICIO",1,0)</formula>
    </cfRule>
  </conditionalFormatting>
  <conditionalFormatting sqref="E54">
    <cfRule type="expression" dxfId="6281" priority="6570">
      <formula>IF(#REF!="FICTICIO",1,0)</formula>
    </cfRule>
  </conditionalFormatting>
  <conditionalFormatting sqref="E54">
    <cfRule type="expression" dxfId="6280" priority="6569">
      <formula>IF(#REF!="FICTICIO",1,0)</formula>
    </cfRule>
  </conditionalFormatting>
  <conditionalFormatting sqref="E54">
    <cfRule type="expression" dxfId="6279" priority="6574">
      <formula>IF(#REF!="FICTICIO",1,0)</formula>
    </cfRule>
  </conditionalFormatting>
  <conditionalFormatting sqref="E54">
    <cfRule type="expression" dxfId="6278" priority="6573">
      <formula>IF(#REF!="FICTICIO",1,0)</formula>
    </cfRule>
  </conditionalFormatting>
  <conditionalFormatting sqref="E54">
    <cfRule type="expression" dxfId="6277" priority="6572">
      <formula>IF(#REF!="FICTICIO",1,0)</formula>
    </cfRule>
  </conditionalFormatting>
  <conditionalFormatting sqref="D54">
    <cfRule type="expression" dxfId="6276" priority="6567">
      <formula>IF(#REF!="FICTICIO",1,0)</formula>
    </cfRule>
  </conditionalFormatting>
  <conditionalFormatting sqref="D54">
    <cfRule type="expression" dxfId="6275" priority="6568">
      <formula>IF(#REF!="FICTICIO",1,0)</formula>
    </cfRule>
  </conditionalFormatting>
  <conditionalFormatting sqref="D54">
    <cfRule type="expression" dxfId="6274" priority="6565">
      <formula>IF(#REF!="FICTICIO",1,0)</formula>
    </cfRule>
  </conditionalFormatting>
  <conditionalFormatting sqref="D54">
    <cfRule type="expression" dxfId="6273" priority="6566">
      <formula>IF(#REF!="FICTICIO",1,0)</formula>
    </cfRule>
  </conditionalFormatting>
  <conditionalFormatting sqref="F54">
    <cfRule type="expression" dxfId="6272" priority="6564">
      <formula>IF(#REF!="FICTICIO",1,0)</formula>
    </cfRule>
  </conditionalFormatting>
  <conditionalFormatting sqref="E54">
    <cfRule type="expression" dxfId="6271" priority="6560">
      <formula>IF(#REF!="FICTICIO",1,0)</formula>
    </cfRule>
  </conditionalFormatting>
  <conditionalFormatting sqref="E54">
    <cfRule type="expression" dxfId="6270" priority="6559">
      <formula>IF(#REF!="FICTICIO",1,0)</formula>
    </cfRule>
  </conditionalFormatting>
  <conditionalFormatting sqref="E54">
    <cfRule type="expression" dxfId="6269" priority="6558">
      <formula>IF(#REF!="FICTICIO",1,0)</formula>
    </cfRule>
  </conditionalFormatting>
  <conditionalFormatting sqref="E54">
    <cfRule type="expression" dxfId="6268" priority="6563">
      <formula>IF(#REF!="FICTICIO",1,0)</formula>
    </cfRule>
  </conditionalFormatting>
  <conditionalFormatting sqref="E54">
    <cfRule type="expression" dxfId="6267" priority="6562">
      <formula>IF(#REF!="FICTICIO",1,0)</formula>
    </cfRule>
  </conditionalFormatting>
  <conditionalFormatting sqref="E54">
    <cfRule type="expression" dxfId="6266" priority="6561">
      <formula>IF(#REF!="FICTICIO",1,0)</formula>
    </cfRule>
  </conditionalFormatting>
  <conditionalFormatting sqref="E55">
    <cfRule type="expression" dxfId="6265" priority="6557">
      <formula>IF(#REF!="FICTICIO",1,0)</formula>
    </cfRule>
  </conditionalFormatting>
  <conditionalFormatting sqref="E55">
    <cfRule type="expression" dxfId="6264" priority="6556">
      <formula>IF(#REF!="FICTICIO",1,0)</formula>
    </cfRule>
  </conditionalFormatting>
  <conditionalFormatting sqref="E55">
    <cfRule type="expression" dxfId="6263" priority="6555">
      <formula>IF(#REF!="FICTICIO",1,0)</formula>
    </cfRule>
  </conditionalFormatting>
  <conditionalFormatting sqref="E55">
    <cfRule type="expression" dxfId="6262" priority="6554">
      <formula>IF(#REF!="FICTICIO",1,0)</formula>
    </cfRule>
  </conditionalFormatting>
  <conditionalFormatting sqref="E55">
    <cfRule type="expression" dxfId="6261" priority="6553">
      <formula>IF(#REF!="FICTICIO",1,0)</formula>
    </cfRule>
  </conditionalFormatting>
  <conditionalFormatting sqref="E55">
    <cfRule type="expression" dxfId="6260" priority="6552">
      <formula>IF(#REF!="FICTICIO",1,0)</formula>
    </cfRule>
  </conditionalFormatting>
  <conditionalFormatting sqref="E55">
    <cfRule type="expression" dxfId="6259" priority="6551">
      <formula>IF(#REF!="FICTICIO",1,0)</formula>
    </cfRule>
  </conditionalFormatting>
  <conditionalFormatting sqref="E55">
    <cfRule type="expression" dxfId="6258" priority="6550">
      <formula>IF(#REF!="FICTICIO",1,0)</formula>
    </cfRule>
  </conditionalFormatting>
  <conditionalFormatting sqref="E55">
    <cfRule type="expression" dxfId="6257" priority="6549">
      <formula>IF(#REF!="FICTICIO",1,0)</formula>
    </cfRule>
  </conditionalFormatting>
  <conditionalFormatting sqref="E55">
    <cfRule type="expression" dxfId="6256" priority="6548">
      <formula>IF(#REF!="FICTICIO",1,0)</formula>
    </cfRule>
  </conditionalFormatting>
  <conditionalFormatting sqref="E55">
    <cfRule type="expression" dxfId="6255" priority="6547">
      <formula>IF(#REF!="FICTICIO",1,0)</formula>
    </cfRule>
  </conditionalFormatting>
  <conditionalFormatting sqref="E55">
    <cfRule type="expression" dxfId="6254" priority="6546">
      <formula>IF(#REF!="FICTICIO",1,0)</formula>
    </cfRule>
  </conditionalFormatting>
  <conditionalFormatting sqref="E55">
    <cfRule type="expression" dxfId="6253" priority="6545">
      <formula>IF(#REF!="FICTICIO",1,0)</formula>
    </cfRule>
  </conditionalFormatting>
  <conditionalFormatting sqref="E55">
    <cfRule type="expression" dxfId="6252" priority="6541">
      <formula>IF(#REF!="FICTICIO",1,0)</formula>
    </cfRule>
  </conditionalFormatting>
  <conditionalFormatting sqref="E55">
    <cfRule type="expression" dxfId="6251" priority="6540">
      <formula>IF(#REF!="FICTICIO",1,0)</formula>
    </cfRule>
  </conditionalFormatting>
  <conditionalFormatting sqref="E55">
    <cfRule type="expression" dxfId="6250" priority="6539">
      <formula>IF(#REF!="FICTICIO",1,0)</formula>
    </cfRule>
  </conditionalFormatting>
  <conditionalFormatting sqref="E55">
    <cfRule type="expression" dxfId="6249" priority="6544">
      <formula>IF(#REF!="FICTICIO",1,0)</formula>
    </cfRule>
  </conditionalFormatting>
  <conditionalFormatting sqref="E55">
    <cfRule type="expression" dxfId="6248" priority="6543">
      <formula>IF(#REF!="FICTICIO",1,0)</formula>
    </cfRule>
  </conditionalFormatting>
  <conditionalFormatting sqref="E55">
    <cfRule type="expression" dxfId="6247" priority="6542">
      <formula>IF(#REF!="FICTICIO",1,0)</formula>
    </cfRule>
  </conditionalFormatting>
  <conditionalFormatting sqref="E55">
    <cfRule type="expression" dxfId="6246" priority="6535">
      <formula>IF(#REF!="FICTICIO",1,0)</formula>
    </cfRule>
  </conditionalFormatting>
  <conditionalFormatting sqref="E55">
    <cfRule type="expression" dxfId="6245" priority="6534">
      <formula>IF(#REF!="FICTICIO",1,0)</formula>
    </cfRule>
  </conditionalFormatting>
  <conditionalFormatting sqref="E55">
    <cfRule type="expression" dxfId="6244" priority="6533">
      <formula>IF(#REF!="FICTICIO",1,0)</formula>
    </cfRule>
  </conditionalFormatting>
  <conditionalFormatting sqref="E55">
    <cfRule type="expression" dxfId="6243" priority="6538">
      <formula>IF(#REF!="FICTICIO",1,0)</formula>
    </cfRule>
  </conditionalFormatting>
  <conditionalFormatting sqref="E55">
    <cfRule type="expression" dxfId="6242" priority="6537">
      <formula>IF(#REF!="FICTICIO",1,0)</formula>
    </cfRule>
  </conditionalFormatting>
  <conditionalFormatting sqref="E55">
    <cfRule type="expression" dxfId="6241" priority="6536">
      <formula>IF(#REF!="FICTICIO",1,0)</formula>
    </cfRule>
  </conditionalFormatting>
  <conditionalFormatting sqref="D57">
    <cfRule type="expression" dxfId="6240" priority="6531">
      <formula>IF(#REF!="FICTICIO",1,0)</formula>
    </cfRule>
  </conditionalFormatting>
  <conditionalFormatting sqref="D57">
    <cfRule type="expression" dxfId="6239" priority="6532">
      <formula>IF(#REF!="FICTICIO",1,0)</formula>
    </cfRule>
  </conditionalFormatting>
  <conditionalFormatting sqref="D57">
    <cfRule type="expression" dxfId="6238" priority="6529">
      <formula>IF(#REF!="FICTICIO",1,0)</formula>
    </cfRule>
  </conditionalFormatting>
  <conditionalFormatting sqref="D57">
    <cfRule type="expression" dxfId="6237" priority="6530">
      <formula>IF(#REF!="FICTICIO",1,0)</formula>
    </cfRule>
  </conditionalFormatting>
  <conditionalFormatting sqref="D57">
    <cfRule type="expression" dxfId="6236" priority="6527">
      <formula>IF(#REF!="FICTICIO",1,0)</formula>
    </cfRule>
  </conditionalFormatting>
  <conditionalFormatting sqref="D57">
    <cfRule type="expression" dxfId="6235" priority="6528">
      <formula>IF(#REF!="FICTICIO",1,0)</formula>
    </cfRule>
  </conditionalFormatting>
  <conditionalFormatting sqref="D57">
    <cfRule type="expression" dxfId="6234" priority="6525">
      <formula>IF(#REF!="FICTICIO",1,0)</formula>
    </cfRule>
  </conditionalFormatting>
  <conditionalFormatting sqref="D57">
    <cfRule type="expression" dxfId="6233" priority="6526">
      <formula>IF(#REF!="FICTICIO",1,0)</formula>
    </cfRule>
  </conditionalFormatting>
  <conditionalFormatting sqref="D57">
    <cfRule type="expression" dxfId="6232" priority="6523">
      <formula>IF(#REF!="FICTICIO",1,0)</formula>
    </cfRule>
  </conditionalFormatting>
  <conditionalFormatting sqref="D57">
    <cfRule type="expression" dxfId="6231" priority="6524">
      <formula>IF(#REF!="FICTICIO",1,0)</formula>
    </cfRule>
  </conditionalFormatting>
  <conditionalFormatting sqref="D57">
    <cfRule type="expression" dxfId="6230" priority="6521">
      <formula>IF(#REF!="FICTICIO",1,0)</formula>
    </cfRule>
  </conditionalFormatting>
  <conditionalFormatting sqref="D57">
    <cfRule type="expression" dxfId="6229" priority="6522">
      <formula>IF(#REF!="FICTICIO",1,0)</formula>
    </cfRule>
  </conditionalFormatting>
  <conditionalFormatting sqref="E57:E60">
    <cfRule type="expression" dxfId="6228" priority="6520">
      <formula>IF(#REF!="FICTICIO",1,0)</formula>
    </cfRule>
  </conditionalFormatting>
  <conditionalFormatting sqref="E57:E60">
    <cfRule type="expression" dxfId="6227" priority="6519">
      <formula>IF(#REF!="FICTICIO",1,0)</formula>
    </cfRule>
  </conditionalFormatting>
  <conditionalFormatting sqref="E57:E60">
    <cfRule type="expression" dxfId="6226" priority="6518">
      <formula>IF(#REF!="FICTICIO",1,0)</formula>
    </cfRule>
  </conditionalFormatting>
  <conditionalFormatting sqref="E57:E60">
    <cfRule type="expression" dxfId="6225" priority="6517">
      <formula>IF(#REF!="FICTICIO",1,0)</formula>
    </cfRule>
  </conditionalFormatting>
  <conditionalFormatting sqref="E57:E60">
    <cfRule type="expression" dxfId="6224" priority="6516">
      <formula>IF(#REF!="FICTICIO",1,0)</formula>
    </cfRule>
  </conditionalFormatting>
  <conditionalFormatting sqref="E57:E60">
    <cfRule type="expression" dxfId="6223" priority="6515">
      <formula>IF(#REF!="FICTICIO",1,0)</formula>
    </cfRule>
  </conditionalFormatting>
  <conditionalFormatting sqref="E57:E60">
    <cfRule type="expression" dxfId="6222" priority="6514">
      <formula>IF(#REF!="FICTICIO",1,0)</formula>
    </cfRule>
  </conditionalFormatting>
  <conditionalFormatting sqref="E57:E60">
    <cfRule type="expression" dxfId="6221" priority="6513">
      <formula>IF(#REF!="FICTICIO",1,0)</formula>
    </cfRule>
  </conditionalFormatting>
  <conditionalFormatting sqref="E57:E60">
    <cfRule type="expression" dxfId="6220" priority="6512">
      <formula>IF(#REF!="FICTICIO",1,0)</formula>
    </cfRule>
  </conditionalFormatting>
  <conditionalFormatting sqref="E57:E60">
    <cfRule type="expression" dxfId="6219" priority="6511">
      <formula>IF(#REF!="FICTICIO",1,0)</formula>
    </cfRule>
  </conditionalFormatting>
  <conditionalFormatting sqref="E57:E60">
    <cfRule type="expression" dxfId="6218" priority="6510">
      <formula>IF(#REF!="FICTICIO",1,0)</formula>
    </cfRule>
  </conditionalFormatting>
  <conditionalFormatting sqref="E57:E60">
    <cfRule type="expression" dxfId="6217" priority="6509">
      <formula>IF(#REF!="FICTICIO",1,0)</formula>
    </cfRule>
  </conditionalFormatting>
  <conditionalFormatting sqref="E57:E60">
    <cfRule type="expression" dxfId="6216" priority="6508">
      <formula>IF(#REF!="FICTICIO",1,0)</formula>
    </cfRule>
  </conditionalFormatting>
  <conditionalFormatting sqref="E57:E60">
    <cfRule type="expression" dxfId="6215" priority="6504">
      <formula>IF(#REF!="FICTICIO",1,0)</formula>
    </cfRule>
  </conditionalFormatting>
  <conditionalFormatting sqref="E57:E60">
    <cfRule type="expression" dxfId="6214" priority="6503">
      <formula>IF(#REF!="FICTICIO",1,0)</formula>
    </cfRule>
  </conditionalFormatting>
  <conditionalFormatting sqref="E57:E60">
    <cfRule type="expression" dxfId="6213" priority="6502">
      <formula>IF(#REF!="FICTICIO",1,0)</formula>
    </cfRule>
  </conditionalFormatting>
  <conditionalFormatting sqref="E57:E60">
    <cfRule type="expression" dxfId="6212" priority="6507">
      <formula>IF(#REF!="FICTICIO",1,0)</formula>
    </cfRule>
  </conditionalFormatting>
  <conditionalFormatting sqref="E57:E60">
    <cfRule type="expression" dxfId="6211" priority="6506">
      <formula>IF(#REF!="FICTICIO",1,0)</formula>
    </cfRule>
  </conditionalFormatting>
  <conditionalFormatting sqref="E57:E60">
    <cfRule type="expression" dxfId="6210" priority="6505">
      <formula>IF(#REF!="FICTICIO",1,0)</formula>
    </cfRule>
  </conditionalFormatting>
  <conditionalFormatting sqref="E57:E60">
    <cfRule type="expression" dxfId="6209" priority="6498">
      <formula>IF(#REF!="FICTICIO",1,0)</formula>
    </cfRule>
  </conditionalFormatting>
  <conditionalFormatting sqref="E57:E60">
    <cfRule type="expression" dxfId="6208" priority="6497">
      <formula>IF(#REF!="FICTICIO",1,0)</formula>
    </cfRule>
  </conditionalFormatting>
  <conditionalFormatting sqref="E57:E60">
    <cfRule type="expression" dxfId="6207" priority="6496">
      <formula>IF(#REF!="FICTICIO",1,0)</formula>
    </cfRule>
  </conditionalFormatting>
  <conditionalFormatting sqref="E57:E60">
    <cfRule type="expression" dxfId="6206" priority="6501">
      <formula>IF(#REF!="FICTICIO",1,0)</formula>
    </cfRule>
  </conditionalFormatting>
  <conditionalFormatting sqref="E57:E60">
    <cfRule type="expression" dxfId="6205" priority="6500">
      <formula>IF(#REF!="FICTICIO",1,0)</formula>
    </cfRule>
  </conditionalFormatting>
  <conditionalFormatting sqref="E57:E60">
    <cfRule type="expression" dxfId="6204" priority="6499">
      <formula>IF(#REF!="FICTICIO",1,0)</formula>
    </cfRule>
  </conditionalFormatting>
  <conditionalFormatting sqref="F57">
    <cfRule type="expression" dxfId="6203" priority="6495">
      <formula>IF(#REF!="FICTICIO",1,0)</formula>
    </cfRule>
  </conditionalFormatting>
  <conditionalFormatting sqref="F57">
    <cfRule type="expression" dxfId="6202" priority="6494">
      <formula>IF(#REF!="FICTICIO",1,0)</formula>
    </cfRule>
  </conditionalFormatting>
  <conditionalFormatting sqref="F59">
    <cfRule type="expression" dxfId="6201" priority="6493">
      <formula>IF(#REF!="FICTICIO",1,0)</formula>
    </cfRule>
  </conditionalFormatting>
  <conditionalFormatting sqref="F59">
    <cfRule type="expression" dxfId="6200" priority="6492">
      <formula>IF(#REF!="FICTICIO",1,0)</formula>
    </cfRule>
  </conditionalFormatting>
  <conditionalFormatting sqref="F59">
    <cfRule type="expression" dxfId="6199" priority="6491">
      <formula>IF(#REF!="FICTICIO",1,0)</formula>
    </cfRule>
  </conditionalFormatting>
  <conditionalFormatting sqref="D59">
    <cfRule type="expression" dxfId="6198" priority="6489">
      <formula>IF(#REF!="FICTICIO",1,0)</formula>
    </cfRule>
  </conditionalFormatting>
  <conditionalFormatting sqref="D59">
    <cfRule type="expression" dxfId="6197" priority="6490">
      <formula>IF(#REF!="FICTICIO",1,0)</formula>
    </cfRule>
  </conditionalFormatting>
  <conditionalFormatting sqref="E59">
    <cfRule type="expression" dxfId="6196" priority="6488">
      <formula>IF(#REF!="FICTICIO",1,0)</formula>
    </cfRule>
  </conditionalFormatting>
  <conditionalFormatting sqref="E59">
    <cfRule type="expression" dxfId="6195" priority="6487">
      <formula>IF(#REF!="FICTICIO",1,0)</formula>
    </cfRule>
  </conditionalFormatting>
  <conditionalFormatting sqref="E59">
    <cfRule type="expression" dxfId="6194" priority="6486">
      <formula>IF(#REF!="FICTICIO",1,0)</formula>
    </cfRule>
  </conditionalFormatting>
  <conditionalFormatting sqref="E59">
    <cfRule type="expression" dxfId="6193" priority="6485">
      <formula>IF(#REF!="FICTICIO",1,0)</formula>
    </cfRule>
  </conditionalFormatting>
  <conditionalFormatting sqref="E59">
    <cfRule type="expression" dxfId="6192" priority="6484">
      <formula>IF(#REF!="FICTICIO",1,0)</formula>
    </cfRule>
  </conditionalFormatting>
  <conditionalFormatting sqref="E59">
    <cfRule type="expression" dxfId="6191" priority="6483">
      <formula>IF(#REF!="FICTICIO",1,0)</formula>
    </cfRule>
  </conditionalFormatting>
  <conditionalFormatting sqref="E59">
    <cfRule type="expression" dxfId="6190" priority="6482">
      <formula>IF(#REF!="FICTICIO",1,0)</formula>
    </cfRule>
  </conditionalFormatting>
  <conditionalFormatting sqref="E59">
    <cfRule type="expression" dxfId="6189" priority="6481">
      <formula>IF(#REF!="FICTICIO",1,0)</formula>
    </cfRule>
  </conditionalFormatting>
  <conditionalFormatting sqref="E59">
    <cfRule type="expression" dxfId="6188" priority="6480">
      <formula>IF(#REF!="FICTICIO",1,0)</formula>
    </cfRule>
  </conditionalFormatting>
  <conditionalFormatting sqref="E59">
    <cfRule type="expression" dxfId="6187" priority="6479">
      <formula>IF(#REF!="FICTICIO",1,0)</formula>
    </cfRule>
  </conditionalFormatting>
  <conditionalFormatting sqref="E59">
    <cfRule type="expression" dxfId="6186" priority="6478">
      <formula>IF(#REF!="FICTICIO",1,0)</formula>
    </cfRule>
  </conditionalFormatting>
  <conditionalFormatting sqref="E59">
    <cfRule type="expression" dxfId="6185" priority="6477">
      <formula>IF(#REF!="FICTICIO",1,0)</formula>
    </cfRule>
  </conditionalFormatting>
  <conditionalFormatting sqref="E59">
    <cfRule type="expression" dxfId="6184" priority="6476">
      <formula>IF(#REF!="FICTICIO",1,0)</formula>
    </cfRule>
  </conditionalFormatting>
  <conditionalFormatting sqref="E59">
    <cfRule type="expression" dxfId="6183" priority="6472">
      <formula>IF(#REF!="FICTICIO",1,0)</formula>
    </cfRule>
  </conditionalFormatting>
  <conditionalFormatting sqref="E59">
    <cfRule type="expression" dxfId="6182" priority="6471">
      <formula>IF(#REF!="FICTICIO",1,0)</formula>
    </cfRule>
  </conditionalFormatting>
  <conditionalFormatting sqref="E59">
    <cfRule type="expression" dxfId="6181" priority="6470">
      <formula>IF(#REF!="FICTICIO",1,0)</formula>
    </cfRule>
  </conditionalFormatting>
  <conditionalFormatting sqref="E59">
    <cfRule type="expression" dxfId="6180" priority="6475">
      <formula>IF(#REF!="FICTICIO",1,0)</formula>
    </cfRule>
  </conditionalFormatting>
  <conditionalFormatting sqref="E59">
    <cfRule type="expression" dxfId="6179" priority="6474">
      <formula>IF(#REF!="FICTICIO",1,0)</formula>
    </cfRule>
  </conditionalFormatting>
  <conditionalFormatting sqref="E59">
    <cfRule type="expression" dxfId="6178" priority="6473">
      <formula>IF(#REF!="FICTICIO",1,0)</formula>
    </cfRule>
  </conditionalFormatting>
  <conditionalFormatting sqref="E59">
    <cfRule type="expression" dxfId="6177" priority="6466">
      <formula>IF(#REF!="FICTICIO",1,0)</formula>
    </cfRule>
  </conditionalFormatting>
  <conditionalFormatting sqref="E59">
    <cfRule type="expression" dxfId="6176" priority="6465">
      <formula>IF(#REF!="FICTICIO",1,0)</formula>
    </cfRule>
  </conditionalFormatting>
  <conditionalFormatting sqref="E59">
    <cfRule type="expression" dxfId="6175" priority="6464">
      <formula>IF(#REF!="FICTICIO",1,0)</formula>
    </cfRule>
  </conditionalFormatting>
  <conditionalFormatting sqref="E59">
    <cfRule type="expression" dxfId="6174" priority="6469">
      <formula>IF(#REF!="FICTICIO",1,0)</formula>
    </cfRule>
  </conditionalFormatting>
  <conditionalFormatting sqref="E59">
    <cfRule type="expression" dxfId="6173" priority="6468">
      <formula>IF(#REF!="FICTICIO",1,0)</formula>
    </cfRule>
  </conditionalFormatting>
  <conditionalFormatting sqref="E59">
    <cfRule type="expression" dxfId="6172" priority="6467">
      <formula>IF(#REF!="FICTICIO",1,0)</formula>
    </cfRule>
  </conditionalFormatting>
  <conditionalFormatting sqref="D69">
    <cfRule type="expression" dxfId="6171" priority="6462">
      <formula>IF(#REF!="FICTICIO",1,0)</formula>
    </cfRule>
  </conditionalFormatting>
  <conditionalFormatting sqref="D69">
    <cfRule type="expression" dxfId="6170" priority="6463">
      <formula>IF(#REF!="FICTICIO",1,0)</formula>
    </cfRule>
  </conditionalFormatting>
  <conditionalFormatting sqref="D69">
    <cfRule type="expression" dxfId="6169" priority="6460">
      <formula>IF(#REF!="FICTICIO",1,0)</formula>
    </cfRule>
  </conditionalFormatting>
  <conditionalFormatting sqref="D69">
    <cfRule type="expression" dxfId="6168" priority="6461">
      <formula>IF(#REF!="FICTICIO",1,0)</formula>
    </cfRule>
  </conditionalFormatting>
  <conditionalFormatting sqref="E62:E69">
    <cfRule type="expression" dxfId="6167" priority="6459">
      <formula>IF(#REF!="FICTICIO",1,0)</formula>
    </cfRule>
  </conditionalFormatting>
  <conditionalFormatting sqref="E62:E69">
    <cfRule type="expression" dxfId="6166" priority="6458">
      <formula>IF(#REF!="FICTICIO",1,0)</formula>
    </cfRule>
  </conditionalFormatting>
  <conditionalFormatting sqref="E62:E69">
    <cfRule type="expression" dxfId="6165" priority="6457">
      <formula>IF(#REF!="FICTICIO",1,0)</formula>
    </cfRule>
  </conditionalFormatting>
  <conditionalFormatting sqref="E62:E69">
    <cfRule type="expression" dxfId="6164" priority="6456">
      <formula>IF(#REF!="FICTICIO",1,0)</formula>
    </cfRule>
  </conditionalFormatting>
  <conditionalFormatting sqref="E62:E69">
    <cfRule type="expression" dxfId="6163" priority="6455">
      <formula>IF(#REF!="FICTICIO",1,0)</formula>
    </cfRule>
  </conditionalFormatting>
  <conditionalFormatting sqref="E62:E69">
    <cfRule type="expression" dxfId="6162" priority="6454">
      <formula>IF(#REF!="FICTICIO",1,0)</formula>
    </cfRule>
  </conditionalFormatting>
  <conditionalFormatting sqref="E62:E69">
    <cfRule type="expression" dxfId="6161" priority="6453">
      <formula>IF(#REF!="FICTICIO",1,0)</formula>
    </cfRule>
  </conditionalFormatting>
  <conditionalFormatting sqref="E62:E69">
    <cfRule type="expression" dxfId="6160" priority="6452">
      <formula>IF(#REF!="FICTICIO",1,0)</formula>
    </cfRule>
  </conditionalFormatting>
  <conditionalFormatting sqref="E62:E69">
    <cfRule type="expression" dxfId="6159" priority="6451">
      <formula>IF(#REF!="FICTICIO",1,0)</formula>
    </cfRule>
  </conditionalFormatting>
  <conditionalFormatting sqref="E62:E69">
    <cfRule type="expression" dxfId="6158" priority="6450">
      <formula>IF(#REF!="FICTICIO",1,0)</formula>
    </cfRule>
  </conditionalFormatting>
  <conditionalFormatting sqref="F62">
    <cfRule type="expression" dxfId="6157" priority="6448">
      <formula>IF(#REF!="FICTICIO",1,0)</formula>
    </cfRule>
  </conditionalFormatting>
  <conditionalFormatting sqref="F62">
    <cfRule type="expression" dxfId="6156" priority="6449">
      <formula>IF(#REF!="FICTICIO",1,0)</formula>
    </cfRule>
  </conditionalFormatting>
  <conditionalFormatting sqref="F64">
    <cfRule type="expression" dxfId="6155" priority="6447">
      <formula>IF(#REF!="FICTICIO",1,0)</formula>
    </cfRule>
  </conditionalFormatting>
  <conditionalFormatting sqref="F65:F66">
    <cfRule type="expression" dxfId="6154" priority="6446">
      <formula>IF(#REF!="FICTICIO",1,0)</formula>
    </cfRule>
  </conditionalFormatting>
  <conditionalFormatting sqref="E62:E69">
    <cfRule type="expression" dxfId="6153" priority="6445">
      <formula>IF(#REF!="FICTICIO",1,0)</formula>
    </cfRule>
  </conditionalFormatting>
  <conditionalFormatting sqref="E62:E69">
    <cfRule type="expression" dxfId="6152" priority="6444">
      <formula>IF(#REF!="FICTICIO",1,0)</formula>
    </cfRule>
  </conditionalFormatting>
  <conditionalFormatting sqref="E62:E69">
    <cfRule type="expression" dxfId="6151" priority="6443">
      <formula>IF(#REF!="FICTICIO",1,0)</formula>
    </cfRule>
  </conditionalFormatting>
  <conditionalFormatting sqref="F63">
    <cfRule type="expression" dxfId="6150" priority="6441">
      <formula>IF(#REF!="FICTICIO",1,0)</formula>
    </cfRule>
  </conditionalFormatting>
  <conditionalFormatting sqref="F63">
    <cfRule type="expression" dxfId="6149" priority="6442">
      <formula>IF(#REF!="FICTICIO",1,0)</formula>
    </cfRule>
  </conditionalFormatting>
  <conditionalFormatting sqref="F67">
    <cfRule type="expression" dxfId="6148" priority="6440">
      <formula>IF(#REF!="FICTICIO",1,0)</formula>
    </cfRule>
  </conditionalFormatting>
  <conditionalFormatting sqref="E62:E69">
    <cfRule type="expression" dxfId="6147" priority="6439">
      <formula>IF(#REF!="FICTICIO",1,0)</formula>
    </cfRule>
  </conditionalFormatting>
  <conditionalFormatting sqref="E62:E69">
    <cfRule type="expression" dxfId="6146" priority="6438">
      <formula>IF(#REF!="FICTICIO",1,0)</formula>
    </cfRule>
  </conditionalFormatting>
  <conditionalFormatting sqref="E62:E69">
    <cfRule type="expression" dxfId="6145" priority="6437">
      <formula>IF(#REF!="FICTICIO",1,0)</formula>
    </cfRule>
  </conditionalFormatting>
  <conditionalFormatting sqref="F67">
    <cfRule type="expression" dxfId="6144" priority="6436">
      <formula>IF(#REF!="FICTICIO",1,0)</formula>
    </cfRule>
  </conditionalFormatting>
  <conditionalFormatting sqref="E62:E69">
    <cfRule type="expression" dxfId="6143" priority="6435">
      <formula>IF(#REF!="FICTICIO",1,0)</formula>
    </cfRule>
  </conditionalFormatting>
  <conditionalFormatting sqref="E62:E69">
    <cfRule type="expression" dxfId="6142" priority="6434">
      <formula>IF(#REF!="FICTICIO",1,0)</formula>
    </cfRule>
  </conditionalFormatting>
  <conditionalFormatting sqref="E62:E69">
    <cfRule type="expression" dxfId="6141" priority="6433">
      <formula>IF(#REF!="FICTICIO",1,0)</formula>
    </cfRule>
  </conditionalFormatting>
  <conditionalFormatting sqref="D62:D69">
    <cfRule type="expression" dxfId="6140" priority="6431">
      <formula>IF(#REF!="FICTICIO",1,0)</formula>
    </cfRule>
  </conditionalFormatting>
  <conditionalFormatting sqref="D62:D69">
    <cfRule type="expression" dxfId="6139" priority="6432">
      <formula>IF(#REF!="FICTICIO",1,0)</formula>
    </cfRule>
  </conditionalFormatting>
  <conditionalFormatting sqref="D62:D69">
    <cfRule type="expression" dxfId="6138" priority="6429">
      <formula>IF(#REF!="FICTICIO",1,0)</formula>
    </cfRule>
  </conditionalFormatting>
  <conditionalFormatting sqref="D62:D69">
    <cfRule type="expression" dxfId="6137" priority="6430">
      <formula>IF(#REF!="FICTICIO",1,0)</formula>
    </cfRule>
  </conditionalFormatting>
  <conditionalFormatting sqref="E62:E69">
    <cfRule type="expression" dxfId="6136" priority="6428">
      <formula>IF(#REF!="FICTICIO",1,0)</formula>
    </cfRule>
  </conditionalFormatting>
  <conditionalFormatting sqref="E62:E69">
    <cfRule type="expression" dxfId="6135" priority="6427">
      <formula>IF(#REF!="FICTICIO",1,0)</formula>
    </cfRule>
  </conditionalFormatting>
  <conditionalFormatting sqref="E62:E69">
    <cfRule type="expression" dxfId="6134" priority="6426">
      <formula>IF(#REF!="FICTICIO",1,0)</formula>
    </cfRule>
  </conditionalFormatting>
  <conditionalFormatting sqref="F68">
    <cfRule type="expression" dxfId="6133" priority="6425">
      <formula>IF(#REF!="FICTICIO",1,0)</formula>
    </cfRule>
  </conditionalFormatting>
  <conditionalFormatting sqref="F68">
    <cfRule type="expression" dxfId="6132" priority="6424">
      <formula>IF(#REF!="FICTICIO",1,0)</formula>
    </cfRule>
  </conditionalFormatting>
  <conditionalFormatting sqref="F69">
    <cfRule type="expression" dxfId="6131" priority="6423">
      <formula>IF(#REF!="FICTICIO",1,0)</formula>
    </cfRule>
  </conditionalFormatting>
  <conditionalFormatting sqref="F69">
    <cfRule type="expression" dxfId="6130" priority="6422">
      <formula>IF(#REF!="FICTICIO",1,0)</formula>
    </cfRule>
  </conditionalFormatting>
  <conditionalFormatting sqref="D69">
    <cfRule type="expression" dxfId="6129" priority="6420">
      <formula>IF(#REF!="FICTICIO",1,0)</formula>
    </cfRule>
  </conditionalFormatting>
  <conditionalFormatting sqref="D69">
    <cfRule type="expression" dxfId="6128" priority="6421">
      <formula>IF(#REF!="FICTICIO",1,0)</formula>
    </cfRule>
  </conditionalFormatting>
  <conditionalFormatting sqref="E62:E69">
    <cfRule type="expression" dxfId="6127" priority="6419">
      <formula>IF(#REF!="FICTICIO",1,0)</formula>
    </cfRule>
  </conditionalFormatting>
  <conditionalFormatting sqref="E62:E69">
    <cfRule type="expression" dxfId="6126" priority="6418">
      <formula>IF(#REF!="FICTICIO",1,0)</formula>
    </cfRule>
  </conditionalFormatting>
  <conditionalFormatting sqref="E62:E69">
    <cfRule type="expression" dxfId="6125" priority="6417">
      <formula>IF(#REF!="FICTICIO",1,0)</formula>
    </cfRule>
  </conditionalFormatting>
  <conditionalFormatting sqref="E62:E69">
    <cfRule type="expression" dxfId="6124" priority="6416">
      <formula>IF(#REF!="FICTICIO",1,0)</formula>
    </cfRule>
  </conditionalFormatting>
  <conditionalFormatting sqref="E62:E69">
    <cfRule type="expression" dxfId="6123" priority="6415">
      <formula>IF(#REF!="FICTICIO",1,0)</formula>
    </cfRule>
  </conditionalFormatting>
  <conditionalFormatting sqref="E62:E69">
    <cfRule type="expression" dxfId="6122" priority="6414">
      <formula>IF(#REF!="FICTICIO",1,0)</formula>
    </cfRule>
  </conditionalFormatting>
  <conditionalFormatting sqref="E62:E69">
    <cfRule type="expression" dxfId="6121" priority="6413">
      <formula>IF(#REF!="FICTICIO",1,0)</formula>
    </cfRule>
  </conditionalFormatting>
  <conditionalFormatting sqref="E62:E69">
    <cfRule type="expression" dxfId="6120" priority="6412">
      <formula>IF(#REF!="FICTICIO",1,0)</formula>
    </cfRule>
  </conditionalFormatting>
  <conditionalFormatting sqref="E62:E69">
    <cfRule type="expression" dxfId="6119" priority="6411">
      <formula>IF(#REF!="FICTICIO",1,0)</formula>
    </cfRule>
  </conditionalFormatting>
  <conditionalFormatting sqref="E62:E69">
    <cfRule type="expression" dxfId="6118" priority="6410">
      <formula>IF(#REF!="FICTICIO",1,0)</formula>
    </cfRule>
  </conditionalFormatting>
  <conditionalFormatting sqref="F63">
    <cfRule type="expression" dxfId="6117" priority="6408">
      <formula>IF(#REF!="FICTICIO",1,0)</formula>
    </cfRule>
  </conditionalFormatting>
  <conditionalFormatting sqref="F63">
    <cfRule type="expression" dxfId="6116" priority="6409">
      <formula>IF(#REF!="FICTICIO",1,0)</formula>
    </cfRule>
  </conditionalFormatting>
  <conditionalFormatting sqref="D62:D69">
    <cfRule type="expression" dxfId="6115" priority="6406">
      <formula>IF(#REF!="FICTICIO",1,0)</formula>
    </cfRule>
  </conditionalFormatting>
  <conditionalFormatting sqref="D62:D69">
    <cfRule type="expression" dxfId="6114" priority="6407">
      <formula>IF(#REF!="FICTICIO",1,0)</formula>
    </cfRule>
  </conditionalFormatting>
  <conditionalFormatting sqref="D62:D69">
    <cfRule type="expression" dxfId="6113" priority="6404">
      <formula>IF(#REF!="FICTICIO",1,0)</formula>
    </cfRule>
  </conditionalFormatting>
  <conditionalFormatting sqref="D62:D69">
    <cfRule type="expression" dxfId="6112" priority="6405">
      <formula>IF(#REF!="FICTICIO",1,0)</formula>
    </cfRule>
  </conditionalFormatting>
  <conditionalFormatting sqref="F62">
    <cfRule type="expression" dxfId="6111" priority="6402">
      <formula>IF(#REF!="FICTICIO",1,0)</formula>
    </cfRule>
  </conditionalFormatting>
  <conditionalFormatting sqref="F62">
    <cfRule type="expression" dxfId="6110" priority="6403">
      <formula>IF(#REF!="FICTICIO",1,0)</formula>
    </cfRule>
  </conditionalFormatting>
  <conditionalFormatting sqref="F65">
    <cfRule type="expression" dxfId="6109" priority="6401">
      <formula>IF(#REF!="FICTICIO",1,0)</formula>
    </cfRule>
  </conditionalFormatting>
  <conditionalFormatting sqref="F66:F67">
    <cfRule type="expression" dxfId="6108" priority="6400">
      <formula>IF(#REF!="FICTICIO",1,0)</formula>
    </cfRule>
  </conditionalFormatting>
  <conditionalFormatting sqref="E62:E69">
    <cfRule type="expression" dxfId="6107" priority="6399">
      <formula>IF(#REF!="FICTICIO",1,0)</formula>
    </cfRule>
  </conditionalFormatting>
  <conditionalFormatting sqref="E62:E69">
    <cfRule type="expression" dxfId="6106" priority="6398">
      <formula>IF(#REF!="FICTICIO",1,0)</formula>
    </cfRule>
  </conditionalFormatting>
  <conditionalFormatting sqref="E62:E69">
    <cfRule type="expression" dxfId="6105" priority="6397">
      <formula>IF(#REF!="FICTICIO",1,0)</formula>
    </cfRule>
  </conditionalFormatting>
  <conditionalFormatting sqref="F64">
    <cfRule type="expression" dxfId="6104" priority="6395">
      <formula>IF(#REF!="FICTICIO",1,0)</formula>
    </cfRule>
  </conditionalFormatting>
  <conditionalFormatting sqref="F64">
    <cfRule type="expression" dxfId="6103" priority="6396">
      <formula>IF(#REF!="FICTICIO",1,0)</formula>
    </cfRule>
  </conditionalFormatting>
  <conditionalFormatting sqref="F68">
    <cfRule type="expression" dxfId="6102" priority="6394">
      <formula>IF(#REF!="FICTICIO",1,0)</formula>
    </cfRule>
  </conditionalFormatting>
  <conditionalFormatting sqref="E62:E69">
    <cfRule type="expression" dxfId="6101" priority="6393">
      <formula>IF(#REF!="FICTICIO",1,0)</formula>
    </cfRule>
  </conditionalFormatting>
  <conditionalFormatting sqref="E62:E69">
    <cfRule type="expression" dxfId="6100" priority="6392">
      <formula>IF(#REF!="FICTICIO",1,0)</formula>
    </cfRule>
  </conditionalFormatting>
  <conditionalFormatting sqref="E62:E69">
    <cfRule type="expression" dxfId="6099" priority="6391">
      <formula>IF(#REF!="FICTICIO",1,0)</formula>
    </cfRule>
  </conditionalFormatting>
  <conditionalFormatting sqref="F68">
    <cfRule type="expression" dxfId="6098" priority="6390">
      <formula>IF(#REF!="FICTICIO",1,0)</formula>
    </cfRule>
  </conditionalFormatting>
  <conditionalFormatting sqref="F69">
    <cfRule type="expression" dxfId="6097" priority="6389">
      <formula>IF(#REF!="FICTICIO",1,0)</formula>
    </cfRule>
  </conditionalFormatting>
  <conditionalFormatting sqref="F69">
    <cfRule type="expression" dxfId="6096" priority="6388">
      <formula>IF(#REF!="FICTICIO",1,0)</formula>
    </cfRule>
  </conditionalFormatting>
  <conditionalFormatting sqref="D63:D68">
    <cfRule type="expression" dxfId="6095" priority="6386">
      <formula>IF(#REF!="FICTICIO",1,0)</formula>
    </cfRule>
  </conditionalFormatting>
  <conditionalFormatting sqref="D63:D68">
    <cfRule type="expression" dxfId="6094" priority="6387">
      <formula>IF(#REF!="FICTICIO",1,0)</formula>
    </cfRule>
  </conditionalFormatting>
  <conditionalFormatting sqref="D63:D68">
    <cfRule type="expression" dxfId="6093" priority="6384">
      <formula>IF(#REF!="FICTICIO",1,0)</formula>
    </cfRule>
  </conditionalFormatting>
  <conditionalFormatting sqref="D63:D68">
    <cfRule type="expression" dxfId="6092" priority="6385">
      <formula>IF(#REF!="FICTICIO",1,0)</formula>
    </cfRule>
  </conditionalFormatting>
  <conditionalFormatting sqref="D63:D68">
    <cfRule type="expression" dxfId="6091" priority="6382">
      <formula>IF(#REF!="FICTICIO",1,0)</formula>
    </cfRule>
  </conditionalFormatting>
  <conditionalFormatting sqref="D63:D68">
    <cfRule type="expression" dxfId="6090" priority="6383">
      <formula>IF(#REF!="FICTICIO",1,0)</formula>
    </cfRule>
  </conditionalFormatting>
  <conditionalFormatting sqref="D63:D68">
    <cfRule type="expression" dxfId="6089" priority="6380">
      <formula>IF(#REF!="FICTICIO",1,0)</formula>
    </cfRule>
  </conditionalFormatting>
  <conditionalFormatting sqref="D63:D68">
    <cfRule type="expression" dxfId="6088" priority="6381">
      <formula>IF(#REF!="FICTICIO",1,0)</formula>
    </cfRule>
  </conditionalFormatting>
  <conditionalFormatting sqref="E63:E69">
    <cfRule type="expression" dxfId="6087" priority="6379">
      <formula>IF(#REF!="FICTICIO",1,0)</formula>
    </cfRule>
  </conditionalFormatting>
  <conditionalFormatting sqref="E63:E69">
    <cfRule type="expression" dxfId="6086" priority="6378">
      <formula>IF(#REF!="FICTICIO",1,0)</formula>
    </cfRule>
  </conditionalFormatting>
  <conditionalFormatting sqref="E63:E69">
    <cfRule type="expression" dxfId="6085" priority="6377">
      <formula>IF(#REF!="FICTICIO",1,0)</formula>
    </cfRule>
  </conditionalFormatting>
  <conditionalFormatting sqref="E63:E69">
    <cfRule type="expression" dxfId="6084" priority="6376">
      <formula>IF(#REF!="FICTICIO",1,0)</formula>
    </cfRule>
  </conditionalFormatting>
  <conditionalFormatting sqref="E63:E69">
    <cfRule type="expression" dxfId="6083" priority="6375">
      <formula>IF(#REF!="FICTICIO",1,0)</formula>
    </cfRule>
  </conditionalFormatting>
  <conditionalFormatting sqref="E63:E69">
    <cfRule type="expression" dxfId="6082" priority="6374">
      <formula>IF(#REF!="FICTICIO",1,0)</formula>
    </cfRule>
  </conditionalFormatting>
  <conditionalFormatting sqref="E63:E69">
    <cfRule type="expression" dxfId="6081" priority="6373">
      <formula>IF(#REF!="FICTICIO",1,0)</formula>
    </cfRule>
  </conditionalFormatting>
  <conditionalFormatting sqref="E63:E69">
    <cfRule type="expression" dxfId="6080" priority="6372">
      <formula>IF(#REF!="FICTICIO",1,0)</formula>
    </cfRule>
  </conditionalFormatting>
  <conditionalFormatting sqref="E63:E69">
    <cfRule type="expression" dxfId="6079" priority="6371">
      <formula>IF(#REF!="FICTICIO",1,0)</formula>
    </cfRule>
  </conditionalFormatting>
  <conditionalFormatting sqref="E63:E69">
    <cfRule type="expression" dxfId="6078" priority="6370">
      <formula>IF(#REF!="FICTICIO",1,0)</formula>
    </cfRule>
  </conditionalFormatting>
  <conditionalFormatting sqref="E63:E69">
    <cfRule type="expression" dxfId="6077" priority="6369">
      <formula>IF(#REF!="FICTICIO",1,0)</formula>
    </cfRule>
  </conditionalFormatting>
  <conditionalFormatting sqref="E63:E69">
    <cfRule type="expression" dxfId="6076" priority="6368">
      <formula>IF(#REF!="FICTICIO",1,0)</formula>
    </cfRule>
  </conditionalFormatting>
  <conditionalFormatting sqref="E63:E69">
    <cfRule type="expression" dxfId="6075" priority="6367">
      <formula>IF(#REF!="FICTICIO",1,0)</formula>
    </cfRule>
  </conditionalFormatting>
  <conditionalFormatting sqref="E63:E69">
    <cfRule type="expression" dxfId="6074" priority="6366">
      <formula>IF(#REF!="FICTICIO",1,0)</formula>
    </cfRule>
  </conditionalFormatting>
  <conditionalFormatting sqref="E63:E69">
    <cfRule type="expression" dxfId="6073" priority="6365">
      <formula>IF(#REF!="FICTICIO",1,0)</formula>
    </cfRule>
  </conditionalFormatting>
  <conditionalFormatting sqref="E63:E69">
    <cfRule type="expression" dxfId="6072" priority="6364">
      <formula>IF(#REF!="FICTICIO",1,0)</formula>
    </cfRule>
  </conditionalFormatting>
  <conditionalFormatting sqref="E63:E69">
    <cfRule type="expression" dxfId="6071" priority="6363">
      <formula>IF(#REF!="FICTICIO",1,0)</formula>
    </cfRule>
  </conditionalFormatting>
  <conditionalFormatting sqref="E63:E69">
    <cfRule type="expression" dxfId="6070" priority="6362">
      <formula>IF(#REF!="FICTICIO",1,0)</formula>
    </cfRule>
  </conditionalFormatting>
  <conditionalFormatting sqref="E63:E69">
    <cfRule type="expression" dxfId="6069" priority="6361">
      <formula>IF(#REF!="FICTICIO",1,0)</formula>
    </cfRule>
  </conditionalFormatting>
  <conditionalFormatting sqref="E63:E69">
    <cfRule type="expression" dxfId="6068" priority="6360">
      <formula>IF(#REF!="FICTICIO",1,0)</formula>
    </cfRule>
  </conditionalFormatting>
  <conditionalFormatting sqref="E63:E69">
    <cfRule type="expression" dxfId="6067" priority="6359">
      <formula>IF(#REF!="FICTICIO",1,0)</formula>
    </cfRule>
  </conditionalFormatting>
  <conditionalFormatting sqref="E63:E69">
    <cfRule type="expression" dxfId="6066" priority="6358">
      <formula>IF(#REF!="FICTICIO",1,0)</formula>
    </cfRule>
  </conditionalFormatting>
  <conditionalFormatting sqref="E63:E69">
    <cfRule type="expression" dxfId="6065" priority="6357">
      <formula>IF(#REF!="FICTICIO",1,0)</formula>
    </cfRule>
  </conditionalFormatting>
  <conditionalFormatting sqref="E63:E69">
    <cfRule type="expression" dxfId="6064" priority="6356">
      <formula>IF(#REF!="FICTICIO",1,0)</formula>
    </cfRule>
  </conditionalFormatting>
  <conditionalFormatting sqref="E63:E69">
    <cfRule type="expression" dxfId="6063" priority="6355">
      <formula>IF(#REF!="FICTICIO",1,0)</formula>
    </cfRule>
  </conditionalFormatting>
  <conditionalFormatting sqref="E63:E69">
    <cfRule type="expression" dxfId="6062" priority="6354">
      <formula>IF(#REF!="FICTICIO",1,0)</formula>
    </cfRule>
  </conditionalFormatting>
  <conditionalFormatting sqref="E63:E69">
    <cfRule type="expression" dxfId="6061" priority="6353">
      <formula>IF(#REF!="FICTICIO",1,0)</formula>
    </cfRule>
  </conditionalFormatting>
  <conditionalFormatting sqref="E63:E69">
    <cfRule type="expression" dxfId="6060" priority="6352">
      <formula>IF(#REF!="FICTICIO",1,0)</formula>
    </cfRule>
  </conditionalFormatting>
  <conditionalFormatting sqref="E63:E69">
    <cfRule type="expression" dxfId="6059" priority="6351">
      <formula>IF(#REF!="FICTICIO",1,0)</formula>
    </cfRule>
  </conditionalFormatting>
  <conditionalFormatting sqref="E63:E69">
    <cfRule type="expression" dxfId="6058" priority="6350">
      <formula>IF(#REF!="FICTICIO",1,0)</formula>
    </cfRule>
  </conditionalFormatting>
  <conditionalFormatting sqref="E63:E69">
    <cfRule type="expression" dxfId="6057" priority="6349">
      <formula>IF(#REF!="FICTICIO",1,0)</formula>
    </cfRule>
  </conditionalFormatting>
  <conditionalFormatting sqref="E63:E69">
    <cfRule type="expression" dxfId="6056" priority="6348">
      <formula>IF(#REF!="FICTICIO",1,0)</formula>
    </cfRule>
  </conditionalFormatting>
  <conditionalFormatting sqref="E63:E69">
    <cfRule type="expression" dxfId="6055" priority="6347">
      <formula>IF(#REF!="FICTICIO",1,0)</formula>
    </cfRule>
  </conditionalFormatting>
  <conditionalFormatting sqref="E63:E69">
    <cfRule type="expression" dxfId="6054" priority="6346">
      <formula>IF(#REF!="FICTICIO",1,0)</formula>
    </cfRule>
  </conditionalFormatting>
  <conditionalFormatting sqref="E63:E69">
    <cfRule type="expression" dxfId="6053" priority="6345">
      <formula>IF(#REF!="FICTICIO",1,0)</formula>
    </cfRule>
  </conditionalFormatting>
  <conditionalFormatting sqref="E63:E69">
    <cfRule type="expression" dxfId="6052" priority="6344">
      <formula>IF(#REF!="FICTICIO",1,0)</formula>
    </cfRule>
  </conditionalFormatting>
  <conditionalFormatting sqref="E63:E69">
    <cfRule type="expression" dxfId="6051" priority="6343">
      <formula>IF(#REF!="FICTICIO",1,0)</formula>
    </cfRule>
  </conditionalFormatting>
  <conditionalFormatting sqref="E63:E69">
    <cfRule type="expression" dxfId="6050" priority="6342">
      <formula>IF(#REF!="FICTICIO",1,0)</formula>
    </cfRule>
  </conditionalFormatting>
  <conditionalFormatting sqref="E70">
    <cfRule type="expression" dxfId="6049" priority="6341">
      <formula>IF(#REF!="FICTICIO",1,0)</formula>
    </cfRule>
  </conditionalFormatting>
  <conditionalFormatting sqref="E70">
    <cfRule type="expression" dxfId="6048" priority="6340">
      <formula>IF(#REF!="FICTICIO",1,0)</formula>
    </cfRule>
  </conditionalFormatting>
  <conditionalFormatting sqref="E70">
    <cfRule type="expression" dxfId="6047" priority="6339">
      <formula>IF(#REF!="FICTICIO",1,0)</formula>
    </cfRule>
  </conditionalFormatting>
  <conditionalFormatting sqref="E70">
    <cfRule type="expression" dxfId="6046" priority="6338">
      <formula>IF(#REF!="FICTICIO",1,0)</formula>
    </cfRule>
  </conditionalFormatting>
  <conditionalFormatting sqref="E70">
    <cfRule type="expression" dxfId="6045" priority="6337">
      <formula>IF(#REF!="FICTICIO",1,0)</formula>
    </cfRule>
  </conditionalFormatting>
  <conditionalFormatting sqref="E70">
    <cfRule type="expression" dxfId="6044" priority="6336">
      <formula>IF(#REF!="FICTICIO",1,0)</formula>
    </cfRule>
  </conditionalFormatting>
  <conditionalFormatting sqref="E70">
    <cfRule type="expression" dxfId="6043" priority="6335">
      <formula>IF(#REF!="FICTICIO",1,0)</formula>
    </cfRule>
  </conditionalFormatting>
  <conditionalFormatting sqref="E70">
    <cfRule type="expression" dxfId="6042" priority="6334">
      <formula>IF(#REF!="FICTICIO",1,0)</formula>
    </cfRule>
  </conditionalFormatting>
  <conditionalFormatting sqref="E70">
    <cfRule type="expression" dxfId="6041" priority="6333">
      <formula>IF(#REF!="FICTICIO",1,0)</formula>
    </cfRule>
  </conditionalFormatting>
  <conditionalFormatting sqref="E70">
    <cfRule type="expression" dxfId="6040" priority="6332">
      <formula>IF(#REF!="FICTICIO",1,0)</formula>
    </cfRule>
  </conditionalFormatting>
  <conditionalFormatting sqref="F70">
    <cfRule type="expression" dxfId="6039" priority="6331">
      <formula>IF(#REF!="FICTICIO",1,0)</formula>
    </cfRule>
  </conditionalFormatting>
  <conditionalFormatting sqref="E70">
    <cfRule type="expression" dxfId="6038" priority="6330">
      <formula>IF(#REF!="FICTICIO",1,0)</formula>
    </cfRule>
  </conditionalFormatting>
  <conditionalFormatting sqref="E70">
    <cfRule type="expression" dxfId="6037" priority="6329">
      <formula>IF(#REF!="FICTICIO",1,0)</formula>
    </cfRule>
  </conditionalFormatting>
  <conditionalFormatting sqref="E70">
    <cfRule type="expression" dxfId="6036" priority="6328">
      <formula>IF(#REF!="FICTICIO",1,0)</formula>
    </cfRule>
  </conditionalFormatting>
  <conditionalFormatting sqref="E70">
    <cfRule type="expression" dxfId="6035" priority="6327">
      <formula>IF(#REF!="FICTICIO",1,0)</formula>
    </cfRule>
  </conditionalFormatting>
  <conditionalFormatting sqref="E70">
    <cfRule type="expression" dxfId="6034" priority="6326">
      <formula>IF(#REF!="FICTICIO",1,0)</formula>
    </cfRule>
  </conditionalFormatting>
  <conditionalFormatting sqref="E70">
    <cfRule type="expression" dxfId="6033" priority="6325">
      <formula>IF(#REF!="FICTICIO",1,0)</formula>
    </cfRule>
  </conditionalFormatting>
  <conditionalFormatting sqref="E70">
    <cfRule type="expression" dxfId="6032" priority="6324">
      <formula>IF(#REF!="FICTICIO",1,0)</formula>
    </cfRule>
  </conditionalFormatting>
  <conditionalFormatting sqref="E70">
    <cfRule type="expression" dxfId="6031" priority="6323">
      <formula>IF(#REF!="FICTICIO",1,0)</formula>
    </cfRule>
  </conditionalFormatting>
  <conditionalFormatting sqref="E70">
    <cfRule type="expression" dxfId="6030" priority="6322">
      <formula>IF(#REF!="FICTICIO",1,0)</formula>
    </cfRule>
  </conditionalFormatting>
  <conditionalFormatting sqref="D70">
    <cfRule type="expression" dxfId="6029" priority="6320">
      <formula>IF(#REF!="FICTICIO",1,0)</formula>
    </cfRule>
  </conditionalFormatting>
  <conditionalFormatting sqref="D70">
    <cfRule type="expression" dxfId="6028" priority="6321">
      <formula>IF(#REF!="FICTICIO",1,0)</formula>
    </cfRule>
  </conditionalFormatting>
  <conditionalFormatting sqref="D70">
    <cfRule type="expression" dxfId="6027" priority="6318">
      <formula>IF(#REF!="FICTICIO",1,0)</formula>
    </cfRule>
  </conditionalFormatting>
  <conditionalFormatting sqref="D70">
    <cfRule type="expression" dxfId="6026" priority="6319">
      <formula>IF(#REF!="FICTICIO",1,0)</formula>
    </cfRule>
  </conditionalFormatting>
  <conditionalFormatting sqref="E70">
    <cfRule type="expression" dxfId="6025" priority="6317">
      <formula>IF(#REF!="FICTICIO",1,0)</formula>
    </cfRule>
  </conditionalFormatting>
  <conditionalFormatting sqref="E70">
    <cfRule type="expression" dxfId="6024" priority="6316">
      <formula>IF(#REF!="FICTICIO",1,0)</formula>
    </cfRule>
  </conditionalFormatting>
  <conditionalFormatting sqref="E70">
    <cfRule type="expression" dxfId="6023" priority="6315">
      <formula>IF(#REF!="FICTICIO",1,0)</formula>
    </cfRule>
  </conditionalFormatting>
  <conditionalFormatting sqref="E70">
    <cfRule type="expression" dxfId="6022" priority="6314">
      <formula>IF(#REF!="FICTICIO",1,0)</formula>
    </cfRule>
  </conditionalFormatting>
  <conditionalFormatting sqref="E70">
    <cfRule type="expression" dxfId="6021" priority="6313">
      <formula>IF(#REF!="FICTICIO",1,0)</formula>
    </cfRule>
  </conditionalFormatting>
  <conditionalFormatting sqref="E70">
    <cfRule type="expression" dxfId="6020" priority="6312">
      <formula>IF(#REF!="FICTICIO",1,0)</formula>
    </cfRule>
  </conditionalFormatting>
  <conditionalFormatting sqref="E70">
    <cfRule type="expression" dxfId="6019" priority="6311">
      <formula>IF(#REF!="FICTICIO",1,0)</formula>
    </cfRule>
  </conditionalFormatting>
  <conditionalFormatting sqref="E70">
    <cfRule type="expression" dxfId="6018" priority="6310">
      <formula>IF(#REF!="FICTICIO",1,0)</formula>
    </cfRule>
  </conditionalFormatting>
  <conditionalFormatting sqref="E70">
    <cfRule type="expression" dxfId="6017" priority="6309">
      <formula>IF(#REF!="FICTICIO",1,0)</formula>
    </cfRule>
  </conditionalFormatting>
  <conditionalFormatting sqref="E70">
    <cfRule type="expression" dxfId="6016" priority="6308">
      <formula>IF(#REF!="FICTICIO",1,0)</formula>
    </cfRule>
  </conditionalFormatting>
  <conditionalFormatting sqref="E70">
    <cfRule type="expression" dxfId="6015" priority="6307">
      <formula>IF(#REF!="FICTICIO",1,0)</formula>
    </cfRule>
  </conditionalFormatting>
  <conditionalFormatting sqref="E70">
    <cfRule type="expression" dxfId="6014" priority="6306">
      <formula>IF(#REF!="FICTICIO",1,0)</formula>
    </cfRule>
  </conditionalFormatting>
  <conditionalFormatting sqref="E70">
    <cfRule type="expression" dxfId="6013" priority="6305">
      <formula>IF(#REF!="FICTICIO",1,0)</formula>
    </cfRule>
  </conditionalFormatting>
  <conditionalFormatting sqref="D70">
    <cfRule type="expression" dxfId="6012" priority="6303">
      <formula>IF(#REF!="FICTICIO",1,0)</formula>
    </cfRule>
  </conditionalFormatting>
  <conditionalFormatting sqref="D70">
    <cfRule type="expression" dxfId="6011" priority="6304">
      <formula>IF(#REF!="FICTICIO",1,0)</formula>
    </cfRule>
  </conditionalFormatting>
  <conditionalFormatting sqref="D70">
    <cfRule type="expression" dxfId="6010" priority="6301">
      <formula>IF(#REF!="FICTICIO",1,0)</formula>
    </cfRule>
  </conditionalFormatting>
  <conditionalFormatting sqref="D70">
    <cfRule type="expression" dxfId="6009" priority="6302">
      <formula>IF(#REF!="FICTICIO",1,0)</formula>
    </cfRule>
  </conditionalFormatting>
  <conditionalFormatting sqref="E70">
    <cfRule type="expression" dxfId="6008" priority="6300">
      <formula>IF(#REF!="FICTICIO",1,0)</formula>
    </cfRule>
  </conditionalFormatting>
  <conditionalFormatting sqref="E70">
    <cfRule type="expression" dxfId="6007" priority="6299">
      <formula>IF(#REF!="FICTICIO",1,0)</formula>
    </cfRule>
  </conditionalFormatting>
  <conditionalFormatting sqref="E70">
    <cfRule type="expression" dxfId="6006" priority="6298">
      <formula>IF(#REF!="FICTICIO",1,0)</formula>
    </cfRule>
  </conditionalFormatting>
  <conditionalFormatting sqref="F70">
    <cfRule type="expression" dxfId="6005" priority="6296">
      <formula>IF(#REF!="FICTICIO",1,0)</formula>
    </cfRule>
  </conditionalFormatting>
  <conditionalFormatting sqref="F70">
    <cfRule type="expression" dxfId="6004" priority="6297">
      <formula>IF(#REF!="FICTICIO",1,0)</formula>
    </cfRule>
  </conditionalFormatting>
  <conditionalFormatting sqref="E70">
    <cfRule type="expression" dxfId="6003" priority="6295">
      <formula>IF(#REF!="FICTICIO",1,0)</formula>
    </cfRule>
  </conditionalFormatting>
  <conditionalFormatting sqref="E70">
    <cfRule type="expression" dxfId="6002" priority="6294">
      <formula>IF(#REF!="FICTICIO",1,0)</formula>
    </cfRule>
  </conditionalFormatting>
  <conditionalFormatting sqref="E70">
    <cfRule type="expression" dxfId="6001" priority="6293">
      <formula>IF(#REF!="FICTICIO",1,0)</formula>
    </cfRule>
  </conditionalFormatting>
  <conditionalFormatting sqref="D70">
    <cfRule type="expression" dxfId="6000" priority="6291">
      <formula>IF(#REF!="FICTICIO",1,0)</formula>
    </cfRule>
  </conditionalFormatting>
  <conditionalFormatting sqref="D70">
    <cfRule type="expression" dxfId="5999" priority="6292">
      <formula>IF(#REF!="FICTICIO",1,0)</formula>
    </cfRule>
  </conditionalFormatting>
  <conditionalFormatting sqref="D70">
    <cfRule type="expression" dxfId="5998" priority="6289">
      <formula>IF(#REF!="FICTICIO",1,0)</formula>
    </cfRule>
  </conditionalFormatting>
  <conditionalFormatting sqref="D70">
    <cfRule type="expression" dxfId="5997" priority="6290">
      <formula>IF(#REF!="FICTICIO",1,0)</formula>
    </cfRule>
  </conditionalFormatting>
  <conditionalFormatting sqref="D70">
    <cfRule type="expression" dxfId="5996" priority="6287">
      <formula>IF(#REF!="FICTICIO",1,0)</formula>
    </cfRule>
  </conditionalFormatting>
  <conditionalFormatting sqref="D70">
    <cfRule type="expression" dxfId="5995" priority="6288">
      <formula>IF(#REF!="FICTICIO",1,0)</formula>
    </cfRule>
  </conditionalFormatting>
  <conditionalFormatting sqref="D70">
    <cfRule type="expression" dxfId="5994" priority="6285">
      <formula>IF(#REF!="FICTICIO",1,0)</formula>
    </cfRule>
  </conditionalFormatting>
  <conditionalFormatting sqref="D70">
    <cfRule type="expression" dxfId="5993" priority="6286">
      <formula>IF(#REF!="FICTICIO",1,0)</formula>
    </cfRule>
  </conditionalFormatting>
  <conditionalFormatting sqref="E70">
    <cfRule type="expression" dxfId="5992" priority="6284">
      <formula>IF(#REF!="FICTICIO",1,0)</formula>
    </cfRule>
  </conditionalFormatting>
  <conditionalFormatting sqref="E70">
    <cfRule type="expression" dxfId="5991" priority="6283">
      <formula>IF(#REF!="FICTICIO",1,0)</formula>
    </cfRule>
  </conditionalFormatting>
  <conditionalFormatting sqref="E70">
    <cfRule type="expression" dxfId="5990" priority="6282">
      <formula>IF(#REF!="FICTICIO",1,0)</formula>
    </cfRule>
  </conditionalFormatting>
  <conditionalFormatting sqref="E70">
    <cfRule type="expression" dxfId="5989" priority="6281">
      <formula>IF(#REF!="FICTICIO",1,0)</formula>
    </cfRule>
  </conditionalFormatting>
  <conditionalFormatting sqref="E70">
    <cfRule type="expression" dxfId="5988" priority="6280">
      <formula>IF(#REF!="FICTICIO",1,0)</formula>
    </cfRule>
  </conditionalFormatting>
  <conditionalFormatting sqref="E70">
    <cfRule type="expression" dxfId="5987" priority="6279">
      <formula>IF(#REF!="FICTICIO",1,0)</formula>
    </cfRule>
  </conditionalFormatting>
  <conditionalFormatting sqref="E70">
    <cfRule type="expression" dxfId="5986" priority="6278">
      <formula>IF(#REF!="FICTICIO",1,0)</formula>
    </cfRule>
  </conditionalFormatting>
  <conditionalFormatting sqref="E70">
    <cfRule type="expression" dxfId="5985" priority="6277">
      <formula>IF(#REF!="FICTICIO",1,0)</formula>
    </cfRule>
  </conditionalFormatting>
  <conditionalFormatting sqref="E70">
    <cfRule type="expression" dxfId="5984" priority="6276">
      <formula>IF(#REF!="FICTICIO",1,0)</formula>
    </cfRule>
  </conditionalFormatting>
  <conditionalFormatting sqref="E70">
    <cfRule type="expression" dxfId="5983" priority="6275">
      <formula>IF(#REF!="FICTICIO",1,0)</formula>
    </cfRule>
  </conditionalFormatting>
  <conditionalFormatting sqref="E70">
    <cfRule type="expression" dxfId="5982" priority="6274">
      <formula>IF(#REF!="FICTICIO",1,0)</formula>
    </cfRule>
  </conditionalFormatting>
  <conditionalFormatting sqref="E70">
    <cfRule type="expression" dxfId="5981" priority="6273">
      <formula>IF(#REF!="FICTICIO",1,0)</formula>
    </cfRule>
  </conditionalFormatting>
  <conditionalFormatting sqref="E70">
    <cfRule type="expression" dxfId="5980" priority="6272">
      <formula>IF(#REF!="FICTICIO",1,0)</formula>
    </cfRule>
  </conditionalFormatting>
  <conditionalFormatting sqref="E70">
    <cfRule type="expression" dxfId="5979" priority="6271">
      <formula>IF(#REF!="FICTICIO",1,0)</formula>
    </cfRule>
  </conditionalFormatting>
  <conditionalFormatting sqref="E70">
    <cfRule type="expression" dxfId="5978" priority="6270">
      <formula>IF(#REF!="FICTICIO",1,0)</formula>
    </cfRule>
  </conditionalFormatting>
  <conditionalFormatting sqref="E70">
    <cfRule type="expression" dxfId="5977" priority="6269">
      <formula>IF(#REF!="FICTICIO",1,0)</formula>
    </cfRule>
  </conditionalFormatting>
  <conditionalFormatting sqref="E70">
    <cfRule type="expression" dxfId="5976" priority="6268">
      <formula>IF(#REF!="FICTICIO",1,0)</formula>
    </cfRule>
  </conditionalFormatting>
  <conditionalFormatting sqref="E70">
    <cfRule type="expression" dxfId="5975" priority="6267">
      <formula>IF(#REF!="FICTICIO",1,0)</formula>
    </cfRule>
  </conditionalFormatting>
  <conditionalFormatting sqref="E70">
    <cfRule type="expression" dxfId="5974" priority="6266">
      <formula>IF(#REF!="FICTICIO",1,0)</formula>
    </cfRule>
  </conditionalFormatting>
  <conditionalFormatting sqref="E70">
    <cfRule type="expression" dxfId="5973" priority="6265">
      <formula>IF(#REF!="FICTICIO",1,0)</formula>
    </cfRule>
  </conditionalFormatting>
  <conditionalFormatting sqref="E70">
    <cfRule type="expression" dxfId="5972" priority="6264">
      <formula>IF(#REF!="FICTICIO",1,0)</formula>
    </cfRule>
  </conditionalFormatting>
  <conditionalFormatting sqref="E70">
    <cfRule type="expression" dxfId="5971" priority="6263">
      <formula>IF(#REF!="FICTICIO",1,0)</formula>
    </cfRule>
  </conditionalFormatting>
  <conditionalFormatting sqref="E70">
    <cfRule type="expression" dxfId="5970" priority="6262">
      <formula>IF(#REF!="FICTICIO",1,0)</formula>
    </cfRule>
  </conditionalFormatting>
  <conditionalFormatting sqref="E70">
    <cfRule type="expression" dxfId="5969" priority="6261">
      <formula>IF(#REF!="FICTICIO",1,0)</formula>
    </cfRule>
  </conditionalFormatting>
  <conditionalFormatting sqref="E70">
    <cfRule type="expression" dxfId="5968" priority="6260">
      <formula>IF(#REF!="FICTICIO",1,0)</formula>
    </cfRule>
  </conditionalFormatting>
  <conditionalFormatting sqref="E70">
    <cfRule type="expression" dxfId="5967" priority="6259">
      <formula>IF(#REF!="FICTICIO",1,0)</formula>
    </cfRule>
  </conditionalFormatting>
  <conditionalFormatting sqref="E70">
    <cfRule type="expression" dxfId="5966" priority="6258">
      <formula>IF(#REF!="FICTICIO",1,0)</formula>
    </cfRule>
  </conditionalFormatting>
  <conditionalFormatting sqref="E70">
    <cfRule type="expression" dxfId="5965" priority="6257">
      <formula>IF(#REF!="FICTICIO",1,0)</formula>
    </cfRule>
  </conditionalFormatting>
  <conditionalFormatting sqref="E70">
    <cfRule type="expression" dxfId="5964" priority="6256">
      <formula>IF(#REF!="FICTICIO",1,0)</formula>
    </cfRule>
  </conditionalFormatting>
  <conditionalFormatting sqref="E70">
    <cfRule type="expression" dxfId="5963" priority="6255">
      <formula>IF(#REF!="FICTICIO",1,0)</formula>
    </cfRule>
  </conditionalFormatting>
  <conditionalFormatting sqref="E70">
    <cfRule type="expression" dxfId="5962" priority="6254">
      <formula>IF(#REF!="FICTICIO",1,0)</formula>
    </cfRule>
  </conditionalFormatting>
  <conditionalFormatting sqref="E70">
    <cfRule type="expression" dxfId="5961" priority="6253">
      <formula>IF(#REF!="FICTICIO",1,0)</formula>
    </cfRule>
  </conditionalFormatting>
  <conditionalFormatting sqref="E70">
    <cfRule type="expression" dxfId="5960" priority="6252">
      <formula>IF(#REF!="FICTICIO",1,0)</formula>
    </cfRule>
  </conditionalFormatting>
  <conditionalFormatting sqref="E70">
    <cfRule type="expression" dxfId="5959" priority="6251">
      <formula>IF(#REF!="FICTICIO",1,0)</formula>
    </cfRule>
  </conditionalFormatting>
  <conditionalFormatting sqref="E70">
    <cfRule type="expression" dxfId="5958" priority="6250">
      <formula>IF(#REF!="FICTICIO",1,0)</formula>
    </cfRule>
  </conditionalFormatting>
  <conditionalFormatting sqref="E70">
    <cfRule type="expression" dxfId="5957" priority="6249">
      <formula>IF(#REF!="FICTICIO",1,0)</formula>
    </cfRule>
  </conditionalFormatting>
  <conditionalFormatting sqref="E70">
    <cfRule type="expression" dxfId="5956" priority="6248">
      <formula>IF(#REF!="FICTICIO",1,0)</formula>
    </cfRule>
  </conditionalFormatting>
  <conditionalFormatting sqref="E70">
    <cfRule type="expression" dxfId="5955" priority="6247">
      <formula>IF(#REF!="FICTICIO",1,0)</formula>
    </cfRule>
  </conditionalFormatting>
  <conditionalFormatting sqref="E71">
    <cfRule type="expression" dxfId="5954" priority="6246">
      <formula>IF(#REF!="FICTICIO",1,0)</formula>
    </cfRule>
  </conditionalFormatting>
  <conditionalFormatting sqref="E71">
    <cfRule type="expression" dxfId="5953" priority="6245">
      <formula>IF(#REF!="FICTICIO",1,0)</formula>
    </cfRule>
  </conditionalFormatting>
  <conditionalFormatting sqref="E71">
    <cfRule type="expression" dxfId="5952" priority="6244">
      <formula>IF(#REF!="FICTICIO",1,0)</formula>
    </cfRule>
  </conditionalFormatting>
  <conditionalFormatting sqref="E71">
    <cfRule type="expression" dxfId="5951" priority="6243">
      <formula>IF(#REF!="FICTICIO",1,0)</formula>
    </cfRule>
  </conditionalFormatting>
  <conditionalFormatting sqref="E71">
    <cfRule type="expression" dxfId="5950" priority="6242">
      <formula>IF(#REF!="FICTICIO",1,0)</formula>
    </cfRule>
  </conditionalFormatting>
  <conditionalFormatting sqref="E71">
    <cfRule type="expression" dxfId="5949" priority="6241">
      <formula>IF(#REF!="FICTICIO",1,0)</formula>
    </cfRule>
  </conditionalFormatting>
  <conditionalFormatting sqref="E71">
    <cfRule type="expression" dxfId="5948" priority="6240">
      <formula>IF(#REF!="FICTICIO",1,0)</formula>
    </cfRule>
  </conditionalFormatting>
  <conditionalFormatting sqref="E71">
    <cfRule type="expression" dxfId="5947" priority="6239">
      <formula>IF(#REF!="FICTICIO",1,0)</formula>
    </cfRule>
  </conditionalFormatting>
  <conditionalFormatting sqref="E71">
    <cfRule type="expression" dxfId="5946" priority="6238">
      <formula>IF(#REF!="FICTICIO",1,0)</formula>
    </cfRule>
  </conditionalFormatting>
  <conditionalFormatting sqref="E71">
    <cfRule type="expression" dxfId="5945" priority="6237">
      <formula>IF(#REF!="FICTICIO",1,0)</formula>
    </cfRule>
  </conditionalFormatting>
  <conditionalFormatting sqref="E71">
    <cfRule type="expression" dxfId="5944" priority="6236">
      <formula>IF(#REF!="FICTICIO",1,0)</formula>
    </cfRule>
  </conditionalFormatting>
  <conditionalFormatting sqref="E71">
    <cfRule type="expression" dxfId="5943" priority="6235">
      <formula>IF(#REF!="FICTICIO",1,0)</formula>
    </cfRule>
  </conditionalFormatting>
  <conditionalFormatting sqref="E71">
    <cfRule type="expression" dxfId="5942" priority="6234">
      <formula>IF(#REF!="FICTICIO",1,0)</formula>
    </cfRule>
  </conditionalFormatting>
  <conditionalFormatting sqref="E71">
    <cfRule type="expression" dxfId="5941" priority="6233">
      <formula>IF(#REF!="FICTICIO",1,0)</formula>
    </cfRule>
  </conditionalFormatting>
  <conditionalFormatting sqref="E71">
    <cfRule type="expression" dxfId="5940" priority="6232">
      <formula>IF(#REF!="FICTICIO",1,0)</formula>
    </cfRule>
  </conditionalFormatting>
  <conditionalFormatting sqref="E71">
    <cfRule type="expression" dxfId="5939" priority="6231">
      <formula>IF(#REF!="FICTICIO",1,0)</formula>
    </cfRule>
  </conditionalFormatting>
  <conditionalFormatting sqref="E71">
    <cfRule type="expression" dxfId="5938" priority="6230">
      <formula>IF(#REF!="FICTICIO",1,0)</formula>
    </cfRule>
  </conditionalFormatting>
  <conditionalFormatting sqref="E71">
    <cfRule type="expression" dxfId="5937" priority="6229">
      <formula>IF(#REF!="FICTICIO",1,0)</formula>
    </cfRule>
  </conditionalFormatting>
  <conditionalFormatting sqref="E71">
    <cfRule type="expression" dxfId="5936" priority="6228">
      <formula>IF(#REF!="FICTICIO",1,0)</formula>
    </cfRule>
  </conditionalFormatting>
  <conditionalFormatting sqref="E71">
    <cfRule type="expression" dxfId="5935" priority="6227">
      <formula>IF(#REF!="FICTICIO",1,0)</formula>
    </cfRule>
  </conditionalFormatting>
  <conditionalFormatting sqref="E71">
    <cfRule type="expression" dxfId="5934" priority="6226">
      <formula>IF(#REF!="FICTICIO",1,0)</formula>
    </cfRule>
  </conditionalFormatting>
  <conditionalFormatting sqref="E71">
    <cfRule type="expression" dxfId="5933" priority="6225">
      <formula>IF(#REF!="FICTICIO",1,0)</formula>
    </cfRule>
  </conditionalFormatting>
  <conditionalFormatting sqref="E71">
    <cfRule type="expression" dxfId="5932" priority="6224">
      <formula>IF(#REF!="FICTICIO",1,0)</formula>
    </cfRule>
  </conditionalFormatting>
  <conditionalFormatting sqref="E71">
    <cfRule type="expression" dxfId="5931" priority="6223">
      <formula>IF(#REF!="FICTICIO",1,0)</formula>
    </cfRule>
  </conditionalFormatting>
  <conditionalFormatting sqref="E71">
    <cfRule type="expression" dxfId="5930" priority="6222">
      <formula>IF(#REF!="FICTICIO",1,0)</formula>
    </cfRule>
  </conditionalFormatting>
  <conditionalFormatting sqref="E71">
    <cfRule type="expression" dxfId="5929" priority="6221">
      <formula>IF(#REF!="FICTICIO",1,0)</formula>
    </cfRule>
  </conditionalFormatting>
  <conditionalFormatting sqref="E71">
    <cfRule type="expression" dxfId="5928" priority="6220">
      <formula>IF(#REF!="FICTICIO",1,0)</formula>
    </cfRule>
  </conditionalFormatting>
  <conditionalFormatting sqref="E71">
    <cfRule type="expression" dxfId="5927" priority="6219">
      <formula>IF(#REF!="FICTICIO",1,0)</formula>
    </cfRule>
  </conditionalFormatting>
  <conditionalFormatting sqref="E71">
    <cfRule type="expression" dxfId="5926" priority="6218">
      <formula>IF(#REF!="FICTICIO",1,0)</formula>
    </cfRule>
  </conditionalFormatting>
  <conditionalFormatting sqref="E71">
    <cfRule type="expression" dxfId="5925" priority="6217">
      <formula>IF(#REF!="FICTICIO",1,0)</formula>
    </cfRule>
  </conditionalFormatting>
  <conditionalFormatting sqref="E71">
    <cfRule type="expression" dxfId="5924" priority="6216">
      <formula>IF(#REF!="FICTICIO",1,0)</formula>
    </cfRule>
  </conditionalFormatting>
  <conditionalFormatting sqref="E71">
    <cfRule type="expression" dxfId="5923" priority="6215">
      <formula>IF(#REF!="FICTICIO",1,0)</formula>
    </cfRule>
  </conditionalFormatting>
  <conditionalFormatting sqref="E71">
    <cfRule type="expression" dxfId="5922" priority="6214">
      <formula>IF(#REF!="FICTICIO",1,0)</formula>
    </cfRule>
  </conditionalFormatting>
  <conditionalFormatting sqref="E71">
    <cfRule type="expression" dxfId="5921" priority="6213">
      <formula>IF(#REF!="FICTICIO",1,0)</formula>
    </cfRule>
  </conditionalFormatting>
  <conditionalFormatting sqref="E71">
    <cfRule type="expression" dxfId="5920" priority="6212">
      <formula>IF(#REF!="FICTICIO",1,0)</formula>
    </cfRule>
  </conditionalFormatting>
  <conditionalFormatting sqref="E71">
    <cfRule type="expression" dxfId="5919" priority="6211">
      <formula>IF(#REF!="FICTICIO",1,0)</formula>
    </cfRule>
  </conditionalFormatting>
  <conditionalFormatting sqref="E71">
    <cfRule type="expression" dxfId="5918" priority="6210">
      <formula>IF(#REF!="FICTICIO",1,0)</formula>
    </cfRule>
  </conditionalFormatting>
  <conditionalFormatting sqref="E71">
    <cfRule type="expression" dxfId="5917" priority="6209">
      <formula>IF(#REF!="FICTICIO",1,0)</formula>
    </cfRule>
  </conditionalFormatting>
  <conditionalFormatting sqref="E71">
    <cfRule type="expression" dxfId="5916" priority="6208">
      <formula>IF(#REF!="FICTICIO",1,0)</formula>
    </cfRule>
  </conditionalFormatting>
  <conditionalFormatting sqref="E71">
    <cfRule type="expression" dxfId="5915" priority="6207">
      <formula>IF(#REF!="FICTICIO",1,0)</formula>
    </cfRule>
  </conditionalFormatting>
  <conditionalFormatting sqref="E71">
    <cfRule type="expression" dxfId="5914" priority="6206">
      <formula>IF(#REF!="FICTICIO",1,0)</formula>
    </cfRule>
  </conditionalFormatting>
  <conditionalFormatting sqref="E71">
    <cfRule type="expression" dxfId="5913" priority="6205">
      <formula>IF(#REF!="FICTICIO",1,0)</formula>
    </cfRule>
  </conditionalFormatting>
  <conditionalFormatting sqref="E71">
    <cfRule type="expression" dxfId="5912" priority="6204">
      <formula>IF(#REF!="FICTICIO",1,0)</formula>
    </cfRule>
  </conditionalFormatting>
  <conditionalFormatting sqref="E71">
    <cfRule type="expression" dxfId="5911" priority="6203">
      <formula>IF(#REF!="FICTICIO",1,0)</formula>
    </cfRule>
  </conditionalFormatting>
  <conditionalFormatting sqref="E71">
    <cfRule type="expression" dxfId="5910" priority="6202">
      <formula>IF(#REF!="FICTICIO",1,0)</formula>
    </cfRule>
  </conditionalFormatting>
  <conditionalFormatting sqref="E71">
    <cfRule type="expression" dxfId="5909" priority="6201">
      <formula>IF(#REF!="FICTICIO",1,0)</formula>
    </cfRule>
  </conditionalFormatting>
  <conditionalFormatting sqref="E71">
    <cfRule type="expression" dxfId="5908" priority="6200">
      <formula>IF(#REF!="FICTICIO",1,0)</formula>
    </cfRule>
  </conditionalFormatting>
  <conditionalFormatting sqref="E71">
    <cfRule type="expression" dxfId="5907" priority="6199">
      <formula>IF(#REF!="FICTICIO",1,0)</formula>
    </cfRule>
  </conditionalFormatting>
  <conditionalFormatting sqref="E71">
    <cfRule type="expression" dxfId="5906" priority="6198">
      <formula>IF(#REF!="FICTICIO",1,0)</formula>
    </cfRule>
  </conditionalFormatting>
  <conditionalFormatting sqref="E71">
    <cfRule type="expression" dxfId="5905" priority="6197">
      <formula>IF(#REF!="FICTICIO",1,0)</formula>
    </cfRule>
  </conditionalFormatting>
  <conditionalFormatting sqref="E71">
    <cfRule type="expression" dxfId="5904" priority="6196">
      <formula>IF(#REF!="FICTICIO",1,0)</formula>
    </cfRule>
  </conditionalFormatting>
  <conditionalFormatting sqref="E71">
    <cfRule type="expression" dxfId="5903" priority="6195">
      <formula>IF(#REF!="FICTICIO",1,0)</formula>
    </cfRule>
  </conditionalFormatting>
  <conditionalFormatting sqref="E71">
    <cfRule type="expression" dxfId="5902" priority="6194">
      <formula>IF(#REF!="FICTICIO",1,0)</formula>
    </cfRule>
  </conditionalFormatting>
  <conditionalFormatting sqref="E71">
    <cfRule type="expression" dxfId="5901" priority="6193">
      <formula>IF(#REF!="FICTICIO",1,0)</formula>
    </cfRule>
  </conditionalFormatting>
  <conditionalFormatting sqref="E71">
    <cfRule type="expression" dxfId="5900" priority="6192">
      <formula>IF(#REF!="FICTICIO",1,0)</formula>
    </cfRule>
  </conditionalFormatting>
  <conditionalFormatting sqref="E71">
    <cfRule type="expression" dxfId="5899" priority="6191">
      <formula>IF(#REF!="FICTICIO",1,0)</formula>
    </cfRule>
  </conditionalFormatting>
  <conditionalFormatting sqref="E71">
    <cfRule type="expression" dxfId="5898" priority="6190">
      <formula>IF(#REF!="FICTICIO",1,0)</formula>
    </cfRule>
  </conditionalFormatting>
  <conditionalFormatting sqref="E71">
    <cfRule type="expression" dxfId="5897" priority="6189">
      <formula>IF(#REF!="FICTICIO",1,0)</formula>
    </cfRule>
  </conditionalFormatting>
  <conditionalFormatting sqref="E71">
    <cfRule type="expression" dxfId="5896" priority="6188">
      <formula>IF(#REF!="FICTICIO",1,0)</formula>
    </cfRule>
  </conditionalFormatting>
  <conditionalFormatting sqref="E71">
    <cfRule type="expression" dxfId="5895" priority="6187">
      <formula>IF(#REF!="FICTICIO",1,0)</formula>
    </cfRule>
  </conditionalFormatting>
  <conditionalFormatting sqref="E71">
    <cfRule type="expression" dxfId="5894" priority="6186">
      <formula>IF(#REF!="FICTICIO",1,0)</formula>
    </cfRule>
  </conditionalFormatting>
  <conditionalFormatting sqref="E71">
    <cfRule type="expression" dxfId="5893" priority="6185">
      <formula>IF(#REF!="FICTICIO",1,0)</formula>
    </cfRule>
  </conditionalFormatting>
  <conditionalFormatting sqref="E71">
    <cfRule type="expression" dxfId="5892" priority="6184">
      <formula>IF(#REF!="FICTICIO",1,0)</formula>
    </cfRule>
  </conditionalFormatting>
  <conditionalFormatting sqref="E71">
    <cfRule type="expression" dxfId="5891" priority="6183">
      <formula>IF(#REF!="FICTICIO",1,0)</formula>
    </cfRule>
  </conditionalFormatting>
  <conditionalFormatting sqref="E71">
    <cfRule type="expression" dxfId="5890" priority="6182">
      <formula>IF(#REF!="FICTICIO",1,0)</formula>
    </cfRule>
  </conditionalFormatting>
  <conditionalFormatting sqref="E71">
    <cfRule type="expression" dxfId="5889" priority="6181">
      <formula>IF(#REF!="FICTICIO",1,0)</formula>
    </cfRule>
  </conditionalFormatting>
  <conditionalFormatting sqref="E71">
    <cfRule type="expression" dxfId="5888" priority="6180">
      <formula>IF(#REF!="FICTICIO",1,0)</formula>
    </cfRule>
  </conditionalFormatting>
  <conditionalFormatting sqref="E71">
    <cfRule type="expression" dxfId="5887" priority="6179">
      <formula>IF(#REF!="FICTICIO",1,0)</formula>
    </cfRule>
  </conditionalFormatting>
  <conditionalFormatting sqref="E71">
    <cfRule type="expression" dxfId="5886" priority="6178">
      <formula>IF(#REF!="FICTICIO",1,0)</formula>
    </cfRule>
  </conditionalFormatting>
  <conditionalFormatting sqref="E71">
    <cfRule type="expression" dxfId="5885" priority="6177">
      <formula>IF(#REF!="FICTICIO",1,0)</formula>
    </cfRule>
  </conditionalFormatting>
  <conditionalFormatting sqref="E71">
    <cfRule type="expression" dxfId="5884" priority="6176">
      <formula>IF(#REF!="FICTICIO",1,0)</formula>
    </cfRule>
  </conditionalFormatting>
  <conditionalFormatting sqref="E71">
    <cfRule type="expression" dxfId="5883" priority="6175">
      <formula>IF(#REF!="FICTICIO",1,0)</formula>
    </cfRule>
  </conditionalFormatting>
  <conditionalFormatting sqref="E71">
    <cfRule type="expression" dxfId="5882" priority="6174">
      <formula>IF(#REF!="FICTICIO",1,0)</formula>
    </cfRule>
  </conditionalFormatting>
  <conditionalFormatting sqref="E71">
    <cfRule type="expression" dxfId="5881" priority="6173">
      <formula>IF(#REF!="FICTICIO",1,0)</formula>
    </cfRule>
  </conditionalFormatting>
  <conditionalFormatting sqref="E71">
    <cfRule type="expression" dxfId="5880" priority="6172">
      <formula>IF(#REF!="FICTICIO",1,0)</formula>
    </cfRule>
  </conditionalFormatting>
  <conditionalFormatting sqref="E71">
    <cfRule type="expression" dxfId="5879" priority="6171">
      <formula>IF(#REF!="FICTICIO",1,0)</formula>
    </cfRule>
  </conditionalFormatting>
  <conditionalFormatting sqref="F72">
    <cfRule type="expression" dxfId="5878" priority="6169">
      <formula>IF(#REF!="FICTICIO",1,0)</formula>
    </cfRule>
  </conditionalFormatting>
  <conditionalFormatting sqref="F72">
    <cfRule type="expression" dxfId="5877" priority="6170">
      <formula>IF(#REF!="FICTICIO",1,0)</formula>
    </cfRule>
  </conditionalFormatting>
  <conditionalFormatting sqref="E72">
    <cfRule type="expression" dxfId="5876" priority="6092">
      <formula>IF(#REF!="FICTICIO",1,0)</formula>
    </cfRule>
  </conditionalFormatting>
  <conditionalFormatting sqref="E72">
    <cfRule type="expression" dxfId="5875" priority="6091">
      <formula>IF(#REF!="FICTICIO",1,0)</formula>
    </cfRule>
  </conditionalFormatting>
  <conditionalFormatting sqref="E72">
    <cfRule type="expression" dxfId="5874" priority="6090">
      <formula>IF(#REF!="FICTICIO",1,0)</formula>
    </cfRule>
  </conditionalFormatting>
  <conditionalFormatting sqref="E72">
    <cfRule type="expression" dxfId="5873" priority="6089">
      <formula>IF(#REF!="FICTICIO",1,0)</formula>
    </cfRule>
  </conditionalFormatting>
  <conditionalFormatting sqref="E72">
    <cfRule type="expression" dxfId="5872" priority="6088">
      <formula>IF(#REF!="FICTICIO",1,0)</formula>
    </cfRule>
  </conditionalFormatting>
  <conditionalFormatting sqref="E72">
    <cfRule type="expression" dxfId="5871" priority="6087">
      <formula>IF(#REF!="FICTICIO",1,0)</formula>
    </cfRule>
  </conditionalFormatting>
  <conditionalFormatting sqref="E72">
    <cfRule type="expression" dxfId="5870" priority="6086">
      <formula>IF(#REF!="FICTICIO",1,0)</formula>
    </cfRule>
  </conditionalFormatting>
  <conditionalFormatting sqref="E72">
    <cfRule type="expression" dxfId="5869" priority="6085">
      <formula>IF(#REF!="FICTICIO",1,0)</formula>
    </cfRule>
  </conditionalFormatting>
  <conditionalFormatting sqref="E72">
    <cfRule type="expression" dxfId="5868" priority="6084">
      <formula>IF(#REF!="FICTICIO",1,0)</formula>
    </cfRule>
  </conditionalFormatting>
  <conditionalFormatting sqref="E72">
    <cfRule type="expression" dxfId="5867" priority="6083">
      <formula>IF(#REF!="FICTICIO",1,0)</formula>
    </cfRule>
  </conditionalFormatting>
  <conditionalFormatting sqref="E72">
    <cfRule type="expression" dxfId="5866" priority="6082">
      <formula>IF(#REF!="FICTICIO",1,0)</formula>
    </cfRule>
  </conditionalFormatting>
  <conditionalFormatting sqref="E72">
    <cfRule type="expression" dxfId="5865" priority="6081">
      <formula>IF(#REF!="FICTICIO",1,0)</formula>
    </cfRule>
  </conditionalFormatting>
  <conditionalFormatting sqref="E72">
    <cfRule type="expression" dxfId="5864" priority="6080">
      <formula>IF(#REF!="FICTICIO",1,0)</formula>
    </cfRule>
  </conditionalFormatting>
  <conditionalFormatting sqref="E72">
    <cfRule type="expression" dxfId="5863" priority="6079">
      <formula>IF(#REF!="FICTICIO",1,0)</formula>
    </cfRule>
  </conditionalFormatting>
  <conditionalFormatting sqref="E72">
    <cfRule type="expression" dxfId="5862" priority="6078">
      <formula>IF(#REF!="FICTICIO",1,0)</formula>
    </cfRule>
  </conditionalFormatting>
  <conditionalFormatting sqref="E72">
    <cfRule type="expression" dxfId="5861" priority="6077">
      <formula>IF(#REF!="FICTICIO",1,0)</formula>
    </cfRule>
  </conditionalFormatting>
  <conditionalFormatting sqref="E72">
    <cfRule type="expression" dxfId="5860" priority="6076">
      <formula>IF(#REF!="FICTICIO",1,0)</formula>
    </cfRule>
  </conditionalFormatting>
  <conditionalFormatting sqref="E72">
    <cfRule type="expression" dxfId="5859" priority="6075">
      <formula>IF(#REF!="FICTICIO",1,0)</formula>
    </cfRule>
  </conditionalFormatting>
  <conditionalFormatting sqref="E72">
    <cfRule type="expression" dxfId="5858" priority="6074">
      <formula>IF(#REF!="FICTICIO",1,0)</formula>
    </cfRule>
  </conditionalFormatting>
  <conditionalFormatting sqref="E72">
    <cfRule type="expression" dxfId="5857" priority="6073">
      <formula>IF(#REF!="FICTICIO",1,0)</formula>
    </cfRule>
  </conditionalFormatting>
  <conditionalFormatting sqref="E72">
    <cfRule type="expression" dxfId="5856" priority="6072">
      <formula>IF(#REF!="FICTICIO",1,0)</formula>
    </cfRule>
  </conditionalFormatting>
  <conditionalFormatting sqref="E72">
    <cfRule type="expression" dxfId="5855" priority="6071">
      <formula>IF(#REF!="FICTICIO",1,0)</formula>
    </cfRule>
  </conditionalFormatting>
  <conditionalFormatting sqref="E72">
    <cfRule type="expression" dxfId="5854" priority="6070">
      <formula>IF(#REF!="FICTICIO",1,0)</formula>
    </cfRule>
  </conditionalFormatting>
  <conditionalFormatting sqref="E72">
    <cfRule type="expression" dxfId="5853" priority="6069">
      <formula>IF(#REF!="FICTICIO",1,0)</formula>
    </cfRule>
  </conditionalFormatting>
  <conditionalFormatting sqref="E72">
    <cfRule type="expression" dxfId="5852" priority="6068">
      <formula>IF(#REF!="FICTICIO",1,0)</formula>
    </cfRule>
  </conditionalFormatting>
  <conditionalFormatting sqref="E72">
    <cfRule type="expression" dxfId="5851" priority="6067">
      <formula>IF(#REF!="FICTICIO",1,0)</formula>
    </cfRule>
  </conditionalFormatting>
  <conditionalFormatting sqref="E72">
    <cfRule type="expression" dxfId="5850" priority="6066">
      <formula>IF(#REF!="FICTICIO",1,0)</formula>
    </cfRule>
  </conditionalFormatting>
  <conditionalFormatting sqref="E72">
    <cfRule type="expression" dxfId="5849" priority="6065">
      <formula>IF(#REF!="FICTICIO",1,0)</formula>
    </cfRule>
  </conditionalFormatting>
  <conditionalFormatting sqref="E72">
    <cfRule type="expression" dxfId="5848" priority="6064">
      <formula>IF(#REF!="FICTICIO",1,0)</formula>
    </cfRule>
  </conditionalFormatting>
  <conditionalFormatting sqref="E72">
    <cfRule type="expression" dxfId="5847" priority="6063">
      <formula>IF(#REF!="FICTICIO",1,0)</formula>
    </cfRule>
  </conditionalFormatting>
  <conditionalFormatting sqref="E72">
    <cfRule type="expression" dxfId="5846" priority="6062">
      <formula>IF(#REF!="FICTICIO",1,0)</formula>
    </cfRule>
  </conditionalFormatting>
  <conditionalFormatting sqref="E72">
    <cfRule type="expression" dxfId="5845" priority="6061">
      <formula>IF(#REF!="FICTICIO",1,0)</formula>
    </cfRule>
  </conditionalFormatting>
  <conditionalFormatting sqref="E72">
    <cfRule type="expression" dxfId="5844" priority="6060">
      <formula>IF(#REF!="FICTICIO",1,0)</formula>
    </cfRule>
  </conditionalFormatting>
  <conditionalFormatting sqref="E72">
    <cfRule type="expression" dxfId="5843" priority="6059">
      <formula>IF(#REF!="FICTICIO",1,0)</formula>
    </cfRule>
  </conditionalFormatting>
  <conditionalFormatting sqref="E72">
    <cfRule type="expression" dxfId="5842" priority="6058">
      <formula>IF(#REF!="FICTICIO",1,0)</formula>
    </cfRule>
  </conditionalFormatting>
  <conditionalFormatting sqref="E72">
    <cfRule type="expression" dxfId="5841" priority="6057">
      <formula>IF(#REF!="FICTICIO",1,0)</formula>
    </cfRule>
  </conditionalFormatting>
  <conditionalFormatting sqref="E72">
    <cfRule type="expression" dxfId="5840" priority="6056">
      <formula>IF(#REF!="FICTICIO",1,0)</formula>
    </cfRule>
  </conditionalFormatting>
  <conditionalFormatting sqref="E72">
    <cfRule type="expression" dxfId="5839" priority="6055">
      <formula>IF(#REF!="FICTICIO",1,0)</formula>
    </cfRule>
  </conditionalFormatting>
  <conditionalFormatting sqref="E72">
    <cfRule type="expression" dxfId="5838" priority="6054">
      <formula>IF(#REF!="FICTICIO",1,0)</formula>
    </cfRule>
  </conditionalFormatting>
  <conditionalFormatting sqref="E72">
    <cfRule type="expression" dxfId="5837" priority="6053">
      <formula>IF(#REF!="FICTICIO",1,0)</formula>
    </cfRule>
  </conditionalFormatting>
  <conditionalFormatting sqref="E72">
    <cfRule type="expression" dxfId="5836" priority="6052">
      <formula>IF(#REF!="FICTICIO",1,0)</formula>
    </cfRule>
  </conditionalFormatting>
  <conditionalFormatting sqref="E72">
    <cfRule type="expression" dxfId="5835" priority="6051">
      <formula>IF(#REF!="FICTICIO",1,0)</formula>
    </cfRule>
  </conditionalFormatting>
  <conditionalFormatting sqref="E72">
    <cfRule type="expression" dxfId="5834" priority="6050">
      <formula>IF(#REF!="FICTICIO",1,0)</formula>
    </cfRule>
  </conditionalFormatting>
  <conditionalFormatting sqref="E72">
    <cfRule type="expression" dxfId="5833" priority="6049">
      <formula>IF(#REF!="FICTICIO",1,0)</formula>
    </cfRule>
  </conditionalFormatting>
  <conditionalFormatting sqref="E72">
    <cfRule type="expression" dxfId="5832" priority="6048">
      <formula>IF(#REF!="FICTICIO",1,0)</formula>
    </cfRule>
  </conditionalFormatting>
  <conditionalFormatting sqref="E72">
    <cfRule type="expression" dxfId="5831" priority="6047">
      <formula>IF(#REF!="FICTICIO",1,0)</formula>
    </cfRule>
  </conditionalFormatting>
  <conditionalFormatting sqref="E72">
    <cfRule type="expression" dxfId="5830" priority="6046">
      <formula>IF(#REF!="FICTICIO",1,0)</formula>
    </cfRule>
  </conditionalFormatting>
  <conditionalFormatting sqref="E72">
    <cfRule type="expression" dxfId="5829" priority="6045">
      <formula>IF(#REF!="FICTICIO",1,0)</formula>
    </cfRule>
  </conditionalFormatting>
  <conditionalFormatting sqref="E72">
    <cfRule type="expression" dxfId="5828" priority="6044">
      <formula>IF(#REF!="FICTICIO",1,0)</formula>
    </cfRule>
  </conditionalFormatting>
  <conditionalFormatting sqref="E72">
    <cfRule type="expression" dxfId="5827" priority="6043">
      <formula>IF(#REF!="FICTICIO",1,0)</formula>
    </cfRule>
  </conditionalFormatting>
  <conditionalFormatting sqref="E72">
    <cfRule type="expression" dxfId="5826" priority="6042">
      <formula>IF(#REF!="FICTICIO",1,0)</formula>
    </cfRule>
  </conditionalFormatting>
  <conditionalFormatting sqref="E72">
    <cfRule type="expression" dxfId="5825" priority="6041">
      <formula>IF(#REF!="FICTICIO",1,0)</formula>
    </cfRule>
  </conditionalFormatting>
  <conditionalFormatting sqref="E72">
    <cfRule type="expression" dxfId="5824" priority="6040">
      <formula>IF(#REF!="FICTICIO",1,0)</formula>
    </cfRule>
  </conditionalFormatting>
  <conditionalFormatting sqref="E72">
    <cfRule type="expression" dxfId="5823" priority="6039">
      <formula>IF(#REF!="FICTICIO",1,0)</formula>
    </cfRule>
  </conditionalFormatting>
  <conditionalFormatting sqref="E72">
    <cfRule type="expression" dxfId="5822" priority="6038">
      <formula>IF(#REF!="FICTICIO",1,0)</formula>
    </cfRule>
  </conditionalFormatting>
  <conditionalFormatting sqref="E72">
    <cfRule type="expression" dxfId="5821" priority="6037">
      <formula>IF(#REF!="FICTICIO",1,0)</formula>
    </cfRule>
  </conditionalFormatting>
  <conditionalFormatting sqref="E72">
    <cfRule type="expression" dxfId="5820" priority="6036">
      <formula>IF(#REF!="FICTICIO",1,0)</formula>
    </cfRule>
  </conditionalFormatting>
  <conditionalFormatting sqref="E72">
    <cfRule type="expression" dxfId="5819" priority="6035">
      <formula>IF(#REF!="FICTICIO",1,0)</formula>
    </cfRule>
  </conditionalFormatting>
  <conditionalFormatting sqref="E72">
    <cfRule type="expression" dxfId="5818" priority="6034">
      <formula>IF(#REF!="FICTICIO",1,0)</formula>
    </cfRule>
  </conditionalFormatting>
  <conditionalFormatting sqref="E72">
    <cfRule type="expression" dxfId="5817" priority="6033">
      <formula>IF(#REF!="FICTICIO",1,0)</formula>
    </cfRule>
  </conditionalFormatting>
  <conditionalFormatting sqref="E72">
    <cfRule type="expression" dxfId="5816" priority="6032">
      <formula>IF(#REF!="FICTICIO",1,0)</formula>
    </cfRule>
  </conditionalFormatting>
  <conditionalFormatting sqref="E72">
    <cfRule type="expression" dxfId="5815" priority="6031">
      <formula>IF(#REF!="FICTICIO",1,0)</formula>
    </cfRule>
  </conditionalFormatting>
  <conditionalFormatting sqref="E72">
    <cfRule type="expression" dxfId="5814" priority="6030">
      <formula>IF(#REF!="FICTICIO",1,0)</formula>
    </cfRule>
  </conditionalFormatting>
  <conditionalFormatting sqref="E72">
    <cfRule type="expression" dxfId="5813" priority="6029">
      <formula>IF(#REF!="FICTICIO",1,0)</formula>
    </cfRule>
  </conditionalFormatting>
  <conditionalFormatting sqref="E72">
    <cfRule type="expression" dxfId="5812" priority="6028">
      <formula>IF(#REF!="FICTICIO",1,0)</formula>
    </cfRule>
  </conditionalFormatting>
  <conditionalFormatting sqref="E72">
    <cfRule type="expression" dxfId="5811" priority="6027">
      <formula>IF(#REF!="FICTICIO",1,0)</formula>
    </cfRule>
  </conditionalFormatting>
  <conditionalFormatting sqref="E72">
    <cfRule type="expression" dxfId="5810" priority="6026">
      <formula>IF(#REF!="FICTICIO",1,0)</formula>
    </cfRule>
  </conditionalFormatting>
  <conditionalFormatting sqref="E72">
    <cfRule type="expression" dxfId="5809" priority="6025">
      <formula>IF(#REF!="FICTICIO",1,0)</formula>
    </cfRule>
  </conditionalFormatting>
  <conditionalFormatting sqref="E72">
    <cfRule type="expression" dxfId="5808" priority="6024">
      <formula>IF(#REF!="FICTICIO",1,0)</formula>
    </cfRule>
  </conditionalFormatting>
  <conditionalFormatting sqref="E72">
    <cfRule type="expression" dxfId="5807" priority="6023">
      <formula>IF(#REF!="FICTICIO",1,0)</formula>
    </cfRule>
  </conditionalFormatting>
  <conditionalFormatting sqref="E72">
    <cfRule type="expression" dxfId="5806" priority="6022">
      <formula>IF(#REF!="FICTICIO",1,0)</formula>
    </cfRule>
  </conditionalFormatting>
  <conditionalFormatting sqref="E72">
    <cfRule type="expression" dxfId="5805" priority="6021">
      <formula>IF(#REF!="FICTICIO",1,0)</formula>
    </cfRule>
  </conditionalFormatting>
  <conditionalFormatting sqref="E72">
    <cfRule type="expression" dxfId="5804" priority="6020">
      <formula>IF(#REF!="FICTICIO",1,0)</formula>
    </cfRule>
  </conditionalFormatting>
  <conditionalFormatting sqref="E72">
    <cfRule type="expression" dxfId="5803" priority="6019">
      <formula>IF(#REF!="FICTICIO",1,0)</formula>
    </cfRule>
  </conditionalFormatting>
  <conditionalFormatting sqref="E72">
    <cfRule type="expression" dxfId="5802" priority="6018">
      <formula>IF(#REF!="FICTICIO",1,0)</formula>
    </cfRule>
  </conditionalFormatting>
  <conditionalFormatting sqref="E72">
    <cfRule type="expression" dxfId="5801" priority="6017">
      <formula>IF(#REF!="FICTICIO",1,0)</formula>
    </cfRule>
  </conditionalFormatting>
  <conditionalFormatting sqref="E73">
    <cfRule type="expression" dxfId="5800" priority="6016">
      <formula>IF(#REF!="FICTICIO",1,0)</formula>
    </cfRule>
  </conditionalFormatting>
  <conditionalFormatting sqref="E73">
    <cfRule type="expression" dxfId="5799" priority="6015">
      <formula>IF(#REF!="FICTICIO",1,0)</formula>
    </cfRule>
  </conditionalFormatting>
  <conditionalFormatting sqref="E73">
    <cfRule type="expression" dxfId="5798" priority="6014">
      <formula>IF(#REF!="FICTICIO",1,0)</formula>
    </cfRule>
  </conditionalFormatting>
  <conditionalFormatting sqref="E73">
    <cfRule type="expression" dxfId="5797" priority="6013">
      <formula>IF(#REF!="FICTICIO",1,0)</formula>
    </cfRule>
  </conditionalFormatting>
  <conditionalFormatting sqref="E73">
    <cfRule type="expression" dxfId="5796" priority="6012">
      <formula>IF(#REF!="FICTICIO",1,0)</formula>
    </cfRule>
  </conditionalFormatting>
  <conditionalFormatting sqref="E73">
    <cfRule type="expression" dxfId="5795" priority="6011">
      <formula>IF(#REF!="FICTICIO",1,0)</formula>
    </cfRule>
  </conditionalFormatting>
  <conditionalFormatting sqref="E73">
    <cfRule type="expression" dxfId="5794" priority="6010">
      <formula>IF(#REF!="FICTICIO",1,0)</formula>
    </cfRule>
  </conditionalFormatting>
  <conditionalFormatting sqref="E73">
    <cfRule type="expression" dxfId="5793" priority="6009">
      <formula>IF(#REF!="FICTICIO",1,0)</formula>
    </cfRule>
  </conditionalFormatting>
  <conditionalFormatting sqref="E73">
    <cfRule type="expression" dxfId="5792" priority="6008">
      <formula>IF(#REF!="FICTICIO",1,0)</formula>
    </cfRule>
  </conditionalFormatting>
  <conditionalFormatting sqref="E73">
    <cfRule type="expression" dxfId="5791" priority="6007">
      <formula>IF(#REF!="FICTICIO",1,0)</formula>
    </cfRule>
  </conditionalFormatting>
  <conditionalFormatting sqref="E73">
    <cfRule type="expression" dxfId="5790" priority="6006">
      <formula>IF(#REF!="FICTICIO",1,0)</formula>
    </cfRule>
  </conditionalFormatting>
  <conditionalFormatting sqref="E73">
    <cfRule type="expression" dxfId="5789" priority="6005">
      <formula>IF(#REF!="FICTICIO",1,0)</formula>
    </cfRule>
  </conditionalFormatting>
  <conditionalFormatting sqref="E73">
    <cfRule type="expression" dxfId="5788" priority="6004">
      <formula>IF(#REF!="FICTICIO",1,0)</formula>
    </cfRule>
  </conditionalFormatting>
  <conditionalFormatting sqref="E73">
    <cfRule type="expression" dxfId="5787" priority="6003">
      <formula>IF(#REF!="FICTICIO",1,0)</formula>
    </cfRule>
  </conditionalFormatting>
  <conditionalFormatting sqref="E73">
    <cfRule type="expression" dxfId="5786" priority="6002">
      <formula>IF(#REF!="FICTICIO",1,0)</formula>
    </cfRule>
  </conditionalFormatting>
  <conditionalFormatting sqref="E73">
    <cfRule type="expression" dxfId="5785" priority="6001">
      <formula>IF(#REF!="FICTICIO",1,0)</formula>
    </cfRule>
  </conditionalFormatting>
  <conditionalFormatting sqref="E73">
    <cfRule type="expression" dxfId="5784" priority="6000">
      <formula>IF(#REF!="FICTICIO",1,0)</formula>
    </cfRule>
  </conditionalFormatting>
  <conditionalFormatting sqref="E73">
    <cfRule type="expression" dxfId="5783" priority="5999">
      <formula>IF(#REF!="FICTICIO",1,0)</formula>
    </cfRule>
  </conditionalFormatting>
  <conditionalFormatting sqref="E73">
    <cfRule type="expression" dxfId="5782" priority="5998">
      <formula>IF(#REF!="FICTICIO",1,0)</formula>
    </cfRule>
  </conditionalFormatting>
  <conditionalFormatting sqref="E73">
    <cfRule type="expression" dxfId="5781" priority="5997">
      <formula>IF(#REF!="FICTICIO",1,0)</formula>
    </cfRule>
  </conditionalFormatting>
  <conditionalFormatting sqref="E73">
    <cfRule type="expression" dxfId="5780" priority="5996">
      <formula>IF(#REF!="FICTICIO",1,0)</formula>
    </cfRule>
  </conditionalFormatting>
  <conditionalFormatting sqref="E73">
    <cfRule type="expression" dxfId="5779" priority="5995">
      <formula>IF(#REF!="FICTICIO",1,0)</formula>
    </cfRule>
  </conditionalFormatting>
  <conditionalFormatting sqref="E73">
    <cfRule type="expression" dxfId="5778" priority="5994">
      <formula>IF(#REF!="FICTICIO",1,0)</formula>
    </cfRule>
  </conditionalFormatting>
  <conditionalFormatting sqref="E73">
    <cfRule type="expression" dxfId="5777" priority="5993">
      <formula>IF(#REF!="FICTICIO",1,0)</formula>
    </cfRule>
  </conditionalFormatting>
  <conditionalFormatting sqref="E73">
    <cfRule type="expression" dxfId="5776" priority="5992">
      <formula>IF(#REF!="FICTICIO",1,0)</formula>
    </cfRule>
  </conditionalFormatting>
  <conditionalFormatting sqref="E73">
    <cfRule type="expression" dxfId="5775" priority="5991">
      <formula>IF(#REF!="FICTICIO",1,0)</formula>
    </cfRule>
  </conditionalFormatting>
  <conditionalFormatting sqref="E73">
    <cfRule type="expression" dxfId="5774" priority="5990">
      <formula>IF(#REF!="FICTICIO",1,0)</formula>
    </cfRule>
  </conditionalFormatting>
  <conditionalFormatting sqref="E73">
    <cfRule type="expression" dxfId="5773" priority="5989">
      <formula>IF(#REF!="FICTICIO",1,0)</formula>
    </cfRule>
  </conditionalFormatting>
  <conditionalFormatting sqref="E73">
    <cfRule type="expression" dxfId="5772" priority="5988">
      <formula>IF(#REF!="FICTICIO",1,0)</formula>
    </cfRule>
  </conditionalFormatting>
  <conditionalFormatting sqref="E73">
    <cfRule type="expression" dxfId="5771" priority="5987">
      <formula>IF(#REF!="FICTICIO",1,0)</formula>
    </cfRule>
  </conditionalFormatting>
  <conditionalFormatting sqref="E73">
    <cfRule type="expression" dxfId="5770" priority="5986">
      <formula>IF(#REF!="FICTICIO",1,0)</formula>
    </cfRule>
  </conditionalFormatting>
  <conditionalFormatting sqref="E73">
    <cfRule type="expression" dxfId="5769" priority="5985">
      <formula>IF(#REF!="FICTICIO",1,0)</formula>
    </cfRule>
  </conditionalFormatting>
  <conditionalFormatting sqref="E73">
    <cfRule type="expression" dxfId="5768" priority="5984">
      <formula>IF(#REF!="FICTICIO",1,0)</formula>
    </cfRule>
  </conditionalFormatting>
  <conditionalFormatting sqref="E73">
    <cfRule type="expression" dxfId="5767" priority="5983">
      <formula>IF(#REF!="FICTICIO",1,0)</formula>
    </cfRule>
  </conditionalFormatting>
  <conditionalFormatting sqref="E73">
    <cfRule type="expression" dxfId="5766" priority="5982">
      <formula>IF(#REF!="FICTICIO",1,0)</formula>
    </cfRule>
  </conditionalFormatting>
  <conditionalFormatting sqref="E73">
    <cfRule type="expression" dxfId="5765" priority="5981">
      <formula>IF(#REF!="FICTICIO",1,0)</formula>
    </cfRule>
  </conditionalFormatting>
  <conditionalFormatting sqref="E73">
    <cfRule type="expression" dxfId="5764" priority="5980">
      <formula>IF(#REF!="FICTICIO",1,0)</formula>
    </cfRule>
  </conditionalFormatting>
  <conditionalFormatting sqref="E73">
    <cfRule type="expression" dxfId="5763" priority="5979">
      <formula>IF(#REF!="FICTICIO",1,0)</formula>
    </cfRule>
  </conditionalFormatting>
  <conditionalFormatting sqref="E73">
    <cfRule type="expression" dxfId="5762" priority="5978">
      <formula>IF(#REF!="FICTICIO",1,0)</formula>
    </cfRule>
  </conditionalFormatting>
  <conditionalFormatting sqref="E73">
    <cfRule type="expression" dxfId="5761" priority="5977">
      <formula>IF(#REF!="FICTICIO",1,0)</formula>
    </cfRule>
  </conditionalFormatting>
  <conditionalFormatting sqref="E73">
    <cfRule type="expression" dxfId="5760" priority="5976">
      <formula>IF(#REF!="FICTICIO",1,0)</formula>
    </cfRule>
  </conditionalFormatting>
  <conditionalFormatting sqref="E73">
    <cfRule type="expression" dxfId="5759" priority="5975">
      <formula>IF(#REF!="FICTICIO",1,0)</formula>
    </cfRule>
  </conditionalFormatting>
  <conditionalFormatting sqref="E73">
    <cfRule type="expression" dxfId="5758" priority="5974">
      <formula>IF(#REF!="FICTICIO",1,0)</formula>
    </cfRule>
  </conditionalFormatting>
  <conditionalFormatting sqref="E73">
    <cfRule type="expression" dxfId="5757" priority="5973">
      <formula>IF(#REF!="FICTICIO",1,0)</formula>
    </cfRule>
  </conditionalFormatting>
  <conditionalFormatting sqref="E73">
    <cfRule type="expression" dxfId="5756" priority="5972">
      <formula>IF(#REF!="FICTICIO",1,0)</formula>
    </cfRule>
  </conditionalFormatting>
  <conditionalFormatting sqref="E73">
    <cfRule type="expression" dxfId="5755" priority="5971">
      <formula>IF(#REF!="FICTICIO",1,0)</formula>
    </cfRule>
  </conditionalFormatting>
  <conditionalFormatting sqref="E73">
    <cfRule type="expression" dxfId="5754" priority="5970">
      <formula>IF(#REF!="FICTICIO",1,0)</formula>
    </cfRule>
  </conditionalFormatting>
  <conditionalFormatting sqref="E73">
    <cfRule type="expression" dxfId="5753" priority="5969">
      <formula>IF(#REF!="FICTICIO",1,0)</formula>
    </cfRule>
  </conditionalFormatting>
  <conditionalFormatting sqref="E73">
    <cfRule type="expression" dxfId="5752" priority="5968">
      <formula>IF(#REF!="FICTICIO",1,0)</formula>
    </cfRule>
  </conditionalFormatting>
  <conditionalFormatting sqref="E73">
    <cfRule type="expression" dxfId="5751" priority="5967">
      <formula>IF(#REF!="FICTICIO",1,0)</formula>
    </cfRule>
  </conditionalFormatting>
  <conditionalFormatting sqref="E73">
    <cfRule type="expression" dxfId="5750" priority="5966">
      <formula>IF(#REF!="FICTICIO",1,0)</formula>
    </cfRule>
  </conditionalFormatting>
  <conditionalFormatting sqref="E73">
    <cfRule type="expression" dxfId="5749" priority="5965">
      <formula>IF(#REF!="FICTICIO",1,0)</formula>
    </cfRule>
  </conditionalFormatting>
  <conditionalFormatting sqref="E73">
    <cfRule type="expression" dxfId="5748" priority="5964">
      <formula>IF(#REF!="FICTICIO",1,0)</formula>
    </cfRule>
  </conditionalFormatting>
  <conditionalFormatting sqref="E73">
    <cfRule type="expression" dxfId="5747" priority="5963">
      <formula>IF(#REF!="FICTICIO",1,0)</formula>
    </cfRule>
  </conditionalFormatting>
  <conditionalFormatting sqref="E73">
    <cfRule type="expression" dxfId="5746" priority="5962">
      <formula>IF(#REF!="FICTICIO",1,0)</formula>
    </cfRule>
  </conditionalFormatting>
  <conditionalFormatting sqref="E73">
    <cfRule type="expression" dxfId="5745" priority="5961">
      <formula>IF(#REF!="FICTICIO",1,0)</formula>
    </cfRule>
  </conditionalFormatting>
  <conditionalFormatting sqref="E73">
    <cfRule type="expression" dxfId="5744" priority="5960">
      <formula>IF(#REF!="FICTICIO",1,0)</formula>
    </cfRule>
  </conditionalFormatting>
  <conditionalFormatting sqref="E73">
    <cfRule type="expression" dxfId="5743" priority="5959">
      <formula>IF(#REF!="FICTICIO",1,0)</formula>
    </cfRule>
  </conditionalFormatting>
  <conditionalFormatting sqref="E73">
    <cfRule type="expression" dxfId="5742" priority="5958">
      <formula>IF(#REF!="FICTICIO",1,0)</formula>
    </cfRule>
  </conditionalFormatting>
  <conditionalFormatting sqref="E73">
    <cfRule type="expression" dxfId="5741" priority="5957">
      <formula>IF(#REF!="FICTICIO",1,0)</formula>
    </cfRule>
  </conditionalFormatting>
  <conditionalFormatting sqref="E73">
    <cfRule type="expression" dxfId="5740" priority="5956">
      <formula>IF(#REF!="FICTICIO",1,0)</formula>
    </cfRule>
  </conditionalFormatting>
  <conditionalFormatting sqref="E73">
    <cfRule type="expression" dxfId="5739" priority="5955">
      <formula>IF(#REF!="FICTICIO",1,0)</formula>
    </cfRule>
  </conditionalFormatting>
  <conditionalFormatting sqref="E73">
    <cfRule type="expression" dxfId="5738" priority="5954">
      <formula>IF(#REF!="FICTICIO",1,0)</formula>
    </cfRule>
  </conditionalFormatting>
  <conditionalFormatting sqref="E73">
    <cfRule type="expression" dxfId="5737" priority="5953">
      <formula>IF(#REF!="FICTICIO",1,0)</formula>
    </cfRule>
  </conditionalFormatting>
  <conditionalFormatting sqref="E73">
    <cfRule type="expression" dxfId="5736" priority="5952">
      <formula>IF(#REF!="FICTICIO",1,0)</formula>
    </cfRule>
  </conditionalFormatting>
  <conditionalFormatting sqref="E73">
    <cfRule type="expression" dxfId="5735" priority="5951">
      <formula>IF(#REF!="FICTICIO",1,0)</formula>
    </cfRule>
  </conditionalFormatting>
  <conditionalFormatting sqref="E73">
    <cfRule type="expression" dxfId="5734" priority="5950">
      <formula>IF(#REF!="FICTICIO",1,0)</formula>
    </cfRule>
  </conditionalFormatting>
  <conditionalFormatting sqref="E73">
    <cfRule type="expression" dxfId="5733" priority="5949">
      <formula>IF(#REF!="FICTICIO",1,0)</formula>
    </cfRule>
  </conditionalFormatting>
  <conditionalFormatting sqref="E73">
    <cfRule type="expression" dxfId="5732" priority="5948">
      <formula>IF(#REF!="FICTICIO",1,0)</formula>
    </cfRule>
  </conditionalFormatting>
  <conditionalFormatting sqref="E73">
    <cfRule type="expression" dxfId="5731" priority="5947">
      <formula>IF(#REF!="FICTICIO",1,0)</formula>
    </cfRule>
  </conditionalFormatting>
  <conditionalFormatting sqref="E73">
    <cfRule type="expression" dxfId="5730" priority="5946">
      <formula>IF(#REF!="FICTICIO",1,0)</formula>
    </cfRule>
  </conditionalFormatting>
  <conditionalFormatting sqref="E73">
    <cfRule type="expression" dxfId="5729" priority="5945">
      <formula>IF(#REF!="FICTICIO",1,0)</formula>
    </cfRule>
  </conditionalFormatting>
  <conditionalFormatting sqref="E73">
    <cfRule type="expression" dxfId="5728" priority="5944">
      <formula>IF(#REF!="FICTICIO",1,0)</formula>
    </cfRule>
  </conditionalFormatting>
  <conditionalFormatting sqref="E73">
    <cfRule type="expression" dxfId="5727" priority="5943">
      <formula>IF(#REF!="FICTICIO",1,0)</formula>
    </cfRule>
  </conditionalFormatting>
  <conditionalFormatting sqref="E73">
    <cfRule type="expression" dxfId="5726" priority="5942">
      <formula>IF(#REF!="FICTICIO",1,0)</formula>
    </cfRule>
  </conditionalFormatting>
  <conditionalFormatting sqref="E73">
    <cfRule type="expression" dxfId="5725" priority="5941">
      <formula>IF(#REF!="FICTICIO",1,0)</formula>
    </cfRule>
  </conditionalFormatting>
  <conditionalFormatting sqref="D74">
    <cfRule type="expression" dxfId="5724" priority="5939">
      <formula>IF(#REF!="FICTICIO",1,0)</formula>
    </cfRule>
  </conditionalFormatting>
  <conditionalFormatting sqref="D74">
    <cfRule type="expression" dxfId="5723" priority="5940">
      <formula>IF(#REF!="FICTICIO",1,0)</formula>
    </cfRule>
  </conditionalFormatting>
  <conditionalFormatting sqref="D74">
    <cfRule type="expression" dxfId="5722" priority="5937">
      <formula>IF(#REF!="FICTICIO",1,0)</formula>
    </cfRule>
  </conditionalFormatting>
  <conditionalFormatting sqref="D74">
    <cfRule type="expression" dxfId="5721" priority="5938">
      <formula>IF(#REF!="FICTICIO",1,0)</formula>
    </cfRule>
  </conditionalFormatting>
  <conditionalFormatting sqref="D74">
    <cfRule type="expression" dxfId="5720" priority="5935">
      <formula>IF(#REF!="FICTICIO",1,0)</formula>
    </cfRule>
  </conditionalFormatting>
  <conditionalFormatting sqref="D74">
    <cfRule type="expression" dxfId="5719" priority="5936">
      <formula>IF(#REF!="FICTICIO",1,0)</formula>
    </cfRule>
  </conditionalFormatting>
  <conditionalFormatting sqref="F74">
    <cfRule type="expression" dxfId="5718" priority="5934">
      <formula>IF(#REF!="FICTICIO",1,0)</formula>
    </cfRule>
  </conditionalFormatting>
  <conditionalFormatting sqref="E74">
    <cfRule type="expression" dxfId="5717" priority="5933">
      <formula>IF(#REF!="FICTICIO",1,0)</formula>
    </cfRule>
  </conditionalFormatting>
  <conditionalFormatting sqref="E74">
    <cfRule type="expression" dxfId="5716" priority="5932">
      <formula>IF(#REF!="FICTICIO",1,0)</formula>
    </cfRule>
  </conditionalFormatting>
  <conditionalFormatting sqref="E74">
    <cfRule type="expression" dxfId="5715" priority="5931">
      <formula>IF(#REF!="FICTICIO",1,0)</formula>
    </cfRule>
  </conditionalFormatting>
  <conditionalFormatting sqref="E74">
    <cfRule type="expression" dxfId="5714" priority="5930">
      <formula>IF(#REF!="FICTICIO",1,0)</formula>
    </cfRule>
  </conditionalFormatting>
  <conditionalFormatting sqref="E74">
    <cfRule type="expression" dxfId="5713" priority="5929">
      <formula>IF(#REF!="FICTICIO",1,0)</formula>
    </cfRule>
  </conditionalFormatting>
  <conditionalFormatting sqref="E74">
    <cfRule type="expression" dxfId="5712" priority="5928">
      <formula>IF(#REF!="FICTICIO",1,0)</formula>
    </cfRule>
  </conditionalFormatting>
  <conditionalFormatting sqref="E74">
    <cfRule type="expression" dxfId="5711" priority="5927">
      <formula>IF(#REF!="FICTICIO",1,0)</formula>
    </cfRule>
  </conditionalFormatting>
  <conditionalFormatting sqref="E74">
    <cfRule type="expression" dxfId="5710" priority="5926">
      <formula>IF(#REF!="FICTICIO",1,0)</formula>
    </cfRule>
  </conditionalFormatting>
  <conditionalFormatting sqref="E74">
    <cfRule type="expression" dxfId="5709" priority="5925">
      <formula>IF(#REF!="FICTICIO",1,0)</formula>
    </cfRule>
  </conditionalFormatting>
  <conditionalFormatting sqref="E74">
    <cfRule type="expression" dxfId="5708" priority="5924">
      <formula>IF(#REF!="FICTICIO",1,0)</formula>
    </cfRule>
  </conditionalFormatting>
  <conditionalFormatting sqref="E74">
    <cfRule type="expression" dxfId="5707" priority="5923">
      <formula>IF(#REF!="FICTICIO",1,0)</formula>
    </cfRule>
  </conditionalFormatting>
  <conditionalFormatting sqref="E74">
    <cfRule type="expression" dxfId="5706" priority="5922">
      <formula>IF(#REF!="FICTICIO",1,0)</formula>
    </cfRule>
  </conditionalFormatting>
  <conditionalFormatting sqref="E74">
    <cfRule type="expression" dxfId="5705" priority="5921">
      <formula>IF(#REF!="FICTICIO",1,0)</formula>
    </cfRule>
  </conditionalFormatting>
  <conditionalFormatting sqref="E74">
    <cfRule type="expression" dxfId="5704" priority="5920">
      <formula>IF(#REF!="FICTICIO",1,0)</formula>
    </cfRule>
  </conditionalFormatting>
  <conditionalFormatting sqref="E74">
    <cfRule type="expression" dxfId="5703" priority="5919">
      <formula>IF(#REF!="FICTICIO",1,0)</formula>
    </cfRule>
  </conditionalFormatting>
  <conditionalFormatting sqref="E74">
    <cfRule type="expression" dxfId="5702" priority="5918">
      <formula>IF(#REF!="FICTICIO",1,0)</formula>
    </cfRule>
  </conditionalFormatting>
  <conditionalFormatting sqref="E74">
    <cfRule type="expression" dxfId="5701" priority="5917">
      <formula>IF(#REF!="FICTICIO",1,0)</formula>
    </cfRule>
  </conditionalFormatting>
  <conditionalFormatting sqref="E74">
    <cfRule type="expression" dxfId="5700" priority="5916">
      <formula>IF(#REF!="FICTICIO",1,0)</formula>
    </cfRule>
  </conditionalFormatting>
  <conditionalFormatting sqref="E74">
    <cfRule type="expression" dxfId="5699" priority="5915">
      <formula>IF(#REF!="FICTICIO",1,0)</formula>
    </cfRule>
  </conditionalFormatting>
  <conditionalFormatting sqref="E74">
    <cfRule type="expression" dxfId="5698" priority="5914">
      <formula>IF(#REF!="FICTICIO",1,0)</formula>
    </cfRule>
  </conditionalFormatting>
  <conditionalFormatting sqref="E74">
    <cfRule type="expression" dxfId="5697" priority="5913">
      <formula>IF(#REF!="FICTICIO",1,0)</formula>
    </cfRule>
  </conditionalFormatting>
  <conditionalFormatting sqref="E74">
    <cfRule type="expression" dxfId="5696" priority="5912">
      <formula>IF(#REF!="FICTICIO",1,0)</formula>
    </cfRule>
  </conditionalFormatting>
  <conditionalFormatting sqref="E74">
    <cfRule type="expression" dxfId="5695" priority="5911">
      <formula>IF(#REF!="FICTICIO",1,0)</formula>
    </cfRule>
  </conditionalFormatting>
  <conditionalFormatting sqref="E74">
    <cfRule type="expression" dxfId="5694" priority="5910">
      <formula>IF(#REF!="FICTICIO",1,0)</formula>
    </cfRule>
  </conditionalFormatting>
  <conditionalFormatting sqref="E74">
    <cfRule type="expression" dxfId="5693" priority="5909">
      <formula>IF(#REF!="FICTICIO",1,0)</formula>
    </cfRule>
  </conditionalFormatting>
  <conditionalFormatting sqref="E74">
    <cfRule type="expression" dxfId="5692" priority="5908">
      <formula>IF(#REF!="FICTICIO",1,0)</formula>
    </cfRule>
  </conditionalFormatting>
  <conditionalFormatting sqref="E74">
    <cfRule type="expression" dxfId="5691" priority="5907">
      <formula>IF(#REF!="FICTICIO",1,0)</formula>
    </cfRule>
  </conditionalFormatting>
  <conditionalFormatting sqref="E74">
    <cfRule type="expression" dxfId="5690" priority="5906">
      <formula>IF(#REF!="FICTICIO",1,0)</formula>
    </cfRule>
  </conditionalFormatting>
  <conditionalFormatting sqref="E74">
    <cfRule type="expression" dxfId="5689" priority="5905">
      <formula>IF(#REF!="FICTICIO",1,0)</formula>
    </cfRule>
  </conditionalFormatting>
  <conditionalFormatting sqref="E74">
    <cfRule type="expression" dxfId="5688" priority="5904">
      <formula>IF(#REF!="FICTICIO",1,0)</formula>
    </cfRule>
  </conditionalFormatting>
  <conditionalFormatting sqref="E74">
    <cfRule type="expression" dxfId="5687" priority="5903">
      <formula>IF(#REF!="FICTICIO",1,0)</formula>
    </cfRule>
  </conditionalFormatting>
  <conditionalFormatting sqref="E74">
    <cfRule type="expression" dxfId="5686" priority="5902">
      <formula>IF(#REF!="FICTICIO",1,0)</formula>
    </cfRule>
  </conditionalFormatting>
  <conditionalFormatting sqref="E74">
    <cfRule type="expression" dxfId="5685" priority="5901">
      <formula>IF(#REF!="FICTICIO",1,0)</formula>
    </cfRule>
  </conditionalFormatting>
  <conditionalFormatting sqref="E74">
    <cfRule type="expression" dxfId="5684" priority="5900">
      <formula>IF(#REF!="FICTICIO",1,0)</formula>
    </cfRule>
  </conditionalFormatting>
  <conditionalFormatting sqref="E74">
    <cfRule type="expression" dxfId="5683" priority="5899">
      <formula>IF(#REF!="FICTICIO",1,0)</formula>
    </cfRule>
  </conditionalFormatting>
  <conditionalFormatting sqref="E74">
    <cfRule type="expression" dxfId="5682" priority="5898">
      <formula>IF(#REF!="FICTICIO",1,0)</formula>
    </cfRule>
  </conditionalFormatting>
  <conditionalFormatting sqref="E74">
    <cfRule type="expression" dxfId="5681" priority="5897">
      <formula>IF(#REF!="FICTICIO",1,0)</formula>
    </cfRule>
  </conditionalFormatting>
  <conditionalFormatting sqref="E74">
    <cfRule type="expression" dxfId="5680" priority="5896">
      <formula>IF(#REF!="FICTICIO",1,0)</formula>
    </cfRule>
  </conditionalFormatting>
  <conditionalFormatting sqref="E74">
    <cfRule type="expression" dxfId="5679" priority="5895">
      <formula>IF(#REF!="FICTICIO",1,0)</formula>
    </cfRule>
  </conditionalFormatting>
  <conditionalFormatting sqref="E74">
    <cfRule type="expression" dxfId="5678" priority="5894">
      <formula>IF(#REF!="FICTICIO",1,0)</formula>
    </cfRule>
  </conditionalFormatting>
  <conditionalFormatting sqref="E74">
    <cfRule type="expression" dxfId="5677" priority="5893">
      <formula>IF(#REF!="FICTICIO",1,0)</formula>
    </cfRule>
  </conditionalFormatting>
  <conditionalFormatting sqref="E74">
    <cfRule type="expression" dxfId="5676" priority="5892">
      <formula>IF(#REF!="FICTICIO",1,0)</formula>
    </cfRule>
  </conditionalFormatting>
  <conditionalFormatting sqref="E74">
    <cfRule type="expression" dxfId="5675" priority="5891">
      <formula>IF(#REF!="FICTICIO",1,0)</formula>
    </cfRule>
  </conditionalFormatting>
  <conditionalFormatting sqref="E74">
    <cfRule type="expression" dxfId="5674" priority="5890">
      <formula>IF(#REF!="FICTICIO",1,0)</formula>
    </cfRule>
  </conditionalFormatting>
  <conditionalFormatting sqref="E74">
    <cfRule type="expression" dxfId="5673" priority="5889">
      <formula>IF(#REF!="FICTICIO",1,0)</formula>
    </cfRule>
  </conditionalFormatting>
  <conditionalFormatting sqref="E74">
    <cfRule type="expression" dxfId="5672" priority="5888">
      <formula>IF(#REF!="FICTICIO",1,0)</formula>
    </cfRule>
  </conditionalFormatting>
  <conditionalFormatting sqref="E74">
    <cfRule type="expression" dxfId="5671" priority="5887">
      <formula>IF(#REF!="FICTICIO",1,0)</formula>
    </cfRule>
  </conditionalFormatting>
  <conditionalFormatting sqref="E74">
    <cfRule type="expression" dxfId="5670" priority="5886">
      <formula>IF(#REF!="FICTICIO",1,0)</formula>
    </cfRule>
  </conditionalFormatting>
  <conditionalFormatting sqref="E74">
    <cfRule type="expression" dxfId="5669" priority="5885">
      <formula>IF(#REF!="FICTICIO",1,0)</formula>
    </cfRule>
  </conditionalFormatting>
  <conditionalFormatting sqref="E74">
    <cfRule type="expression" dxfId="5668" priority="5884">
      <formula>IF(#REF!="FICTICIO",1,0)</formula>
    </cfRule>
  </conditionalFormatting>
  <conditionalFormatting sqref="E74">
    <cfRule type="expression" dxfId="5667" priority="5883">
      <formula>IF(#REF!="FICTICIO",1,0)</formula>
    </cfRule>
  </conditionalFormatting>
  <conditionalFormatting sqref="E74">
    <cfRule type="expression" dxfId="5666" priority="5882">
      <formula>IF(#REF!="FICTICIO",1,0)</formula>
    </cfRule>
  </conditionalFormatting>
  <conditionalFormatting sqref="E74">
    <cfRule type="expression" dxfId="5665" priority="5881">
      <formula>IF(#REF!="FICTICIO",1,0)</formula>
    </cfRule>
  </conditionalFormatting>
  <conditionalFormatting sqref="E74">
    <cfRule type="expression" dxfId="5664" priority="5880">
      <formula>IF(#REF!="FICTICIO",1,0)</formula>
    </cfRule>
  </conditionalFormatting>
  <conditionalFormatting sqref="E74">
    <cfRule type="expression" dxfId="5663" priority="5879">
      <formula>IF(#REF!="FICTICIO",1,0)</formula>
    </cfRule>
  </conditionalFormatting>
  <conditionalFormatting sqref="E74">
    <cfRule type="expression" dxfId="5662" priority="5878">
      <formula>IF(#REF!="FICTICIO",1,0)</formula>
    </cfRule>
  </conditionalFormatting>
  <conditionalFormatting sqref="E74">
    <cfRule type="expression" dxfId="5661" priority="5877">
      <formula>IF(#REF!="FICTICIO",1,0)</formula>
    </cfRule>
  </conditionalFormatting>
  <conditionalFormatting sqref="E74">
    <cfRule type="expression" dxfId="5660" priority="5876">
      <formula>IF(#REF!="FICTICIO",1,0)</formula>
    </cfRule>
  </conditionalFormatting>
  <conditionalFormatting sqref="E74">
    <cfRule type="expression" dxfId="5659" priority="5875">
      <formula>IF(#REF!="FICTICIO",1,0)</formula>
    </cfRule>
  </conditionalFormatting>
  <conditionalFormatting sqref="E74">
    <cfRule type="expression" dxfId="5658" priority="5874">
      <formula>IF(#REF!="FICTICIO",1,0)</formula>
    </cfRule>
  </conditionalFormatting>
  <conditionalFormatting sqref="E74">
    <cfRule type="expression" dxfId="5657" priority="5873">
      <formula>IF(#REF!="FICTICIO",1,0)</formula>
    </cfRule>
  </conditionalFormatting>
  <conditionalFormatting sqref="E74">
    <cfRule type="expression" dxfId="5656" priority="5872">
      <formula>IF(#REF!="FICTICIO",1,0)</formula>
    </cfRule>
  </conditionalFormatting>
  <conditionalFormatting sqref="E74">
    <cfRule type="expression" dxfId="5655" priority="5871">
      <formula>IF(#REF!="FICTICIO",1,0)</formula>
    </cfRule>
  </conditionalFormatting>
  <conditionalFormatting sqref="E74">
    <cfRule type="expression" dxfId="5654" priority="5870">
      <formula>IF(#REF!="FICTICIO",1,0)</formula>
    </cfRule>
  </conditionalFormatting>
  <conditionalFormatting sqref="E74">
    <cfRule type="expression" dxfId="5653" priority="5869">
      <formula>IF(#REF!="FICTICIO",1,0)</formula>
    </cfRule>
  </conditionalFormatting>
  <conditionalFormatting sqref="E74">
    <cfRule type="expression" dxfId="5652" priority="5868">
      <formula>IF(#REF!="FICTICIO",1,0)</formula>
    </cfRule>
  </conditionalFormatting>
  <conditionalFormatting sqref="E74">
    <cfRule type="expression" dxfId="5651" priority="5867">
      <formula>IF(#REF!="FICTICIO",1,0)</formula>
    </cfRule>
  </conditionalFormatting>
  <conditionalFormatting sqref="E74">
    <cfRule type="expression" dxfId="5650" priority="5866">
      <formula>IF(#REF!="FICTICIO",1,0)</formula>
    </cfRule>
  </conditionalFormatting>
  <conditionalFormatting sqref="E74">
    <cfRule type="expression" dxfId="5649" priority="5865">
      <formula>IF(#REF!="FICTICIO",1,0)</formula>
    </cfRule>
  </conditionalFormatting>
  <conditionalFormatting sqref="E74">
    <cfRule type="expression" dxfId="5648" priority="5864">
      <formula>IF(#REF!="FICTICIO",1,0)</formula>
    </cfRule>
  </conditionalFormatting>
  <conditionalFormatting sqref="E74">
    <cfRule type="expression" dxfId="5647" priority="5863">
      <formula>IF(#REF!="FICTICIO",1,0)</formula>
    </cfRule>
  </conditionalFormatting>
  <conditionalFormatting sqref="E74">
    <cfRule type="expression" dxfId="5646" priority="5862">
      <formula>IF(#REF!="FICTICIO",1,0)</formula>
    </cfRule>
  </conditionalFormatting>
  <conditionalFormatting sqref="E74">
    <cfRule type="expression" dxfId="5645" priority="5861">
      <formula>IF(#REF!="FICTICIO",1,0)</formula>
    </cfRule>
  </conditionalFormatting>
  <conditionalFormatting sqref="E74">
    <cfRule type="expression" dxfId="5644" priority="5860">
      <formula>IF(#REF!="FICTICIO",1,0)</formula>
    </cfRule>
  </conditionalFormatting>
  <conditionalFormatting sqref="E74">
    <cfRule type="expression" dxfId="5643" priority="5859">
      <formula>IF(#REF!="FICTICIO",1,0)</formula>
    </cfRule>
  </conditionalFormatting>
  <conditionalFormatting sqref="E74">
    <cfRule type="expression" dxfId="5642" priority="5858">
      <formula>IF(#REF!="FICTICIO",1,0)</formula>
    </cfRule>
  </conditionalFormatting>
  <conditionalFormatting sqref="E75">
    <cfRule type="expression" dxfId="5641" priority="5857">
      <formula>IF(#REF!="FICTICIO",1,0)</formula>
    </cfRule>
  </conditionalFormatting>
  <conditionalFormatting sqref="E75">
    <cfRule type="expression" dxfId="5640" priority="5856">
      <formula>IF(#REF!="FICTICIO",1,0)</formula>
    </cfRule>
  </conditionalFormatting>
  <conditionalFormatting sqref="E75">
    <cfRule type="expression" dxfId="5639" priority="5855">
      <formula>IF(#REF!="FICTICIO",1,0)</formula>
    </cfRule>
  </conditionalFormatting>
  <conditionalFormatting sqref="E75">
    <cfRule type="expression" dxfId="5638" priority="5854">
      <formula>IF(#REF!="FICTICIO",1,0)</formula>
    </cfRule>
  </conditionalFormatting>
  <conditionalFormatting sqref="E75">
    <cfRule type="expression" dxfId="5637" priority="5853">
      <formula>IF(#REF!="FICTICIO",1,0)</formula>
    </cfRule>
  </conditionalFormatting>
  <conditionalFormatting sqref="E75">
    <cfRule type="expression" dxfId="5636" priority="5852">
      <formula>IF(#REF!="FICTICIO",1,0)</formula>
    </cfRule>
  </conditionalFormatting>
  <conditionalFormatting sqref="E75">
    <cfRule type="expression" dxfId="5635" priority="5851">
      <formula>IF(#REF!="FICTICIO",1,0)</formula>
    </cfRule>
  </conditionalFormatting>
  <conditionalFormatting sqref="E75">
    <cfRule type="expression" dxfId="5634" priority="5850">
      <formula>IF(#REF!="FICTICIO",1,0)</formula>
    </cfRule>
  </conditionalFormatting>
  <conditionalFormatting sqref="E75">
    <cfRule type="expression" dxfId="5633" priority="5849">
      <formula>IF(#REF!="FICTICIO",1,0)</formula>
    </cfRule>
  </conditionalFormatting>
  <conditionalFormatting sqref="E75">
    <cfRule type="expression" dxfId="5632" priority="5848">
      <formula>IF(#REF!="FICTICIO",1,0)</formula>
    </cfRule>
  </conditionalFormatting>
  <conditionalFormatting sqref="E75">
    <cfRule type="expression" dxfId="5631" priority="5847">
      <formula>IF(#REF!="FICTICIO",1,0)</formula>
    </cfRule>
  </conditionalFormatting>
  <conditionalFormatting sqref="E75">
    <cfRule type="expression" dxfId="5630" priority="5846">
      <formula>IF(#REF!="FICTICIO",1,0)</formula>
    </cfRule>
  </conditionalFormatting>
  <conditionalFormatting sqref="E75">
    <cfRule type="expression" dxfId="5629" priority="5845">
      <formula>IF(#REF!="FICTICIO",1,0)</formula>
    </cfRule>
  </conditionalFormatting>
  <conditionalFormatting sqref="E75">
    <cfRule type="expression" dxfId="5628" priority="5844">
      <formula>IF(#REF!="FICTICIO",1,0)</formula>
    </cfRule>
  </conditionalFormatting>
  <conditionalFormatting sqref="E75">
    <cfRule type="expression" dxfId="5627" priority="5843">
      <formula>IF(#REF!="FICTICIO",1,0)</formula>
    </cfRule>
  </conditionalFormatting>
  <conditionalFormatting sqref="E75">
    <cfRule type="expression" dxfId="5626" priority="5842">
      <formula>IF(#REF!="FICTICIO",1,0)</formula>
    </cfRule>
  </conditionalFormatting>
  <conditionalFormatting sqref="E75">
    <cfRule type="expression" dxfId="5625" priority="5841">
      <formula>IF(#REF!="FICTICIO",1,0)</formula>
    </cfRule>
  </conditionalFormatting>
  <conditionalFormatting sqref="E75">
    <cfRule type="expression" dxfId="5624" priority="5840">
      <formula>IF(#REF!="FICTICIO",1,0)</formula>
    </cfRule>
  </conditionalFormatting>
  <conditionalFormatting sqref="E75">
    <cfRule type="expression" dxfId="5623" priority="5839">
      <formula>IF(#REF!="FICTICIO",1,0)</formula>
    </cfRule>
  </conditionalFormatting>
  <conditionalFormatting sqref="E75">
    <cfRule type="expression" dxfId="5622" priority="5838">
      <formula>IF(#REF!="FICTICIO",1,0)</formula>
    </cfRule>
  </conditionalFormatting>
  <conditionalFormatting sqref="E75">
    <cfRule type="expression" dxfId="5621" priority="5837">
      <formula>IF(#REF!="FICTICIO",1,0)</formula>
    </cfRule>
  </conditionalFormatting>
  <conditionalFormatting sqref="E75">
    <cfRule type="expression" dxfId="5620" priority="5836">
      <formula>IF(#REF!="FICTICIO",1,0)</formula>
    </cfRule>
  </conditionalFormatting>
  <conditionalFormatting sqref="E75">
    <cfRule type="expression" dxfId="5619" priority="5835">
      <formula>IF(#REF!="FICTICIO",1,0)</formula>
    </cfRule>
  </conditionalFormatting>
  <conditionalFormatting sqref="E75">
    <cfRule type="expression" dxfId="5618" priority="5834">
      <formula>IF(#REF!="FICTICIO",1,0)</formula>
    </cfRule>
  </conditionalFormatting>
  <conditionalFormatting sqref="E75">
    <cfRule type="expression" dxfId="5617" priority="5833">
      <formula>IF(#REF!="FICTICIO",1,0)</formula>
    </cfRule>
  </conditionalFormatting>
  <conditionalFormatting sqref="E75">
    <cfRule type="expression" dxfId="5616" priority="5832">
      <formula>IF(#REF!="FICTICIO",1,0)</formula>
    </cfRule>
  </conditionalFormatting>
  <conditionalFormatting sqref="E75">
    <cfRule type="expression" dxfId="5615" priority="5831">
      <formula>IF(#REF!="FICTICIO",1,0)</formula>
    </cfRule>
  </conditionalFormatting>
  <conditionalFormatting sqref="E75">
    <cfRule type="expression" dxfId="5614" priority="5830">
      <formula>IF(#REF!="FICTICIO",1,0)</formula>
    </cfRule>
  </conditionalFormatting>
  <conditionalFormatting sqref="E75">
    <cfRule type="expression" dxfId="5613" priority="5829">
      <formula>IF(#REF!="FICTICIO",1,0)</formula>
    </cfRule>
  </conditionalFormatting>
  <conditionalFormatting sqref="E75">
    <cfRule type="expression" dxfId="5612" priority="5828">
      <formula>IF(#REF!="FICTICIO",1,0)</formula>
    </cfRule>
  </conditionalFormatting>
  <conditionalFormatting sqref="E75">
    <cfRule type="expression" dxfId="5611" priority="5827">
      <formula>IF(#REF!="FICTICIO",1,0)</formula>
    </cfRule>
  </conditionalFormatting>
  <conditionalFormatting sqref="E75">
    <cfRule type="expression" dxfId="5610" priority="5826">
      <formula>IF(#REF!="FICTICIO",1,0)</formula>
    </cfRule>
  </conditionalFormatting>
  <conditionalFormatting sqref="E75">
    <cfRule type="expression" dxfId="5609" priority="5825">
      <formula>IF(#REF!="FICTICIO",1,0)</formula>
    </cfRule>
  </conditionalFormatting>
  <conditionalFormatting sqref="E75">
    <cfRule type="expression" dxfId="5608" priority="5824">
      <formula>IF(#REF!="FICTICIO",1,0)</formula>
    </cfRule>
  </conditionalFormatting>
  <conditionalFormatting sqref="E75">
    <cfRule type="expression" dxfId="5607" priority="5823">
      <formula>IF(#REF!="FICTICIO",1,0)</formula>
    </cfRule>
  </conditionalFormatting>
  <conditionalFormatting sqref="E75">
    <cfRule type="expression" dxfId="5606" priority="5822">
      <formula>IF(#REF!="FICTICIO",1,0)</formula>
    </cfRule>
  </conditionalFormatting>
  <conditionalFormatting sqref="E75">
    <cfRule type="expression" dxfId="5605" priority="5821">
      <formula>IF(#REF!="FICTICIO",1,0)</formula>
    </cfRule>
  </conditionalFormatting>
  <conditionalFormatting sqref="E75">
    <cfRule type="expression" dxfId="5604" priority="5820">
      <formula>IF(#REF!="FICTICIO",1,0)</formula>
    </cfRule>
  </conditionalFormatting>
  <conditionalFormatting sqref="E75">
    <cfRule type="expression" dxfId="5603" priority="5819">
      <formula>IF(#REF!="FICTICIO",1,0)</formula>
    </cfRule>
  </conditionalFormatting>
  <conditionalFormatting sqref="E75">
    <cfRule type="expression" dxfId="5602" priority="5818">
      <formula>IF(#REF!="FICTICIO",1,0)</formula>
    </cfRule>
  </conditionalFormatting>
  <conditionalFormatting sqref="E75">
    <cfRule type="expression" dxfId="5601" priority="5817">
      <formula>IF(#REF!="FICTICIO",1,0)</formula>
    </cfRule>
  </conditionalFormatting>
  <conditionalFormatting sqref="E75">
    <cfRule type="expression" dxfId="5600" priority="5816">
      <formula>IF(#REF!="FICTICIO",1,0)</formula>
    </cfRule>
  </conditionalFormatting>
  <conditionalFormatting sqref="E75">
    <cfRule type="expression" dxfId="5599" priority="5815">
      <formula>IF(#REF!="FICTICIO",1,0)</formula>
    </cfRule>
  </conditionalFormatting>
  <conditionalFormatting sqref="E75">
    <cfRule type="expression" dxfId="5598" priority="5814">
      <formula>IF(#REF!="FICTICIO",1,0)</formula>
    </cfRule>
  </conditionalFormatting>
  <conditionalFormatting sqref="E75">
    <cfRule type="expression" dxfId="5597" priority="5813">
      <formula>IF(#REF!="FICTICIO",1,0)</formula>
    </cfRule>
  </conditionalFormatting>
  <conditionalFormatting sqref="E75">
    <cfRule type="expression" dxfId="5596" priority="5812">
      <formula>IF(#REF!="FICTICIO",1,0)</formula>
    </cfRule>
  </conditionalFormatting>
  <conditionalFormatting sqref="E75">
    <cfRule type="expression" dxfId="5595" priority="5811">
      <formula>IF(#REF!="FICTICIO",1,0)</formula>
    </cfRule>
  </conditionalFormatting>
  <conditionalFormatting sqref="E75">
    <cfRule type="expression" dxfId="5594" priority="5810">
      <formula>IF(#REF!="FICTICIO",1,0)</formula>
    </cfRule>
  </conditionalFormatting>
  <conditionalFormatting sqref="E75">
    <cfRule type="expression" dxfId="5593" priority="5809">
      <formula>IF(#REF!="FICTICIO",1,0)</formula>
    </cfRule>
  </conditionalFormatting>
  <conditionalFormatting sqref="E75">
    <cfRule type="expression" dxfId="5592" priority="5808">
      <formula>IF(#REF!="FICTICIO",1,0)</formula>
    </cfRule>
  </conditionalFormatting>
  <conditionalFormatting sqref="E75">
    <cfRule type="expression" dxfId="5591" priority="5807">
      <formula>IF(#REF!="FICTICIO",1,0)</formula>
    </cfRule>
  </conditionalFormatting>
  <conditionalFormatting sqref="E75">
    <cfRule type="expression" dxfId="5590" priority="5806">
      <formula>IF(#REF!="FICTICIO",1,0)</formula>
    </cfRule>
  </conditionalFormatting>
  <conditionalFormatting sqref="E75">
    <cfRule type="expression" dxfId="5589" priority="5805">
      <formula>IF(#REF!="FICTICIO",1,0)</formula>
    </cfRule>
  </conditionalFormatting>
  <conditionalFormatting sqref="E75">
    <cfRule type="expression" dxfId="5588" priority="5804">
      <formula>IF(#REF!="FICTICIO",1,0)</formula>
    </cfRule>
  </conditionalFormatting>
  <conditionalFormatting sqref="E75">
    <cfRule type="expression" dxfId="5587" priority="5803">
      <formula>IF(#REF!="FICTICIO",1,0)</formula>
    </cfRule>
  </conditionalFormatting>
  <conditionalFormatting sqref="E75">
    <cfRule type="expression" dxfId="5586" priority="5802">
      <formula>IF(#REF!="FICTICIO",1,0)</formula>
    </cfRule>
  </conditionalFormatting>
  <conditionalFormatting sqref="E75">
    <cfRule type="expression" dxfId="5585" priority="5801">
      <formula>IF(#REF!="FICTICIO",1,0)</formula>
    </cfRule>
  </conditionalFormatting>
  <conditionalFormatting sqref="E75">
    <cfRule type="expression" dxfId="5584" priority="5800">
      <formula>IF(#REF!="FICTICIO",1,0)</formula>
    </cfRule>
  </conditionalFormatting>
  <conditionalFormatting sqref="E75">
    <cfRule type="expression" dxfId="5583" priority="5799">
      <formula>IF(#REF!="FICTICIO",1,0)</formula>
    </cfRule>
  </conditionalFormatting>
  <conditionalFormatting sqref="E75">
    <cfRule type="expression" dxfId="5582" priority="5798">
      <formula>IF(#REF!="FICTICIO",1,0)</formula>
    </cfRule>
  </conditionalFormatting>
  <conditionalFormatting sqref="E75">
    <cfRule type="expression" dxfId="5581" priority="5797">
      <formula>IF(#REF!="FICTICIO",1,0)</formula>
    </cfRule>
  </conditionalFormatting>
  <conditionalFormatting sqref="E75">
    <cfRule type="expression" dxfId="5580" priority="5796">
      <formula>IF(#REF!="FICTICIO",1,0)</formula>
    </cfRule>
  </conditionalFormatting>
  <conditionalFormatting sqref="E75">
    <cfRule type="expression" dxfId="5579" priority="5795">
      <formula>IF(#REF!="FICTICIO",1,0)</formula>
    </cfRule>
  </conditionalFormatting>
  <conditionalFormatting sqref="E75">
    <cfRule type="expression" dxfId="5578" priority="5794">
      <formula>IF(#REF!="FICTICIO",1,0)</formula>
    </cfRule>
  </conditionalFormatting>
  <conditionalFormatting sqref="E75">
    <cfRule type="expression" dxfId="5577" priority="5793">
      <formula>IF(#REF!="FICTICIO",1,0)</formula>
    </cfRule>
  </conditionalFormatting>
  <conditionalFormatting sqref="E75">
    <cfRule type="expression" dxfId="5576" priority="5792">
      <formula>IF(#REF!="FICTICIO",1,0)</formula>
    </cfRule>
  </conditionalFormatting>
  <conditionalFormatting sqref="E75">
    <cfRule type="expression" dxfId="5575" priority="5791">
      <formula>IF(#REF!="FICTICIO",1,0)</formula>
    </cfRule>
  </conditionalFormatting>
  <conditionalFormatting sqref="E75">
    <cfRule type="expression" dxfId="5574" priority="5790">
      <formula>IF(#REF!="FICTICIO",1,0)</formula>
    </cfRule>
  </conditionalFormatting>
  <conditionalFormatting sqref="E75">
    <cfRule type="expression" dxfId="5573" priority="5789">
      <formula>IF(#REF!="FICTICIO",1,0)</formula>
    </cfRule>
  </conditionalFormatting>
  <conditionalFormatting sqref="E75">
    <cfRule type="expression" dxfId="5572" priority="5788">
      <formula>IF(#REF!="FICTICIO",1,0)</formula>
    </cfRule>
  </conditionalFormatting>
  <conditionalFormatting sqref="E75">
    <cfRule type="expression" dxfId="5571" priority="5787">
      <formula>IF(#REF!="FICTICIO",1,0)</formula>
    </cfRule>
  </conditionalFormatting>
  <conditionalFormatting sqref="E75">
    <cfRule type="expression" dxfId="5570" priority="5786">
      <formula>IF(#REF!="FICTICIO",1,0)</formula>
    </cfRule>
  </conditionalFormatting>
  <conditionalFormatting sqref="E75">
    <cfRule type="expression" dxfId="5569" priority="5785">
      <formula>IF(#REF!="FICTICIO",1,0)</formula>
    </cfRule>
  </conditionalFormatting>
  <conditionalFormatting sqref="E75">
    <cfRule type="expression" dxfId="5568" priority="5784">
      <formula>IF(#REF!="FICTICIO",1,0)</formula>
    </cfRule>
  </conditionalFormatting>
  <conditionalFormatting sqref="E75">
    <cfRule type="expression" dxfId="5567" priority="5783">
      <formula>IF(#REF!="FICTICIO",1,0)</formula>
    </cfRule>
  </conditionalFormatting>
  <conditionalFormatting sqref="E75">
    <cfRule type="expression" dxfId="5566" priority="5782">
      <formula>IF(#REF!="FICTICIO",1,0)</formula>
    </cfRule>
  </conditionalFormatting>
  <conditionalFormatting sqref="E77">
    <cfRule type="expression" dxfId="5565" priority="5781">
      <formula>IF(#REF!="FICTICIO",1,0)</formula>
    </cfRule>
  </conditionalFormatting>
  <conditionalFormatting sqref="E77">
    <cfRule type="expression" dxfId="5564" priority="5780">
      <formula>IF(#REF!="FICTICIO",1,0)</formula>
    </cfRule>
  </conditionalFormatting>
  <conditionalFormatting sqref="E77">
    <cfRule type="expression" dxfId="5563" priority="5779">
      <formula>IF(#REF!="FICTICIO",1,0)</formula>
    </cfRule>
  </conditionalFormatting>
  <conditionalFormatting sqref="E77">
    <cfRule type="expression" dxfId="5562" priority="5778">
      <formula>IF(#REF!="FICTICIO",1,0)</formula>
    </cfRule>
  </conditionalFormatting>
  <conditionalFormatting sqref="E77">
    <cfRule type="expression" dxfId="5561" priority="5777">
      <formula>IF(#REF!="FICTICIO",1,0)</formula>
    </cfRule>
  </conditionalFormatting>
  <conditionalFormatting sqref="E77">
    <cfRule type="expression" dxfId="5560" priority="5776">
      <formula>IF(#REF!="FICTICIO",1,0)</formula>
    </cfRule>
  </conditionalFormatting>
  <conditionalFormatting sqref="E77">
    <cfRule type="expression" dxfId="5559" priority="5775">
      <formula>IF(#REF!="FICTICIO",1,0)</formula>
    </cfRule>
  </conditionalFormatting>
  <conditionalFormatting sqref="E77">
    <cfRule type="expression" dxfId="5558" priority="5774">
      <formula>IF(#REF!="FICTICIO",1,0)</formula>
    </cfRule>
  </conditionalFormatting>
  <conditionalFormatting sqref="E77">
    <cfRule type="expression" dxfId="5557" priority="5773">
      <formula>IF(#REF!="FICTICIO",1,0)</formula>
    </cfRule>
  </conditionalFormatting>
  <conditionalFormatting sqref="E77">
    <cfRule type="expression" dxfId="5556" priority="5772">
      <formula>IF(#REF!="FICTICIO",1,0)</formula>
    </cfRule>
  </conditionalFormatting>
  <conditionalFormatting sqref="E77">
    <cfRule type="expression" dxfId="5555" priority="5771">
      <formula>IF(#REF!="FICTICIO",1,0)</formula>
    </cfRule>
  </conditionalFormatting>
  <conditionalFormatting sqref="E77">
    <cfRule type="expression" dxfId="5554" priority="5770">
      <formula>IF(#REF!="FICTICIO",1,0)</formula>
    </cfRule>
  </conditionalFormatting>
  <conditionalFormatting sqref="E77">
    <cfRule type="expression" dxfId="5553" priority="5769">
      <formula>IF(#REF!="FICTICIO",1,0)</formula>
    </cfRule>
  </conditionalFormatting>
  <conditionalFormatting sqref="E77">
    <cfRule type="expression" dxfId="5552" priority="5768">
      <formula>IF(#REF!="FICTICIO",1,0)</formula>
    </cfRule>
  </conditionalFormatting>
  <conditionalFormatting sqref="E77">
    <cfRule type="expression" dxfId="5551" priority="5767">
      <formula>IF(#REF!="FICTICIO",1,0)</formula>
    </cfRule>
  </conditionalFormatting>
  <conditionalFormatting sqref="E77">
    <cfRule type="expression" dxfId="5550" priority="5765">
      <formula>IF(#REF!="FICTICIO",1,0)</formula>
    </cfRule>
  </conditionalFormatting>
  <conditionalFormatting sqref="E77">
    <cfRule type="expression" dxfId="5549" priority="5766">
      <formula>IF(#REF!="FICTICIO",1,0)</formula>
    </cfRule>
  </conditionalFormatting>
  <conditionalFormatting sqref="E77">
    <cfRule type="expression" dxfId="5548" priority="5764">
      <formula>IF(#REF!="FICTICIO",1,0)</formula>
    </cfRule>
  </conditionalFormatting>
  <conditionalFormatting sqref="E77">
    <cfRule type="expression" dxfId="5547" priority="5763">
      <formula>IF(#REF!="FICTICIO",1,0)</formula>
    </cfRule>
  </conditionalFormatting>
  <conditionalFormatting sqref="E77">
    <cfRule type="expression" dxfId="5546" priority="5762">
      <formula>IF(#REF!="FICTICIO",1,0)</formula>
    </cfRule>
  </conditionalFormatting>
  <conditionalFormatting sqref="E77">
    <cfRule type="expression" dxfId="5545" priority="5761">
      <formula>IF(#REF!="FICTICIO",1,0)</formula>
    </cfRule>
  </conditionalFormatting>
  <conditionalFormatting sqref="E77">
    <cfRule type="expression" dxfId="5544" priority="5760">
      <formula>IF(#REF!="FICTICIO",1,0)</formula>
    </cfRule>
  </conditionalFormatting>
  <conditionalFormatting sqref="E77">
    <cfRule type="expression" dxfId="5543" priority="5759">
      <formula>IF(#REF!="FICTICIO",1,0)</formula>
    </cfRule>
  </conditionalFormatting>
  <conditionalFormatting sqref="E77">
    <cfRule type="expression" dxfId="5542" priority="5758">
      <formula>IF(#REF!="FICTICIO",1,0)</formula>
    </cfRule>
  </conditionalFormatting>
  <conditionalFormatting sqref="E77">
    <cfRule type="expression" dxfId="5541" priority="5757">
      <formula>IF(#REF!="FICTICIO",1,0)</formula>
    </cfRule>
  </conditionalFormatting>
  <conditionalFormatting sqref="E77">
    <cfRule type="expression" dxfId="5540" priority="5756">
      <formula>IF(#REF!="FICTICIO",1,0)</formula>
    </cfRule>
  </conditionalFormatting>
  <conditionalFormatting sqref="E77">
    <cfRule type="expression" dxfId="5539" priority="5755">
      <formula>IF(#REF!="FICTICIO",1,0)</formula>
    </cfRule>
  </conditionalFormatting>
  <conditionalFormatting sqref="E77">
    <cfRule type="expression" dxfId="5538" priority="5754">
      <formula>IF(#REF!="FICTICIO",1,0)</formula>
    </cfRule>
  </conditionalFormatting>
  <conditionalFormatting sqref="E77">
    <cfRule type="expression" dxfId="5537" priority="5753">
      <formula>IF(#REF!="FICTICIO",1,0)</formula>
    </cfRule>
  </conditionalFormatting>
  <conditionalFormatting sqref="E77">
    <cfRule type="expression" dxfId="5536" priority="5752">
      <formula>IF(#REF!="FICTICIO",1,0)</formula>
    </cfRule>
  </conditionalFormatting>
  <conditionalFormatting sqref="E77">
    <cfRule type="expression" dxfId="5535" priority="5751">
      <formula>IF(#REF!="FICTICIO",1,0)</formula>
    </cfRule>
  </conditionalFormatting>
  <conditionalFormatting sqref="E77">
    <cfRule type="expression" dxfId="5534" priority="5750">
      <formula>IF(#REF!="FICTICIO",1,0)</formula>
    </cfRule>
  </conditionalFormatting>
  <conditionalFormatting sqref="E77">
    <cfRule type="expression" dxfId="5533" priority="5749">
      <formula>IF(#REF!="FICTICIO",1,0)</formula>
    </cfRule>
  </conditionalFormatting>
  <conditionalFormatting sqref="E77">
    <cfRule type="expression" dxfId="5532" priority="5748">
      <formula>IF(#REF!="FICTICIO",1,0)</formula>
    </cfRule>
  </conditionalFormatting>
  <conditionalFormatting sqref="E77">
    <cfRule type="expression" dxfId="5531" priority="5747">
      <formula>IF(#REF!="FICTICIO",1,0)</formula>
    </cfRule>
  </conditionalFormatting>
  <conditionalFormatting sqref="E77">
    <cfRule type="expression" dxfId="5530" priority="5745">
      <formula>IF(#REF!="FICTICIO",1,0)</formula>
    </cfRule>
  </conditionalFormatting>
  <conditionalFormatting sqref="E77">
    <cfRule type="expression" dxfId="5529" priority="5746">
      <formula>IF(#REF!="FICTICIO",1,0)</formula>
    </cfRule>
  </conditionalFormatting>
  <conditionalFormatting sqref="E77">
    <cfRule type="expression" dxfId="5528" priority="5744">
      <formula>IF(#REF!="FICTICIO",1,0)</formula>
    </cfRule>
  </conditionalFormatting>
  <conditionalFormatting sqref="E77">
    <cfRule type="expression" dxfId="5527" priority="5743">
      <formula>IF(#REF!="FICTICIO",1,0)</formula>
    </cfRule>
  </conditionalFormatting>
  <conditionalFormatting sqref="E77">
    <cfRule type="expression" dxfId="5526" priority="5742">
      <formula>IF(#REF!="FICTICIO",1,0)</formula>
    </cfRule>
  </conditionalFormatting>
  <conditionalFormatting sqref="D79">
    <cfRule type="expression" dxfId="5525" priority="5740">
      <formula>IF(#REF!="FICTICIO",1,0)</formula>
    </cfRule>
  </conditionalFormatting>
  <conditionalFormatting sqref="D79">
    <cfRule type="expression" dxfId="5524" priority="5741">
      <formula>IF(#REF!="FICTICIO",1,0)</formula>
    </cfRule>
  </conditionalFormatting>
  <conditionalFormatting sqref="D79">
    <cfRule type="expression" dxfId="5523" priority="5738">
      <formula>IF(#REF!="FICTICIO",1,0)</formula>
    </cfRule>
  </conditionalFormatting>
  <conditionalFormatting sqref="D79">
    <cfRule type="expression" dxfId="5522" priority="5739">
      <formula>IF(#REF!="FICTICIO",1,0)</formula>
    </cfRule>
  </conditionalFormatting>
  <conditionalFormatting sqref="D79">
    <cfRule type="expression" dxfId="5521" priority="5736">
      <formula>IF(#REF!="FICTICIO",1,0)</formula>
    </cfRule>
  </conditionalFormatting>
  <conditionalFormatting sqref="D79">
    <cfRule type="expression" dxfId="5520" priority="5737">
      <formula>IF(#REF!="FICTICIO",1,0)</formula>
    </cfRule>
  </conditionalFormatting>
  <conditionalFormatting sqref="D79">
    <cfRule type="expression" dxfId="5519" priority="5734">
      <formula>IF(#REF!="FICTICIO",1,0)</formula>
    </cfRule>
  </conditionalFormatting>
  <conditionalFormatting sqref="D79">
    <cfRule type="expression" dxfId="5518" priority="5735">
      <formula>IF(#REF!="FICTICIO",1,0)</formula>
    </cfRule>
  </conditionalFormatting>
  <conditionalFormatting sqref="F79">
    <cfRule type="expression" dxfId="5517" priority="5732">
      <formula>IF(#REF!="FICTICIO",1,0)</formula>
    </cfRule>
  </conditionalFormatting>
  <conditionalFormatting sqref="F79">
    <cfRule type="expression" dxfId="5516" priority="5733">
      <formula>IF(#REF!="FICTICIO",1,0)</formula>
    </cfRule>
  </conditionalFormatting>
  <conditionalFormatting sqref="E79">
    <cfRule type="expression" dxfId="5515" priority="5731">
      <formula>IF(#REF!="FICTICIO",1,0)</formula>
    </cfRule>
  </conditionalFormatting>
  <conditionalFormatting sqref="E79">
    <cfRule type="expression" dxfId="5514" priority="5730">
      <formula>IF(#REF!="FICTICIO",1,0)</formula>
    </cfRule>
  </conditionalFormatting>
  <conditionalFormatting sqref="E79">
    <cfRule type="expression" dxfId="5513" priority="5729">
      <formula>IF(#REF!="FICTICIO",1,0)</formula>
    </cfRule>
  </conditionalFormatting>
  <conditionalFormatting sqref="E79">
    <cfRule type="expression" dxfId="5512" priority="5728">
      <formula>IF(#REF!="FICTICIO",1,0)</formula>
    </cfRule>
  </conditionalFormatting>
  <conditionalFormatting sqref="E79">
    <cfRule type="expression" dxfId="5511" priority="5727">
      <formula>IF(#REF!="FICTICIO",1,0)</formula>
    </cfRule>
  </conditionalFormatting>
  <conditionalFormatting sqref="E79">
    <cfRule type="expression" dxfId="5510" priority="5726">
      <formula>IF(#REF!="FICTICIO",1,0)</formula>
    </cfRule>
  </conditionalFormatting>
  <conditionalFormatting sqref="E79">
    <cfRule type="expression" dxfId="5509" priority="5725">
      <formula>IF(#REF!="FICTICIO",1,0)</formula>
    </cfRule>
  </conditionalFormatting>
  <conditionalFormatting sqref="E79">
    <cfRule type="expression" dxfId="5508" priority="5724">
      <formula>IF(#REF!="FICTICIO",1,0)</formula>
    </cfRule>
  </conditionalFormatting>
  <conditionalFormatting sqref="E79">
    <cfRule type="expression" dxfId="5507" priority="5723">
      <formula>IF(#REF!="FICTICIO",1,0)</formula>
    </cfRule>
  </conditionalFormatting>
  <conditionalFormatting sqref="E79">
    <cfRule type="expression" dxfId="5506" priority="5722">
      <formula>IF(#REF!="FICTICIO",1,0)</formula>
    </cfRule>
  </conditionalFormatting>
  <conditionalFormatting sqref="E79">
    <cfRule type="expression" dxfId="5505" priority="5721">
      <formula>IF(#REF!="FICTICIO",1,0)</formula>
    </cfRule>
  </conditionalFormatting>
  <conditionalFormatting sqref="E79">
    <cfRule type="expression" dxfId="5504" priority="5720">
      <formula>IF(#REF!="FICTICIO",1,0)</formula>
    </cfRule>
  </conditionalFormatting>
  <conditionalFormatting sqref="E79">
    <cfRule type="expression" dxfId="5503" priority="5719">
      <formula>IF(#REF!="FICTICIO",1,0)</formula>
    </cfRule>
  </conditionalFormatting>
  <conditionalFormatting sqref="E79">
    <cfRule type="expression" dxfId="5502" priority="5718">
      <formula>IF(#REF!="FICTICIO",1,0)</formula>
    </cfRule>
  </conditionalFormatting>
  <conditionalFormatting sqref="E79">
    <cfRule type="expression" dxfId="5501" priority="5717">
      <formula>IF(#REF!="FICTICIO",1,0)</formula>
    </cfRule>
  </conditionalFormatting>
  <conditionalFormatting sqref="E79">
    <cfRule type="expression" dxfId="5500" priority="5716">
      <formula>IF(#REF!="FICTICIO",1,0)</formula>
    </cfRule>
  </conditionalFormatting>
  <conditionalFormatting sqref="E79">
    <cfRule type="expression" dxfId="5499" priority="5715">
      <formula>IF(#REF!="FICTICIO",1,0)</formula>
    </cfRule>
  </conditionalFormatting>
  <conditionalFormatting sqref="E79">
    <cfRule type="expression" dxfId="5498" priority="5714">
      <formula>IF(#REF!="FICTICIO",1,0)</formula>
    </cfRule>
  </conditionalFormatting>
  <conditionalFormatting sqref="E79">
    <cfRule type="expression" dxfId="5497" priority="5713">
      <formula>IF(#REF!="FICTICIO",1,0)</formula>
    </cfRule>
  </conditionalFormatting>
  <conditionalFormatting sqref="E79">
    <cfRule type="expression" dxfId="5496" priority="5712">
      <formula>IF(#REF!="FICTICIO",1,0)</formula>
    </cfRule>
  </conditionalFormatting>
  <conditionalFormatting sqref="E79">
    <cfRule type="expression" dxfId="5495" priority="5711">
      <formula>IF(#REF!="FICTICIO",1,0)</formula>
    </cfRule>
  </conditionalFormatting>
  <conditionalFormatting sqref="E79">
    <cfRule type="expression" dxfId="5494" priority="5710">
      <formula>IF(#REF!="FICTICIO",1,0)</formula>
    </cfRule>
  </conditionalFormatting>
  <conditionalFormatting sqref="E79">
    <cfRule type="expression" dxfId="5493" priority="5709">
      <formula>IF(#REF!="FICTICIO",1,0)</formula>
    </cfRule>
  </conditionalFormatting>
  <conditionalFormatting sqref="E79">
    <cfRule type="expression" dxfId="5492" priority="5708">
      <formula>IF(#REF!="FICTICIO",1,0)</formula>
    </cfRule>
  </conditionalFormatting>
  <conditionalFormatting sqref="E79">
    <cfRule type="expression" dxfId="5491" priority="5707">
      <formula>IF(#REF!="FICTICIO",1,0)</formula>
    </cfRule>
  </conditionalFormatting>
  <conditionalFormatting sqref="E79">
    <cfRule type="expression" dxfId="5490" priority="5706">
      <formula>IF(#REF!="FICTICIO",1,0)</formula>
    </cfRule>
  </conditionalFormatting>
  <conditionalFormatting sqref="E79">
    <cfRule type="expression" dxfId="5489" priority="5705">
      <formula>IF(#REF!="FICTICIO",1,0)</formula>
    </cfRule>
  </conditionalFormatting>
  <conditionalFormatting sqref="E79">
    <cfRule type="expression" dxfId="5488" priority="5704">
      <formula>IF(#REF!="FICTICIO",1,0)</formula>
    </cfRule>
  </conditionalFormatting>
  <conditionalFormatting sqref="E79">
    <cfRule type="expression" dxfId="5487" priority="5703">
      <formula>IF(#REF!="FICTICIO",1,0)</formula>
    </cfRule>
  </conditionalFormatting>
  <conditionalFormatting sqref="E79">
    <cfRule type="expression" dxfId="5486" priority="5702">
      <formula>IF(#REF!="FICTICIO",1,0)</formula>
    </cfRule>
  </conditionalFormatting>
  <conditionalFormatting sqref="E79">
    <cfRule type="expression" dxfId="5485" priority="5700">
      <formula>IF(#REF!="FICTICIO",1,0)</formula>
    </cfRule>
  </conditionalFormatting>
  <conditionalFormatting sqref="E79">
    <cfRule type="expression" dxfId="5484" priority="5701">
      <formula>IF(#REF!="FICTICIO",1,0)</formula>
    </cfRule>
  </conditionalFormatting>
  <conditionalFormatting sqref="F79">
    <cfRule type="expression" dxfId="5483" priority="5699">
      <formula>IF(#REF!="FICTICIO",1,0)</formula>
    </cfRule>
  </conditionalFormatting>
  <conditionalFormatting sqref="E79">
    <cfRule type="expression" dxfId="5482" priority="5698">
      <formula>IF(#REF!="FICTICIO",1,0)</formula>
    </cfRule>
  </conditionalFormatting>
  <conditionalFormatting sqref="E79">
    <cfRule type="expression" dxfId="5481" priority="5697">
      <formula>IF(#REF!="FICTICIO",1,0)</formula>
    </cfRule>
  </conditionalFormatting>
  <conditionalFormatting sqref="E79">
    <cfRule type="expression" dxfId="5480" priority="5696">
      <formula>IF(#REF!="FICTICIO",1,0)</formula>
    </cfRule>
  </conditionalFormatting>
  <conditionalFormatting sqref="E80">
    <cfRule type="expression" dxfId="5479" priority="5695">
      <formula>IF(#REF!="FICTICIO",1,0)</formula>
    </cfRule>
  </conditionalFormatting>
  <conditionalFormatting sqref="E80">
    <cfRule type="expression" dxfId="5478" priority="5694">
      <formula>IF(#REF!="FICTICIO",1,0)</formula>
    </cfRule>
  </conditionalFormatting>
  <conditionalFormatting sqref="E80">
    <cfRule type="expression" dxfId="5477" priority="5693">
      <formula>IF(#REF!="FICTICIO",1,0)</formula>
    </cfRule>
  </conditionalFormatting>
  <conditionalFormatting sqref="E80">
    <cfRule type="expression" dxfId="5476" priority="5692">
      <formula>IF(#REF!="FICTICIO",1,0)</formula>
    </cfRule>
  </conditionalFormatting>
  <conditionalFormatting sqref="E80">
    <cfRule type="expression" dxfId="5475" priority="5691">
      <formula>IF(#REF!="FICTICIO",1,0)</formula>
    </cfRule>
  </conditionalFormatting>
  <conditionalFormatting sqref="E80">
    <cfRule type="expression" dxfId="5474" priority="5690">
      <formula>IF(#REF!="FICTICIO",1,0)</formula>
    </cfRule>
  </conditionalFormatting>
  <conditionalFormatting sqref="E80">
    <cfRule type="expression" dxfId="5473" priority="5689">
      <formula>IF(#REF!="FICTICIO",1,0)</formula>
    </cfRule>
  </conditionalFormatting>
  <conditionalFormatting sqref="E80">
    <cfRule type="expression" dxfId="5472" priority="5688">
      <formula>IF(#REF!="FICTICIO",1,0)</formula>
    </cfRule>
  </conditionalFormatting>
  <conditionalFormatting sqref="E80">
    <cfRule type="expression" dxfId="5471" priority="5687">
      <formula>IF(#REF!="FICTICIO",1,0)</formula>
    </cfRule>
  </conditionalFormatting>
  <conditionalFormatting sqref="E80">
    <cfRule type="expression" dxfId="5470" priority="5686">
      <formula>IF(#REF!="FICTICIO",1,0)</formula>
    </cfRule>
  </conditionalFormatting>
  <conditionalFormatting sqref="E80">
    <cfRule type="expression" dxfId="5469" priority="5685">
      <formula>IF(#REF!="FICTICIO",1,0)</formula>
    </cfRule>
  </conditionalFormatting>
  <conditionalFormatting sqref="E80">
    <cfRule type="expression" dxfId="5468" priority="5684">
      <formula>IF(#REF!="FICTICIO",1,0)</formula>
    </cfRule>
  </conditionalFormatting>
  <conditionalFormatting sqref="E80">
    <cfRule type="expression" dxfId="5467" priority="5683">
      <formula>IF(#REF!="FICTICIO",1,0)</formula>
    </cfRule>
  </conditionalFormatting>
  <conditionalFormatting sqref="E80">
    <cfRule type="expression" dxfId="5466" priority="5682">
      <formula>IF(#REF!="FICTICIO",1,0)</formula>
    </cfRule>
  </conditionalFormatting>
  <conditionalFormatting sqref="E80">
    <cfRule type="expression" dxfId="5465" priority="5681">
      <formula>IF(#REF!="FICTICIO",1,0)</formula>
    </cfRule>
  </conditionalFormatting>
  <conditionalFormatting sqref="E80">
    <cfRule type="expression" dxfId="5464" priority="5680">
      <formula>IF(#REF!="FICTICIO",1,0)</formula>
    </cfRule>
  </conditionalFormatting>
  <conditionalFormatting sqref="E80">
    <cfRule type="expression" dxfId="5463" priority="5679">
      <formula>IF(#REF!="FICTICIO",1,0)</formula>
    </cfRule>
  </conditionalFormatting>
  <conditionalFormatting sqref="E80">
    <cfRule type="expression" dxfId="5462" priority="5678">
      <formula>IF(#REF!="FICTICIO",1,0)</formula>
    </cfRule>
  </conditionalFormatting>
  <conditionalFormatting sqref="E80">
    <cfRule type="expression" dxfId="5461" priority="5677">
      <formula>IF(#REF!="FICTICIO",1,0)</formula>
    </cfRule>
  </conditionalFormatting>
  <conditionalFormatting sqref="E80">
    <cfRule type="expression" dxfId="5460" priority="5676">
      <formula>IF(#REF!="FICTICIO",1,0)</formula>
    </cfRule>
  </conditionalFormatting>
  <conditionalFormatting sqref="E80">
    <cfRule type="expression" dxfId="5459" priority="5675">
      <formula>IF(#REF!="FICTICIO",1,0)</formula>
    </cfRule>
  </conditionalFormatting>
  <conditionalFormatting sqref="E80">
    <cfRule type="expression" dxfId="5458" priority="5674">
      <formula>IF(#REF!="FICTICIO",1,0)</formula>
    </cfRule>
  </conditionalFormatting>
  <conditionalFormatting sqref="E80">
    <cfRule type="expression" dxfId="5457" priority="5673">
      <formula>IF(#REF!="FICTICIO",1,0)</formula>
    </cfRule>
  </conditionalFormatting>
  <conditionalFormatting sqref="E80">
    <cfRule type="expression" dxfId="5456" priority="5672">
      <formula>IF(#REF!="FICTICIO",1,0)</formula>
    </cfRule>
  </conditionalFormatting>
  <conditionalFormatting sqref="E80">
    <cfRule type="expression" dxfId="5455" priority="5671">
      <formula>IF(#REF!="FICTICIO",1,0)</formula>
    </cfRule>
  </conditionalFormatting>
  <conditionalFormatting sqref="E80">
    <cfRule type="expression" dxfId="5454" priority="5670">
      <formula>IF(#REF!="FICTICIO",1,0)</formula>
    </cfRule>
  </conditionalFormatting>
  <conditionalFormatting sqref="E80">
    <cfRule type="expression" dxfId="5453" priority="5669">
      <formula>IF(#REF!="FICTICIO",1,0)</formula>
    </cfRule>
  </conditionalFormatting>
  <conditionalFormatting sqref="E80">
    <cfRule type="expression" dxfId="5452" priority="5668">
      <formula>IF(#REF!="FICTICIO",1,0)</formula>
    </cfRule>
  </conditionalFormatting>
  <conditionalFormatting sqref="E80">
    <cfRule type="expression" dxfId="5451" priority="5667">
      <formula>IF(#REF!="FICTICIO",1,0)</formula>
    </cfRule>
  </conditionalFormatting>
  <conditionalFormatting sqref="E80">
    <cfRule type="expression" dxfId="5450" priority="5666">
      <formula>IF(#REF!="FICTICIO",1,0)</formula>
    </cfRule>
  </conditionalFormatting>
  <conditionalFormatting sqref="E80">
    <cfRule type="expression" dxfId="5449" priority="5664">
      <formula>IF(#REF!="FICTICIO",1,0)</formula>
    </cfRule>
  </conditionalFormatting>
  <conditionalFormatting sqref="E80">
    <cfRule type="expression" dxfId="5448" priority="5665">
      <formula>IF(#REF!="FICTICIO",1,0)</formula>
    </cfRule>
  </conditionalFormatting>
  <conditionalFormatting sqref="E80">
    <cfRule type="expression" dxfId="5447" priority="5663">
      <formula>IF(#REF!="FICTICIO",1,0)</formula>
    </cfRule>
  </conditionalFormatting>
  <conditionalFormatting sqref="E80">
    <cfRule type="expression" dxfId="5446" priority="5662">
      <formula>IF(#REF!="FICTICIO",1,0)</formula>
    </cfRule>
  </conditionalFormatting>
  <conditionalFormatting sqref="E80">
    <cfRule type="expression" dxfId="5445" priority="5661">
      <formula>IF(#REF!="FICTICIO",1,0)</formula>
    </cfRule>
  </conditionalFormatting>
  <conditionalFormatting sqref="F81">
    <cfRule type="expression" dxfId="5444" priority="5660">
      <formula>IF(#REF!="FICTICIO",1,0)</formula>
    </cfRule>
  </conditionalFormatting>
  <conditionalFormatting sqref="E82">
    <cfRule type="expression" dxfId="5443" priority="5659">
      <formula>IF(#REF!="FICTICIO",1,0)</formula>
    </cfRule>
  </conditionalFormatting>
  <conditionalFormatting sqref="E82">
    <cfRule type="expression" dxfId="5442" priority="5658">
      <formula>IF(#REF!="FICTICIO",1,0)</formula>
    </cfRule>
  </conditionalFormatting>
  <conditionalFormatting sqref="E82">
    <cfRule type="expression" dxfId="5441" priority="5657">
      <formula>IF(#REF!="FICTICIO",1,0)</formula>
    </cfRule>
  </conditionalFormatting>
  <conditionalFormatting sqref="E82">
    <cfRule type="expression" dxfId="5440" priority="5656">
      <formula>IF(#REF!="FICTICIO",1,0)</formula>
    </cfRule>
  </conditionalFormatting>
  <conditionalFormatting sqref="E82">
    <cfRule type="expression" dxfId="5439" priority="5655">
      <formula>IF(#REF!="FICTICIO",1,0)</formula>
    </cfRule>
  </conditionalFormatting>
  <conditionalFormatting sqref="E82">
    <cfRule type="expression" dxfId="5438" priority="5654">
      <formula>IF(#REF!="FICTICIO",1,0)</formula>
    </cfRule>
  </conditionalFormatting>
  <conditionalFormatting sqref="E82">
    <cfRule type="expression" dxfId="5437" priority="5653">
      <formula>IF(#REF!="FICTICIO",1,0)</formula>
    </cfRule>
  </conditionalFormatting>
  <conditionalFormatting sqref="E82">
    <cfRule type="expression" dxfId="5436" priority="5652">
      <formula>IF(#REF!="FICTICIO",1,0)</formula>
    </cfRule>
  </conditionalFormatting>
  <conditionalFormatting sqref="E82">
    <cfRule type="expression" dxfId="5435" priority="5651">
      <formula>IF(#REF!="FICTICIO",1,0)</formula>
    </cfRule>
  </conditionalFormatting>
  <conditionalFormatting sqref="E82">
    <cfRule type="expression" dxfId="5434" priority="5650">
      <formula>IF(#REF!="FICTICIO",1,0)</formula>
    </cfRule>
  </conditionalFormatting>
  <conditionalFormatting sqref="E82">
    <cfRule type="expression" dxfId="5433" priority="5649">
      <formula>IF(#REF!="FICTICIO",1,0)</formula>
    </cfRule>
  </conditionalFormatting>
  <conditionalFormatting sqref="E82">
    <cfRule type="expression" dxfId="5432" priority="5648">
      <formula>IF(#REF!="FICTICIO",1,0)</formula>
    </cfRule>
  </conditionalFormatting>
  <conditionalFormatting sqref="E82">
    <cfRule type="expression" dxfId="5431" priority="5647">
      <formula>IF(#REF!="FICTICIO",1,0)</formula>
    </cfRule>
  </conditionalFormatting>
  <conditionalFormatting sqref="E82">
    <cfRule type="expression" dxfId="5430" priority="5646">
      <formula>IF(#REF!="FICTICIO",1,0)</formula>
    </cfRule>
  </conditionalFormatting>
  <conditionalFormatting sqref="E82">
    <cfRule type="expression" dxfId="5429" priority="5645">
      <formula>IF(#REF!="FICTICIO",1,0)</formula>
    </cfRule>
  </conditionalFormatting>
  <conditionalFormatting sqref="E82">
    <cfRule type="expression" dxfId="5428" priority="5644">
      <formula>IF(#REF!="FICTICIO",1,0)</formula>
    </cfRule>
  </conditionalFormatting>
  <conditionalFormatting sqref="E82">
    <cfRule type="expression" dxfId="5427" priority="5643">
      <formula>IF(#REF!="FICTICIO",1,0)</formula>
    </cfRule>
  </conditionalFormatting>
  <conditionalFormatting sqref="E82">
    <cfRule type="expression" dxfId="5426" priority="5641">
      <formula>IF(#REF!="FICTICIO",1,0)</formula>
    </cfRule>
  </conditionalFormatting>
  <conditionalFormatting sqref="E82">
    <cfRule type="expression" dxfId="5425" priority="5642">
      <formula>IF(#REF!="FICTICIO",1,0)</formula>
    </cfRule>
  </conditionalFormatting>
  <conditionalFormatting sqref="E82">
    <cfRule type="expression" dxfId="5424" priority="5640">
      <formula>IF(#REF!="FICTICIO",1,0)</formula>
    </cfRule>
  </conditionalFormatting>
  <conditionalFormatting sqref="E82">
    <cfRule type="expression" dxfId="5423" priority="5639">
      <formula>IF(#REF!="FICTICIO",1,0)</formula>
    </cfRule>
  </conditionalFormatting>
  <conditionalFormatting sqref="E82">
    <cfRule type="expression" dxfId="5422" priority="5638">
      <formula>IF(#REF!="FICTICIO",1,0)</formula>
    </cfRule>
  </conditionalFormatting>
  <conditionalFormatting sqref="E82">
    <cfRule type="expression" dxfId="5421" priority="5637">
      <formula>IF(#REF!="FICTICIO",1,0)</formula>
    </cfRule>
  </conditionalFormatting>
  <conditionalFormatting sqref="E82">
    <cfRule type="expression" dxfId="5420" priority="5636">
      <formula>IF(#REF!="FICTICIO",1,0)</formula>
    </cfRule>
  </conditionalFormatting>
  <conditionalFormatting sqref="E82">
    <cfRule type="expression" dxfId="5419" priority="5635">
      <formula>IF(#REF!="FICTICIO",1,0)</formula>
    </cfRule>
  </conditionalFormatting>
  <conditionalFormatting sqref="E82">
    <cfRule type="expression" dxfId="5418" priority="5634">
      <formula>IF(#REF!="FICTICIO",1,0)</formula>
    </cfRule>
  </conditionalFormatting>
  <conditionalFormatting sqref="E82">
    <cfRule type="expression" dxfId="5417" priority="5633">
      <formula>IF(#REF!="FICTICIO",1,0)</formula>
    </cfRule>
  </conditionalFormatting>
  <conditionalFormatting sqref="E82">
    <cfRule type="expression" dxfId="5416" priority="5632">
      <formula>IF(#REF!="FICTICIO",1,0)</formula>
    </cfRule>
  </conditionalFormatting>
  <conditionalFormatting sqref="E82">
    <cfRule type="expression" dxfId="5415" priority="5631">
      <formula>IF(#REF!="FICTICIO",1,0)</formula>
    </cfRule>
  </conditionalFormatting>
  <conditionalFormatting sqref="E82">
    <cfRule type="expression" dxfId="5414" priority="5630">
      <formula>IF(#REF!="FICTICIO",1,0)</formula>
    </cfRule>
  </conditionalFormatting>
  <conditionalFormatting sqref="E82">
    <cfRule type="expression" dxfId="5413" priority="5629">
      <formula>IF(#REF!="FICTICIO",1,0)</formula>
    </cfRule>
  </conditionalFormatting>
  <conditionalFormatting sqref="E82">
    <cfRule type="expression" dxfId="5412" priority="5628">
      <formula>IF(#REF!="FICTICIO",1,0)</formula>
    </cfRule>
  </conditionalFormatting>
  <conditionalFormatting sqref="E82">
    <cfRule type="expression" dxfId="5411" priority="5627">
      <formula>IF(#REF!="FICTICIO",1,0)</formula>
    </cfRule>
  </conditionalFormatting>
  <conditionalFormatting sqref="E82">
    <cfRule type="expression" dxfId="5410" priority="5626">
      <formula>IF(#REF!="FICTICIO",1,0)</formula>
    </cfRule>
  </conditionalFormatting>
  <conditionalFormatting sqref="E82">
    <cfRule type="expression" dxfId="5409" priority="5625">
      <formula>IF(#REF!="FICTICIO",1,0)</formula>
    </cfRule>
  </conditionalFormatting>
  <conditionalFormatting sqref="E82">
    <cfRule type="expression" dxfId="5408" priority="5624">
      <formula>IF(#REF!="FICTICIO",1,0)</formula>
    </cfRule>
  </conditionalFormatting>
  <conditionalFormatting sqref="E82">
    <cfRule type="expression" dxfId="5407" priority="5623">
      <formula>IF(#REF!="FICTICIO",1,0)</formula>
    </cfRule>
  </conditionalFormatting>
  <conditionalFormatting sqref="E82">
    <cfRule type="expression" dxfId="5406" priority="5622">
      <formula>IF(#REF!="FICTICIO",1,0)</formula>
    </cfRule>
  </conditionalFormatting>
  <conditionalFormatting sqref="E82">
    <cfRule type="expression" dxfId="5405" priority="5621">
      <formula>IF(#REF!="FICTICIO",1,0)</formula>
    </cfRule>
  </conditionalFormatting>
  <conditionalFormatting sqref="E82">
    <cfRule type="expression" dxfId="5404" priority="5620">
      <formula>IF(#REF!="FICTICIO",1,0)</formula>
    </cfRule>
  </conditionalFormatting>
  <conditionalFormatting sqref="E82">
    <cfRule type="expression" dxfId="5403" priority="5619">
      <formula>IF(#REF!="FICTICIO",1,0)</formula>
    </cfRule>
  </conditionalFormatting>
  <conditionalFormatting sqref="E82">
    <cfRule type="expression" dxfId="5402" priority="5618">
      <formula>IF(#REF!="FICTICIO",1,0)</formula>
    </cfRule>
  </conditionalFormatting>
  <conditionalFormatting sqref="E82">
    <cfRule type="expression" dxfId="5401" priority="5617">
      <formula>IF(#REF!="FICTICIO",1,0)</formula>
    </cfRule>
  </conditionalFormatting>
  <conditionalFormatting sqref="E82">
    <cfRule type="expression" dxfId="5400" priority="5616">
      <formula>IF(#REF!="FICTICIO",1,0)</formula>
    </cfRule>
  </conditionalFormatting>
  <conditionalFormatting sqref="E82">
    <cfRule type="expression" dxfId="5399" priority="5615">
      <formula>IF(#REF!="FICTICIO",1,0)</formula>
    </cfRule>
  </conditionalFormatting>
  <conditionalFormatting sqref="E82">
    <cfRule type="expression" dxfId="5398" priority="5614">
      <formula>IF(#REF!="FICTICIO",1,0)</formula>
    </cfRule>
  </conditionalFormatting>
  <conditionalFormatting sqref="E82">
    <cfRule type="expression" dxfId="5397" priority="5613">
      <formula>IF(#REF!="FICTICIO",1,0)</formula>
    </cfRule>
  </conditionalFormatting>
  <conditionalFormatting sqref="E82">
    <cfRule type="expression" dxfId="5396" priority="5612">
      <formula>IF(#REF!="FICTICIO",1,0)</formula>
    </cfRule>
  </conditionalFormatting>
  <conditionalFormatting sqref="D83">
    <cfRule type="expression" dxfId="5395" priority="5610">
      <formula>IF(#REF!="FICTICIO",1,0)</formula>
    </cfRule>
  </conditionalFormatting>
  <conditionalFormatting sqref="D83">
    <cfRule type="expression" dxfId="5394" priority="5611">
      <formula>IF(#REF!="FICTICIO",1,0)</formula>
    </cfRule>
  </conditionalFormatting>
  <conditionalFormatting sqref="D83">
    <cfRule type="expression" dxfId="5393" priority="5608">
      <formula>IF(#REF!="FICTICIO",1,0)</formula>
    </cfRule>
  </conditionalFormatting>
  <conditionalFormatting sqref="D83">
    <cfRule type="expression" dxfId="5392" priority="5609">
      <formula>IF(#REF!="FICTICIO",1,0)</formula>
    </cfRule>
  </conditionalFormatting>
  <conditionalFormatting sqref="F83">
    <cfRule type="expression" dxfId="5391" priority="5607">
      <formula>IF(#REF!="FICTICIO",1,0)</formula>
    </cfRule>
  </conditionalFormatting>
  <conditionalFormatting sqref="E83">
    <cfRule type="expression" dxfId="5390" priority="5570">
      <formula>IF(#REF!="FICTICIO",1,0)</formula>
    </cfRule>
  </conditionalFormatting>
  <conditionalFormatting sqref="E83">
    <cfRule type="expression" dxfId="5389" priority="5569">
      <formula>IF(#REF!="FICTICIO",1,0)</formula>
    </cfRule>
  </conditionalFormatting>
  <conditionalFormatting sqref="E83">
    <cfRule type="expression" dxfId="5388" priority="5568">
      <formula>IF(#REF!="FICTICIO",1,0)</formula>
    </cfRule>
  </conditionalFormatting>
  <conditionalFormatting sqref="E83">
    <cfRule type="expression" dxfId="5387" priority="5567">
      <formula>IF(#REF!="FICTICIO",1,0)</formula>
    </cfRule>
  </conditionalFormatting>
  <conditionalFormatting sqref="E83">
    <cfRule type="expression" dxfId="5386" priority="5566">
      <formula>IF(#REF!="FICTICIO",1,0)</formula>
    </cfRule>
  </conditionalFormatting>
  <conditionalFormatting sqref="E83">
    <cfRule type="expression" dxfId="5385" priority="5565">
      <formula>IF(#REF!="FICTICIO",1,0)</formula>
    </cfRule>
  </conditionalFormatting>
  <conditionalFormatting sqref="E83">
    <cfRule type="expression" dxfId="5384" priority="5564">
      <formula>IF(#REF!="FICTICIO",1,0)</formula>
    </cfRule>
  </conditionalFormatting>
  <conditionalFormatting sqref="E83">
    <cfRule type="expression" dxfId="5383" priority="5563">
      <formula>IF(#REF!="FICTICIO",1,0)</formula>
    </cfRule>
  </conditionalFormatting>
  <conditionalFormatting sqref="E83">
    <cfRule type="expression" dxfId="5382" priority="5562">
      <formula>IF(#REF!="FICTICIO",1,0)</formula>
    </cfRule>
  </conditionalFormatting>
  <conditionalFormatting sqref="E83">
    <cfRule type="expression" dxfId="5381" priority="5561">
      <formula>IF(#REF!="FICTICIO",1,0)</formula>
    </cfRule>
  </conditionalFormatting>
  <conditionalFormatting sqref="E83">
    <cfRule type="expression" dxfId="5380" priority="5560">
      <formula>IF(#REF!="FICTICIO",1,0)</formula>
    </cfRule>
  </conditionalFormatting>
  <conditionalFormatting sqref="E83">
    <cfRule type="expression" dxfId="5379" priority="5559">
      <formula>IF(#REF!="FICTICIO",1,0)</formula>
    </cfRule>
  </conditionalFormatting>
  <conditionalFormatting sqref="E83">
    <cfRule type="expression" dxfId="5378" priority="5558">
      <formula>IF(#REF!="FICTICIO",1,0)</formula>
    </cfRule>
  </conditionalFormatting>
  <conditionalFormatting sqref="E83">
    <cfRule type="expression" dxfId="5377" priority="5557">
      <formula>IF(#REF!="FICTICIO",1,0)</formula>
    </cfRule>
  </conditionalFormatting>
  <conditionalFormatting sqref="E83">
    <cfRule type="expression" dxfId="5376" priority="5556">
      <formula>IF(#REF!="FICTICIO",1,0)</formula>
    </cfRule>
  </conditionalFormatting>
  <conditionalFormatting sqref="E83">
    <cfRule type="expression" dxfId="5375" priority="5555">
      <formula>IF(#REF!="FICTICIO",1,0)</formula>
    </cfRule>
  </conditionalFormatting>
  <conditionalFormatting sqref="E83">
    <cfRule type="expression" dxfId="5374" priority="5554">
      <formula>IF(#REF!="FICTICIO",1,0)</formula>
    </cfRule>
  </conditionalFormatting>
  <conditionalFormatting sqref="E83">
    <cfRule type="expression" dxfId="5373" priority="5552">
      <formula>IF(#REF!="FICTICIO",1,0)</formula>
    </cfRule>
  </conditionalFormatting>
  <conditionalFormatting sqref="E83">
    <cfRule type="expression" dxfId="5372" priority="5553">
      <formula>IF(#REF!="FICTICIO",1,0)</formula>
    </cfRule>
  </conditionalFormatting>
  <conditionalFormatting sqref="E83">
    <cfRule type="expression" dxfId="5371" priority="5551">
      <formula>IF(#REF!="FICTICIO",1,0)</formula>
    </cfRule>
  </conditionalFormatting>
  <conditionalFormatting sqref="E83">
    <cfRule type="expression" dxfId="5370" priority="5550">
      <formula>IF(#REF!="FICTICIO",1,0)</formula>
    </cfRule>
  </conditionalFormatting>
  <conditionalFormatting sqref="E83">
    <cfRule type="expression" dxfId="5369" priority="5549">
      <formula>IF(#REF!="FICTICIO",1,0)</formula>
    </cfRule>
  </conditionalFormatting>
  <conditionalFormatting sqref="E83">
    <cfRule type="expression" dxfId="5368" priority="5548">
      <formula>IF(#REF!="FICTICIO",1,0)</formula>
    </cfRule>
  </conditionalFormatting>
  <conditionalFormatting sqref="E83">
    <cfRule type="expression" dxfId="5367" priority="5547">
      <formula>IF(#REF!="FICTICIO",1,0)</formula>
    </cfRule>
  </conditionalFormatting>
  <conditionalFormatting sqref="E83">
    <cfRule type="expression" dxfId="5366" priority="5546">
      <formula>IF(#REF!="FICTICIO",1,0)</formula>
    </cfRule>
  </conditionalFormatting>
  <conditionalFormatting sqref="E83">
    <cfRule type="expression" dxfId="5365" priority="5545">
      <formula>IF(#REF!="FICTICIO",1,0)</formula>
    </cfRule>
  </conditionalFormatting>
  <conditionalFormatting sqref="E83">
    <cfRule type="expression" dxfId="5364" priority="5544">
      <formula>IF(#REF!="FICTICIO",1,0)</formula>
    </cfRule>
  </conditionalFormatting>
  <conditionalFormatting sqref="E83">
    <cfRule type="expression" dxfId="5363" priority="5543">
      <formula>IF(#REF!="FICTICIO",1,0)</formula>
    </cfRule>
  </conditionalFormatting>
  <conditionalFormatting sqref="E83">
    <cfRule type="expression" dxfId="5362" priority="5542">
      <formula>IF(#REF!="FICTICIO",1,0)</formula>
    </cfRule>
  </conditionalFormatting>
  <conditionalFormatting sqref="E83">
    <cfRule type="expression" dxfId="5361" priority="5541">
      <formula>IF(#REF!="FICTICIO",1,0)</formula>
    </cfRule>
  </conditionalFormatting>
  <conditionalFormatting sqref="E83">
    <cfRule type="expression" dxfId="5360" priority="5540">
      <formula>IF(#REF!="FICTICIO",1,0)</formula>
    </cfRule>
  </conditionalFormatting>
  <conditionalFormatting sqref="E83">
    <cfRule type="expression" dxfId="5359" priority="5539">
      <formula>IF(#REF!="FICTICIO",1,0)</formula>
    </cfRule>
  </conditionalFormatting>
  <conditionalFormatting sqref="E83">
    <cfRule type="expression" dxfId="5358" priority="5538">
      <formula>IF(#REF!="FICTICIO",1,0)</formula>
    </cfRule>
  </conditionalFormatting>
  <conditionalFormatting sqref="E83">
    <cfRule type="expression" dxfId="5357" priority="5537">
      <formula>IF(#REF!="FICTICIO",1,0)</formula>
    </cfRule>
  </conditionalFormatting>
  <conditionalFormatting sqref="E83">
    <cfRule type="expression" dxfId="5356" priority="5536">
      <formula>IF(#REF!="FICTICIO",1,0)</formula>
    </cfRule>
  </conditionalFormatting>
  <conditionalFormatting sqref="E83">
    <cfRule type="expression" dxfId="5355" priority="5535">
      <formula>IF(#REF!="FICTICIO",1,0)</formula>
    </cfRule>
  </conditionalFormatting>
  <conditionalFormatting sqref="E83">
    <cfRule type="expression" dxfId="5354" priority="5534">
      <formula>IF(#REF!="FICTICIO",1,0)</formula>
    </cfRule>
  </conditionalFormatting>
  <conditionalFormatting sqref="E83">
    <cfRule type="expression" dxfId="5353" priority="5533">
      <formula>IF(#REF!="FICTICIO",1,0)</formula>
    </cfRule>
  </conditionalFormatting>
  <conditionalFormatting sqref="E83">
    <cfRule type="expression" dxfId="5352" priority="5532">
      <formula>IF(#REF!="FICTICIO",1,0)</formula>
    </cfRule>
  </conditionalFormatting>
  <conditionalFormatting sqref="E83">
    <cfRule type="expression" dxfId="5351" priority="5531">
      <formula>IF(#REF!="FICTICIO",1,0)</formula>
    </cfRule>
  </conditionalFormatting>
  <conditionalFormatting sqref="E83">
    <cfRule type="expression" dxfId="5350" priority="5530">
      <formula>IF(#REF!="FICTICIO",1,0)</formula>
    </cfRule>
  </conditionalFormatting>
  <conditionalFormatting sqref="E83">
    <cfRule type="expression" dxfId="5349" priority="5529">
      <formula>IF(#REF!="FICTICIO",1,0)</formula>
    </cfRule>
  </conditionalFormatting>
  <conditionalFormatting sqref="E83">
    <cfRule type="expression" dxfId="5348" priority="5528">
      <formula>IF(#REF!="FICTICIO",1,0)</formula>
    </cfRule>
  </conditionalFormatting>
  <conditionalFormatting sqref="E83">
    <cfRule type="expression" dxfId="5347" priority="5527">
      <formula>IF(#REF!="FICTICIO",1,0)</formula>
    </cfRule>
  </conditionalFormatting>
  <conditionalFormatting sqref="E83">
    <cfRule type="expression" dxfId="5346" priority="5526">
      <formula>IF(#REF!="FICTICIO",1,0)</formula>
    </cfRule>
  </conditionalFormatting>
  <conditionalFormatting sqref="E83">
    <cfRule type="expression" dxfId="5345" priority="5525">
      <formula>IF(#REF!="FICTICIO",1,0)</formula>
    </cfRule>
  </conditionalFormatting>
  <conditionalFormatting sqref="E83">
    <cfRule type="expression" dxfId="5344" priority="5524">
      <formula>IF(#REF!="FICTICIO",1,0)</formula>
    </cfRule>
  </conditionalFormatting>
  <conditionalFormatting sqref="E83">
    <cfRule type="expression" dxfId="5343" priority="5523">
      <formula>IF(#REF!="FICTICIO",1,0)</formula>
    </cfRule>
  </conditionalFormatting>
  <conditionalFormatting sqref="F84">
    <cfRule type="expression" dxfId="5342" priority="5522">
      <formula>IF(#REF!="FICTICIO",1,0)</formula>
    </cfRule>
  </conditionalFormatting>
  <conditionalFormatting sqref="E84">
    <cfRule type="expression" dxfId="5341" priority="5521">
      <formula>IF(#REF!="FICTICIO",1,0)</formula>
    </cfRule>
  </conditionalFormatting>
  <conditionalFormatting sqref="E84">
    <cfRule type="expression" dxfId="5340" priority="5520">
      <formula>IF(#REF!="FICTICIO",1,0)</formula>
    </cfRule>
  </conditionalFormatting>
  <conditionalFormatting sqref="E84">
    <cfRule type="expression" dxfId="5339" priority="5519">
      <formula>IF(#REF!="FICTICIO",1,0)</formula>
    </cfRule>
  </conditionalFormatting>
  <conditionalFormatting sqref="E84">
    <cfRule type="expression" dxfId="5338" priority="5518">
      <formula>IF(#REF!="FICTICIO",1,0)</formula>
    </cfRule>
  </conditionalFormatting>
  <conditionalFormatting sqref="E84">
    <cfRule type="expression" dxfId="5337" priority="5517">
      <formula>IF(#REF!="FICTICIO",1,0)</formula>
    </cfRule>
  </conditionalFormatting>
  <conditionalFormatting sqref="E84">
    <cfRule type="expression" dxfId="5336" priority="5516">
      <formula>IF(#REF!="FICTICIO",1,0)</formula>
    </cfRule>
  </conditionalFormatting>
  <conditionalFormatting sqref="E84">
    <cfRule type="expression" dxfId="5335" priority="5515">
      <formula>IF(#REF!="FICTICIO",1,0)</formula>
    </cfRule>
  </conditionalFormatting>
  <conditionalFormatting sqref="E84">
    <cfRule type="expression" dxfId="5334" priority="5514">
      <formula>IF(#REF!="FICTICIO",1,0)</formula>
    </cfRule>
  </conditionalFormatting>
  <conditionalFormatting sqref="E84">
    <cfRule type="expression" dxfId="5333" priority="5513">
      <formula>IF(#REF!="FICTICIO",1,0)</formula>
    </cfRule>
  </conditionalFormatting>
  <conditionalFormatting sqref="E84">
    <cfRule type="expression" dxfId="5332" priority="5512">
      <formula>IF(#REF!="FICTICIO",1,0)</formula>
    </cfRule>
  </conditionalFormatting>
  <conditionalFormatting sqref="E84">
    <cfRule type="expression" dxfId="5331" priority="5511">
      <formula>IF(#REF!="FICTICIO",1,0)</formula>
    </cfRule>
  </conditionalFormatting>
  <conditionalFormatting sqref="E84">
    <cfRule type="expression" dxfId="5330" priority="5510">
      <formula>IF(#REF!="FICTICIO",1,0)</formula>
    </cfRule>
  </conditionalFormatting>
  <conditionalFormatting sqref="E84">
    <cfRule type="expression" dxfId="5329" priority="5509">
      <formula>IF(#REF!="FICTICIO",1,0)</formula>
    </cfRule>
  </conditionalFormatting>
  <conditionalFormatting sqref="E84">
    <cfRule type="expression" dxfId="5328" priority="5508">
      <formula>IF(#REF!="FICTICIO",1,0)</formula>
    </cfRule>
  </conditionalFormatting>
  <conditionalFormatting sqref="E84">
    <cfRule type="expression" dxfId="5327" priority="5507">
      <formula>IF(#REF!="FICTICIO",1,0)</formula>
    </cfRule>
  </conditionalFormatting>
  <conditionalFormatting sqref="E84">
    <cfRule type="expression" dxfId="5326" priority="5506">
      <formula>IF(#REF!="FICTICIO",1,0)</formula>
    </cfRule>
  </conditionalFormatting>
  <conditionalFormatting sqref="E84">
    <cfRule type="expression" dxfId="5325" priority="5505">
      <formula>IF(#REF!="FICTICIO",1,0)</formula>
    </cfRule>
  </conditionalFormatting>
  <conditionalFormatting sqref="E84">
    <cfRule type="expression" dxfId="5324" priority="5503">
      <formula>IF(#REF!="FICTICIO",1,0)</formula>
    </cfRule>
  </conditionalFormatting>
  <conditionalFormatting sqref="E84">
    <cfRule type="expression" dxfId="5323" priority="5504">
      <formula>IF(#REF!="FICTICIO",1,0)</formula>
    </cfRule>
  </conditionalFormatting>
  <conditionalFormatting sqref="E84">
    <cfRule type="expression" dxfId="5322" priority="5502">
      <formula>IF(#REF!="FICTICIO",1,0)</formula>
    </cfRule>
  </conditionalFormatting>
  <conditionalFormatting sqref="E84">
    <cfRule type="expression" dxfId="5321" priority="5501">
      <formula>IF(#REF!="FICTICIO",1,0)</formula>
    </cfRule>
  </conditionalFormatting>
  <conditionalFormatting sqref="E84">
    <cfRule type="expression" dxfId="5320" priority="5500">
      <formula>IF(#REF!="FICTICIO",1,0)</formula>
    </cfRule>
  </conditionalFormatting>
  <conditionalFormatting sqref="E84">
    <cfRule type="expression" dxfId="5319" priority="5499">
      <formula>IF(#REF!="FICTICIO",1,0)</formula>
    </cfRule>
  </conditionalFormatting>
  <conditionalFormatting sqref="E84">
    <cfRule type="expression" dxfId="5318" priority="5498">
      <formula>IF(#REF!="FICTICIO",1,0)</formula>
    </cfRule>
  </conditionalFormatting>
  <conditionalFormatting sqref="E84">
    <cfRule type="expression" dxfId="5317" priority="5497">
      <formula>IF(#REF!="FICTICIO",1,0)</formula>
    </cfRule>
  </conditionalFormatting>
  <conditionalFormatting sqref="E84">
    <cfRule type="expression" dxfId="5316" priority="5496">
      <formula>IF(#REF!="FICTICIO",1,0)</formula>
    </cfRule>
  </conditionalFormatting>
  <conditionalFormatting sqref="E84">
    <cfRule type="expression" dxfId="5315" priority="5495">
      <formula>IF(#REF!="FICTICIO",1,0)</formula>
    </cfRule>
  </conditionalFormatting>
  <conditionalFormatting sqref="E84">
    <cfRule type="expression" dxfId="5314" priority="5494">
      <formula>IF(#REF!="FICTICIO",1,0)</formula>
    </cfRule>
  </conditionalFormatting>
  <conditionalFormatting sqref="E84">
    <cfRule type="expression" dxfId="5313" priority="5493">
      <formula>IF(#REF!="FICTICIO",1,0)</formula>
    </cfRule>
  </conditionalFormatting>
  <conditionalFormatting sqref="E84">
    <cfRule type="expression" dxfId="5312" priority="5492">
      <formula>IF(#REF!="FICTICIO",1,0)</formula>
    </cfRule>
  </conditionalFormatting>
  <conditionalFormatting sqref="E84">
    <cfRule type="expression" dxfId="5311" priority="5491">
      <formula>IF(#REF!="FICTICIO",1,0)</formula>
    </cfRule>
  </conditionalFormatting>
  <conditionalFormatting sqref="E84">
    <cfRule type="expression" dxfId="5310" priority="5490">
      <formula>IF(#REF!="FICTICIO",1,0)</formula>
    </cfRule>
  </conditionalFormatting>
  <conditionalFormatting sqref="E84">
    <cfRule type="expression" dxfId="5309" priority="5489">
      <formula>IF(#REF!="FICTICIO",1,0)</formula>
    </cfRule>
  </conditionalFormatting>
  <conditionalFormatting sqref="E84">
    <cfRule type="expression" dxfId="5308" priority="5488">
      <formula>IF(#REF!="FICTICIO",1,0)</formula>
    </cfRule>
  </conditionalFormatting>
  <conditionalFormatting sqref="E84">
    <cfRule type="expression" dxfId="5307" priority="5487">
      <formula>IF(#REF!="FICTICIO",1,0)</formula>
    </cfRule>
  </conditionalFormatting>
  <conditionalFormatting sqref="E84">
    <cfRule type="expression" dxfId="5306" priority="5486">
      <formula>IF(#REF!="FICTICIO",1,0)</formula>
    </cfRule>
  </conditionalFormatting>
  <conditionalFormatting sqref="E84">
    <cfRule type="expression" dxfId="5305" priority="5485">
      <formula>IF(#REF!="FICTICIO",1,0)</formula>
    </cfRule>
  </conditionalFormatting>
  <conditionalFormatting sqref="E84">
    <cfRule type="expression" dxfId="5304" priority="5484">
      <formula>IF(#REF!="FICTICIO",1,0)</formula>
    </cfRule>
  </conditionalFormatting>
  <conditionalFormatting sqref="E84">
    <cfRule type="expression" dxfId="5303" priority="5483">
      <formula>IF(#REF!="FICTICIO",1,0)</formula>
    </cfRule>
  </conditionalFormatting>
  <conditionalFormatting sqref="E84">
    <cfRule type="expression" dxfId="5302" priority="5482">
      <formula>IF(#REF!="FICTICIO",1,0)</formula>
    </cfRule>
  </conditionalFormatting>
  <conditionalFormatting sqref="E84">
    <cfRule type="expression" dxfId="5301" priority="5481">
      <formula>IF(#REF!="FICTICIO",1,0)</formula>
    </cfRule>
  </conditionalFormatting>
  <conditionalFormatting sqref="E84">
    <cfRule type="expression" dxfId="5300" priority="5480">
      <formula>IF(#REF!="FICTICIO",1,0)</formula>
    </cfRule>
  </conditionalFormatting>
  <conditionalFormatting sqref="E84">
    <cfRule type="expression" dxfId="5299" priority="5479">
      <formula>IF(#REF!="FICTICIO",1,0)</formula>
    </cfRule>
  </conditionalFormatting>
  <conditionalFormatting sqref="E84">
    <cfRule type="expression" dxfId="5298" priority="5478">
      <formula>IF(#REF!="FICTICIO",1,0)</formula>
    </cfRule>
  </conditionalFormatting>
  <conditionalFormatting sqref="E84">
    <cfRule type="expression" dxfId="5297" priority="5477">
      <formula>IF(#REF!="FICTICIO",1,0)</formula>
    </cfRule>
  </conditionalFormatting>
  <conditionalFormatting sqref="E84">
    <cfRule type="expression" dxfId="5296" priority="5476">
      <formula>IF(#REF!="FICTICIO",1,0)</formula>
    </cfRule>
  </conditionalFormatting>
  <conditionalFormatting sqref="E84">
    <cfRule type="expression" dxfId="5295" priority="5475">
      <formula>IF(#REF!="FICTICIO",1,0)</formula>
    </cfRule>
  </conditionalFormatting>
  <conditionalFormatting sqref="E84">
    <cfRule type="expression" dxfId="5294" priority="5474">
      <formula>IF(#REF!="FICTICIO",1,0)</formula>
    </cfRule>
  </conditionalFormatting>
  <conditionalFormatting sqref="D92">
    <cfRule type="expression" dxfId="5293" priority="5472">
      <formula>IF(#REF!="FICTICIO",1,0)</formula>
    </cfRule>
  </conditionalFormatting>
  <conditionalFormatting sqref="D92">
    <cfRule type="expression" dxfId="5292" priority="5473">
      <formula>IF(#REF!="FICTICIO",1,0)</formula>
    </cfRule>
  </conditionalFormatting>
  <conditionalFormatting sqref="D92">
    <cfRule type="expression" dxfId="5291" priority="5470">
      <formula>IF(#REF!="FICTICIO",1,0)</formula>
    </cfRule>
  </conditionalFormatting>
  <conditionalFormatting sqref="D92">
    <cfRule type="expression" dxfId="5290" priority="5471">
      <formula>IF(#REF!="FICTICIO",1,0)</formula>
    </cfRule>
  </conditionalFormatting>
  <conditionalFormatting sqref="E85:E92">
    <cfRule type="expression" dxfId="5289" priority="5469">
      <formula>IF(#REF!="FICTICIO",1,0)</formula>
    </cfRule>
  </conditionalFormatting>
  <conditionalFormatting sqref="E85:E92">
    <cfRule type="expression" dxfId="5288" priority="5468">
      <formula>IF(#REF!="FICTICIO",1,0)</formula>
    </cfRule>
  </conditionalFormatting>
  <conditionalFormatting sqref="E85:E92">
    <cfRule type="expression" dxfId="5287" priority="5467">
      <formula>IF(#REF!="FICTICIO",1,0)</formula>
    </cfRule>
  </conditionalFormatting>
  <conditionalFormatting sqref="E85:E92">
    <cfRule type="expression" dxfId="5286" priority="5466">
      <formula>IF(#REF!="FICTICIO",1,0)</formula>
    </cfRule>
  </conditionalFormatting>
  <conditionalFormatting sqref="E85:E92">
    <cfRule type="expression" dxfId="5285" priority="5465">
      <formula>IF(#REF!="FICTICIO",1,0)</formula>
    </cfRule>
  </conditionalFormatting>
  <conditionalFormatting sqref="E85:E92">
    <cfRule type="expression" dxfId="5284" priority="5464">
      <formula>IF(#REF!="FICTICIO",1,0)</formula>
    </cfRule>
  </conditionalFormatting>
  <conditionalFormatting sqref="E85:E92">
    <cfRule type="expression" dxfId="5283" priority="5463">
      <formula>IF(#REF!="FICTICIO",1,0)</formula>
    </cfRule>
  </conditionalFormatting>
  <conditionalFormatting sqref="E85:E92">
    <cfRule type="expression" dxfId="5282" priority="5462">
      <formula>IF(#REF!="FICTICIO",1,0)</formula>
    </cfRule>
  </conditionalFormatting>
  <conditionalFormatting sqref="E85:E92">
    <cfRule type="expression" dxfId="5281" priority="5461">
      <formula>IF(#REF!="FICTICIO",1,0)</formula>
    </cfRule>
  </conditionalFormatting>
  <conditionalFormatting sqref="E85:E92">
    <cfRule type="expression" dxfId="5280" priority="5460">
      <formula>IF(#REF!="FICTICIO",1,0)</formula>
    </cfRule>
  </conditionalFormatting>
  <conditionalFormatting sqref="F85">
    <cfRule type="expression" dxfId="5279" priority="5458">
      <formula>IF(#REF!="FICTICIO",1,0)</formula>
    </cfRule>
  </conditionalFormatting>
  <conditionalFormatting sqref="F85">
    <cfRule type="expression" dxfId="5278" priority="5459">
      <formula>IF(#REF!="FICTICIO",1,0)</formula>
    </cfRule>
  </conditionalFormatting>
  <conditionalFormatting sqref="F87">
    <cfRule type="expression" dxfId="5277" priority="5457">
      <formula>IF(#REF!="FICTICIO",1,0)</formula>
    </cfRule>
  </conditionalFormatting>
  <conditionalFormatting sqref="F88:F89">
    <cfRule type="expression" dxfId="5276" priority="5456">
      <formula>IF(#REF!="FICTICIO",1,0)</formula>
    </cfRule>
  </conditionalFormatting>
  <conditionalFormatting sqref="E85:E92">
    <cfRule type="expression" dxfId="5275" priority="5455">
      <formula>IF(#REF!="FICTICIO",1,0)</formula>
    </cfRule>
  </conditionalFormatting>
  <conditionalFormatting sqref="E85:E92">
    <cfRule type="expression" dxfId="5274" priority="5454">
      <formula>IF(#REF!="FICTICIO",1,0)</formula>
    </cfRule>
  </conditionalFormatting>
  <conditionalFormatting sqref="E85:E92">
    <cfRule type="expression" dxfId="5273" priority="5453">
      <formula>IF(#REF!="FICTICIO",1,0)</formula>
    </cfRule>
  </conditionalFormatting>
  <conditionalFormatting sqref="F86">
    <cfRule type="expression" dxfId="5272" priority="5451">
      <formula>IF(#REF!="FICTICIO",1,0)</formula>
    </cfRule>
  </conditionalFormatting>
  <conditionalFormatting sqref="F86">
    <cfRule type="expression" dxfId="5271" priority="5452">
      <formula>IF(#REF!="FICTICIO",1,0)</formula>
    </cfRule>
  </conditionalFormatting>
  <conditionalFormatting sqref="F90">
    <cfRule type="expression" dxfId="5270" priority="5450">
      <formula>IF(#REF!="FICTICIO",1,0)</formula>
    </cfRule>
  </conditionalFormatting>
  <conditionalFormatting sqref="E85:E92">
    <cfRule type="expression" dxfId="5269" priority="5449">
      <formula>IF(#REF!="FICTICIO",1,0)</formula>
    </cfRule>
  </conditionalFormatting>
  <conditionalFormatting sqref="E85:E92">
    <cfRule type="expression" dxfId="5268" priority="5448">
      <formula>IF(#REF!="FICTICIO",1,0)</formula>
    </cfRule>
  </conditionalFormatting>
  <conditionalFormatting sqref="E85:E92">
    <cfRule type="expression" dxfId="5267" priority="5447">
      <formula>IF(#REF!="FICTICIO",1,0)</formula>
    </cfRule>
  </conditionalFormatting>
  <conditionalFormatting sqref="F90">
    <cfRule type="expression" dxfId="5266" priority="5446">
      <formula>IF(#REF!="FICTICIO",1,0)</formula>
    </cfRule>
  </conditionalFormatting>
  <conditionalFormatting sqref="E85:E92">
    <cfRule type="expression" dxfId="5265" priority="5445">
      <formula>IF(#REF!="FICTICIO",1,0)</formula>
    </cfRule>
  </conditionalFormatting>
  <conditionalFormatting sqref="E85:E92">
    <cfRule type="expression" dxfId="5264" priority="5444">
      <formula>IF(#REF!="FICTICIO",1,0)</formula>
    </cfRule>
  </conditionalFormatting>
  <conditionalFormatting sqref="E85:E92">
    <cfRule type="expression" dxfId="5263" priority="5443">
      <formula>IF(#REF!="FICTICIO",1,0)</formula>
    </cfRule>
  </conditionalFormatting>
  <conditionalFormatting sqref="D85:D92">
    <cfRule type="expression" dxfId="5262" priority="5441">
      <formula>IF(#REF!="FICTICIO",1,0)</formula>
    </cfRule>
  </conditionalFormatting>
  <conditionalFormatting sqref="D85:D92">
    <cfRule type="expression" dxfId="5261" priority="5442">
      <formula>IF(#REF!="FICTICIO",1,0)</formula>
    </cfRule>
  </conditionalFormatting>
  <conditionalFormatting sqref="D85:D92">
    <cfRule type="expression" dxfId="5260" priority="5439">
      <formula>IF(#REF!="FICTICIO",1,0)</formula>
    </cfRule>
  </conditionalFormatting>
  <conditionalFormatting sqref="D85:D92">
    <cfRule type="expression" dxfId="5259" priority="5440">
      <formula>IF(#REF!="FICTICIO",1,0)</formula>
    </cfRule>
  </conditionalFormatting>
  <conditionalFormatting sqref="E85:E92">
    <cfRule type="expression" dxfId="5258" priority="5438">
      <formula>IF(#REF!="FICTICIO",1,0)</formula>
    </cfRule>
  </conditionalFormatting>
  <conditionalFormatting sqref="E85:E92">
    <cfRule type="expression" dxfId="5257" priority="5437">
      <formula>IF(#REF!="FICTICIO",1,0)</formula>
    </cfRule>
  </conditionalFormatting>
  <conditionalFormatting sqref="E85:E92">
    <cfRule type="expression" dxfId="5256" priority="5436">
      <formula>IF(#REF!="FICTICIO",1,0)</formula>
    </cfRule>
  </conditionalFormatting>
  <conditionalFormatting sqref="F91">
    <cfRule type="expression" dxfId="5255" priority="5435">
      <formula>IF(#REF!="FICTICIO",1,0)</formula>
    </cfRule>
  </conditionalFormatting>
  <conditionalFormatting sqref="F91">
    <cfRule type="expression" dxfId="5254" priority="5434">
      <formula>IF(#REF!="FICTICIO",1,0)</formula>
    </cfRule>
  </conditionalFormatting>
  <conditionalFormatting sqref="F92">
    <cfRule type="expression" dxfId="5253" priority="5433">
      <formula>IF(#REF!="FICTICIO",1,0)</formula>
    </cfRule>
  </conditionalFormatting>
  <conditionalFormatting sqref="F92">
    <cfRule type="expression" dxfId="5252" priority="5432">
      <formula>IF(#REF!="FICTICIO",1,0)</formula>
    </cfRule>
  </conditionalFormatting>
  <conditionalFormatting sqref="D92">
    <cfRule type="expression" dxfId="5251" priority="5430">
      <formula>IF(#REF!="FICTICIO",1,0)</formula>
    </cfRule>
  </conditionalFormatting>
  <conditionalFormatting sqref="D92">
    <cfRule type="expression" dxfId="5250" priority="5431">
      <formula>IF(#REF!="FICTICIO",1,0)</formula>
    </cfRule>
  </conditionalFormatting>
  <conditionalFormatting sqref="E85:E92">
    <cfRule type="expression" dxfId="5249" priority="5429">
      <formula>IF(#REF!="FICTICIO",1,0)</formula>
    </cfRule>
  </conditionalFormatting>
  <conditionalFormatting sqref="E85:E92">
    <cfRule type="expression" dxfId="5248" priority="5428">
      <formula>IF(#REF!="FICTICIO",1,0)</formula>
    </cfRule>
  </conditionalFormatting>
  <conditionalFormatting sqref="E85:E92">
    <cfRule type="expression" dxfId="5247" priority="5427">
      <formula>IF(#REF!="FICTICIO",1,0)</formula>
    </cfRule>
  </conditionalFormatting>
  <conditionalFormatting sqref="E85:E92">
    <cfRule type="expression" dxfId="5246" priority="5426">
      <formula>IF(#REF!="FICTICIO",1,0)</formula>
    </cfRule>
  </conditionalFormatting>
  <conditionalFormatting sqref="E85:E92">
    <cfRule type="expression" dxfId="5245" priority="5425">
      <formula>IF(#REF!="FICTICIO",1,0)</formula>
    </cfRule>
  </conditionalFormatting>
  <conditionalFormatting sqref="E85:E92">
    <cfRule type="expression" dxfId="5244" priority="5424">
      <formula>IF(#REF!="FICTICIO",1,0)</formula>
    </cfRule>
  </conditionalFormatting>
  <conditionalFormatting sqref="E85:E92">
    <cfRule type="expression" dxfId="5243" priority="5423">
      <formula>IF(#REF!="FICTICIO",1,0)</formula>
    </cfRule>
  </conditionalFormatting>
  <conditionalFormatting sqref="E85:E92">
    <cfRule type="expression" dxfId="5242" priority="5422">
      <formula>IF(#REF!="FICTICIO",1,0)</formula>
    </cfRule>
  </conditionalFormatting>
  <conditionalFormatting sqref="E85:E92">
    <cfRule type="expression" dxfId="5241" priority="5421">
      <formula>IF(#REF!="FICTICIO",1,0)</formula>
    </cfRule>
  </conditionalFormatting>
  <conditionalFormatting sqref="E85:E92">
    <cfRule type="expression" dxfId="5240" priority="5420">
      <formula>IF(#REF!="FICTICIO",1,0)</formula>
    </cfRule>
  </conditionalFormatting>
  <conditionalFormatting sqref="F86">
    <cfRule type="expression" dxfId="5239" priority="5418">
      <formula>IF(#REF!="FICTICIO",1,0)</formula>
    </cfRule>
  </conditionalFormatting>
  <conditionalFormatting sqref="F86">
    <cfRule type="expression" dxfId="5238" priority="5419">
      <formula>IF(#REF!="FICTICIO",1,0)</formula>
    </cfRule>
  </conditionalFormatting>
  <conditionalFormatting sqref="D85:D92">
    <cfRule type="expression" dxfId="5237" priority="5416">
      <formula>IF(#REF!="FICTICIO",1,0)</formula>
    </cfRule>
  </conditionalFormatting>
  <conditionalFormatting sqref="D85:D92">
    <cfRule type="expression" dxfId="5236" priority="5417">
      <formula>IF(#REF!="FICTICIO",1,0)</formula>
    </cfRule>
  </conditionalFormatting>
  <conditionalFormatting sqref="D85:D92">
    <cfRule type="expression" dxfId="5235" priority="5414">
      <formula>IF(#REF!="FICTICIO",1,0)</formula>
    </cfRule>
  </conditionalFormatting>
  <conditionalFormatting sqref="D85:D92">
    <cfRule type="expression" dxfId="5234" priority="5415">
      <formula>IF(#REF!="FICTICIO",1,0)</formula>
    </cfRule>
  </conditionalFormatting>
  <conditionalFormatting sqref="F85">
    <cfRule type="expression" dxfId="5233" priority="5412">
      <formula>IF(#REF!="FICTICIO",1,0)</formula>
    </cfRule>
  </conditionalFormatting>
  <conditionalFormatting sqref="F85">
    <cfRule type="expression" dxfId="5232" priority="5413">
      <formula>IF(#REF!="FICTICIO",1,0)</formula>
    </cfRule>
  </conditionalFormatting>
  <conditionalFormatting sqref="F88">
    <cfRule type="expression" dxfId="5231" priority="5411">
      <formula>IF(#REF!="FICTICIO",1,0)</formula>
    </cfRule>
  </conditionalFormatting>
  <conditionalFormatting sqref="F89:F90">
    <cfRule type="expression" dxfId="5230" priority="5410">
      <formula>IF(#REF!="FICTICIO",1,0)</formula>
    </cfRule>
  </conditionalFormatting>
  <conditionalFormatting sqref="E85:E92">
    <cfRule type="expression" dxfId="5229" priority="5409">
      <formula>IF(#REF!="FICTICIO",1,0)</formula>
    </cfRule>
  </conditionalFormatting>
  <conditionalFormatting sqref="E85:E92">
    <cfRule type="expression" dxfId="5228" priority="5408">
      <formula>IF(#REF!="FICTICIO",1,0)</formula>
    </cfRule>
  </conditionalFormatting>
  <conditionalFormatting sqref="E85:E92">
    <cfRule type="expression" dxfId="5227" priority="5407">
      <formula>IF(#REF!="FICTICIO",1,0)</formula>
    </cfRule>
  </conditionalFormatting>
  <conditionalFormatting sqref="F87">
    <cfRule type="expression" dxfId="5226" priority="5405">
      <formula>IF(#REF!="FICTICIO",1,0)</formula>
    </cfRule>
  </conditionalFormatting>
  <conditionalFormatting sqref="F87">
    <cfRule type="expression" dxfId="5225" priority="5406">
      <formula>IF(#REF!="FICTICIO",1,0)</formula>
    </cfRule>
  </conditionalFormatting>
  <conditionalFormatting sqref="F91">
    <cfRule type="expression" dxfId="5224" priority="5404">
      <formula>IF(#REF!="FICTICIO",1,0)</formula>
    </cfRule>
  </conditionalFormatting>
  <conditionalFormatting sqref="E85:E92">
    <cfRule type="expression" dxfId="5223" priority="5403">
      <formula>IF(#REF!="FICTICIO",1,0)</formula>
    </cfRule>
  </conditionalFormatting>
  <conditionalFormatting sqref="E85:E92">
    <cfRule type="expression" dxfId="5222" priority="5402">
      <formula>IF(#REF!="FICTICIO",1,0)</formula>
    </cfRule>
  </conditionalFormatting>
  <conditionalFormatting sqref="E85:E92">
    <cfRule type="expression" dxfId="5221" priority="5401">
      <formula>IF(#REF!="FICTICIO",1,0)</formula>
    </cfRule>
  </conditionalFormatting>
  <conditionalFormatting sqref="F91">
    <cfRule type="expression" dxfId="5220" priority="5400">
      <formula>IF(#REF!="FICTICIO",1,0)</formula>
    </cfRule>
  </conditionalFormatting>
  <conditionalFormatting sqref="F92">
    <cfRule type="expression" dxfId="5219" priority="5399">
      <formula>IF(#REF!="FICTICIO",1,0)</formula>
    </cfRule>
  </conditionalFormatting>
  <conditionalFormatting sqref="F92">
    <cfRule type="expression" dxfId="5218" priority="5398">
      <formula>IF(#REF!="FICTICIO",1,0)</formula>
    </cfRule>
  </conditionalFormatting>
  <conditionalFormatting sqref="D86:D91">
    <cfRule type="expression" dxfId="5217" priority="5396">
      <formula>IF(#REF!="FICTICIO",1,0)</formula>
    </cfRule>
  </conditionalFormatting>
  <conditionalFormatting sqref="D86:D91">
    <cfRule type="expression" dxfId="5216" priority="5397">
      <formula>IF(#REF!="FICTICIO",1,0)</formula>
    </cfRule>
  </conditionalFormatting>
  <conditionalFormatting sqref="D86:D91">
    <cfRule type="expression" dxfId="5215" priority="5394">
      <formula>IF(#REF!="FICTICIO",1,0)</formula>
    </cfRule>
  </conditionalFormatting>
  <conditionalFormatting sqref="D86:D91">
    <cfRule type="expression" dxfId="5214" priority="5395">
      <formula>IF(#REF!="FICTICIO",1,0)</formula>
    </cfRule>
  </conditionalFormatting>
  <conditionalFormatting sqref="D86:D91">
    <cfRule type="expression" dxfId="5213" priority="5392">
      <formula>IF(#REF!="FICTICIO",1,0)</formula>
    </cfRule>
  </conditionalFormatting>
  <conditionalFormatting sqref="D86:D91">
    <cfRule type="expression" dxfId="5212" priority="5393">
      <formula>IF(#REF!="FICTICIO",1,0)</formula>
    </cfRule>
  </conditionalFormatting>
  <conditionalFormatting sqref="D86:D91">
    <cfRule type="expression" dxfId="5211" priority="5390">
      <formula>IF(#REF!="FICTICIO",1,0)</formula>
    </cfRule>
  </conditionalFormatting>
  <conditionalFormatting sqref="D86:D91">
    <cfRule type="expression" dxfId="5210" priority="5391">
      <formula>IF(#REF!="FICTICIO",1,0)</formula>
    </cfRule>
  </conditionalFormatting>
  <conditionalFormatting sqref="E86:E92">
    <cfRule type="expression" dxfId="5209" priority="5389">
      <formula>IF(#REF!="FICTICIO",1,0)</formula>
    </cfRule>
  </conditionalFormatting>
  <conditionalFormatting sqref="E86:E92">
    <cfRule type="expression" dxfId="5208" priority="5388">
      <formula>IF(#REF!="FICTICIO",1,0)</formula>
    </cfRule>
  </conditionalFormatting>
  <conditionalFormatting sqref="E86:E92">
    <cfRule type="expression" dxfId="5207" priority="5387">
      <formula>IF(#REF!="FICTICIO",1,0)</formula>
    </cfRule>
  </conditionalFormatting>
  <conditionalFormatting sqref="E86:E92">
    <cfRule type="expression" dxfId="5206" priority="5386">
      <formula>IF(#REF!="FICTICIO",1,0)</formula>
    </cfRule>
  </conditionalFormatting>
  <conditionalFormatting sqref="E86:E92">
    <cfRule type="expression" dxfId="5205" priority="5385">
      <formula>IF(#REF!="FICTICIO",1,0)</formula>
    </cfRule>
  </conditionalFormatting>
  <conditionalFormatting sqref="E86:E92">
    <cfRule type="expression" dxfId="5204" priority="5384">
      <formula>IF(#REF!="FICTICIO",1,0)</formula>
    </cfRule>
  </conditionalFormatting>
  <conditionalFormatting sqref="E86:E92">
    <cfRule type="expression" dxfId="5203" priority="5383">
      <formula>IF(#REF!="FICTICIO",1,0)</formula>
    </cfRule>
  </conditionalFormatting>
  <conditionalFormatting sqref="E86:E92">
    <cfRule type="expression" dxfId="5202" priority="5382">
      <formula>IF(#REF!="FICTICIO",1,0)</formula>
    </cfRule>
  </conditionalFormatting>
  <conditionalFormatting sqref="E86:E92">
    <cfRule type="expression" dxfId="5201" priority="5381">
      <formula>IF(#REF!="FICTICIO",1,0)</formula>
    </cfRule>
  </conditionalFormatting>
  <conditionalFormatting sqref="E86:E92">
    <cfRule type="expression" dxfId="5200" priority="5380">
      <formula>IF(#REF!="FICTICIO",1,0)</formula>
    </cfRule>
  </conditionalFormatting>
  <conditionalFormatting sqref="E86:E92">
    <cfRule type="expression" dxfId="5199" priority="5379">
      <formula>IF(#REF!="FICTICIO",1,0)</formula>
    </cfRule>
  </conditionalFormatting>
  <conditionalFormatting sqref="E86:E92">
    <cfRule type="expression" dxfId="5198" priority="5378">
      <formula>IF(#REF!="FICTICIO",1,0)</formula>
    </cfRule>
  </conditionalFormatting>
  <conditionalFormatting sqref="E86:E92">
    <cfRule type="expression" dxfId="5197" priority="5377">
      <formula>IF(#REF!="FICTICIO",1,0)</formula>
    </cfRule>
  </conditionalFormatting>
  <conditionalFormatting sqref="E86:E92">
    <cfRule type="expression" dxfId="5196" priority="5376">
      <formula>IF(#REF!="FICTICIO",1,0)</formula>
    </cfRule>
  </conditionalFormatting>
  <conditionalFormatting sqref="E86:E92">
    <cfRule type="expression" dxfId="5195" priority="5375">
      <formula>IF(#REF!="FICTICIO",1,0)</formula>
    </cfRule>
  </conditionalFormatting>
  <conditionalFormatting sqref="E86:E92">
    <cfRule type="expression" dxfId="5194" priority="5374">
      <formula>IF(#REF!="FICTICIO",1,0)</formula>
    </cfRule>
  </conditionalFormatting>
  <conditionalFormatting sqref="E86:E92">
    <cfRule type="expression" dxfId="5193" priority="5373">
      <formula>IF(#REF!="FICTICIO",1,0)</formula>
    </cfRule>
  </conditionalFormatting>
  <conditionalFormatting sqref="E86:E92">
    <cfRule type="expression" dxfId="5192" priority="5372">
      <formula>IF(#REF!="FICTICIO",1,0)</formula>
    </cfRule>
  </conditionalFormatting>
  <conditionalFormatting sqref="E86:E92">
    <cfRule type="expression" dxfId="5191" priority="5371">
      <formula>IF(#REF!="FICTICIO",1,0)</formula>
    </cfRule>
  </conditionalFormatting>
  <conditionalFormatting sqref="E86:E92">
    <cfRule type="expression" dxfId="5190" priority="5370">
      <formula>IF(#REF!="FICTICIO",1,0)</formula>
    </cfRule>
  </conditionalFormatting>
  <conditionalFormatting sqref="E86:E92">
    <cfRule type="expression" dxfId="5189" priority="5369">
      <formula>IF(#REF!="FICTICIO",1,0)</formula>
    </cfRule>
  </conditionalFormatting>
  <conditionalFormatting sqref="E86:E92">
    <cfRule type="expression" dxfId="5188" priority="5368">
      <formula>IF(#REF!="FICTICIO",1,0)</formula>
    </cfRule>
  </conditionalFormatting>
  <conditionalFormatting sqref="E86:E92">
    <cfRule type="expression" dxfId="5187" priority="5367">
      <formula>IF(#REF!="FICTICIO",1,0)</formula>
    </cfRule>
  </conditionalFormatting>
  <conditionalFormatting sqref="E86:E92">
    <cfRule type="expression" dxfId="5186" priority="5366">
      <formula>IF(#REF!="FICTICIO",1,0)</formula>
    </cfRule>
  </conditionalFormatting>
  <conditionalFormatting sqref="E86:E92">
    <cfRule type="expression" dxfId="5185" priority="5365">
      <formula>IF(#REF!="FICTICIO",1,0)</formula>
    </cfRule>
  </conditionalFormatting>
  <conditionalFormatting sqref="E86:E92">
    <cfRule type="expression" dxfId="5184" priority="5364">
      <formula>IF(#REF!="FICTICIO",1,0)</formula>
    </cfRule>
  </conditionalFormatting>
  <conditionalFormatting sqref="E86:E92">
    <cfRule type="expression" dxfId="5183" priority="5363">
      <formula>IF(#REF!="FICTICIO",1,0)</formula>
    </cfRule>
  </conditionalFormatting>
  <conditionalFormatting sqref="E86:E92">
    <cfRule type="expression" dxfId="5182" priority="5362">
      <formula>IF(#REF!="FICTICIO",1,0)</formula>
    </cfRule>
  </conditionalFormatting>
  <conditionalFormatting sqref="E86:E92">
    <cfRule type="expression" dxfId="5181" priority="5361">
      <formula>IF(#REF!="FICTICIO",1,0)</formula>
    </cfRule>
  </conditionalFormatting>
  <conditionalFormatting sqref="E86:E92">
    <cfRule type="expression" dxfId="5180" priority="5360">
      <formula>IF(#REF!="FICTICIO",1,0)</formula>
    </cfRule>
  </conditionalFormatting>
  <conditionalFormatting sqref="E86:E92">
    <cfRule type="expression" dxfId="5179" priority="5359">
      <formula>IF(#REF!="FICTICIO",1,0)</formula>
    </cfRule>
  </conditionalFormatting>
  <conditionalFormatting sqref="E86:E92">
    <cfRule type="expression" dxfId="5178" priority="5358">
      <formula>IF(#REF!="FICTICIO",1,0)</formula>
    </cfRule>
  </conditionalFormatting>
  <conditionalFormatting sqref="E86:E92">
    <cfRule type="expression" dxfId="5177" priority="5357">
      <formula>IF(#REF!="FICTICIO",1,0)</formula>
    </cfRule>
  </conditionalFormatting>
  <conditionalFormatting sqref="E86:E92">
    <cfRule type="expression" dxfId="5176" priority="5356">
      <formula>IF(#REF!="FICTICIO",1,0)</formula>
    </cfRule>
  </conditionalFormatting>
  <conditionalFormatting sqref="E86:E92">
    <cfRule type="expression" dxfId="5175" priority="5355">
      <formula>IF(#REF!="FICTICIO",1,0)</formula>
    </cfRule>
  </conditionalFormatting>
  <conditionalFormatting sqref="E86:E92">
    <cfRule type="expression" dxfId="5174" priority="5354">
      <formula>IF(#REF!="FICTICIO",1,0)</formula>
    </cfRule>
  </conditionalFormatting>
  <conditionalFormatting sqref="E86:E92">
    <cfRule type="expression" dxfId="5173" priority="5353">
      <formula>IF(#REF!="FICTICIO",1,0)</formula>
    </cfRule>
  </conditionalFormatting>
  <conditionalFormatting sqref="E86:E92">
    <cfRule type="expression" dxfId="5172" priority="5352">
      <formula>IF(#REF!="FICTICIO",1,0)</formula>
    </cfRule>
  </conditionalFormatting>
  <conditionalFormatting sqref="E94">
    <cfRule type="expression" dxfId="5171" priority="5275">
      <formula>IF(#REF!="FICTICIO",1,0)</formula>
    </cfRule>
  </conditionalFormatting>
  <conditionalFormatting sqref="E94">
    <cfRule type="expression" dxfId="5170" priority="5274">
      <formula>IF(#REF!="FICTICIO",1,0)</formula>
    </cfRule>
  </conditionalFormatting>
  <conditionalFormatting sqref="E94">
    <cfRule type="expression" dxfId="5169" priority="5273">
      <formula>IF(#REF!="FICTICIO",1,0)</formula>
    </cfRule>
  </conditionalFormatting>
  <conditionalFormatting sqref="E94">
    <cfRule type="expression" dxfId="5168" priority="5272">
      <formula>IF(#REF!="FICTICIO",1,0)</formula>
    </cfRule>
  </conditionalFormatting>
  <conditionalFormatting sqref="E94">
    <cfRule type="expression" dxfId="5167" priority="5271">
      <formula>IF(#REF!="FICTICIO",1,0)</formula>
    </cfRule>
  </conditionalFormatting>
  <conditionalFormatting sqref="E94">
    <cfRule type="expression" dxfId="5166" priority="5270">
      <formula>IF(#REF!="FICTICIO",1,0)</formula>
    </cfRule>
  </conditionalFormatting>
  <conditionalFormatting sqref="E94">
    <cfRule type="expression" dxfId="5165" priority="5269">
      <formula>IF(#REF!="FICTICIO",1,0)</formula>
    </cfRule>
  </conditionalFormatting>
  <conditionalFormatting sqref="E94">
    <cfRule type="expression" dxfId="5164" priority="5268">
      <formula>IF(#REF!="FICTICIO",1,0)</formula>
    </cfRule>
  </conditionalFormatting>
  <conditionalFormatting sqref="E94">
    <cfRule type="expression" dxfId="5163" priority="5267">
      <formula>IF(#REF!="FICTICIO",1,0)</formula>
    </cfRule>
  </conditionalFormatting>
  <conditionalFormatting sqref="E94">
    <cfRule type="expression" dxfId="5162" priority="5266">
      <formula>IF(#REF!="FICTICIO",1,0)</formula>
    </cfRule>
  </conditionalFormatting>
  <conditionalFormatting sqref="E94">
    <cfRule type="expression" dxfId="5161" priority="5265">
      <formula>IF(#REF!="FICTICIO",1,0)</formula>
    </cfRule>
  </conditionalFormatting>
  <conditionalFormatting sqref="E94">
    <cfRule type="expression" dxfId="5160" priority="5264">
      <formula>IF(#REF!="FICTICIO",1,0)</formula>
    </cfRule>
  </conditionalFormatting>
  <conditionalFormatting sqref="E94">
    <cfRule type="expression" dxfId="5159" priority="5263">
      <formula>IF(#REF!="FICTICIO",1,0)</formula>
    </cfRule>
  </conditionalFormatting>
  <conditionalFormatting sqref="E94">
    <cfRule type="expression" dxfId="5158" priority="5262">
      <formula>IF(#REF!="FICTICIO",1,0)</formula>
    </cfRule>
  </conditionalFormatting>
  <conditionalFormatting sqref="E94">
    <cfRule type="expression" dxfId="5157" priority="5261">
      <formula>IF(#REF!="FICTICIO",1,0)</formula>
    </cfRule>
  </conditionalFormatting>
  <conditionalFormatting sqref="E94">
    <cfRule type="expression" dxfId="5156" priority="5260">
      <formula>IF(#REF!="FICTICIO",1,0)</formula>
    </cfRule>
  </conditionalFormatting>
  <conditionalFormatting sqref="E94">
    <cfRule type="expression" dxfId="5155" priority="5259">
      <formula>IF(#REF!="FICTICIO",1,0)</formula>
    </cfRule>
  </conditionalFormatting>
  <conditionalFormatting sqref="E94">
    <cfRule type="expression" dxfId="5154" priority="5258">
      <formula>IF(#REF!="FICTICIO",1,0)</formula>
    </cfRule>
  </conditionalFormatting>
  <conditionalFormatting sqref="E94">
    <cfRule type="expression" dxfId="5153" priority="5257">
      <formula>IF(#REF!="FICTICIO",1,0)</formula>
    </cfRule>
  </conditionalFormatting>
  <conditionalFormatting sqref="E94">
    <cfRule type="expression" dxfId="5152" priority="5256">
      <formula>IF(#REF!="FICTICIO",1,0)</formula>
    </cfRule>
  </conditionalFormatting>
  <conditionalFormatting sqref="E94">
    <cfRule type="expression" dxfId="5151" priority="5255">
      <formula>IF(#REF!="FICTICIO",1,0)</formula>
    </cfRule>
  </conditionalFormatting>
  <conditionalFormatting sqref="E94">
    <cfRule type="expression" dxfId="5150" priority="5254">
      <formula>IF(#REF!="FICTICIO",1,0)</formula>
    </cfRule>
  </conditionalFormatting>
  <conditionalFormatting sqref="E94">
    <cfRule type="expression" dxfId="5149" priority="5253">
      <formula>IF(#REF!="FICTICIO",1,0)</formula>
    </cfRule>
  </conditionalFormatting>
  <conditionalFormatting sqref="E94">
    <cfRule type="expression" dxfId="5148" priority="5252">
      <formula>IF(#REF!="FICTICIO",1,0)</formula>
    </cfRule>
  </conditionalFormatting>
  <conditionalFormatting sqref="E94">
    <cfRule type="expression" dxfId="5147" priority="5251">
      <formula>IF(#REF!="FICTICIO",1,0)</formula>
    </cfRule>
  </conditionalFormatting>
  <conditionalFormatting sqref="E94">
    <cfRule type="expression" dxfId="5146" priority="5250">
      <formula>IF(#REF!="FICTICIO",1,0)</formula>
    </cfRule>
  </conditionalFormatting>
  <conditionalFormatting sqref="E94">
    <cfRule type="expression" dxfId="5145" priority="5249">
      <formula>IF(#REF!="FICTICIO",1,0)</formula>
    </cfRule>
  </conditionalFormatting>
  <conditionalFormatting sqref="E94">
    <cfRule type="expression" dxfId="5144" priority="5248">
      <formula>IF(#REF!="FICTICIO",1,0)</formula>
    </cfRule>
  </conditionalFormatting>
  <conditionalFormatting sqref="E94">
    <cfRule type="expression" dxfId="5143" priority="5247">
      <formula>IF(#REF!="FICTICIO",1,0)</formula>
    </cfRule>
  </conditionalFormatting>
  <conditionalFormatting sqref="E94">
    <cfRule type="expression" dxfId="5142" priority="5246">
      <formula>IF(#REF!="FICTICIO",1,0)</formula>
    </cfRule>
  </conditionalFormatting>
  <conditionalFormatting sqref="E94">
    <cfRule type="expression" dxfId="5141" priority="5245">
      <formula>IF(#REF!="FICTICIO",1,0)</formula>
    </cfRule>
  </conditionalFormatting>
  <conditionalFormatting sqref="E94">
    <cfRule type="expression" dxfId="5140" priority="5244">
      <formula>IF(#REF!="FICTICIO",1,0)</formula>
    </cfRule>
  </conditionalFormatting>
  <conditionalFormatting sqref="E94">
    <cfRule type="expression" dxfId="5139" priority="5243">
      <formula>IF(#REF!="FICTICIO",1,0)</formula>
    </cfRule>
  </conditionalFormatting>
  <conditionalFormatting sqref="E94">
    <cfRule type="expression" dxfId="5138" priority="5242">
      <formula>IF(#REF!="FICTICIO",1,0)</formula>
    </cfRule>
  </conditionalFormatting>
  <conditionalFormatting sqref="E94">
    <cfRule type="expression" dxfId="5137" priority="5241">
      <formula>IF(#REF!="FICTICIO",1,0)</formula>
    </cfRule>
  </conditionalFormatting>
  <conditionalFormatting sqref="E94">
    <cfRule type="expression" dxfId="5136" priority="5240">
      <formula>IF(#REF!="FICTICIO",1,0)</formula>
    </cfRule>
  </conditionalFormatting>
  <conditionalFormatting sqref="E94">
    <cfRule type="expression" dxfId="5135" priority="5239">
      <formula>IF(#REF!="FICTICIO",1,0)</formula>
    </cfRule>
  </conditionalFormatting>
  <conditionalFormatting sqref="E94">
    <cfRule type="expression" dxfId="5134" priority="5238">
      <formula>IF(#REF!="FICTICIO",1,0)</formula>
    </cfRule>
  </conditionalFormatting>
  <conditionalFormatting sqref="E94">
    <cfRule type="expression" dxfId="5133" priority="5237">
      <formula>IF(#REF!="FICTICIO",1,0)</formula>
    </cfRule>
  </conditionalFormatting>
  <conditionalFormatting sqref="E94">
    <cfRule type="expression" dxfId="5132" priority="5236">
      <formula>IF(#REF!="FICTICIO",1,0)</formula>
    </cfRule>
  </conditionalFormatting>
  <conditionalFormatting sqref="E94">
    <cfRule type="expression" dxfId="5131" priority="5235">
      <formula>IF(#REF!="FICTICIO",1,0)</formula>
    </cfRule>
  </conditionalFormatting>
  <conditionalFormatting sqref="E94">
    <cfRule type="expression" dxfId="5130" priority="5234">
      <formula>IF(#REF!="FICTICIO",1,0)</formula>
    </cfRule>
  </conditionalFormatting>
  <conditionalFormatting sqref="E94">
    <cfRule type="expression" dxfId="5129" priority="5233">
      <formula>IF(#REF!="FICTICIO",1,0)</formula>
    </cfRule>
  </conditionalFormatting>
  <conditionalFormatting sqref="E94">
    <cfRule type="expression" dxfId="5128" priority="5232">
      <formula>IF(#REF!="FICTICIO",1,0)</formula>
    </cfRule>
  </conditionalFormatting>
  <conditionalFormatting sqref="E94">
    <cfRule type="expression" dxfId="5127" priority="5231">
      <formula>IF(#REF!="FICTICIO",1,0)</formula>
    </cfRule>
  </conditionalFormatting>
  <conditionalFormatting sqref="E94">
    <cfRule type="expression" dxfId="5126" priority="5230">
      <formula>IF(#REF!="FICTICIO",1,0)</formula>
    </cfRule>
  </conditionalFormatting>
  <conditionalFormatting sqref="E94">
    <cfRule type="expression" dxfId="5125" priority="5229">
      <formula>IF(#REF!="FICTICIO",1,0)</formula>
    </cfRule>
  </conditionalFormatting>
  <conditionalFormatting sqref="E94">
    <cfRule type="expression" dxfId="5124" priority="5228">
      <formula>IF(#REF!="FICTICIO",1,0)</formula>
    </cfRule>
  </conditionalFormatting>
  <conditionalFormatting sqref="E94">
    <cfRule type="expression" dxfId="5123" priority="5227">
      <formula>IF(#REF!="FICTICIO",1,0)</formula>
    </cfRule>
  </conditionalFormatting>
  <conditionalFormatting sqref="E94">
    <cfRule type="expression" dxfId="5122" priority="5226">
      <formula>IF(#REF!="FICTICIO",1,0)</formula>
    </cfRule>
  </conditionalFormatting>
  <conditionalFormatting sqref="E94">
    <cfRule type="expression" dxfId="5121" priority="5225">
      <formula>IF(#REF!="FICTICIO",1,0)</formula>
    </cfRule>
  </conditionalFormatting>
  <conditionalFormatting sqref="E94">
    <cfRule type="expression" dxfId="5120" priority="5224">
      <formula>IF(#REF!="FICTICIO",1,0)</formula>
    </cfRule>
  </conditionalFormatting>
  <conditionalFormatting sqref="E94">
    <cfRule type="expression" dxfId="5119" priority="5223">
      <formula>IF(#REF!="FICTICIO",1,0)</formula>
    </cfRule>
  </conditionalFormatting>
  <conditionalFormatting sqref="E94">
    <cfRule type="expression" dxfId="5118" priority="5222">
      <formula>IF(#REF!="FICTICIO",1,0)</formula>
    </cfRule>
  </conditionalFormatting>
  <conditionalFormatting sqref="E94">
    <cfRule type="expression" dxfId="5117" priority="5221">
      <formula>IF(#REF!="FICTICIO",1,0)</formula>
    </cfRule>
  </conditionalFormatting>
  <conditionalFormatting sqref="E94">
    <cfRule type="expression" dxfId="5116" priority="5220">
      <formula>IF(#REF!="FICTICIO",1,0)</formula>
    </cfRule>
  </conditionalFormatting>
  <conditionalFormatting sqref="E94">
    <cfRule type="expression" dxfId="5115" priority="5219">
      <formula>IF(#REF!="FICTICIO",1,0)</formula>
    </cfRule>
  </conditionalFormatting>
  <conditionalFormatting sqref="E94">
    <cfRule type="expression" dxfId="5114" priority="5218">
      <formula>IF(#REF!="FICTICIO",1,0)</formula>
    </cfRule>
  </conditionalFormatting>
  <conditionalFormatting sqref="E94">
    <cfRule type="expression" dxfId="5113" priority="5217">
      <formula>IF(#REF!="FICTICIO",1,0)</formula>
    </cfRule>
  </conditionalFormatting>
  <conditionalFormatting sqref="E94">
    <cfRule type="expression" dxfId="5112" priority="5216">
      <formula>IF(#REF!="FICTICIO",1,0)</formula>
    </cfRule>
  </conditionalFormatting>
  <conditionalFormatting sqref="E94">
    <cfRule type="expression" dxfId="5111" priority="5215">
      <formula>IF(#REF!="FICTICIO",1,0)</formula>
    </cfRule>
  </conditionalFormatting>
  <conditionalFormatting sqref="E94">
    <cfRule type="expression" dxfId="5110" priority="5214">
      <formula>IF(#REF!="FICTICIO",1,0)</formula>
    </cfRule>
  </conditionalFormatting>
  <conditionalFormatting sqref="E94">
    <cfRule type="expression" dxfId="5109" priority="5213">
      <formula>IF(#REF!="FICTICIO",1,0)</formula>
    </cfRule>
  </conditionalFormatting>
  <conditionalFormatting sqref="E94">
    <cfRule type="expression" dxfId="5108" priority="5212">
      <formula>IF(#REF!="FICTICIO",1,0)</formula>
    </cfRule>
  </conditionalFormatting>
  <conditionalFormatting sqref="E94">
    <cfRule type="expression" dxfId="5107" priority="5211">
      <formula>IF(#REF!="FICTICIO",1,0)</formula>
    </cfRule>
  </conditionalFormatting>
  <conditionalFormatting sqref="E94">
    <cfRule type="expression" dxfId="5106" priority="5210">
      <formula>IF(#REF!="FICTICIO",1,0)</formula>
    </cfRule>
  </conditionalFormatting>
  <conditionalFormatting sqref="E94">
    <cfRule type="expression" dxfId="5105" priority="5209">
      <formula>IF(#REF!="FICTICIO",1,0)</formula>
    </cfRule>
  </conditionalFormatting>
  <conditionalFormatting sqref="E94">
    <cfRule type="expression" dxfId="5104" priority="5208">
      <formula>IF(#REF!="FICTICIO",1,0)</formula>
    </cfRule>
  </conditionalFormatting>
  <conditionalFormatting sqref="E94">
    <cfRule type="expression" dxfId="5103" priority="5207">
      <formula>IF(#REF!="FICTICIO",1,0)</formula>
    </cfRule>
  </conditionalFormatting>
  <conditionalFormatting sqref="E94">
    <cfRule type="expression" dxfId="5102" priority="5206">
      <formula>IF(#REF!="FICTICIO",1,0)</formula>
    </cfRule>
  </conditionalFormatting>
  <conditionalFormatting sqref="E94">
    <cfRule type="expression" dxfId="5101" priority="5205">
      <formula>IF(#REF!="FICTICIO",1,0)</formula>
    </cfRule>
  </conditionalFormatting>
  <conditionalFormatting sqref="E94">
    <cfRule type="expression" dxfId="5100" priority="5204">
      <formula>IF(#REF!="FICTICIO",1,0)</formula>
    </cfRule>
  </conditionalFormatting>
  <conditionalFormatting sqref="E94">
    <cfRule type="expression" dxfId="5099" priority="5203">
      <formula>IF(#REF!="FICTICIO",1,0)</formula>
    </cfRule>
  </conditionalFormatting>
  <conditionalFormatting sqref="E94">
    <cfRule type="expression" dxfId="5098" priority="5202">
      <formula>IF(#REF!="FICTICIO",1,0)</formula>
    </cfRule>
  </conditionalFormatting>
  <conditionalFormatting sqref="E94">
    <cfRule type="expression" dxfId="5097" priority="5201">
      <formula>IF(#REF!="FICTICIO",1,0)</formula>
    </cfRule>
  </conditionalFormatting>
  <conditionalFormatting sqref="E94">
    <cfRule type="expression" dxfId="5096" priority="5200">
      <formula>IF(#REF!="FICTICIO",1,0)</formula>
    </cfRule>
  </conditionalFormatting>
  <conditionalFormatting sqref="D95">
    <cfRule type="expression" dxfId="5095" priority="5198">
      <formula>IF(#REF!="FICTICIO",1,0)</formula>
    </cfRule>
  </conditionalFormatting>
  <conditionalFormatting sqref="D95">
    <cfRule type="expression" dxfId="5094" priority="5199">
      <formula>IF(#REF!="FICTICIO",1,0)</formula>
    </cfRule>
  </conditionalFormatting>
  <conditionalFormatting sqref="D95">
    <cfRule type="expression" dxfId="5093" priority="5196">
      <formula>IF(#REF!="FICTICIO",1,0)</formula>
    </cfRule>
  </conditionalFormatting>
  <conditionalFormatting sqref="D95">
    <cfRule type="expression" dxfId="5092" priority="5197">
      <formula>IF(#REF!="FICTICIO",1,0)</formula>
    </cfRule>
  </conditionalFormatting>
  <conditionalFormatting sqref="D95">
    <cfRule type="expression" dxfId="5091" priority="5194">
      <formula>IF(#REF!="FICTICIO",1,0)</formula>
    </cfRule>
  </conditionalFormatting>
  <conditionalFormatting sqref="D95">
    <cfRule type="expression" dxfId="5090" priority="5195">
      <formula>IF(#REF!="FICTICIO",1,0)</formula>
    </cfRule>
  </conditionalFormatting>
  <conditionalFormatting sqref="D95">
    <cfRule type="expression" dxfId="5089" priority="5192">
      <formula>IF(#REF!="FICTICIO",1,0)</formula>
    </cfRule>
  </conditionalFormatting>
  <conditionalFormatting sqref="D95">
    <cfRule type="expression" dxfId="5088" priority="5193">
      <formula>IF(#REF!="FICTICIO",1,0)</formula>
    </cfRule>
  </conditionalFormatting>
  <conditionalFormatting sqref="D95">
    <cfRule type="expression" dxfId="5087" priority="5190">
      <formula>IF(#REF!="FICTICIO",1,0)</formula>
    </cfRule>
  </conditionalFormatting>
  <conditionalFormatting sqref="D95">
    <cfRule type="expression" dxfId="5086" priority="5191">
      <formula>IF(#REF!="FICTICIO",1,0)</formula>
    </cfRule>
  </conditionalFormatting>
  <conditionalFormatting sqref="F95">
    <cfRule type="expression" dxfId="5085" priority="5189">
      <formula>IF(#REF!="FICTICIO",1,0)</formula>
    </cfRule>
  </conditionalFormatting>
  <conditionalFormatting sqref="E95">
    <cfRule type="expression" dxfId="5084" priority="5188">
      <formula>IF(#REF!="FICTICIO",1,0)</formula>
    </cfRule>
  </conditionalFormatting>
  <conditionalFormatting sqref="E95">
    <cfRule type="expression" dxfId="5083" priority="5187">
      <formula>IF(#REF!="FICTICIO",1,0)</formula>
    </cfRule>
  </conditionalFormatting>
  <conditionalFormatting sqref="E95">
    <cfRule type="expression" dxfId="5082" priority="5186">
      <formula>IF(#REF!="FICTICIO",1,0)</formula>
    </cfRule>
  </conditionalFormatting>
  <conditionalFormatting sqref="E95">
    <cfRule type="expression" dxfId="5081" priority="5185">
      <formula>IF(#REF!="FICTICIO",1,0)</formula>
    </cfRule>
  </conditionalFormatting>
  <conditionalFormatting sqref="E95">
    <cfRule type="expression" dxfId="5080" priority="5184">
      <formula>IF(#REF!="FICTICIO",1,0)</formula>
    </cfRule>
  </conditionalFormatting>
  <conditionalFormatting sqref="E95">
    <cfRule type="expression" dxfId="5079" priority="5183">
      <formula>IF(#REF!="FICTICIO",1,0)</formula>
    </cfRule>
  </conditionalFormatting>
  <conditionalFormatting sqref="E95">
    <cfRule type="expression" dxfId="5078" priority="5182">
      <formula>IF(#REF!="FICTICIO",1,0)</formula>
    </cfRule>
  </conditionalFormatting>
  <conditionalFormatting sqref="E95">
    <cfRule type="expression" dxfId="5077" priority="5181">
      <formula>IF(#REF!="FICTICIO",1,0)</formula>
    </cfRule>
  </conditionalFormatting>
  <conditionalFormatting sqref="E95">
    <cfRule type="expression" dxfId="5076" priority="5180">
      <formula>IF(#REF!="FICTICIO",1,0)</formula>
    </cfRule>
  </conditionalFormatting>
  <conditionalFormatting sqref="E95">
    <cfRule type="expression" dxfId="5075" priority="5179">
      <formula>IF(#REF!="FICTICIO",1,0)</formula>
    </cfRule>
  </conditionalFormatting>
  <conditionalFormatting sqref="E95">
    <cfRule type="expression" dxfId="5074" priority="5178">
      <formula>IF(#REF!="FICTICIO",1,0)</formula>
    </cfRule>
  </conditionalFormatting>
  <conditionalFormatting sqref="E95">
    <cfRule type="expression" dxfId="5073" priority="5177">
      <formula>IF(#REF!="FICTICIO",1,0)</formula>
    </cfRule>
  </conditionalFormatting>
  <conditionalFormatting sqref="E95">
    <cfRule type="expression" dxfId="5072" priority="5176">
      <formula>IF(#REF!="FICTICIO",1,0)</formula>
    </cfRule>
  </conditionalFormatting>
  <conditionalFormatting sqref="E95">
    <cfRule type="expression" dxfId="5071" priority="5175">
      <formula>IF(#REF!="FICTICIO",1,0)</formula>
    </cfRule>
  </conditionalFormatting>
  <conditionalFormatting sqref="E95">
    <cfRule type="expression" dxfId="5070" priority="5174">
      <formula>IF(#REF!="FICTICIO",1,0)</formula>
    </cfRule>
  </conditionalFormatting>
  <conditionalFormatting sqref="E95">
    <cfRule type="expression" dxfId="5069" priority="5173">
      <formula>IF(#REF!="FICTICIO",1,0)</formula>
    </cfRule>
  </conditionalFormatting>
  <conditionalFormatting sqref="E95">
    <cfRule type="expression" dxfId="5068" priority="5172">
      <formula>IF(#REF!="FICTICIO",1,0)</formula>
    </cfRule>
  </conditionalFormatting>
  <conditionalFormatting sqref="E95">
    <cfRule type="expression" dxfId="5067" priority="5171">
      <formula>IF(#REF!="FICTICIO",1,0)</formula>
    </cfRule>
  </conditionalFormatting>
  <conditionalFormatting sqref="E95">
    <cfRule type="expression" dxfId="5066" priority="5170">
      <formula>IF(#REF!="FICTICIO",1,0)</formula>
    </cfRule>
  </conditionalFormatting>
  <conditionalFormatting sqref="E95">
    <cfRule type="expression" dxfId="5065" priority="5169">
      <formula>IF(#REF!="FICTICIO",1,0)</formula>
    </cfRule>
  </conditionalFormatting>
  <conditionalFormatting sqref="E95">
    <cfRule type="expression" dxfId="5064" priority="5168">
      <formula>IF(#REF!="FICTICIO",1,0)</formula>
    </cfRule>
  </conditionalFormatting>
  <conditionalFormatting sqref="E95">
    <cfRule type="expression" dxfId="5063" priority="5167">
      <formula>IF(#REF!="FICTICIO",1,0)</formula>
    </cfRule>
  </conditionalFormatting>
  <conditionalFormatting sqref="E95">
    <cfRule type="expression" dxfId="5062" priority="5166">
      <formula>IF(#REF!="FICTICIO",1,0)</formula>
    </cfRule>
  </conditionalFormatting>
  <conditionalFormatting sqref="E95">
    <cfRule type="expression" dxfId="5061" priority="5165">
      <formula>IF(#REF!="FICTICIO",1,0)</formula>
    </cfRule>
  </conditionalFormatting>
  <conditionalFormatting sqref="E95">
    <cfRule type="expression" dxfId="5060" priority="5164">
      <formula>IF(#REF!="FICTICIO",1,0)</formula>
    </cfRule>
  </conditionalFormatting>
  <conditionalFormatting sqref="E95">
    <cfRule type="expression" dxfId="5059" priority="5163">
      <formula>IF(#REF!="FICTICIO",1,0)</formula>
    </cfRule>
  </conditionalFormatting>
  <conditionalFormatting sqref="E95">
    <cfRule type="expression" dxfId="5058" priority="5162">
      <formula>IF(#REF!="FICTICIO",1,0)</formula>
    </cfRule>
  </conditionalFormatting>
  <conditionalFormatting sqref="E95">
    <cfRule type="expression" dxfId="5057" priority="5161">
      <formula>IF(#REF!="FICTICIO",1,0)</formula>
    </cfRule>
  </conditionalFormatting>
  <conditionalFormatting sqref="E95">
    <cfRule type="expression" dxfId="5056" priority="5160">
      <formula>IF(#REF!="FICTICIO",1,0)</formula>
    </cfRule>
  </conditionalFormatting>
  <conditionalFormatting sqref="E95">
    <cfRule type="expression" dxfId="5055" priority="5159">
      <formula>IF(#REF!="FICTICIO",1,0)</formula>
    </cfRule>
  </conditionalFormatting>
  <conditionalFormatting sqref="E95">
    <cfRule type="expression" dxfId="5054" priority="5158">
      <formula>IF(#REF!="FICTICIO",1,0)</formula>
    </cfRule>
  </conditionalFormatting>
  <conditionalFormatting sqref="E95">
    <cfRule type="expression" dxfId="5053" priority="5157">
      <formula>IF(#REF!="FICTICIO",1,0)</formula>
    </cfRule>
  </conditionalFormatting>
  <conditionalFormatting sqref="E95">
    <cfRule type="expression" dxfId="5052" priority="5156">
      <formula>IF(#REF!="FICTICIO",1,0)</formula>
    </cfRule>
  </conditionalFormatting>
  <conditionalFormatting sqref="E95">
    <cfRule type="expression" dxfId="5051" priority="5155">
      <formula>IF(#REF!="FICTICIO",1,0)</formula>
    </cfRule>
  </conditionalFormatting>
  <conditionalFormatting sqref="E95">
    <cfRule type="expression" dxfId="5050" priority="5154">
      <formula>IF(#REF!="FICTICIO",1,0)</formula>
    </cfRule>
  </conditionalFormatting>
  <conditionalFormatting sqref="E95">
    <cfRule type="expression" dxfId="5049" priority="5153">
      <formula>IF(#REF!="FICTICIO",1,0)</formula>
    </cfRule>
  </conditionalFormatting>
  <conditionalFormatting sqref="E95">
    <cfRule type="expression" dxfId="5048" priority="5152">
      <formula>IF(#REF!="FICTICIO",1,0)</formula>
    </cfRule>
  </conditionalFormatting>
  <conditionalFormatting sqref="E95">
    <cfRule type="expression" dxfId="5047" priority="5151">
      <formula>IF(#REF!="FICTICIO",1,0)</formula>
    </cfRule>
  </conditionalFormatting>
  <conditionalFormatting sqref="E95">
    <cfRule type="expression" dxfId="5046" priority="5150">
      <formula>IF(#REF!="FICTICIO",1,0)</formula>
    </cfRule>
  </conditionalFormatting>
  <conditionalFormatting sqref="E95">
    <cfRule type="expression" dxfId="5045" priority="5149">
      <formula>IF(#REF!="FICTICIO",1,0)</formula>
    </cfRule>
  </conditionalFormatting>
  <conditionalFormatting sqref="E95">
    <cfRule type="expression" dxfId="5044" priority="5148">
      <formula>IF(#REF!="FICTICIO",1,0)</formula>
    </cfRule>
  </conditionalFormatting>
  <conditionalFormatting sqref="E95">
    <cfRule type="expression" dxfId="5043" priority="5147">
      <formula>IF(#REF!="FICTICIO",1,0)</formula>
    </cfRule>
  </conditionalFormatting>
  <conditionalFormatting sqref="E95">
    <cfRule type="expression" dxfId="5042" priority="5146">
      <formula>IF(#REF!="FICTICIO",1,0)</formula>
    </cfRule>
  </conditionalFormatting>
  <conditionalFormatting sqref="E95">
    <cfRule type="expression" dxfId="5041" priority="5145">
      <formula>IF(#REF!="FICTICIO",1,0)</formula>
    </cfRule>
  </conditionalFormatting>
  <conditionalFormatting sqref="E95">
    <cfRule type="expression" dxfId="5040" priority="5144">
      <formula>IF(#REF!="FICTICIO",1,0)</formula>
    </cfRule>
  </conditionalFormatting>
  <conditionalFormatting sqref="E95">
    <cfRule type="expression" dxfId="5039" priority="5143">
      <formula>IF(#REF!="FICTICIO",1,0)</formula>
    </cfRule>
  </conditionalFormatting>
  <conditionalFormatting sqref="E95">
    <cfRule type="expression" dxfId="5038" priority="5142">
      <formula>IF(#REF!="FICTICIO",1,0)</formula>
    </cfRule>
  </conditionalFormatting>
  <conditionalFormatting sqref="E95">
    <cfRule type="expression" dxfId="5037" priority="5141">
      <formula>IF(#REF!="FICTICIO",1,0)</formula>
    </cfRule>
  </conditionalFormatting>
  <conditionalFormatting sqref="E95">
    <cfRule type="expression" dxfId="5036" priority="5140">
      <formula>IF(#REF!="FICTICIO",1,0)</formula>
    </cfRule>
  </conditionalFormatting>
  <conditionalFormatting sqref="E95">
    <cfRule type="expression" dxfId="5035" priority="5139">
      <formula>IF(#REF!="FICTICIO",1,0)</formula>
    </cfRule>
  </conditionalFormatting>
  <conditionalFormatting sqref="E95">
    <cfRule type="expression" dxfId="5034" priority="5138">
      <formula>IF(#REF!="FICTICIO",1,0)</formula>
    </cfRule>
  </conditionalFormatting>
  <conditionalFormatting sqref="E95">
    <cfRule type="expression" dxfId="5033" priority="5137">
      <formula>IF(#REF!="FICTICIO",1,0)</formula>
    </cfRule>
  </conditionalFormatting>
  <conditionalFormatting sqref="E95">
    <cfRule type="expression" dxfId="5032" priority="5136">
      <formula>IF(#REF!="FICTICIO",1,0)</formula>
    </cfRule>
  </conditionalFormatting>
  <conditionalFormatting sqref="E95">
    <cfRule type="expression" dxfId="5031" priority="5135">
      <formula>IF(#REF!="FICTICIO",1,0)</formula>
    </cfRule>
  </conditionalFormatting>
  <conditionalFormatting sqref="E95">
    <cfRule type="expression" dxfId="5030" priority="5134">
      <formula>IF(#REF!="FICTICIO",1,0)</formula>
    </cfRule>
  </conditionalFormatting>
  <conditionalFormatting sqref="E95">
    <cfRule type="expression" dxfId="5029" priority="5133">
      <formula>IF(#REF!="FICTICIO",1,0)</formula>
    </cfRule>
  </conditionalFormatting>
  <conditionalFormatting sqref="E95">
    <cfRule type="expression" dxfId="5028" priority="5132">
      <formula>IF(#REF!="FICTICIO",1,0)</formula>
    </cfRule>
  </conditionalFormatting>
  <conditionalFormatting sqref="E95">
    <cfRule type="expression" dxfId="5027" priority="5131">
      <formula>IF(#REF!="FICTICIO",1,0)</formula>
    </cfRule>
  </conditionalFormatting>
  <conditionalFormatting sqref="E95">
    <cfRule type="expression" dxfId="5026" priority="5130">
      <formula>IF(#REF!="FICTICIO",1,0)</formula>
    </cfRule>
  </conditionalFormatting>
  <conditionalFormatting sqref="E95">
    <cfRule type="expression" dxfId="5025" priority="5129">
      <formula>IF(#REF!="FICTICIO",1,0)</formula>
    </cfRule>
  </conditionalFormatting>
  <conditionalFormatting sqref="E95">
    <cfRule type="expression" dxfId="5024" priority="5128">
      <formula>IF(#REF!="FICTICIO",1,0)</formula>
    </cfRule>
  </conditionalFormatting>
  <conditionalFormatting sqref="E95">
    <cfRule type="expression" dxfId="5023" priority="5127">
      <formula>IF(#REF!="FICTICIO",1,0)</formula>
    </cfRule>
  </conditionalFormatting>
  <conditionalFormatting sqref="E95">
    <cfRule type="expression" dxfId="5022" priority="5126">
      <formula>IF(#REF!="FICTICIO",1,0)</formula>
    </cfRule>
  </conditionalFormatting>
  <conditionalFormatting sqref="E95">
    <cfRule type="expression" dxfId="5021" priority="5125">
      <formula>IF(#REF!="FICTICIO",1,0)</formula>
    </cfRule>
  </conditionalFormatting>
  <conditionalFormatting sqref="E95">
    <cfRule type="expression" dxfId="5020" priority="5124">
      <formula>IF(#REF!="FICTICIO",1,0)</formula>
    </cfRule>
  </conditionalFormatting>
  <conditionalFormatting sqref="E95">
    <cfRule type="expression" dxfId="5019" priority="5123">
      <formula>IF(#REF!="FICTICIO",1,0)</formula>
    </cfRule>
  </conditionalFormatting>
  <conditionalFormatting sqref="E95">
    <cfRule type="expression" dxfId="5018" priority="5122">
      <formula>IF(#REF!="FICTICIO",1,0)</formula>
    </cfRule>
  </conditionalFormatting>
  <conditionalFormatting sqref="E95">
    <cfRule type="expression" dxfId="5017" priority="5121">
      <formula>IF(#REF!="FICTICIO",1,0)</formula>
    </cfRule>
  </conditionalFormatting>
  <conditionalFormatting sqref="E95">
    <cfRule type="expression" dxfId="5016" priority="5120">
      <formula>IF(#REF!="FICTICIO",1,0)</formula>
    </cfRule>
  </conditionalFormatting>
  <conditionalFormatting sqref="E95">
    <cfRule type="expression" dxfId="5015" priority="5119">
      <formula>IF(#REF!="FICTICIO",1,0)</formula>
    </cfRule>
  </conditionalFormatting>
  <conditionalFormatting sqref="E95">
    <cfRule type="expression" dxfId="5014" priority="5118">
      <formula>IF(#REF!="FICTICIO",1,0)</formula>
    </cfRule>
  </conditionalFormatting>
  <conditionalFormatting sqref="E95">
    <cfRule type="expression" dxfId="5013" priority="5117">
      <formula>IF(#REF!="FICTICIO",1,0)</formula>
    </cfRule>
  </conditionalFormatting>
  <conditionalFormatting sqref="E95">
    <cfRule type="expression" dxfId="5012" priority="5116">
      <formula>IF(#REF!="FICTICIO",1,0)</formula>
    </cfRule>
  </conditionalFormatting>
  <conditionalFormatting sqref="E95">
    <cfRule type="expression" dxfId="5011" priority="5115">
      <formula>IF(#REF!="FICTICIO",1,0)</formula>
    </cfRule>
  </conditionalFormatting>
  <conditionalFormatting sqref="E95">
    <cfRule type="expression" dxfId="5010" priority="5114">
      <formula>IF(#REF!="FICTICIO",1,0)</formula>
    </cfRule>
  </conditionalFormatting>
  <conditionalFormatting sqref="E95">
    <cfRule type="expression" dxfId="5009" priority="5113">
      <formula>IF(#REF!="FICTICIO",1,0)</formula>
    </cfRule>
  </conditionalFormatting>
  <conditionalFormatting sqref="E96">
    <cfRule type="expression" dxfId="5008" priority="5112">
      <formula>IF(#REF!="FICTICIO",1,0)</formula>
    </cfRule>
  </conditionalFormatting>
  <conditionalFormatting sqref="E96">
    <cfRule type="expression" dxfId="5007" priority="5111">
      <formula>IF(#REF!="FICTICIO",1,0)</formula>
    </cfRule>
  </conditionalFormatting>
  <conditionalFormatting sqref="E96">
    <cfRule type="expression" dxfId="5006" priority="5110">
      <formula>IF(#REF!="FICTICIO",1,0)</formula>
    </cfRule>
  </conditionalFormatting>
  <conditionalFormatting sqref="E96">
    <cfRule type="expression" dxfId="5005" priority="5109">
      <formula>IF(#REF!="FICTICIO",1,0)</formula>
    </cfRule>
  </conditionalFormatting>
  <conditionalFormatting sqref="E96">
    <cfRule type="expression" dxfId="5004" priority="5108">
      <formula>IF(#REF!="FICTICIO",1,0)</formula>
    </cfRule>
  </conditionalFormatting>
  <conditionalFormatting sqref="E96">
    <cfRule type="expression" dxfId="5003" priority="5107">
      <formula>IF(#REF!="FICTICIO",1,0)</formula>
    </cfRule>
  </conditionalFormatting>
  <conditionalFormatting sqref="E96">
    <cfRule type="expression" dxfId="5002" priority="5106">
      <formula>IF(#REF!="FICTICIO",1,0)</formula>
    </cfRule>
  </conditionalFormatting>
  <conditionalFormatting sqref="E96">
    <cfRule type="expression" dxfId="5001" priority="5105">
      <formula>IF(#REF!="FICTICIO",1,0)</formula>
    </cfRule>
  </conditionalFormatting>
  <conditionalFormatting sqref="E96">
    <cfRule type="expression" dxfId="5000" priority="5104">
      <formula>IF(#REF!="FICTICIO",1,0)</formula>
    </cfRule>
  </conditionalFormatting>
  <conditionalFormatting sqref="E96">
    <cfRule type="expression" dxfId="4999" priority="5103">
      <formula>IF(#REF!="FICTICIO",1,0)</formula>
    </cfRule>
  </conditionalFormatting>
  <conditionalFormatting sqref="E96">
    <cfRule type="expression" dxfId="4998" priority="5102">
      <formula>IF(#REF!="FICTICIO",1,0)</formula>
    </cfRule>
  </conditionalFormatting>
  <conditionalFormatting sqref="E96">
    <cfRule type="expression" dxfId="4997" priority="5101">
      <formula>IF(#REF!="FICTICIO",1,0)</formula>
    </cfRule>
  </conditionalFormatting>
  <conditionalFormatting sqref="E96">
    <cfRule type="expression" dxfId="4996" priority="5100">
      <formula>IF(#REF!="FICTICIO",1,0)</formula>
    </cfRule>
  </conditionalFormatting>
  <conditionalFormatting sqref="E96">
    <cfRule type="expression" dxfId="4995" priority="5099">
      <formula>IF(#REF!="FICTICIO",1,0)</formula>
    </cfRule>
  </conditionalFormatting>
  <conditionalFormatting sqref="E96">
    <cfRule type="expression" dxfId="4994" priority="5098">
      <formula>IF(#REF!="FICTICIO",1,0)</formula>
    </cfRule>
  </conditionalFormatting>
  <conditionalFormatting sqref="E96">
    <cfRule type="expression" dxfId="4993" priority="5097">
      <formula>IF(#REF!="FICTICIO",1,0)</formula>
    </cfRule>
  </conditionalFormatting>
  <conditionalFormatting sqref="E96">
    <cfRule type="expression" dxfId="4992" priority="5096">
      <formula>IF(#REF!="FICTICIO",1,0)</formula>
    </cfRule>
  </conditionalFormatting>
  <conditionalFormatting sqref="E96">
    <cfRule type="expression" dxfId="4991" priority="5095">
      <formula>IF(#REF!="FICTICIO",1,0)</formula>
    </cfRule>
  </conditionalFormatting>
  <conditionalFormatting sqref="E96">
    <cfRule type="expression" dxfId="4990" priority="5094">
      <formula>IF(#REF!="FICTICIO",1,0)</formula>
    </cfRule>
  </conditionalFormatting>
  <conditionalFormatting sqref="E96">
    <cfRule type="expression" dxfId="4989" priority="5093">
      <formula>IF(#REF!="FICTICIO",1,0)</formula>
    </cfRule>
  </conditionalFormatting>
  <conditionalFormatting sqref="E96">
    <cfRule type="expression" dxfId="4988" priority="5092">
      <formula>IF(#REF!="FICTICIO",1,0)</formula>
    </cfRule>
  </conditionalFormatting>
  <conditionalFormatting sqref="E96">
    <cfRule type="expression" dxfId="4987" priority="5091">
      <formula>IF(#REF!="FICTICIO",1,0)</formula>
    </cfRule>
  </conditionalFormatting>
  <conditionalFormatting sqref="E96">
    <cfRule type="expression" dxfId="4986" priority="5090">
      <formula>IF(#REF!="FICTICIO",1,0)</formula>
    </cfRule>
  </conditionalFormatting>
  <conditionalFormatting sqref="E96">
    <cfRule type="expression" dxfId="4985" priority="5089">
      <formula>IF(#REF!="FICTICIO",1,0)</formula>
    </cfRule>
  </conditionalFormatting>
  <conditionalFormatting sqref="E96">
    <cfRule type="expression" dxfId="4984" priority="5088">
      <formula>IF(#REF!="FICTICIO",1,0)</formula>
    </cfRule>
  </conditionalFormatting>
  <conditionalFormatting sqref="E96">
    <cfRule type="expression" dxfId="4983" priority="5087">
      <formula>IF(#REF!="FICTICIO",1,0)</formula>
    </cfRule>
  </conditionalFormatting>
  <conditionalFormatting sqref="E96">
    <cfRule type="expression" dxfId="4982" priority="5086">
      <formula>IF(#REF!="FICTICIO",1,0)</formula>
    </cfRule>
  </conditionalFormatting>
  <conditionalFormatting sqref="E96">
    <cfRule type="expression" dxfId="4981" priority="5085">
      <formula>IF(#REF!="FICTICIO",1,0)</formula>
    </cfRule>
  </conditionalFormatting>
  <conditionalFormatting sqref="E96">
    <cfRule type="expression" dxfId="4980" priority="5084">
      <formula>IF(#REF!="FICTICIO",1,0)</formula>
    </cfRule>
  </conditionalFormatting>
  <conditionalFormatting sqref="E96">
    <cfRule type="expression" dxfId="4979" priority="5083">
      <formula>IF(#REF!="FICTICIO",1,0)</formula>
    </cfRule>
  </conditionalFormatting>
  <conditionalFormatting sqref="E96">
    <cfRule type="expression" dxfId="4978" priority="5082">
      <formula>IF(#REF!="FICTICIO",1,0)</formula>
    </cfRule>
  </conditionalFormatting>
  <conditionalFormatting sqref="E96">
    <cfRule type="expression" dxfId="4977" priority="5081">
      <formula>IF(#REF!="FICTICIO",1,0)</formula>
    </cfRule>
  </conditionalFormatting>
  <conditionalFormatting sqref="E96">
    <cfRule type="expression" dxfId="4976" priority="5080">
      <formula>IF(#REF!="FICTICIO",1,0)</formula>
    </cfRule>
  </conditionalFormatting>
  <conditionalFormatting sqref="E96">
    <cfRule type="expression" dxfId="4975" priority="5079">
      <formula>IF(#REF!="FICTICIO",1,0)</formula>
    </cfRule>
  </conditionalFormatting>
  <conditionalFormatting sqref="E96">
    <cfRule type="expression" dxfId="4974" priority="5078">
      <formula>IF(#REF!="FICTICIO",1,0)</formula>
    </cfRule>
  </conditionalFormatting>
  <conditionalFormatting sqref="E96">
    <cfRule type="expression" dxfId="4973" priority="5077">
      <formula>IF(#REF!="FICTICIO",1,0)</formula>
    </cfRule>
  </conditionalFormatting>
  <conditionalFormatting sqref="E96">
    <cfRule type="expression" dxfId="4972" priority="5076">
      <formula>IF(#REF!="FICTICIO",1,0)</formula>
    </cfRule>
  </conditionalFormatting>
  <conditionalFormatting sqref="E96">
    <cfRule type="expression" dxfId="4971" priority="5075">
      <formula>IF(#REF!="FICTICIO",1,0)</formula>
    </cfRule>
  </conditionalFormatting>
  <conditionalFormatting sqref="E96">
    <cfRule type="expression" dxfId="4970" priority="5074">
      <formula>IF(#REF!="FICTICIO",1,0)</formula>
    </cfRule>
  </conditionalFormatting>
  <conditionalFormatting sqref="E96">
    <cfRule type="expression" dxfId="4969" priority="5073">
      <formula>IF(#REF!="FICTICIO",1,0)</formula>
    </cfRule>
  </conditionalFormatting>
  <conditionalFormatting sqref="E96">
    <cfRule type="expression" dxfId="4968" priority="5072">
      <formula>IF(#REF!="FICTICIO",1,0)</formula>
    </cfRule>
  </conditionalFormatting>
  <conditionalFormatting sqref="E96">
    <cfRule type="expression" dxfId="4967" priority="5071">
      <formula>IF(#REF!="FICTICIO",1,0)</formula>
    </cfRule>
  </conditionalFormatting>
  <conditionalFormatting sqref="E96">
    <cfRule type="expression" dxfId="4966" priority="5070">
      <formula>IF(#REF!="FICTICIO",1,0)</formula>
    </cfRule>
  </conditionalFormatting>
  <conditionalFormatting sqref="E96">
    <cfRule type="expression" dxfId="4965" priority="5069">
      <formula>IF(#REF!="FICTICIO",1,0)</formula>
    </cfRule>
  </conditionalFormatting>
  <conditionalFormatting sqref="E96">
    <cfRule type="expression" dxfId="4964" priority="5068">
      <formula>IF(#REF!="FICTICIO",1,0)</formula>
    </cfRule>
  </conditionalFormatting>
  <conditionalFormatting sqref="E96">
    <cfRule type="expression" dxfId="4963" priority="5067">
      <formula>IF(#REF!="FICTICIO",1,0)</formula>
    </cfRule>
  </conditionalFormatting>
  <conditionalFormatting sqref="E96">
    <cfRule type="expression" dxfId="4962" priority="5066">
      <formula>IF(#REF!="FICTICIO",1,0)</formula>
    </cfRule>
  </conditionalFormatting>
  <conditionalFormatting sqref="E96">
    <cfRule type="expression" dxfId="4961" priority="5065">
      <formula>IF(#REF!="FICTICIO",1,0)</formula>
    </cfRule>
  </conditionalFormatting>
  <conditionalFormatting sqref="E96">
    <cfRule type="expression" dxfId="4960" priority="5064">
      <formula>IF(#REF!="FICTICIO",1,0)</formula>
    </cfRule>
  </conditionalFormatting>
  <conditionalFormatting sqref="E96">
    <cfRule type="expression" dxfId="4959" priority="5063">
      <formula>IF(#REF!="FICTICIO",1,0)</formula>
    </cfRule>
  </conditionalFormatting>
  <conditionalFormatting sqref="E96">
    <cfRule type="expression" dxfId="4958" priority="5062">
      <formula>IF(#REF!="FICTICIO",1,0)</formula>
    </cfRule>
  </conditionalFormatting>
  <conditionalFormatting sqref="E96">
    <cfRule type="expression" dxfId="4957" priority="5061">
      <formula>IF(#REF!="FICTICIO",1,0)</formula>
    </cfRule>
  </conditionalFormatting>
  <conditionalFormatting sqref="E96">
    <cfRule type="expression" dxfId="4956" priority="5060">
      <formula>IF(#REF!="FICTICIO",1,0)</formula>
    </cfRule>
  </conditionalFormatting>
  <conditionalFormatting sqref="E96">
    <cfRule type="expression" dxfId="4955" priority="5059">
      <formula>IF(#REF!="FICTICIO",1,0)</formula>
    </cfRule>
  </conditionalFormatting>
  <conditionalFormatting sqref="E96">
    <cfRule type="expression" dxfId="4954" priority="5058">
      <formula>IF(#REF!="FICTICIO",1,0)</formula>
    </cfRule>
  </conditionalFormatting>
  <conditionalFormatting sqref="E96">
    <cfRule type="expression" dxfId="4953" priority="5057">
      <formula>IF(#REF!="FICTICIO",1,0)</formula>
    </cfRule>
  </conditionalFormatting>
  <conditionalFormatting sqref="E96">
    <cfRule type="expression" dxfId="4952" priority="5056">
      <formula>IF(#REF!="FICTICIO",1,0)</formula>
    </cfRule>
  </conditionalFormatting>
  <conditionalFormatting sqref="E96">
    <cfRule type="expression" dxfId="4951" priority="5055">
      <formula>IF(#REF!="FICTICIO",1,0)</formula>
    </cfRule>
  </conditionalFormatting>
  <conditionalFormatting sqref="E96">
    <cfRule type="expression" dxfId="4950" priority="5054">
      <formula>IF(#REF!="FICTICIO",1,0)</formula>
    </cfRule>
  </conditionalFormatting>
  <conditionalFormatting sqref="E96">
    <cfRule type="expression" dxfId="4949" priority="5053">
      <formula>IF(#REF!="FICTICIO",1,0)</formula>
    </cfRule>
  </conditionalFormatting>
  <conditionalFormatting sqref="E96">
    <cfRule type="expression" dxfId="4948" priority="5052">
      <formula>IF(#REF!="FICTICIO",1,0)</formula>
    </cfRule>
  </conditionalFormatting>
  <conditionalFormatting sqref="E96">
    <cfRule type="expression" dxfId="4947" priority="5051">
      <formula>IF(#REF!="FICTICIO",1,0)</formula>
    </cfRule>
  </conditionalFormatting>
  <conditionalFormatting sqref="E96">
    <cfRule type="expression" dxfId="4946" priority="5050">
      <formula>IF(#REF!="FICTICIO",1,0)</formula>
    </cfRule>
  </conditionalFormatting>
  <conditionalFormatting sqref="E96">
    <cfRule type="expression" dxfId="4945" priority="5049">
      <formula>IF(#REF!="FICTICIO",1,0)</formula>
    </cfRule>
  </conditionalFormatting>
  <conditionalFormatting sqref="E96">
    <cfRule type="expression" dxfId="4944" priority="5048">
      <formula>IF(#REF!="FICTICIO",1,0)</formula>
    </cfRule>
  </conditionalFormatting>
  <conditionalFormatting sqref="E96">
    <cfRule type="expression" dxfId="4943" priority="5047">
      <formula>IF(#REF!="FICTICIO",1,0)</formula>
    </cfRule>
  </conditionalFormatting>
  <conditionalFormatting sqref="E96">
    <cfRule type="expression" dxfId="4942" priority="5046">
      <formula>IF(#REF!="FICTICIO",1,0)</formula>
    </cfRule>
  </conditionalFormatting>
  <conditionalFormatting sqref="E96">
    <cfRule type="expression" dxfId="4941" priority="5045">
      <formula>IF(#REF!="FICTICIO",1,0)</formula>
    </cfRule>
  </conditionalFormatting>
  <conditionalFormatting sqref="E96">
    <cfRule type="expression" dxfId="4940" priority="5044">
      <formula>IF(#REF!="FICTICIO",1,0)</formula>
    </cfRule>
  </conditionalFormatting>
  <conditionalFormatting sqref="E96">
    <cfRule type="expression" dxfId="4939" priority="5043">
      <formula>IF(#REF!="FICTICIO",1,0)</formula>
    </cfRule>
  </conditionalFormatting>
  <conditionalFormatting sqref="E96">
    <cfRule type="expression" dxfId="4938" priority="5042">
      <formula>IF(#REF!="FICTICIO",1,0)</formula>
    </cfRule>
  </conditionalFormatting>
  <conditionalFormatting sqref="E96">
    <cfRule type="expression" dxfId="4937" priority="5041">
      <formula>IF(#REF!="FICTICIO",1,0)</formula>
    </cfRule>
  </conditionalFormatting>
  <conditionalFormatting sqref="E96">
    <cfRule type="expression" dxfId="4936" priority="5040">
      <formula>IF(#REF!="FICTICIO",1,0)</formula>
    </cfRule>
  </conditionalFormatting>
  <conditionalFormatting sqref="E96">
    <cfRule type="expression" dxfId="4935" priority="5039">
      <formula>IF(#REF!="FICTICIO",1,0)</formula>
    </cfRule>
  </conditionalFormatting>
  <conditionalFormatting sqref="E96">
    <cfRule type="expression" dxfId="4934" priority="5038">
      <formula>IF(#REF!="FICTICIO",1,0)</formula>
    </cfRule>
  </conditionalFormatting>
  <conditionalFormatting sqref="E96">
    <cfRule type="expression" dxfId="4933" priority="5037">
      <formula>IF(#REF!="FICTICIO",1,0)</formula>
    </cfRule>
  </conditionalFormatting>
  <conditionalFormatting sqref="D97">
    <cfRule type="expression" dxfId="4932" priority="5035">
      <formula>IF(#REF!="FICTICIO",1,0)</formula>
    </cfRule>
  </conditionalFormatting>
  <conditionalFormatting sqref="D97">
    <cfRule type="expression" dxfId="4931" priority="5036">
      <formula>IF(#REF!="FICTICIO",1,0)</formula>
    </cfRule>
  </conditionalFormatting>
  <conditionalFormatting sqref="D97">
    <cfRule type="expression" dxfId="4930" priority="5033">
      <formula>IF(#REF!="FICTICIO",1,0)</formula>
    </cfRule>
  </conditionalFormatting>
  <conditionalFormatting sqref="D97">
    <cfRule type="expression" dxfId="4929" priority="5034">
      <formula>IF(#REF!="FICTICIO",1,0)</formula>
    </cfRule>
  </conditionalFormatting>
  <conditionalFormatting sqref="D97">
    <cfRule type="expression" dxfId="4928" priority="5031">
      <formula>IF(#REF!="FICTICIO",1,0)</formula>
    </cfRule>
  </conditionalFormatting>
  <conditionalFormatting sqref="D97">
    <cfRule type="expression" dxfId="4927" priority="5032">
      <formula>IF(#REF!="FICTICIO",1,0)</formula>
    </cfRule>
  </conditionalFormatting>
  <conditionalFormatting sqref="D97">
    <cfRule type="expression" dxfId="4926" priority="5029">
      <formula>IF(#REF!="FICTICIO",1,0)</formula>
    </cfRule>
  </conditionalFormatting>
  <conditionalFormatting sqref="D97">
    <cfRule type="expression" dxfId="4925" priority="5030">
      <formula>IF(#REF!="FICTICIO",1,0)</formula>
    </cfRule>
  </conditionalFormatting>
  <conditionalFormatting sqref="D97">
    <cfRule type="expression" dxfId="4924" priority="5027">
      <formula>IF(#REF!="FICTICIO",1,0)</formula>
    </cfRule>
  </conditionalFormatting>
  <conditionalFormatting sqref="D97">
    <cfRule type="expression" dxfId="4923" priority="5028">
      <formula>IF(#REF!="FICTICIO",1,0)</formula>
    </cfRule>
  </conditionalFormatting>
  <conditionalFormatting sqref="D97">
    <cfRule type="expression" dxfId="4922" priority="5025">
      <formula>IF(#REF!="FICTICIO",1,0)</formula>
    </cfRule>
  </conditionalFormatting>
  <conditionalFormatting sqref="D97">
    <cfRule type="expression" dxfId="4921" priority="5026">
      <formula>IF(#REF!="FICTICIO",1,0)</formula>
    </cfRule>
  </conditionalFormatting>
  <conditionalFormatting sqref="D97">
    <cfRule type="expression" dxfId="4920" priority="5023">
      <formula>IF(#REF!="FICTICIO",1,0)</formula>
    </cfRule>
  </conditionalFormatting>
  <conditionalFormatting sqref="D97">
    <cfRule type="expression" dxfId="4919" priority="5024">
      <formula>IF(#REF!="FICTICIO",1,0)</formula>
    </cfRule>
  </conditionalFormatting>
  <conditionalFormatting sqref="D97">
    <cfRule type="expression" dxfId="4918" priority="5021">
      <formula>IF(#REF!="FICTICIO",1,0)</formula>
    </cfRule>
  </conditionalFormatting>
  <conditionalFormatting sqref="D97">
    <cfRule type="expression" dxfId="4917" priority="5022">
      <formula>IF(#REF!="FICTICIO",1,0)</formula>
    </cfRule>
  </conditionalFormatting>
  <conditionalFormatting sqref="F97">
    <cfRule type="expression" dxfId="4916" priority="5020">
      <formula>IF(#REF!="FICTICIO",1,0)</formula>
    </cfRule>
  </conditionalFormatting>
  <conditionalFormatting sqref="E97">
    <cfRule type="expression" dxfId="4915" priority="5019">
      <formula>IF(#REF!="FICTICIO",1,0)</formula>
    </cfRule>
  </conditionalFormatting>
  <conditionalFormatting sqref="E97">
    <cfRule type="expression" dxfId="4914" priority="5018">
      <formula>IF(#REF!="FICTICIO",1,0)</formula>
    </cfRule>
  </conditionalFormatting>
  <conditionalFormatting sqref="E97">
    <cfRule type="expression" dxfId="4913" priority="5017">
      <formula>IF(#REF!="FICTICIO",1,0)</formula>
    </cfRule>
  </conditionalFormatting>
  <conditionalFormatting sqref="E97">
    <cfRule type="expression" dxfId="4912" priority="5016">
      <formula>IF(#REF!="FICTICIO",1,0)</formula>
    </cfRule>
  </conditionalFormatting>
  <conditionalFormatting sqref="E97">
    <cfRule type="expression" dxfId="4911" priority="5015">
      <formula>IF(#REF!="FICTICIO",1,0)</formula>
    </cfRule>
  </conditionalFormatting>
  <conditionalFormatting sqref="E97">
    <cfRule type="expression" dxfId="4910" priority="5014">
      <formula>IF(#REF!="FICTICIO",1,0)</formula>
    </cfRule>
  </conditionalFormatting>
  <conditionalFormatting sqref="E97">
    <cfRule type="expression" dxfId="4909" priority="5013">
      <formula>IF(#REF!="FICTICIO",1,0)</formula>
    </cfRule>
  </conditionalFormatting>
  <conditionalFormatting sqref="E97">
    <cfRule type="expression" dxfId="4908" priority="5012">
      <formula>IF(#REF!="FICTICIO",1,0)</formula>
    </cfRule>
  </conditionalFormatting>
  <conditionalFormatting sqref="E97">
    <cfRule type="expression" dxfId="4907" priority="5011">
      <formula>IF(#REF!="FICTICIO",1,0)</formula>
    </cfRule>
  </conditionalFormatting>
  <conditionalFormatting sqref="E97">
    <cfRule type="expression" dxfId="4906" priority="5010">
      <formula>IF(#REF!="FICTICIO",1,0)</formula>
    </cfRule>
  </conditionalFormatting>
  <conditionalFormatting sqref="E97">
    <cfRule type="expression" dxfId="4905" priority="5009">
      <formula>IF(#REF!="FICTICIO",1,0)</formula>
    </cfRule>
  </conditionalFormatting>
  <conditionalFormatting sqref="E97">
    <cfRule type="expression" dxfId="4904" priority="5008">
      <formula>IF(#REF!="FICTICIO",1,0)</formula>
    </cfRule>
  </conditionalFormatting>
  <conditionalFormatting sqref="E97">
    <cfRule type="expression" dxfId="4903" priority="5007">
      <formula>IF(#REF!="FICTICIO",1,0)</formula>
    </cfRule>
  </conditionalFormatting>
  <conditionalFormatting sqref="E97">
    <cfRule type="expression" dxfId="4902" priority="5006">
      <formula>IF(#REF!="FICTICIO",1,0)</formula>
    </cfRule>
  </conditionalFormatting>
  <conditionalFormatting sqref="E97">
    <cfRule type="expression" dxfId="4901" priority="5005">
      <formula>IF(#REF!="FICTICIO",1,0)</formula>
    </cfRule>
  </conditionalFormatting>
  <conditionalFormatting sqref="E97">
    <cfRule type="expression" dxfId="4900" priority="5004">
      <formula>IF(#REF!="FICTICIO",1,0)</formula>
    </cfRule>
  </conditionalFormatting>
  <conditionalFormatting sqref="E97">
    <cfRule type="expression" dxfId="4899" priority="5003">
      <formula>IF(#REF!="FICTICIO",1,0)</formula>
    </cfRule>
  </conditionalFormatting>
  <conditionalFormatting sqref="E97">
    <cfRule type="expression" dxfId="4898" priority="5002">
      <formula>IF(#REF!="FICTICIO",1,0)</formula>
    </cfRule>
  </conditionalFormatting>
  <conditionalFormatting sqref="E97">
    <cfRule type="expression" dxfId="4897" priority="5001">
      <formula>IF(#REF!="FICTICIO",1,0)</formula>
    </cfRule>
  </conditionalFormatting>
  <conditionalFormatting sqref="E97">
    <cfRule type="expression" dxfId="4896" priority="5000">
      <formula>IF(#REF!="FICTICIO",1,0)</formula>
    </cfRule>
  </conditionalFormatting>
  <conditionalFormatting sqref="E97">
    <cfRule type="expression" dxfId="4895" priority="4999">
      <formula>IF(#REF!="FICTICIO",1,0)</formula>
    </cfRule>
  </conditionalFormatting>
  <conditionalFormatting sqref="E97">
    <cfRule type="expression" dxfId="4894" priority="4998">
      <formula>IF(#REF!="FICTICIO",1,0)</formula>
    </cfRule>
  </conditionalFormatting>
  <conditionalFormatting sqref="E97">
    <cfRule type="expression" dxfId="4893" priority="4997">
      <formula>IF(#REF!="FICTICIO",1,0)</formula>
    </cfRule>
  </conditionalFormatting>
  <conditionalFormatting sqref="E97">
    <cfRule type="expression" dxfId="4892" priority="4996">
      <formula>IF(#REF!="FICTICIO",1,0)</formula>
    </cfRule>
  </conditionalFormatting>
  <conditionalFormatting sqref="E97">
    <cfRule type="expression" dxfId="4891" priority="4995">
      <formula>IF(#REF!="FICTICIO",1,0)</formula>
    </cfRule>
  </conditionalFormatting>
  <conditionalFormatting sqref="E97">
    <cfRule type="expression" dxfId="4890" priority="4994">
      <formula>IF(#REF!="FICTICIO",1,0)</formula>
    </cfRule>
  </conditionalFormatting>
  <conditionalFormatting sqref="E97">
    <cfRule type="expression" dxfId="4889" priority="4993">
      <formula>IF(#REF!="FICTICIO",1,0)</formula>
    </cfRule>
  </conditionalFormatting>
  <conditionalFormatting sqref="E97">
    <cfRule type="expression" dxfId="4888" priority="4992">
      <formula>IF(#REF!="FICTICIO",1,0)</formula>
    </cfRule>
  </conditionalFormatting>
  <conditionalFormatting sqref="E97">
    <cfRule type="expression" dxfId="4887" priority="4991">
      <formula>IF(#REF!="FICTICIO",1,0)</formula>
    </cfRule>
  </conditionalFormatting>
  <conditionalFormatting sqref="E97">
    <cfRule type="expression" dxfId="4886" priority="4990">
      <formula>IF(#REF!="FICTICIO",1,0)</formula>
    </cfRule>
  </conditionalFormatting>
  <conditionalFormatting sqref="E97">
    <cfRule type="expression" dxfId="4885" priority="4989">
      <formula>IF(#REF!="FICTICIO",1,0)</formula>
    </cfRule>
  </conditionalFormatting>
  <conditionalFormatting sqref="E97">
    <cfRule type="expression" dxfId="4884" priority="4988">
      <formula>IF(#REF!="FICTICIO",1,0)</formula>
    </cfRule>
  </conditionalFormatting>
  <conditionalFormatting sqref="E97">
    <cfRule type="expression" dxfId="4883" priority="4987">
      <formula>IF(#REF!="FICTICIO",1,0)</formula>
    </cfRule>
  </conditionalFormatting>
  <conditionalFormatting sqref="E97">
    <cfRule type="expression" dxfId="4882" priority="4986">
      <formula>IF(#REF!="FICTICIO",1,0)</formula>
    </cfRule>
  </conditionalFormatting>
  <conditionalFormatting sqref="E97">
    <cfRule type="expression" dxfId="4881" priority="4985">
      <formula>IF(#REF!="FICTICIO",1,0)</formula>
    </cfRule>
  </conditionalFormatting>
  <conditionalFormatting sqref="E97">
    <cfRule type="expression" dxfId="4880" priority="4984">
      <formula>IF(#REF!="FICTICIO",1,0)</formula>
    </cfRule>
  </conditionalFormatting>
  <conditionalFormatting sqref="E97">
    <cfRule type="expression" dxfId="4879" priority="4983">
      <formula>IF(#REF!="FICTICIO",1,0)</formula>
    </cfRule>
  </conditionalFormatting>
  <conditionalFormatting sqref="E97">
    <cfRule type="expression" dxfId="4878" priority="4982">
      <formula>IF(#REF!="FICTICIO",1,0)</formula>
    </cfRule>
  </conditionalFormatting>
  <conditionalFormatting sqref="E97">
    <cfRule type="expression" dxfId="4877" priority="4981">
      <formula>IF(#REF!="FICTICIO",1,0)</formula>
    </cfRule>
  </conditionalFormatting>
  <conditionalFormatting sqref="E97">
    <cfRule type="expression" dxfId="4876" priority="4980">
      <formula>IF(#REF!="FICTICIO",1,0)</formula>
    </cfRule>
  </conditionalFormatting>
  <conditionalFormatting sqref="E97">
    <cfRule type="expression" dxfId="4875" priority="4979">
      <formula>IF(#REF!="FICTICIO",1,0)</formula>
    </cfRule>
  </conditionalFormatting>
  <conditionalFormatting sqref="E97">
    <cfRule type="expression" dxfId="4874" priority="4978">
      <formula>IF(#REF!="FICTICIO",1,0)</formula>
    </cfRule>
  </conditionalFormatting>
  <conditionalFormatting sqref="E97">
    <cfRule type="expression" dxfId="4873" priority="4977">
      <formula>IF(#REF!="FICTICIO",1,0)</formula>
    </cfRule>
  </conditionalFormatting>
  <conditionalFormatting sqref="E97">
    <cfRule type="expression" dxfId="4872" priority="4976">
      <formula>IF(#REF!="FICTICIO",1,0)</formula>
    </cfRule>
  </conditionalFormatting>
  <conditionalFormatting sqref="E97">
    <cfRule type="expression" dxfId="4871" priority="4975">
      <formula>IF(#REF!="FICTICIO",1,0)</formula>
    </cfRule>
  </conditionalFormatting>
  <conditionalFormatting sqref="E97">
    <cfRule type="expression" dxfId="4870" priority="4974">
      <formula>IF(#REF!="FICTICIO",1,0)</formula>
    </cfRule>
  </conditionalFormatting>
  <conditionalFormatting sqref="E97">
    <cfRule type="expression" dxfId="4869" priority="4973">
      <formula>IF(#REF!="FICTICIO",1,0)</formula>
    </cfRule>
  </conditionalFormatting>
  <conditionalFormatting sqref="E97">
    <cfRule type="expression" dxfId="4868" priority="4972">
      <formula>IF(#REF!="FICTICIO",1,0)</formula>
    </cfRule>
  </conditionalFormatting>
  <conditionalFormatting sqref="E97">
    <cfRule type="expression" dxfId="4867" priority="4971">
      <formula>IF(#REF!="FICTICIO",1,0)</formula>
    </cfRule>
  </conditionalFormatting>
  <conditionalFormatting sqref="E97">
    <cfRule type="expression" dxfId="4866" priority="4970">
      <formula>IF(#REF!="FICTICIO",1,0)</formula>
    </cfRule>
  </conditionalFormatting>
  <conditionalFormatting sqref="E97">
    <cfRule type="expression" dxfId="4865" priority="4969">
      <formula>IF(#REF!="FICTICIO",1,0)</formula>
    </cfRule>
  </conditionalFormatting>
  <conditionalFormatting sqref="E97">
    <cfRule type="expression" dxfId="4864" priority="4968">
      <formula>IF(#REF!="FICTICIO",1,0)</formula>
    </cfRule>
  </conditionalFormatting>
  <conditionalFormatting sqref="E97">
    <cfRule type="expression" dxfId="4863" priority="4967">
      <formula>IF(#REF!="FICTICIO",1,0)</formula>
    </cfRule>
  </conditionalFormatting>
  <conditionalFormatting sqref="E97">
    <cfRule type="expression" dxfId="4862" priority="4966">
      <formula>IF(#REF!="FICTICIO",1,0)</formula>
    </cfRule>
  </conditionalFormatting>
  <conditionalFormatting sqref="E97">
    <cfRule type="expression" dxfId="4861" priority="4965">
      <formula>IF(#REF!="FICTICIO",1,0)</formula>
    </cfRule>
  </conditionalFormatting>
  <conditionalFormatting sqref="E97">
    <cfRule type="expression" dxfId="4860" priority="4964">
      <formula>IF(#REF!="FICTICIO",1,0)</formula>
    </cfRule>
  </conditionalFormatting>
  <conditionalFormatting sqref="E97">
    <cfRule type="expression" dxfId="4859" priority="4963">
      <formula>IF(#REF!="FICTICIO",1,0)</formula>
    </cfRule>
  </conditionalFormatting>
  <conditionalFormatting sqref="E97">
    <cfRule type="expression" dxfId="4858" priority="4962">
      <formula>IF(#REF!="FICTICIO",1,0)</formula>
    </cfRule>
  </conditionalFormatting>
  <conditionalFormatting sqref="E97">
    <cfRule type="expression" dxfId="4857" priority="4961">
      <formula>IF(#REF!="FICTICIO",1,0)</formula>
    </cfRule>
  </conditionalFormatting>
  <conditionalFormatting sqref="E97">
    <cfRule type="expression" dxfId="4856" priority="4960">
      <formula>IF(#REF!="FICTICIO",1,0)</formula>
    </cfRule>
  </conditionalFormatting>
  <conditionalFormatting sqref="E97">
    <cfRule type="expression" dxfId="4855" priority="4959">
      <formula>IF(#REF!="FICTICIO",1,0)</formula>
    </cfRule>
  </conditionalFormatting>
  <conditionalFormatting sqref="E97">
    <cfRule type="expression" dxfId="4854" priority="4958">
      <formula>IF(#REF!="FICTICIO",1,0)</formula>
    </cfRule>
  </conditionalFormatting>
  <conditionalFormatting sqref="E97">
    <cfRule type="expression" dxfId="4853" priority="4957">
      <formula>IF(#REF!="FICTICIO",1,0)</formula>
    </cfRule>
  </conditionalFormatting>
  <conditionalFormatting sqref="E97">
    <cfRule type="expression" dxfId="4852" priority="4956">
      <formula>IF(#REF!="FICTICIO",1,0)</formula>
    </cfRule>
  </conditionalFormatting>
  <conditionalFormatting sqref="E97">
    <cfRule type="expression" dxfId="4851" priority="4955">
      <formula>IF(#REF!="FICTICIO",1,0)</formula>
    </cfRule>
  </conditionalFormatting>
  <conditionalFormatting sqref="E97">
    <cfRule type="expression" dxfId="4850" priority="4954">
      <formula>IF(#REF!="FICTICIO",1,0)</formula>
    </cfRule>
  </conditionalFormatting>
  <conditionalFormatting sqref="E97">
    <cfRule type="expression" dxfId="4849" priority="4953">
      <formula>IF(#REF!="FICTICIO",1,0)</formula>
    </cfRule>
  </conditionalFormatting>
  <conditionalFormatting sqref="E97">
    <cfRule type="expression" dxfId="4848" priority="4952">
      <formula>IF(#REF!="FICTICIO",1,0)</formula>
    </cfRule>
  </conditionalFormatting>
  <conditionalFormatting sqref="E97">
    <cfRule type="expression" dxfId="4847" priority="4951">
      <formula>IF(#REF!="FICTICIO",1,0)</formula>
    </cfRule>
  </conditionalFormatting>
  <conditionalFormatting sqref="E97">
    <cfRule type="expression" dxfId="4846" priority="4950">
      <formula>IF(#REF!="FICTICIO",1,0)</formula>
    </cfRule>
  </conditionalFormatting>
  <conditionalFormatting sqref="E97">
    <cfRule type="expression" dxfId="4845" priority="4949">
      <formula>IF(#REF!="FICTICIO",1,0)</formula>
    </cfRule>
  </conditionalFormatting>
  <conditionalFormatting sqref="E97">
    <cfRule type="expression" dxfId="4844" priority="4948">
      <formula>IF(#REF!="FICTICIO",1,0)</formula>
    </cfRule>
  </conditionalFormatting>
  <conditionalFormatting sqref="E97">
    <cfRule type="expression" dxfId="4843" priority="4947">
      <formula>IF(#REF!="FICTICIO",1,0)</formula>
    </cfRule>
  </conditionalFormatting>
  <conditionalFormatting sqref="E97">
    <cfRule type="expression" dxfId="4842" priority="4946">
      <formula>IF(#REF!="FICTICIO",1,0)</formula>
    </cfRule>
  </conditionalFormatting>
  <conditionalFormatting sqref="E97">
    <cfRule type="expression" dxfId="4841" priority="4945">
      <formula>IF(#REF!="FICTICIO",1,0)</formula>
    </cfRule>
  </conditionalFormatting>
  <conditionalFormatting sqref="E97">
    <cfRule type="expression" dxfId="4840" priority="4944">
      <formula>IF(#REF!="FICTICIO",1,0)</formula>
    </cfRule>
  </conditionalFormatting>
  <conditionalFormatting sqref="E98">
    <cfRule type="expression" dxfId="4839" priority="4943">
      <formula>IF(#REF!="FICTICIO",1,0)</formula>
    </cfRule>
  </conditionalFormatting>
  <conditionalFormatting sqref="E98">
    <cfRule type="expression" dxfId="4838" priority="4942">
      <formula>IF(#REF!="FICTICIO",1,0)</formula>
    </cfRule>
  </conditionalFormatting>
  <conditionalFormatting sqref="E98">
    <cfRule type="expression" dxfId="4837" priority="4941">
      <formula>IF(#REF!="FICTICIO",1,0)</formula>
    </cfRule>
  </conditionalFormatting>
  <conditionalFormatting sqref="E98">
    <cfRule type="expression" dxfId="4836" priority="4940">
      <formula>IF(#REF!="FICTICIO",1,0)</formula>
    </cfRule>
  </conditionalFormatting>
  <conditionalFormatting sqref="E98">
    <cfRule type="expression" dxfId="4835" priority="4939">
      <formula>IF(#REF!="FICTICIO",1,0)</formula>
    </cfRule>
  </conditionalFormatting>
  <conditionalFormatting sqref="E98">
    <cfRule type="expression" dxfId="4834" priority="4938">
      <formula>IF(#REF!="FICTICIO",1,0)</formula>
    </cfRule>
  </conditionalFormatting>
  <conditionalFormatting sqref="E98">
    <cfRule type="expression" dxfId="4833" priority="4937">
      <formula>IF(#REF!="FICTICIO",1,0)</formula>
    </cfRule>
  </conditionalFormatting>
  <conditionalFormatting sqref="E98">
    <cfRule type="expression" dxfId="4832" priority="4936">
      <formula>IF(#REF!="FICTICIO",1,0)</formula>
    </cfRule>
  </conditionalFormatting>
  <conditionalFormatting sqref="E98">
    <cfRule type="expression" dxfId="4831" priority="4935">
      <formula>IF(#REF!="FICTICIO",1,0)</formula>
    </cfRule>
  </conditionalFormatting>
  <conditionalFormatting sqref="E98">
    <cfRule type="expression" dxfId="4830" priority="4934">
      <formula>IF(#REF!="FICTICIO",1,0)</formula>
    </cfRule>
  </conditionalFormatting>
  <conditionalFormatting sqref="E98">
    <cfRule type="expression" dxfId="4829" priority="4933">
      <formula>IF(#REF!="FICTICIO",1,0)</formula>
    </cfRule>
  </conditionalFormatting>
  <conditionalFormatting sqref="E98">
    <cfRule type="expression" dxfId="4828" priority="4932">
      <formula>IF(#REF!="FICTICIO",1,0)</formula>
    </cfRule>
  </conditionalFormatting>
  <conditionalFormatting sqref="E98">
    <cfRule type="expression" dxfId="4827" priority="4931">
      <formula>IF(#REF!="FICTICIO",1,0)</formula>
    </cfRule>
  </conditionalFormatting>
  <conditionalFormatting sqref="E98">
    <cfRule type="expression" dxfId="4826" priority="4930">
      <formula>IF(#REF!="FICTICIO",1,0)</formula>
    </cfRule>
  </conditionalFormatting>
  <conditionalFormatting sqref="E98">
    <cfRule type="expression" dxfId="4825" priority="4929">
      <formula>IF(#REF!="FICTICIO",1,0)</formula>
    </cfRule>
  </conditionalFormatting>
  <conditionalFormatting sqref="E98">
    <cfRule type="expression" dxfId="4824" priority="4928">
      <formula>IF(#REF!="FICTICIO",1,0)</formula>
    </cfRule>
  </conditionalFormatting>
  <conditionalFormatting sqref="E98">
    <cfRule type="expression" dxfId="4823" priority="4927">
      <formula>IF(#REF!="FICTICIO",1,0)</formula>
    </cfRule>
  </conditionalFormatting>
  <conditionalFormatting sqref="E98">
    <cfRule type="expression" dxfId="4822" priority="4926">
      <formula>IF(#REF!="FICTICIO",1,0)</formula>
    </cfRule>
  </conditionalFormatting>
  <conditionalFormatting sqref="E98">
    <cfRule type="expression" dxfId="4821" priority="4925">
      <formula>IF(#REF!="FICTICIO",1,0)</formula>
    </cfRule>
  </conditionalFormatting>
  <conditionalFormatting sqref="E98">
    <cfRule type="expression" dxfId="4820" priority="4924">
      <formula>IF(#REF!="FICTICIO",1,0)</formula>
    </cfRule>
  </conditionalFormatting>
  <conditionalFormatting sqref="E98">
    <cfRule type="expression" dxfId="4819" priority="4923">
      <formula>IF(#REF!="FICTICIO",1,0)</formula>
    </cfRule>
  </conditionalFormatting>
  <conditionalFormatting sqref="E98">
    <cfRule type="expression" dxfId="4818" priority="4922">
      <formula>IF(#REF!="FICTICIO",1,0)</formula>
    </cfRule>
  </conditionalFormatting>
  <conditionalFormatting sqref="E98">
    <cfRule type="expression" dxfId="4817" priority="4921">
      <formula>IF(#REF!="FICTICIO",1,0)</formula>
    </cfRule>
  </conditionalFormatting>
  <conditionalFormatting sqref="E98">
    <cfRule type="expression" dxfId="4816" priority="4920">
      <formula>IF(#REF!="FICTICIO",1,0)</formula>
    </cfRule>
  </conditionalFormatting>
  <conditionalFormatting sqref="E98">
    <cfRule type="expression" dxfId="4815" priority="4919">
      <formula>IF(#REF!="FICTICIO",1,0)</formula>
    </cfRule>
  </conditionalFormatting>
  <conditionalFormatting sqref="E98">
    <cfRule type="expression" dxfId="4814" priority="4918">
      <formula>IF(#REF!="FICTICIO",1,0)</formula>
    </cfRule>
  </conditionalFormatting>
  <conditionalFormatting sqref="E98">
    <cfRule type="expression" dxfId="4813" priority="4917">
      <formula>IF(#REF!="FICTICIO",1,0)</formula>
    </cfRule>
  </conditionalFormatting>
  <conditionalFormatting sqref="E98">
    <cfRule type="expression" dxfId="4812" priority="4916">
      <formula>IF(#REF!="FICTICIO",1,0)</formula>
    </cfRule>
  </conditionalFormatting>
  <conditionalFormatting sqref="E98">
    <cfRule type="expression" dxfId="4811" priority="4915">
      <formula>IF(#REF!="FICTICIO",1,0)</formula>
    </cfRule>
  </conditionalFormatting>
  <conditionalFormatting sqref="E98">
    <cfRule type="expression" dxfId="4810" priority="4914">
      <formula>IF(#REF!="FICTICIO",1,0)</formula>
    </cfRule>
  </conditionalFormatting>
  <conditionalFormatting sqref="E98">
    <cfRule type="expression" dxfId="4809" priority="4913">
      <formula>IF(#REF!="FICTICIO",1,0)</formula>
    </cfRule>
  </conditionalFormatting>
  <conditionalFormatting sqref="E98">
    <cfRule type="expression" dxfId="4808" priority="4912">
      <formula>IF(#REF!="FICTICIO",1,0)</formula>
    </cfRule>
  </conditionalFormatting>
  <conditionalFormatting sqref="E98">
    <cfRule type="expression" dxfId="4807" priority="4911">
      <formula>IF(#REF!="FICTICIO",1,0)</formula>
    </cfRule>
  </conditionalFormatting>
  <conditionalFormatting sqref="E98">
    <cfRule type="expression" dxfId="4806" priority="4910">
      <formula>IF(#REF!="FICTICIO",1,0)</formula>
    </cfRule>
  </conditionalFormatting>
  <conditionalFormatting sqref="E98">
    <cfRule type="expression" dxfId="4805" priority="4909">
      <formula>IF(#REF!="FICTICIO",1,0)</formula>
    </cfRule>
  </conditionalFormatting>
  <conditionalFormatting sqref="E98">
    <cfRule type="expression" dxfId="4804" priority="4908">
      <formula>IF(#REF!="FICTICIO",1,0)</formula>
    </cfRule>
  </conditionalFormatting>
  <conditionalFormatting sqref="E98">
    <cfRule type="expression" dxfId="4803" priority="4907">
      <formula>IF(#REF!="FICTICIO",1,0)</formula>
    </cfRule>
  </conditionalFormatting>
  <conditionalFormatting sqref="E98">
    <cfRule type="expression" dxfId="4802" priority="4906">
      <formula>IF(#REF!="FICTICIO",1,0)</formula>
    </cfRule>
  </conditionalFormatting>
  <conditionalFormatting sqref="E98">
    <cfRule type="expression" dxfId="4801" priority="4905">
      <formula>IF(#REF!="FICTICIO",1,0)</formula>
    </cfRule>
  </conditionalFormatting>
  <conditionalFormatting sqref="E98">
    <cfRule type="expression" dxfId="4800" priority="4904">
      <formula>IF(#REF!="FICTICIO",1,0)</formula>
    </cfRule>
  </conditionalFormatting>
  <conditionalFormatting sqref="E98">
    <cfRule type="expression" dxfId="4799" priority="4903">
      <formula>IF(#REF!="FICTICIO",1,0)</formula>
    </cfRule>
  </conditionalFormatting>
  <conditionalFormatting sqref="E98">
    <cfRule type="expression" dxfId="4798" priority="4902">
      <formula>IF(#REF!="FICTICIO",1,0)</formula>
    </cfRule>
  </conditionalFormatting>
  <conditionalFormatting sqref="E98">
    <cfRule type="expression" dxfId="4797" priority="4901">
      <formula>IF(#REF!="FICTICIO",1,0)</formula>
    </cfRule>
  </conditionalFormatting>
  <conditionalFormatting sqref="E98">
    <cfRule type="expression" dxfId="4796" priority="4900">
      <formula>IF(#REF!="FICTICIO",1,0)</formula>
    </cfRule>
  </conditionalFormatting>
  <conditionalFormatting sqref="E98">
    <cfRule type="expression" dxfId="4795" priority="4899">
      <formula>IF(#REF!="FICTICIO",1,0)</formula>
    </cfRule>
  </conditionalFormatting>
  <conditionalFormatting sqref="E98">
    <cfRule type="expression" dxfId="4794" priority="4898">
      <formula>IF(#REF!="FICTICIO",1,0)</formula>
    </cfRule>
  </conditionalFormatting>
  <conditionalFormatting sqref="E98">
    <cfRule type="expression" dxfId="4793" priority="4897">
      <formula>IF(#REF!="FICTICIO",1,0)</formula>
    </cfRule>
  </conditionalFormatting>
  <conditionalFormatting sqref="E98">
    <cfRule type="expression" dxfId="4792" priority="4896">
      <formula>IF(#REF!="FICTICIO",1,0)</formula>
    </cfRule>
  </conditionalFormatting>
  <conditionalFormatting sqref="E98">
    <cfRule type="expression" dxfId="4791" priority="4895">
      <formula>IF(#REF!="FICTICIO",1,0)</formula>
    </cfRule>
  </conditionalFormatting>
  <conditionalFormatting sqref="E98">
    <cfRule type="expression" dxfId="4790" priority="4894">
      <formula>IF(#REF!="FICTICIO",1,0)</formula>
    </cfRule>
  </conditionalFormatting>
  <conditionalFormatting sqref="E98">
    <cfRule type="expression" dxfId="4789" priority="4893">
      <formula>IF(#REF!="FICTICIO",1,0)</formula>
    </cfRule>
  </conditionalFormatting>
  <conditionalFormatting sqref="E98">
    <cfRule type="expression" dxfId="4788" priority="4892">
      <formula>IF(#REF!="FICTICIO",1,0)</formula>
    </cfRule>
  </conditionalFormatting>
  <conditionalFormatting sqref="E98">
    <cfRule type="expression" dxfId="4787" priority="4891">
      <formula>IF(#REF!="FICTICIO",1,0)</formula>
    </cfRule>
  </conditionalFormatting>
  <conditionalFormatting sqref="E98">
    <cfRule type="expression" dxfId="4786" priority="4890">
      <formula>IF(#REF!="FICTICIO",1,0)</formula>
    </cfRule>
  </conditionalFormatting>
  <conditionalFormatting sqref="E98">
    <cfRule type="expression" dxfId="4785" priority="4889">
      <formula>IF(#REF!="FICTICIO",1,0)</formula>
    </cfRule>
  </conditionalFormatting>
  <conditionalFormatting sqref="E98">
    <cfRule type="expression" dxfId="4784" priority="4888">
      <formula>IF(#REF!="FICTICIO",1,0)</formula>
    </cfRule>
  </conditionalFormatting>
  <conditionalFormatting sqref="E98">
    <cfRule type="expression" dxfId="4783" priority="4887">
      <formula>IF(#REF!="FICTICIO",1,0)</formula>
    </cfRule>
  </conditionalFormatting>
  <conditionalFormatting sqref="E98">
    <cfRule type="expression" dxfId="4782" priority="4886">
      <formula>IF(#REF!="FICTICIO",1,0)</formula>
    </cfRule>
  </conditionalFormatting>
  <conditionalFormatting sqref="E98">
    <cfRule type="expression" dxfId="4781" priority="4885">
      <formula>IF(#REF!="FICTICIO",1,0)</formula>
    </cfRule>
  </conditionalFormatting>
  <conditionalFormatting sqref="E98">
    <cfRule type="expression" dxfId="4780" priority="4884">
      <formula>IF(#REF!="FICTICIO",1,0)</formula>
    </cfRule>
  </conditionalFormatting>
  <conditionalFormatting sqref="E98">
    <cfRule type="expression" dxfId="4779" priority="4883">
      <formula>IF(#REF!="FICTICIO",1,0)</formula>
    </cfRule>
  </conditionalFormatting>
  <conditionalFormatting sqref="E98">
    <cfRule type="expression" dxfId="4778" priority="4882">
      <formula>IF(#REF!="FICTICIO",1,0)</formula>
    </cfRule>
  </conditionalFormatting>
  <conditionalFormatting sqref="E98">
    <cfRule type="expression" dxfId="4777" priority="4881">
      <formula>IF(#REF!="FICTICIO",1,0)</formula>
    </cfRule>
  </conditionalFormatting>
  <conditionalFormatting sqref="E98">
    <cfRule type="expression" dxfId="4776" priority="4880">
      <formula>IF(#REF!="FICTICIO",1,0)</formula>
    </cfRule>
  </conditionalFormatting>
  <conditionalFormatting sqref="E98">
    <cfRule type="expression" dxfId="4775" priority="4879">
      <formula>IF(#REF!="FICTICIO",1,0)</formula>
    </cfRule>
  </conditionalFormatting>
  <conditionalFormatting sqref="E98">
    <cfRule type="expression" dxfId="4774" priority="4878">
      <formula>IF(#REF!="FICTICIO",1,0)</formula>
    </cfRule>
  </conditionalFormatting>
  <conditionalFormatting sqref="E98">
    <cfRule type="expression" dxfId="4773" priority="4877">
      <formula>IF(#REF!="FICTICIO",1,0)</formula>
    </cfRule>
  </conditionalFormatting>
  <conditionalFormatting sqref="E98">
    <cfRule type="expression" dxfId="4772" priority="4876">
      <formula>IF(#REF!="FICTICIO",1,0)</formula>
    </cfRule>
  </conditionalFormatting>
  <conditionalFormatting sqref="E98">
    <cfRule type="expression" dxfId="4771" priority="4875">
      <formula>IF(#REF!="FICTICIO",1,0)</formula>
    </cfRule>
  </conditionalFormatting>
  <conditionalFormatting sqref="E98">
    <cfRule type="expression" dxfId="4770" priority="4874">
      <formula>IF(#REF!="FICTICIO",1,0)</formula>
    </cfRule>
  </conditionalFormatting>
  <conditionalFormatting sqref="E98">
    <cfRule type="expression" dxfId="4769" priority="4873">
      <formula>IF(#REF!="FICTICIO",1,0)</formula>
    </cfRule>
  </conditionalFormatting>
  <conditionalFormatting sqref="E98">
    <cfRule type="expression" dxfId="4768" priority="4872">
      <formula>IF(#REF!="FICTICIO",1,0)</formula>
    </cfRule>
  </conditionalFormatting>
  <conditionalFormatting sqref="E98">
    <cfRule type="expression" dxfId="4767" priority="4871">
      <formula>IF(#REF!="FICTICIO",1,0)</formula>
    </cfRule>
  </conditionalFormatting>
  <conditionalFormatting sqref="E98">
    <cfRule type="expression" dxfId="4766" priority="4870">
      <formula>IF(#REF!="FICTICIO",1,0)</formula>
    </cfRule>
  </conditionalFormatting>
  <conditionalFormatting sqref="E98">
    <cfRule type="expression" dxfId="4765" priority="4869">
      <formula>IF(#REF!="FICTICIO",1,0)</formula>
    </cfRule>
  </conditionalFormatting>
  <conditionalFormatting sqref="E98">
    <cfRule type="expression" dxfId="4764" priority="4868">
      <formula>IF(#REF!="FICTICIO",1,0)</formula>
    </cfRule>
  </conditionalFormatting>
  <conditionalFormatting sqref="E99">
    <cfRule type="expression" dxfId="4763" priority="4867">
      <formula>IF(#REF!="FICTICIO",1,0)</formula>
    </cfRule>
  </conditionalFormatting>
  <conditionalFormatting sqref="E99">
    <cfRule type="expression" dxfId="4762" priority="4866">
      <formula>IF(#REF!="FICTICIO",1,0)</formula>
    </cfRule>
  </conditionalFormatting>
  <conditionalFormatting sqref="E99">
    <cfRule type="expression" dxfId="4761" priority="4865">
      <formula>IF(#REF!="FICTICIO",1,0)</formula>
    </cfRule>
  </conditionalFormatting>
  <conditionalFormatting sqref="E99">
    <cfRule type="expression" dxfId="4760" priority="4864">
      <formula>IF(#REF!="FICTICIO",1,0)</formula>
    </cfRule>
  </conditionalFormatting>
  <conditionalFormatting sqref="E99">
    <cfRule type="expression" dxfId="4759" priority="4863">
      <formula>IF(#REF!="FICTICIO",1,0)</formula>
    </cfRule>
  </conditionalFormatting>
  <conditionalFormatting sqref="E99">
    <cfRule type="expression" dxfId="4758" priority="4862">
      <formula>IF(#REF!="FICTICIO",1,0)</formula>
    </cfRule>
  </conditionalFormatting>
  <conditionalFormatting sqref="E99">
    <cfRule type="expression" dxfId="4757" priority="4861">
      <formula>IF(#REF!="FICTICIO",1,0)</formula>
    </cfRule>
  </conditionalFormatting>
  <conditionalFormatting sqref="E99">
    <cfRule type="expression" dxfId="4756" priority="4860">
      <formula>IF(#REF!="FICTICIO",1,0)</formula>
    </cfRule>
  </conditionalFormatting>
  <conditionalFormatting sqref="E99">
    <cfRule type="expression" dxfId="4755" priority="4859">
      <formula>IF(#REF!="FICTICIO",1,0)</formula>
    </cfRule>
  </conditionalFormatting>
  <conditionalFormatting sqref="E99">
    <cfRule type="expression" dxfId="4754" priority="4858">
      <formula>IF(#REF!="FICTICIO",1,0)</formula>
    </cfRule>
  </conditionalFormatting>
  <conditionalFormatting sqref="E99">
    <cfRule type="expression" dxfId="4753" priority="4857">
      <formula>IF(#REF!="FICTICIO",1,0)</formula>
    </cfRule>
  </conditionalFormatting>
  <conditionalFormatting sqref="E99">
    <cfRule type="expression" dxfId="4752" priority="4856">
      <formula>IF(#REF!="FICTICIO",1,0)</formula>
    </cfRule>
  </conditionalFormatting>
  <conditionalFormatting sqref="E99">
    <cfRule type="expression" dxfId="4751" priority="4855">
      <formula>IF(#REF!="FICTICIO",1,0)</formula>
    </cfRule>
  </conditionalFormatting>
  <conditionalFormatting sqref="E99">
    <cfRule type="expression" dxfId="4750" priority="4854">
      <formula>IF(#REF!="FICTICIO",1,0)</formula>
    </cfRule>
  </conditionalFormatting>
  <conditionalFormatting sqref="E99">
    <cfRule type="expression" dxfId="4749" priority="4853">
      <formula>IF(#REF!="FICTICIO",1,0)</formula>
    </cfRule>
  </conditionalFormatting>
  <conditionalFormatting sqref="E99">
    <cfRule type="expression" dxfId="4748" priority="4852">
      <formula>IF(#REF!="FICTICIO",1,0)</formula>
    </cfRule>
  </conditionalFormatting>
  <conditionalFormatting sqref="E99">
    <cfRule type="expression" dxfId="4747" priority="4851">
      <formula>IF(#REF!="FICTICIO",1,0)</formula>
    </cfRule>
  </conditionalFormatting>
  <conditionalFormatting sqref="E99">
    <cfRule type="expression" dxfId="4746" priority="4850">
      <formula>IF(#REF!="FICTICIO",1,0)</formula>
    </cfRule>
  </conditionalFormatting>
  <conditionalFormatting sqref="E99">
    <cfRule type="expression" dxfId="4745" priority="4849">
      <formula>IF(#REF!="FICTICIO",1,0)</formula>
    </cfRule>
  </conditionalFormatting>
  <conditionalFormatting sqref="E99">
    <cfRule type="expression" dxfId="4744" priority="4848">
      <formula>IF(#REF!="FICTICIO",1,0)</formula>
    </cfRule>
  </conditionalFormatting>
  <conditionalFormatting sqref="E99">
    <cfRule type="expression" dxfId="4743" priority="4847">
      <formula>IF(#REF!="FICTICIO",1,0)</formula>
    </cfRule>
  </conditionalFormatting>
  <conditionalFormatting sqref="E99">
    <cfRule type="expression" dxfId="4742" priority="4846">
      <formula>IF(#REF!="FICTICIO",1,0)</formula>
    </cfRule>
  </conditionalFormatting>
  <conditionalFormatting sqref="E99">
    <cfRule type="expression" dxfId="4741" priority="4845">
      <formula>IF(#REF!="FICTICIO",1,0)</formula>
    </cfRule>
  </conditionalFormatting>
  <conditionalFormatting sqref="E99">
    <cfRule type="expression" dxfId="4740" priority="4844">
      <formula>IF(#REF!="FICTICIO",1,0)</formula>
    </cfRule>
  </conditionalFormatting>
  <conditionalFormatting sqref="E99">
    <cfRule type="expression" dxfId="4739" priority="4843">
      <formula>IF(#REF!="FICTICIO",1,0)</formula>
    </cfRule>
  </conditionalFormatting>
  <conditionalFormatting sqref="E99">
    <cfRule type="expression" dxfId="4738" priority="4842">
      <formula>IF(#REF!="FICTICIO",1,0)</formula>
    </cfRule>
  </conditionalFormatting>
  <conditionalFormatting sqref="E99">
    <cfRule type="expression" dxfId="4737" priority="4841">
      <formula>IF(#REF!="FICTICIO",1,0)</formula>
    </cfRule>
  </conditionalFormatting>
  <conditionalFormatting sqref="E99">
    <cfRule type="expression" dxfId="4736" priority="4840">
      <formula>IF(#REF!="FICTICIO",1,0)</formula>
    </cfRule>
  </conditionalFormatting>
  <conditionalFormatting sqref="E99">
    <cfRule type="expression" dxfId="4735" priority="4839">
      <formula>IF(#REF!="FICTICIO",1,0)</formula>
    </cfRule>
  </conditionalFormatting>
  <conditionalFormatting sqref="E99">
    <cfRule type="expression" dxfId="4734" priority="4838">
      <formula>IF(#REF!="FICTICIO",1,0)</formula>
    </cfRule>
  </conditionalFormatting>
  <conditionalFormatting sqref="E99">
    <cfRule type="expression" dxfId="4733" priority="4837">
      <formula>IF(#REF!="FICTICIO",1,0)</formula>
    </cfRule>
  </conditionalFormatting>
  <conditionalFormatting sqref="E99">
    <cfRule type="expression" dxfId="4732" priority="4836">
      <formula>IF(#REF!="FICTICIO",1,0)</formula>
    </cfRule>
  </conditionalFormatting>
  <conditionalFormatting sqref="E99">
    <cfRule type="expression" dxfId="4731" priority="4835">
      <formula>IF(#REF!="FICTICIO",1,0)</formula>
    </cfRule>
  </conditionalFormatting>
  <conditionalFormatting sqref="E99">
    <cfRule type="expression" dxfId="4730" priority="4834">
      <formula>IF(#REF!="FICTICIO",1,0)</formula>
    </cfRule>
  </conditionalFormatting>
  <conditionalFormatting sqref="E99">
    <cfRule type="expression" dxfId="4729" priority="4833">
      <formula>IF(#REF!="FICTICIO",1,0)</formula>
    </cfRule>
  </conditionalFormatting>
  <conditionalFormatting sqref="E99">
    <cfRule type="expression" dxfId="4728" priority="4832">
      <formula>IF(#REF!="FICTICIO",1,0)</formula>
    </cfRule>
  </conditionalFormatting>
  <conditionalFormatting sqref="E99">
    <cfRule type="expression" dxfId="4727" priority="4831">
      <formula>IF(#REF!="FICTICIO",1,0)</formula>
    </cfRule>
  </conditionalFormatting>
  <conditionalFormatting sqref="E99">
    <cfRule type="expression" dxfId="4726" priority="4830">
      <formula>IF(#REF!="FICTICIO",1,0)</formula>
    </cfRule>
  </conditionalFormatting>
  <conditionalFormatting sqref="E99">
    <cfRule type="expression" dxfId="4725" priority="4829">
      <formula>IF(#REF!="FICTICIO",1,0)</formula>
    </cfRule>
  </conditionalFormatting>
  <conditionalFormatting sqref="E99">
    <cfRule type="expression" dxfId="4724" priority="4828">
      <formula>IF(#REF!="FICTICIO",1,0)</formula>
    </cfRule>
  </conditionalFormatting>
  <conditionalFormatting sqref="E99">
    <cfRule type="expression" dxfId="4723" priority="4827">
      <formula>IF(#REF!="FICTICIO",1,0)</formula>
    </cfRule>
  </conditionalFormatting>
  <conditionalFormatting sqref="E99">
    <cfRule type="expression" dxfId="4722" priority="4826">
      <formula>IF(#REF!="FICTICIO",1,0)</formula>
    </cfRule>
  </conditionalFormatting>
  <conditionalFormatting sqref="E99">
    <cfRule type="expression" dxfId="4721" priority="4825">
      <formula>IF(#REF!="FICTICIO",1,0)</formula>
    </cfRule>
  </conditionalFormatting>
  <conditionalFormatting sqref="E99">
    <cfRule type="expression" dxfId="4720" priority="4824">
      <formula>IF(#REF!="FICTICIO",1,0)</formula>
    </cfRule>
  </conditionalFormatting>
  <conditionalFormatting sqref="E99">
    <cfRule type="expression" dxfId="4719" priority="4823">
      <formula>IF(#REF!="FICTICIO",1,0)</formula>
    </cfRule>
  </conditionalFormatting>
  <conditionalFormatting sqref="E99">
    <cfRule type="expression" dxfId="4718" priority="4822">
      <formula>IF(#REF!="FICTICIO",1,0)</formula>
    </cfRule>
  </conditionalFormatting>
  <conditionalFormatting sqref="E99">
    <cfRule type="expression" dxfId="4717" priority="4821">
      <formula>IF(#REF!="FICTICIO",1,0)</formula>
    </cfRule>
  </conditionalFormatting>
  <conditionalFormatting sqref="E99">
    <cfRule type="expression" dxfId="4716" priority="4820">
      <formula>IF(#REF!="FICTICIO",1,0)</formula>
    </cfRule>
  </conditionalFormatting>
  <conditionalFormatting sqref="E99">
    <cfRule type="expression" dxfId="4715" priority="4819">
      <formula>IF(#REF!="FICTICIO",1,0)</formula>
    </cfRule>
  </conditionalFormatting>
  <conditionalFormatting sqref="E99">
    <cfRule type="expression" dxfId="4714" priority="4818">
      <formula>IF(#REF!="FICTICIO",1,0)</formula>
    </cfRule>
  </conditionalFormatting>
  <conditionalFormatting sqref="E99">
    <cfRule type="expression" dxfId="4713" priority="4817">
      <formula>IF(#REF!="FICTICIO",1,0)</formula>
    </cfRule>
  </conditionalFormatting>
  <conditionalFormatting sqref="E99">
    <cfRule type="expression" dxfId="4712" priority="4816">
      <formula>IF(#REF!="FICTICIO",1,0)</formula>
    </cfRule>
  </conditionalFormatting>
  <conditionalFormatting sqref="E99">
    <cfRule type="expression" dxfId="4711" priority="4815">
      <formula>IF(#REF!="FICTICIO",1,0)</formula>
    </cfRule>
  </conditionalFormatting>
  <conditionalFormatting sqref="E99">
    <cfRule type="expression" dxfId="4710" priority="4814">
      <formula>IF(#REF!="FICTICIO",1,0)</formula>
    </cfRule>
  </conditionalFormatting>
  <conditionalFormatting sqref="E99">
    <cfRule type="expression" dxfId="4709" priority="4813">
      <formula>IF(#REF!="FICTICIO",1,0)</formula>
    </cfRule>
  </conditionalFormatting>
  <conditionalFormatting sqref="E99">
    <cfRule type="expression" dxfId="4708" priority="4812">
      <formula>IF(#REF!="FICTICIO",1,0)</formula>
    </cfRule>
  </conditionalFormatting>
  <conditionalFormatting sqref="E99">
    <cfRule type="expression" dxfId="4707" priority="4811">
      <formula>IF(#REF!="FICTICIO",1,0)</formula>
    </cfRule>
  </conditionalFormatting>
  <conditionalFormatting sqref="E99">
    <cfRule type="expression" dxfId="4706" priority="4810">
      <formula>IF(#REF!="FICTICIO",1,0)</formula>
    </cfRule>
  </conditionalFormatting>
  <conditionalFormatting sqref="E99">
    <cfRule type="expression" dxfId="4705" priority="4809">
      <formula>IF(#REF!="FICTICIO",1,0)</formula>
    </cfRule>
  </conditionalFormatting>
  <conditionalFormatting sqref="E99">
    <cfRule type="expression" dxfId="4704" priority="4808">
      <formula>IF(#REF!="FICTICIO",1,0)</formula>
    </cfRule>
  </conditionalFormatting>
  <conditionalFormatting sqref="E99">
    <cfRule type="expression" dxfId="4703" priority="4807">
      <formula>IF(#REF!="FICTICIO",1,0)</formula>
    </cfRule>
  </conditionalFormatting>
  <conditionalFormatting sqref="E99">
    <cfRule type="expression" dxfId="4702" priority="4806">
      <formula>IF(#REF!="FICTICIO",1,0)</formula>
    </cfRule>
  </conditionalFormatting>
  <conditionalFormatting sqref="E99">
    <cfRule type="expression" dxfId="4701" priority="4805">
      <formula>IF(#REF!="FICTICIO",1,0)</formula>
    </cfRule>
  </conditionalFormatting>
  <conditionalFormatting sqref="E99">
    <cfRule type="expression" dxfId="4700" priority="4804">
      <formula>IF(#REF!="FICTICIO",1,0)</formula>
    </cfRule>
  </conditionalFormatting>
  <conditionalFormatting sqref="E99">
    <cfRule type="expression" dxfId="4699" priority="4803">
      <formula>IF(#REF!="FICTICIO",1,0)</formula>
    </cfRule>
  </conditionalFormatting>
  <conditionalFormatting sqref="E99">
    <cfRule type="expression" dxfId="4698" priority="4802">
      <formula>IF(#REF!="FICTICIO",1,0)</formula>
    </cfRule>
  </conditionalFormatting>
  <conditionalFormatting sqref="E99">
    <cfRule type="expression" dxfId="4697" priority="4801">
      <formula>IF(#REF!="FICTICIO",1,0)</formula>
    </cfRule>
  </conditionalFormatting>
  <conditionalFormatting sqref="E99">
    <cfRule type="expression" dxfId="4696" priority="4800">
      <formula>IF(#REF!="FICTICIO",1,0)</formula>
    </cfRule>
  </conditionalFormatting>
  <conditionalFormatting sqref="E99">
    <cfRule type="expression" dxfId="4695" priority="4799">
      <formula>IF(#REF!="FICTICIO",1,0)</formula>
    </cfRule>
  </conditionalFormatting>
  <conditionalFormatting sqref="E99">
    <cfRule type="expression" dxfId="4694" priority="4798">
      <formula>IF(#REF!="FICTICIO",1,0)</formula>
    </cfRule>
  </conditionalFormatting>
  <conditionalFormatting sqref="E99">
    <cfRule type="expression" dxfId="4693" priority="4797">
      <formula>IF(#REF!="FICTICIO",1,0)</formula>
    </cfRule>
  </conditionalFormatting>
  <conditionalFormatting sqref="E99">
    <cfRule type="expression" dxfId="4692" priority="4796">
      <formula>IF(#REF!="FICTICIO",1,0)</formula>
    </cfRule>
  </conditionalFormatting>
  <conditionalFormatting sqref="E99">
    <cfRule type="expression" dxfId="4691" priority="4795">
      <formula>IF(#REF!="FICTICIO",1,0)</formula>
    </cfRule>
  </conditionalFormatting>
  <conditionalFormatting sqref="E99">
    <cfRule type="expression" dxfId="4690" priority="4794">
      <formula>IF(#REF!="FICTICIO",1,0)</formula>
    </cfRule>
  </conditionalFormatting>
  <conditionalFormatting sqref="E99">
    <cfRule type="expression" dxfId="4689" priority="4793">
      <formula>IF(#REF!="FICTICIO",1,0)</formula>
    </cfRule>
  </conditionalFormatting>
  <conditionalFormatting sqref="E99">
    <cfRule type="expression" dxfId="4688" priority="4792">
      <formula>IF(#REF!="FICTICIO",1,0)</formula>
    </cfRule>
  </conditionalFormatting>
  <conditionalFormatting sqref="F99">
    <cfRule type="expression" dxfId="4687" priority="4791">
      <formula>IF(#REF!="FICTICIO",1,0)</formula>
    </cfRule>
  </conditionalFormatting>
  <conditionalFormatting sqref="D100">
    <cfRule type="expression" dxfId="4686" priority="4789">
      <formula>IF(#REF!="FICTICIO",1,0)</formula>
    </cfRule>
  </conditionalFormatting>
  <conditionalFormatting sqref="D100">
    <cfRule type="expression" dxfId="4685" priority="4790">
      <formula>IF(#REF!="FICTICIO",1,0)</formula>
    </cfRule>
  </conditionalFormatting>
  <conditionalFormatting sqref="D100">
    <cfRule type="expression" dxfId="4684" priority="4787">
      <formula>IF(#REF!="FICTICIO",1,0)</formula>
    </cfRule>
  </conditionalFormatting>
  <conditionalFormatting sqref="D100">
    <cfRule type="expression" dxfId="4683" priority="4788">
      <formula>IF(#REF!="FICTICIO",1,0)</formula>
    </cfRule>
  </conditionalFormatting>
  <conditionalFormatting sqref="F100">
    <cfRule type="expression" dxfId="4682" priority="4786">
      <formula>IF(#REF!="FICTICIO",1,0)</formula>
    </cfRule>
  </conditionalFormatting>
  <conditionalFormatting sqref="E100">
    <cfRule type="expression" dxfId="4681" priority="4737">
      <formula>IF(#REF!="FICTICIO",1,0)</formula>
    </cfRule>
  </conditionalFormatting>
  <conditionalFormatting sqref="E100">
    <cfRule type="expression" dxfId="4680" priority="4736">
      <formula>IF(#REF!="FICTICIO",1,0)</formula>
    </cfRule>
  </conditionalFormatting>
  <conditionalFormatting sqref="E100">
    <cfRule type="expression" dxfId="4679" priority="4735">
      <formula>IF(#REF!="FICTICIO",1,0)</formula>
    </cfRule>
  </conditionalFormatting>
  <conditionalFormatting sqref="E100">
    <cfRule type="expression" dxfId="4678" priority="4734">
      <formula>IF(#REF!="FICTICIO",1,0)</formula>
    </cfRule>
  </conditionalFormatting>
  <conditionalFormatting sqref="E100">
    <cfRule type="expression" dxfId="4677" priority="4733">
      <formula>IF(#REF!="FICTICIO",1,0)</formula>
    </cfRule>
  </conditionalFormatting>
  <conditionalFormatting sqref="E100">
    <cfRule type="expression" dxfId="4676" priority="4732">
      <formula>IF(#REF!="FICTICIO",1,0)</formula>
    </cfRule>
  </conditionalFormatting>
  <conditionalFormatting sqref="E100">
    <cfRule type="expression" dxfId="4675" priority="4731">
      <formula>IF(#REF!="FICTICIO",1,0)</formula>
    </cfRule>
  </conditionalFormatting>
  <conditionalFormatting sqref="E100">
    <cfRule type="expression" dxfId="4674" priority="4730">
      <formula>IF(#REF!="FICTICIO",1,0)</formula>
    </cfRule>
  </conditionalFormatting>
  <conditionalFormatting sqref="E100">
    <cfRule type="expression" dxfId="4673" priority="4729">
      <formula>IF(#REF!="FICTICIO",1,0)</formula>
    </cfRule>
  </conditionalFormatting>
  <conditionalFormatting sqref="E100">
    <cfRule type="expression" dxfId="4672" priority="4728">
      <formula>IF(#REF!="FICTICIO",1,0)</formula>
    </cfRule>
  </conditionalFormatting>
  <conditionalFormatting sqref="E100">
    <cfRule type="expression" dxfId="4671" priority="4727">
      <formula>IF(#REF!="FICTICIO",1,0)</formula>
    </cfRule>
  </conditionalFormatting>
  <conditionalFormatting sqref="E100">
    <cfRule type="expression" dxfId="4670" priority="4726">
      <formula>IF(#REF!="FICTICIO",1,0)</formula>
    </cfRule>
  </conditionalFormatting>
  <conditionalFormatting sqref="E100">
    <cfRule type="expression" dxfId="4669" priority="4725">
      <formula>IF(#REF!="FICTICIO",1,0)</formula>
    </cfRule>
  </conditionalFormatting>
  <conditionalFormatting sqref="E100">
    <cfRule type="expression" dxfId="4668" priority="4724">
      <formula>IF(#REF!="FICTICIO",1,0)</formula>
    </cfRule>
  </conditionalFormatting>
  <conditionalFormatting sqref="E100">
    <cfRule type="expression" dxfId="4667" priority="4723">
      <formula>IF(#REF!="FICTICIO",1,0)</formula>
    </cfRule>
  </conditionalFormatting>
  <conditionalFormatting sqref="E100">
    <cfRule type="expression" dxfId="4666" priority="4722">
      <formula>IF(#REF!="FICTICIO",1,0)</formula>
    </cfRule>
  </conditionalFormatting>
  <conditionalFormatting sqref="E100">
    <cfRule type="expression" dxfId="4665" priority="4721">
      <formula>IF(#REF!="FICTICIO",1,0)</formula>
    </cfRule>
  </conditionalFormatting>
  <conditionalFormatting sqref="E100">
    <cfRule type="expression" dxfId="4664" priority="4720">
      <formula>IF(#REF!="FICTICIO",1,0)</formula>
    </cfRule>
  </conditionalFormatting>
  <conditionalFormatting sqref="E100">
    <cfRule type="expression" dxfId="4663" priority="4719">
      <formula>IF(#REF!="FICTICIO",1,0)</formula>
    </cfRule>
  </conditionalFormatting>
  <conditionalFormatting sqref="E100">
    <cfRule type="expression" dxfId="4662" priority="4718">
      <formula>IF(#REF!="FICTICIO",1,0)</formula>
    </cfRule>
  </conditionalFormatting>
  <conditionalFormatting sqref="E100">
    <cfRule type="expression" dxfId="4661" priority="4717">
      <formula>IF(#REF!="FICTICIO",1,0)</formula>
    </cfRule>
  </conditionalFormatting>
  <conditionalFormatting sqref="E100">
    <cfRule type="expression" dxfId="4660" priority="4716">
      <formula>IF(#REF!="FICTICIO",1,0)</formula>
    </cfRule>
  </conditionalFormatting>
  <conditionalFormatting sqref="E100">
    <cfRule type="expression" dxfId="4659" priority="4715">
      <formula>IF(#REF!="FICTICIO",1,0)</formula>
    </cfRule>
  </conditionalFormatting>
  <conditionalFormatting sqref="E100">
    <cfRule type="expression" dxfId="4658" priority="4714">
      <formula>IF(#REF!="FICTICIO",1,0)</formula>
    </cfRule>
  </conditionalFormatting>
  <conditionalFormatting sqref="E100">
    <cfRule type="expression" dxfId="4657" priority="4713">
      <formula>IF(#REF!="FICTICIO",1,0)</formula>
    </cfRule>
  </conditionalFormatting>
  <conditionalFormatting sqref="E100">
    <cfRule type="expression" dxfId="4656" priority="4712">
      <formula>IF(#REF!="FICTICIO",1,0)</formula>
    </cfRule>
  </conditionalFormatting>
  <conditionalFormatting sqref="E100">
    <cfRule type="expression" dxfId="4655" priority="4711">
      <formula>IF(#REF!="FICTICIO",1,0)</formula>
    </cfRule>
  </conditionalFormatting>
  <conditionalFormatting sqref="E100">
    <cfRule type="expression" dxfId="4654" priority="4710">
      <formula>IF(#REF!="FICTICIO",1,0)</formula>
    </cfRule>
  </conditionalFormatting>
  <conditionalFormatting sqref="E100">
    <cfRule type="expression" dxfId="4653" priority="4709">
      <formula>IF(#REF!="FICTICIO",1,0)</formula>
    </cfRule>
  </conditionalFormatting>
  <conditionalFormatting sqref="E100">
    <cfRule type="expression" dxfId="4652" priority="4708">
      <formula>IF(#REF!="FICTICIO",1,0)</formula>
    </cfRule>
  </conditionalFormatting>
  <conditionalFormatting sqref="E100">
    <cfRule type="expression" dxfId="4651" priority="4707">
      <formula>IF(#REF!="FICTICIO",1,0)</formula>
    </cfRule>
  </conditionalFormatting>
  <conditionalFormatting sqref="E100">
    <cfRule type="expression" dxfId="4650" priority="4706">
      <formula>IF(#REF!="FICTICIO",1,0)</formula>
    </cfRule>
  </conditionalFormatting>
  <conditionalFormatting sqref="E100">
    <cfRule type="expression" dxfId="4649" priority="4705">
      <formula>IF(#REF!="FICTICIO",1,0)</formula>
    </cfRule>
  </conditionalFormatting>
  <conditionalFormatting sqref="E100">
    <cfRule type="expression" dxfId="4648" priority="4704">
      <formula>IF(#REF!="FICTICIO",1,0)</formula>
    </cfRule>
  </conditionalFormatting>
  <conditionalFormatting sqref="E100">
    <cfRule type="expression" dxfId="4647" priority="4703">
      <formula>IF(#REF!="FICTICIO",1,0)</formula>
    </cfRule>
  </conditionalFormatting>
  <conditionalFormatting sqref="E100">
    <cfRule type="expression" dxfId="4646" priority="4702">
      <formula>IF(#REF!="FICTICIO",1,0)</formula>
    </cfRule>
  </conditionalFormatting>
  <conditionalFormatting sqref="E100">
    <cfRule type="expression" dxfId="4645" priority="4701">
      <formula>IF(#REF!="FICTICIO",1,0)</formula>
    </cfRule>
  </conditionalFormatting>
  <conditionalFormatting sqref="E100">
    <cfRule type="expression" dxfId="4644" priority="4700">
      <formula>IF(#REF!="FICTICIO",1,0)</formula>
    </cfRule>
  </conditionalFormatting>
  <conditionalFormatting sqref="E100">
    <cfRule type="expression" dxfId="4643" priority="4699">
      <formula>IF(#REF!="FICTICIO",1,0)</formula>
    </cfRule>
  </conditionalFormatting>
  <conditionalFormatting sqref="E100">
    <cfRule type="expression" dxfId="4642" priority="4698">
      <formula>IF(#REF!="FICTICIO",1,0)</formula>
    </cfRule>
  </conditionalFormatting>
  <conditionalFormatting sqref="E100">
    <cfRule type="expression" dxfId="4641" priority="4697">
      <formula>IF(#REF!="FICTICIO",1,0)</formula>
    </cfRule>
  </conditionalFormatting>
  <conditionalFormatting sqref="E100">
    <cfRule type="expression" dxfId="4640" priority="4696">
      <formula>IF(#REF!="FICTICIO",1,0)</formula>
    </cfRule>
  </conditionalFormatting>
  <conditionalFormatting sqref="E100">
    <cfRule type="expression" dxfId="4639" priority="4695">
      <formula>IF(#REF!="FICTICIO",1,0)</formula>
    </cfRule>
  </conditionalFormatting>
  <conditionalFormatting sqref="E100">
    <cfRule type="expression" dxfId="4638" priority="4694">
      <formula>IF(#REF!="FICTICIO",1,0)</formula>
    </cfRule>
  </conditionalFormatting>
  <conditionalFormatting sqref="E100">
    <cfRule type="expression" dxfId="4637" priority="4693">
      <formula>IF(#REF!="FICTICIO",1,0)</formula>
    </cfRule>
  </conditionalFormatting>
  <conditionalFormatting sqref="E100">
    <cfRule type="expression" dxfId="4636" priority="4692">
      <formula>IF(#REF!="FICTICIO",1,0)</formula>
    </cfRule>
  </conditionalFormatting>
  <conditionalFormatting sqref="E100">
    <cfRule type="expression" dxfId="4635" priority="4691">
      <formula>IF(#REF!="FICTICIO",1,0)</formula>
    </cfRule>
  </conditionalFormatting>
  <conditionalFormatting sqref="E100">
    <cfRule type="expression" dxfId="4634" priority="4690">
      <formula>IF(#REF!="FICTICIO",1,0)</formula>
    </cfRule>
  </conditionalFormatting>
  <conditionalFormatting sqref="E100">
    <cfRule type="expression" dxfId="4633" priority="4689">
      <formula>IF(#REF!="FICTICIO",1,0)</formula>
    </cfRule>
  </conditionalFormatting>
  <conditionalFormatting sqref="E100">
    <cfRule type="expression" dxfId="4632" priority="4688">
      <formula>IF(#REF!="FICTICIO",1,0)</formula>
    </cfRule>
  </conditionalFormatting>
  <conditionalFormatting sqref="E100">
    <cfRule type="expression" dxfId="4631" priority="4687">
      <formula>IF(#REF!="FICTICIO",1,0)</formula>
    </cfRule>
  </conditionalFormatting>
  <conditionalFormatting sqref="E100">
    <cfRule type="expression" dxfId="4630" priority="4686">
      <formula>IF(#REF!="FICTICIO",1,0)</formula>
    </cfRule>
  </conditionalFormatting>
  <conditionalFormatting sqref="E100">
    <cfRule type="expression" dxfId="4629" priority="4685">
      <formula>IF(#REF!="FICTICIO",1,0)</formula>
    </cfRule>
  </conditionalFormatting>
  <conditionalFormatting sqref="E100">
    <cfRule type="expression" dxfId="4628" priority="4684">
      <formula>IF(#REF!="FICTICIO",1,0)</formula>
    </cfRule>
  </conditionalFormatting>
  <conditionalFormatting sqref="E100">
    <cfRule type="expression" dxfId="4627" priority="4683">
      <formula>IF(#REF!="FICTICIO",1,0)</formula>
    </cfRule>
  </conditionalFormatting>
  <conditionalFormatting sqref="E100">
    <cfRule type="expression" dxfId="4626" priority="4682">
      <formula>IF(#REF!="FICTICIO",1,0)</formula>
    </cfRule>
  </conditionalFormatting>
  <conditionalFormatting sqref="E100">
    <cfRule type="expression" dxfId="4625" priority="4681">
      <formula>IF(#REF!="FICTICIO",1,0)</formula>
    </cfRule>
  </conditionalFormatting>
  <conditionalFormatting sqref="E100">
    <cfRule type="expression" dxfId="4624" priority="4680">
      <formula>IF(#REF!="FICTICIO",1,0)</formula>
    </cfRule>
  </conditionalFormatting>
  <conditionalFormatting sqref="E100">
    <cfRule type="expression" dxfId="4623" priority="4679">
      <formula>IF(#REF!="FICTICIO",1,0)</formula>
    </cfRule>
  </conditionalFormatting>
  <conditionalFormatting sqref="E100">
    <cfRule type="expression" dxfId="4622" priority="4678">
      <formula>IF(#REF!="FICTICIO",1,0)</formula>
    </cfRule>
  </conditionalFormatting>
  <conditionalFormatting sqref="E100">
    <cfRule type="expression" dxfId="4621" priority="4677">
      <formula>IF(#REF!="FICTICIO",1,0)</formula>
    </cfRule>
  </conditionalFormatting>
  <conditionalFormatting sqref="E100">
    <cfRule type="expression" dxfId="4620" priority="4676">
      <formula>IF(#REF!="FICTICIO",1,0)</formula>
    </cfRule>
  </conditionalFormatting>
  <conditionalFormatting sqref="E100">
    <cfRule type="expression" dxfId="4619" priority="4675">
      <formula>IF(#REF!="FICTICIO",1,0)</formula>
    </cfRule>
  </conditionalFormatting>
  <conditionalFormatting sqref="E100">
    <cfRule type="expression" dxfId="4618" priority="4674">
      <formula>IF(#REF!="FICTICIO",1,0)</formula>
    </cfRule>
  </conditionalFormatting>
  <conditionalFormatting sqref="E100">
    <cfRule type="expression" dxfId="4617" priority="4673">
      <formula>IF(#REF!="FICTICIO",1,0)</formula>
    </cfRule>
  </conditionalFormatting>
  <conditionalFormatting sqref="E100">
    <cfRule type="expression" dxfId="4616" priority="4672">
      <formula>IF(#REF!="FICTICIO",1,0)</formula>
    </cfRule>
  </conditionalFormatting>
  <conditionalFormatting sqref="E100">
    <cfRule type="expression" dxfId="4615" priority="4671">
      <formula>IF(#REF!="FICTICIO",1,0)</formula>
    </cfRule>
  </conditionalFormatting>
  <conditionalFormatting sqref="E100">
    <cfRule type="expression" dxfId="4614" priority="4670">
      <formula>IF(#REF!="FICTICIO",1,0)</formula>
    </cfRule>
  </conditionalFormatting>
  <conditionalFormatting sqref="E100">
    <cfRule type="expression" dxfId="4613" priority="4669">
      <formula>IF(#REF!="FICTICIO",1,0)</formula>
    </cfRule>
  </conditionalFormatting>
  <conditionalFormatting sqref="E100">
    <cfRule type="expression" dxfId="4612" priority="4668">
      <formula>IF(#REF!="FICTICIO",1,0)</formula>
    </cfRule>
  </conditionalFormatting>
  <conditionalFormatting sqref="E100">
    <cfRule type="expression" dxfId="4611" priority="4667">
      <formula>IF(#REF!="FICTICIO",1,0)</formula>
    </cfRule>
  </conditionalFormatting>
  <conditionalFormatting sqref="E100">
    <cfRule type="expression" dxfId="4610" priority="4666">
      <formula>IF(#REF!="FICTICIO",1,0)</formula>
    </cfRule>
  </conditionalFormatting>
  <conditionalFormatting sqref="E100">
    <cfRule type="expression" dxfId="4609" priority="4665">
      <formula>IF(#REF!="FICTICIO",1,0)</formula>
    </cfRule>
  </conditionalFormatting>
  <conditionalFormatting sqref="E100">
    <cfRule type="expression" dxfId="4608" priority="4664">
      <formula>IF(#REF!="FICTICIO",1,0)</formula>
    </cfRule>
  </conditionalFormatting>
  <conditionalFormatting sqref="E100">
    <cfRule type="expression" dxfId="4607" priority="4663">
      <formula>IF(#REF!="FICTICIO",1,0)</formula>
    </cfRule>
  </conditionalFormatting>
  <conditionalFormatting sqref="E100">
    <cfRule type="expression" dxfId="4606" priority="4662">
      <formula>IF(#REF!="FICTICIO",1,0)</formula>
    </cfRule>
  </conditionalFormatting>
  <conditionalFormatting sqref="F101">
    <cfRule type="expression" dxfId="4605" priority="4661">
      <formula>IF(#REF!="FICTICIO",1,0)</formula>
    </cfRule>
  </conditionalFormatting>
  <conditionalFormatting sqref="E102">
    <cfRule type="expression" dxfId="4604" priority="4660">
      <formula>IF(#REF!="FICTICIO",1,0)</formula>
    </cfRule>
  </conditionalFormatting>
  <conditionalFormatting sqref="E102">
    <cfRule type="expression" dxfId="4603" priority="4659">
      <formula>IF(#REF!="FICTICIO",1,0)</formula>
    </cfRule>
  </conditionalFormatting>
  <conditionalFormatting sqref="E102">
    <cfRule type="expression" dxfId="4602" priority="4658">
      <formula>IF(#REF!="FICTICIO",1,0)</formula>
    </cfRule>
  </conditionalFormatting>
  <conditionalFormatting sqref="E103">
    <cfRule type="expression" dxfId="4601" priority="4657">
      <formula>IF(#REF!="FICTICIO",1,0)</formula>
    </cfRule>
  </conditionalFormatting>
  <conditionalFormatting sqref="E103">
    <cfRule type="expression" dxfId="4600" priority="4656">
      <formula>IF(#REF!="FICTICIO",1,0)</formula>
    </cfRule>
  </conditionalFormatting>
  <conditionalFormatting sqref="E103">
    <cfRule type="expression" dxfId="4599" priority="4655">
      <formula>IF(#REF!="FICTICIO",1,0)</formula>
    </cfRule>
  </conditionalFormatting>
  <conditionalFormatting sqref="E103">
    <cfRule type="expression" dxfId="4598" priority="4654">
      <formula>IF(#REF!="FICTICIO",1,0)</formula>
    </cfRule>
  </conditionalFormatting>
  <conditionalFormatting sqref="E103">
    <cfRule type="expression" dxfId="4597" priority="4653">
      <formula>IF(#REF!="FICTICIO",1,0)</formula>
    </cfRule>
  </conditionalFormatting>
  <conditionalFormatting sqref="E103">
    <cfRule type="expression" dxfId="4596" priority="4652">
      <formula>IF(#REF!="FICTICIO",1,0)</formula>
    </cfRule>
  </conditionalFormatting>
  <conditionalFormatting sqref="E103">
    <cfRule type="expression" dxfId="4595" priority="4651">
      <formula>IF(#REF!="FICTICIO",1,0)</formula>
    </cfRule>
  </conditionalFormatting>
  <conditionalFormatting sqref="E103">
    <cfRule type="expression" dxfId="4594" priority="4650">
      <formula>IF(#REF!="FICTICIO",1,0)</formula>
    </cfRule>
  </conditionalFormatting>
  <conditionalFormatting sqref="E103">
    <cfRule type="expression" dxfId="4593" priority="4649">
      <formula>IF(#REF!="FICTICIO",1,0)</formula>
    </cfRule>
  </conditionalFormatting>
  <conditionalFormatting sqref="E103">
    <cfRule type="expression" dxfId="4592" priority="4648">
      <formula>IF(#REF!="FICTICIO",1,0)</formula>
    </cfRule>
  </conditionalFormatting>
  <conditionalFormatting sqref="F103">
    <cfRule type="expression" dxfId="4591" priority="4646">
      <formula>IF(#REF!="FICTICIO",1,0)</formula>
    </cfRule>
  </conditionalFormatting>
  <conditionalFormatting sqref="F103">
    <cfRule type="expression" dxfId="4590" priority="4647">
      <formula>IF(#REF!="FICTICIO",1,0)</formula>
    </cfRule>
  </conditionalFormatting>
  <conditionalFormatting sqref="E103">
    <cfRule type="expression" dxfId="4589" priority="4645">
      <formula>IF(#REF!="FICTICIO",1,0)</formula>
    </cfRule>
  </conditionalFormatting>
  <conditionalFormatting sqref="E103">
    <cfRule type="expression" dxfId="4588" priority="4644">
      <formula>IF(#REF!="FICTICIO",1,0)</formula>
    </cfRule>
  </conditionalFormatting>
  <conditionalFormatting sqref="E103">
    <cfRule type="expression" dxfId="4587" priority="4643">
      <formula>IF(#REF!="FICTICIO",1,0)</formula>
    </cfRule>
  </conditionalFormatting>
  <conditionalFormatting sqref="E103">
    <cfRule type="expression" dxfId="4586" priority="4642">
      <formula>IF(#REF!="FICTICIO",1,0)</formula>
    </cfRule>
  </conditionalFormatting>
  <conditionalFormatting sqref="E103">
    <cfRule type="expression" dxfId="4585" priority="4641">
      <formula>IF(#REF!="FICTICIO",1,0)</formula>
    </cfRule>
  </conditionalFormatting>
  <conditionalFormatting sqref="E103">
    <cfRule type="expression" dxfId="4584" priority="4640">
      <formula>IF(#REF!="FICTICIO",1,0)</formula>
    </cfRule>
  </conditionalFormatting>
  <conditionalFormatting sqref="E103">
    <cfRule type="expression" dxfId="4583" priority="4639">
      <formula>IF(#REF!="FICTICIO",1,0)</formula>
    </cfRule>
  </conditionalFormatting>
  <conditionalFormatting sqref="E103">
    <cfRule type="expression" dxfId="4582" priority="4638">
      <formula>IF(#REF!="FICTICIO",1,0)</formula>
    </cfRule>
  </conditionalFormatting>
  <conditionalFormatting sqref="E103">
    <cfRule type="expression" dxfId="4581" priority="4637">
      <formula>IF(#REF!="FICTICIO",1,0)</formula>
    </cfRule>
  </conditionalFormatting>
  <conditionalFormatting sqref="D103">
    <cfRule type="expression" dxfId="4580" priority="4635">
      <formula>IF(#REF!="FICTICIO",1,0)</formula>
    </cfRule>
  </conditionalFormatting>
  <conditionalFormatting sqref="D103">
    <cfRule type="expression" dxfId="4579" priority="4636">
      <formula>IF(#REF!="FICTICIO",1,0)</formula>
    </cfRule>
  </conditionalFormatting>
  <conditionalFormatting sqref="D103">
    <cfRule type="expression" dxfId="4578" priority="4633">
      <formula>IF(#REF!="FICTICIO",1,0)</formula>
    </cfRule>
  </conditionalFormatting>
  <conditionalFormatting sqref="D103">
    <cfRule type="expression" dxfId="4577" priority="4634">
      <formula>IF(#REF!="FICTICIO",1,0)</formula>
    </cfRule>
  </conditionalFormatting>
  <conditionalFormatting sqref="E103">
    <cfRule type="expression" dxfId="4576" priority="4632">
      <formula>IF(#REF!="FICTICIO",1,0)</formula>
    </cfRule>
  </conditionalFormatting>
  <conditionalFormatting sqref="E103">
    <cfRule type="expression" dxfId="4575" priority="4631">
      <formula>IF(#REF!="FICTICIO",1,0)</formula>
    </cfRule>
  </conditionalFormatting>
  <conditionalFormatting sqref="E103">
    <cfRule type="expression" dxfId="4574" priority="4630">
      <formula>IF(#REF!="FICTICIO",1,0)</formula>
    </cfRule>
  </conditionalFormatting>
  <conditionalFormatting sqref="E109:E117">
    <cfRule type="expression" dxfId="4573" priority="4629">
      <formula>IF(#REF!="FICTICIO",1,0)</formula>
    </cfRule>
  </conditionalFormatting>
  <conditionalFormatting sqref="E109:E117">
    <cfRule type="expression" dxfId="4572" priority="4628">
      <formula>IF(#REF!="FICTICIO",1,0)</formula>
    </cfRule>
  </conditionalFormatting>
  <conditionalFormatting sqref="E109:E117">
    <cfRule type="expression" dxfId="4571" priority="4627">
      <formula>IF(#REF!="FICTICIO",1,0)</formula>
    </cfRule>
  </conditionalFormatting>
  <conditionalFormatting sqref="E109:E117">
    <cfRule type="expression" dxfId="4570" priority="4626">
      <formula>IF(#REF!="FICTICIO",1,0)</formula>
    </cfRule>
  </conditionalFormatting>
  <conditionalFormatting sqref="E109:E117">
    <cfRule type="expression" dxfId="4569" priority="4625">
      <formula>IF(#REF!="FICTICIO",1,0)</formula>
    </cfRule>
  </conditionalFormatting>
  <conditionalFormatting sqref="E109:E117">
    <cfRule type="expression" dxfId="4568" priority="4624">
      <formula>IF(#REF!="FICTICIO",1,0)</formula>
    </cfRule>
  </conditionalFormatting>
  <conditionalFormatting sqref="E109:E117">
    <cfRule type="expression" dxfId="4567" priority="4623">
      <formula>IF(#REF!="FICTICIO",1,0)</formula>
    </cfRule>
  </conditionalFormatting>
  <conditionalFormatting sqref="E109:E117">
    <cfRule type="expression" dxfId="4566" priority="4622">
      <formula>IF(#REF!="FICTICIO",1,0)</formula>
    </cfRule>
  </conditionalFormatting>
  <conditionalFormatting sqref="E109:E117">
    <cfRule type="expression" dxfId="4565" priority="4621">
      <formula>IF(#REF!="FICTICIO",1,0)</formula>
    </cfRule>
  </conditionalFormatting>
  <conditionalFormatting sqref="E109:E117">
    <cfRule type="expression" dxfId="4564" priority="4620">
      <formula>IF(#REF!="FICTICIO",1,0)</formula>
    </cfRule>
  </conditionalFormatting>
  <conditionalFormatting sqref="F109">
    <cfRule type="expression" dxfId="4563" priority="4618">
      <formula>IF(#REF!="FICTICIO",1,0)</formula>
    </cfRule>
  </conditionalFormatting>
  <conditionalFormatting sqref="F109">
    <cfRule type="expression" dxfId="4562" priority="4619">
      <formula>IF(#REF!="FICTICIO",1,0)</formula>
    </cfRule>
  </conditionalFormatting>
  <conditionalFormatting sqref="F111">
    <cfRule type="expression" dxfId="4561" priority="4617">
      <formula>IF(#REF!="FICTICIO",1,0)</formula>
    </cfRule>
  </conditionalFormatting>
  <conditionalFormatting sqref="F112">
    <cfRule type="expression" dxfId="4560" priority="4616">
      <formula>IF(#REF!="FICTICIO",1,0)</formula>
    </cfRule>
  </conditionalFormatting>
  <conditionalFormatting sqref="E109:E117">
    <cfRule type="expression" dxfId="4559" priority="4615">
      <formula>IF(#REF!="FICTICIO",1,0)</formula>
    </cfRule>
  </conditionalFormatting>
  <conditionalFormatting sqref="E109:E117">
    <cfRule type="expression" dxfId="4558" priority="4614">
      <formula>IF(#REF!="FICTICIO",1,0)</formula>
    </cfRule>
  </conditionalFormatting>
  <conditionalFormatting sqref="E109:E117">
    <cfRule type="expression" dxfId="4557" priority="4613">
      <formula>IF(#REF!="FICTICIO",1,0)</formula>
    </cfRule>
  </conditionalFormatting>
  <conditionalFormatting sqref="F110">
    <cfRule type="expression" dxfId="4556" priority="4611">
      <formula>IF(#REF!="FICTICIO",1,0)</formula>
    </cfRule>
  </conditionalFormatting>
  <conditionalFormatting sqref="F110">
    <cfRule type="expression" dxfId="4555" priority="4612">
      <formula>IF(#REF!="FICTICIO",1,0)</formula>
    </cfRule>
  </conditionalFormatting>
  <conditionalFormatting sqref="E109:E117">
    <cfRule type="expression" dxfId="4554" priority="4609">
      <formula>IF(#REF!="FICTICIO",1,0)</formula>
    </cfRule>
  </conditionalFormatting>
  <conditionalFormatting sqref="E109:E117">
    <cfRule type="expression" dxfId="4553" priority="4608">
      <formula>IF(#REF!="FICTICIO",1,0)</formula>
    </cfRule>
  </conditionalFormatting>
  <conditionalFormatting sqref="E109:E117">
    <cfRule type="expression" dxfId="4552" priority="4607">
      <formula>IF(#REF!="FICTICIO",1,0)</formula>
    </cfRule>
  </conditionalFormatting>
  <conditionalFormatting sqref="E109:E117">
    <cfRule type="expression" dxfId="4551" priority="4605">
      <formula>IF(#REF!="FICTICIO",1,0)</formula>
    </cfRule>
  </conditionalFormatting>
  <conditionalFormatting sqref="E109:E117">
    <cfRule type="expression" dxfId="4550" priority="4604">
      <formula>IF(#REF!="FICTICIO",1,0)</formula>
    </cfRule>
  </conditionalFormatting>
  <conditionalFormatting sqref="E109:E117">
    <cfRule type="expression" dxfId="4549" priority="4603">
      <formula>IF(#REF!="FICTICIO",1,0)</formula>
    </cfRule>
  </conditionalFormatting>
  <conditionalFormatting sqref="D109:D117">
    <cfRule type="expression" dxfId="4548" priority="4601">
      <formula>IF(#REF!="FICTICIO",1,0)</formula>
    </cfRule>
  </conditionalFormatting>
  <conditionalFormatting sqref="D109:D117">
    <cfRule type="expression" dxfId="4547" priority="4602">
      <formula>IF(#REF!="FICTICIO",1,0)</formula>
    </cfRule>
  </conditionalFormatting>
  <conditionalFormatting sqref="D109:D117">
    <cfRule type="expression" dxfId="4546" priority="4599">
      <formula>IF(#REF!="FICTICIO",1,0)</formula>
    </cfRule>
  </conditionalFormatting>
  <conditionalFormatting sqref="D109:D117">
    <cfRule type="expression" dxfId="4545" priority="4600">
      <formula>IF(#REF!="FICTICIO",1,0)</formula>
    </cfRule>
  </conditionalFormatting>
  <conditionalFormatting sqref="E109:E117">
    <cfRule type="expression" dxfId="4544" priority="4598">
      <formula>IF(#REF!="FICTICIO",1,0)</formula>
    </cfRule>
  </conditionalFormatting>
  <conditionalFormatting sqref="E109:E117">
    <cfRule type="expression" dxfId="4543" priority="4597">
      <formula>IF(#REF!="FICTICIO",1,0)</formula>
    </cfRule>
  </conditionalFormatting>
  <conditionalFormatting sqref="E109:E117">
    <cfRule type="expression" dxfId="4542" priority="4596">
      <formula>IF(#REF!="FICTICIO",1,0)</formula>
    </cfRule>
  </conditionalFormatting>
  <conditionalFormatting sqref="F115">
    <cfRule type="expression" dxfId="4541" priority="4595">
      <formula>IF(#REF!="FICTICIO",1,0)</formula>
    </cfRule>
  </conditionalFormatting>
  <conditionalFormatting sqref="F115">
    <cfRule type="expression" dxfId="4540" priority="4594">
      <formula>IF(#REF!="FICTICIO",1,0)</formula>
    </cfRule>
  </conditionalFormatting>
  <conditionalFormatting sqref="E109:E117">
    <cfRule type="expression" dxfId="4539" priority="4593">
      <formula>IF(#REF!="FICTICIO",1,0)</formula>
    </cfRule>
  </conditionalFormatting>
  <conditionalFormatting sqref="E109:E117">
    <cfRule type="expression" dxfId="4538" priority="4592">
      <formula>IF(#REF!="FICTICIO",1,0)</formula>
    </cfRule>
  </conditionalFormatting>
  <conditionalFormatting sqref="E109:E117">
    <cfRule type="expression" dxfId="4537" priority="4591">
      <formula>IF(#REF!="FICTICIO",1,0)</formula>
    </cfRule>
  </conditionalFormatting>
  <conditionalFormatting sqref="E109:E117">
    <cfRule type="expression" dxfId="4536" priority="4590">
      <formula>IF(#REF!="FICTICIO",1,0)</formula>
    </cfRule>
  </conditionalFormatting>
  <conditionalFormatting sqref="E109:E117">
    <cfRule type="expression" dxfId="4535" priority="4589">
      <formula>IF(#REF!="FICTICIO",1,0)</formula>
    </cfRule>
  </conditionalFormatting>
  <conditionalFormatting sqref="E109:E117">
    <cfRule type="expression" dxfId="4534" priority="4588">
      <formula>IF(#REF!="FICTICIO",1,0)</formula>
    </cfRule>
  </conditionalFormatting>
  <conditionalFormatting sqref="E109:E117">
    <cfRule type="expression" dxfId="4533" priority="4587">
      <formula>IF(#REF!="FICTICIO",1,0)</formula>
    </cfRule>
  </conditionalFormatting>
  <conditionalFormatting sqref="E109:E117">
    <cfRule type="expression" dxfId="4532" priority="4586">
      <formula>IF(#REF!="FICTICIO",1,0)</formula>
    </cfRule>
  </conditionalFormatting>
  <conditionalFormatting sqref="E109:E117">
    <cfRule type="expression" dxfId="4531" priority="4585">
      <formula>IF(#REF!="FICTICIO",1,0)</formula>
    </cfRule>
  </conditionalFormatting>
  <conditionalFormatting sqref="E109:E117">
    <cfRule type="expression" dxfId="4530" priority="4584">
      <formula>IF(#REF!="FICTICIO",1,0)</formula>
    </cfRule>
  </conditionalFormatting>
  <conditionalFormatting sqref="F110">
    <cfRule type="expression" dxfId="4529" priority="4582">
      <formula>IF(#REF!="FICTICIO",1,0)</formula>
    </cfRule>
  </conditionalFormatting>
  <conditionalFormatting sqref="F110">
    <cfRule type="expression" dxfId="4528" priority="4583">
      <formula>IF(#REF!="FICTICIO",1,0)</formula>
    </cfRule>
  </conditionalFormatting>
  <conditionalFormatting sqref="D109:D117">
    <cfRule type="expression" dxfId="4527" priority="4580">
      <formula>IF(#REF!="FICTICIO",1,0)</formula>
    </cfRule>
  </conditionalFormatting>
  <conditionalFormatting sqref="D109:D117">
    <cfRule type="expression" dxfId="4526" priority="4581">
      <formula>IF(#REF!="FICTICIO",1,0)</formula>
    </cfRule>
  </conditionalFormatting>
  <conditionalFormatting sqref="D109:D117">
    <cfRule type="expression" dxfId="4525" priority="4578">
      <formula>IF(#REF!="FICTICIO",1,0)</formula>
    </cfRule>
  </conditionalFormatting>
  <conditionalFormatting sqref="D109:D117">
    <cfRule type="expression" dxfId="4524" priority="4579">
      <formula>IF(#REF!="FICTICIO",1,0)</formula>
    </cfRule>
  </conditionalFormatting>
  <conditionalFormatting sqref="F109">
    <cfRule type="expression" dxfId="4523" priority="4576">
      <formula>IF(#REF!="FICTICIO",1,0)</formula>
    </cfRule>
  </conditionalFormatting>
  <conditionalFormatting sqref="F109">
    <cfRule type="expression" dxfId="4522" priority="4577">
      <formula>IF(#REF!="FICTICIO",1,0)</formula>
    </cfRule>
  </conditionalFormatting>
  <conditionalFormatting sqref="F112">
    <cfRule type="expression" dxfId="4521" priority="4575">
      <formula>IF(#REF!="FICTICIO",1,0)</formula>
    </cfRule>
  </conditionalFormatting>
  <conditionalFormatting sqref="F115">
    <cfRule type="expression" dxfId="4520" priority="4574">
      <formula>IF(#REF!="FICTICIO",1,0)</formula>
    </cfRule>
  </conditionalFormatting>
  <conditionalFormatting sqref="E109:E117">
    <cfRule type="expression" dxfId="4519" priority="4573">
      <formula>IF(#REF!="FICTICIO",1,0)</formula>
    </cfRule>
  </conditionalFormatting>
  <conditionalFormatting sqref="E109:E117">
    <cfRule type="expression" dxfId="4518" priority="4572">
      <formula>IF(#REF!="FICTICIO",1,0)</formula>
    </cfRule>
  </conditionalFormatting>
  <conditionalFormatting sqref="E109:E117">
    <cfRule type="expression" dxfId="4517" priority="4571">
      <formula>IF(#REF!="FICTICIO",1,0)</formula>
    </cfRule>
  </conditionalFormatting>
  <conditionalFormatting sqref="F111">
    <cfRule type="expression" dxfId="4516" priority="4569">
      <formula>IF(#REF!="FICTICIO",1,0)</formula>
    </cfRule>
  </conditionalFormatting>
  <conditionalFormatting sqref="F111">
    <cfRule type="expression" dxfId="4515" priority="4570">
      <formula>IF(#REF!="FICTICIO",1,0)</formula>
    </cfRule>
  </conditionalFormatting>
  <conditionalFormatting sqref="F115">
    <cfRule type="expression" dxfId="4514" priority="4568">
      <formula>IF(#REF!="FICTICIO",1,0)</formula>
    </cfRule>
  </conditionalFormatting>
  <conditionalFormatting sqref="E109:E117">
    <cfRule type="expression" dxfId="4513" priority="4567">
      <formula>IF(#REF!="FICTICIO",1,0)</formula>
    </cfRule>
  </conditionalFormatting>
  <conditionalFormatting sqref="E109:E117">
    <cfRule type="expression" dxfId="4512" priority="4566">
      <formula>IF(#REF!="FICTICIO",1,0)</formula>
    </cfRule>
  </conditionalFormatting>
  <conditionalFormatting sqref="E109:E117">
    <cfRule type="expression" dxfId="4511" priority="4565">
      <formula>IF(#REF!="FICTICIO",1,0)</formula>
    </cfRule>
  </conditionalFormatting>
  <conditionalFormatting sqref="F115">
    <cfRule type="expression" dxfId="4510" priority="4564">
      <formula>IF(#REF!="FICTICIO",1,0)</formula>
    </cfRule>
  </conditionalFormatting>
  <conditionalFormatting sqref="D110:D117">
    <cfRule type="expression" dxfId="4509" priority="4562">
      <formula>IF(#REF!="FICTICIO",1,0)</formula>
    </cfRule>
  </conditionalFormatting>
  <conditionalFormatting sqref="D110:D117">
    <cfRule type="expression" dxfId="4508" priority="4563">
      <formula>IF(#REF!="FICTICIO",1,0)</formula>
    </cfRule>
  </conditionalFormatting>
  <conditionalFormatting sqref="D110:D117">
    <cfRule type="expression" dxfId="4507" priority="4560">
      <formula>IF(#REF!="FICTICIO",1,0)</formula>
    </cfRule>
  </conditionalFormatting>
  <conditionalFormatting sqref="D110:D117">
    <cfRule type="expression" dxfId="4506" priority="4561">
      <formula>IF(#REF!="FICTICIO",1,0)</formula>
    </cfRule>
  </conditionalFormatting>
  <conditionalFormatting sqref="D110:D117">
    <cfRule type="expression" dxfId="4505" priority="4558">
      <formula>IF(#REF!="FICTICIO",1,0)</formula>
    </cfRule>
  </conditionalFormatting>
  <conditionalFormatting sqref="D110:D117">
    <cfRule type="expression" dxfId="4504" priority="4559">
      <formula>IF(#REF!="FICTICIO",1,0)</formula>
    </cfRule>
  </conditionalFormatting>
  <conditionalFormatting sqref="D110:D117">
    <cfRule type="expression" dxfId="4503" priority="4556">
      <formula>IF(#REF!="FICTICIO",1,0)</formula>
    </cfRule>
  </conditionalFormatting>
  <conditionalFormatting sqref="D110:D117">
    <cfRule type="expression" dxfId="4502" priority="4557">
      <formula>IF(#REF!="FICTICIO",1,0)</formula>
    </cfRule>
  </conditionalFormatting>
  <conditionalFormatting sqref="E110:E117">
    <cfRule type="expression" dxfId="4501" priority="4555">
      <formula>IF(#REF!="FICTICIO",1,0)</formula>
    </cfRule>
  </conditionalFormatting>
  <conditionalFormatting sqref="E110:E117">
    <cfRule type="expression" dxfId="4500" priority="4554">
      <formula>IF(#REF!="FICTICIO",1,0)</formula>
    </cfRule>
  </conditionalFormatting>
  <conditionalFormatting sqref="E110:E117">
    <cfRule type="expression" dxfId="4499" priority="4553">
      <formula>IF(#REF!="FICTICIO",1,0)</formula>
    </cfRule>
  </conditionalFormatting>
  <conditionalFormatting sqref="E110:E117">
    <cfRule type="expression" dxfId="4498" priority="4552">
      <formula>IF(#REF!="FICTICIO",1,0)</formula>
    </cfRule>
  </conditionalFormatting>
  <conditionalFormatting sqref="E110:E117">
    <cfRule type="expression" dxfId="4497" priority="4551">
      <formula>IF(#REF!="FICTICIO",1,0)</formula>
    </cfRule>
  </conditionalFormatting>
  <conditionalFormatting sqref="E110:E117">
    <cfRule type="expression" dxfId="4496" priority="4550">
      <formula>IF(#REF!="FICTICIO",1,0)</formula>
    </cfRule>
  </conditionalFormatting>
  <conditionalFormatting sqref="E110:E117">
    <cfRule type="expression" dxfId="4495" priority="4549">
      <formula>IF(#REF!="FICTICIO",1,0)</formula>
    </cfRule>
  </conditionalFormatting>
  <conditionalFormatting sqref="E110:E117">
    <cfRule type="expression" dxfId="4494" priority="4548">
      <formula>IF(#REF!="FICTICIO",1,0)</formula>
    </cfRule>
  </conditionalFormatting>
  <conditionalFormatting sqref="E110:E117">
    <cfRule type="expression" dxfId="4493" priority="4547">
      <formula>IF(#REF!="FICTICIO",1,0)</formula>
    </cfRule>
  </conditionalFormatting>
  <conditionalFormatting sqref="E110:E117">
    <cfRule type="expression" dxfId="4492" priority="4546">
      <formula>IF(#REF!="FICTICIO",1,0)</formula>
    </cfRule>
  </conditionalFormatting>
  <conditionalFormatting sqref="E110:E117">
    <cfRule type="expression" dxfId="4491" priority="4545">
      <formula>IF(#REF!="FICTICIO",1,0)</formula>
    </cfRule>
  </conditionalFormatting>
  <conditionalFormatting sqref="E110:E117">
    <cfRule type="expression" dxfId="4490" priority="4544">
      <formula>IF(#REF!="FICTICIO",1,0)</formula>
    </cfRule>
  </conditionalFormatting>
  <conditionalFormatting sqref="E110:E117">
    <cfRule type="expression" dxfId="4489" priority="4543">
      <formula>IF(#REF!="FICTICIO",1,0)</formula>
    </cfRule>
  </conditionalFormatting>
  <conditionalFormatting sqref="E110:E117">
    <cfRule type="expression" dxfId="4488" priority="4542">
      <formula>IF(#REF!="FICTICIO",1,0)</formula>
    </cfRule>
  </conditionalFormatting>
  <conditionalFormatting sqref="E110:E117">
    <cfRule type="expression" dxfId="4487" priority="4541">
      <formula>IF(#REF!="FICTICIO",1,0)</formula>
    </cfRule>
  </conditionalFormatting>
  <conditionalFormatting sqref="E110:E117">
    <cfRule type="expression" dxfId="4486" priority="4540">
      <formula>IF(#REF!="FICTICIO",1,0)</formula>
    </cfRule>
  </conditionalFormatting>
  <conditionalFormatting sqref="E110:E117">
    <cfRule type="expression" dxfId="4485" priority="4539">
      <formula>IF(#REF!="FICTICIO",1,0)</formula>
    </cfRule>
  </conditionalFormatting>
  <conditionalFormatting sqref="E110:E117">
    <cfRule type="expression" dxfId="4484" priority="4538">
      <formula>IF(#REF!="FICTICIO",1,0)</formula>
    </cfRule>
  </conditionalFormatting>
  <conditionalFormatting sqref="E110:E117">
    <cfRule type="expression" dxfId="4483" priority="4537">
      <formula>IF(#REF!="FICTICIO",1,0)</formula>
    </cfRule>
  </conditionalFormatting>
  <conditionalFormatting sqref="E110:E117">
    <cfRule type="expression" dxfId="4482" priority="4536">
      <formula>IF(#REF!="FICTICIO",1,0)</formula>
    </cfRule>
  </conditionalFormatting>
  <conditionalFormatting sqref="E110:E117">
    <cfRule type="expression" dxfId="4481" priority="4535">
      <formula>IF(#REF!="FICTICIO",1,0)</formula>
    </cfRule>
  </conditionalFormatting>
  <conditionalFormatting sqref="E110:E117">
    <cfRule type="expression" dxfId="4480" priority="4534">
      <formula>IF(#REF!="FICTICIO",1,0)</formula>
    </cfRule>
  </conditionalFormatting>
  <conditionalFormatting sqref="E110:E117">
    <cfRule type="expression" dxfId="4479" priority="4533">
      <formula>IF(#REF!="FICTICIO",1,0)</formula>
    </cfRule>
  </conditionalFormatting>
  <conditionalFormatting sqref="E110:E117">
    <cfRule type="expression" dxfId="4478" priority="4532">
      <formula>IF(#REF!="FICTICIO",1,0)</formula>
    </cfRule>
  </conditionalFormatting>
  <conditionalFormatting sqref="E110:E117">
    <cfRule type="expression" dxfId="4477" priority="4531">
      <formula>IF(#REF!="FICTICIO",1,0)</formula>
    </cfRule>
  </conditionalFormatting>
  <conditionalFormatting sqref="E110:E117">
    <cfRule type="expression" dxfId="4476" priority="4530">
      <formula>IF(#REF!="FICTICIO",1,0)</formula>
    </cfRule>
  </conditionalFormatting>
  <conditionalFormatting sqref="E110:E117">
    <cfRule type="expression" dxfId="4475" priority="4529">
      <formula>IF(#REF!="FICTICIO",1,0)</formula>
    </cfRule>
  </conditionalFormatting>
  <conditionalFormatting sqref="E110:E117">
    <cfRule type="expression" dxfId="4474" priority="4528">
      <formula>IF(#REF!="FICTICIO",1,0)</formula>
    </cfRule>
  </conditionalFormatting>
  <conditionalFormatting sqref="E110:E117">
    <cfRule type="expression" dxfId="4473" priority="4527">
      <formula>IF(#REF!="FICTICIO",1,0)</formula>
    </cfRule>
  </conditionalFormatting>
  <conditionalFormatting sqref="E110:E117">
    <cfRule type="expression" dxfId="4472" priority="4526">
      <formula>IF(#REF!="FICTICIO",1,0)</formula>
    </cfRule>
  </conditionalFormatting>
  <conditionalFormatting sqref="E110:E117">
    <cfRule type="expression" dxfId="4471" priority="4525">
      <formula>IF(#REF!="FICTICIO",1,0)</formula>
    </cfRule>
  </conditionalFormatting>
  <conditionalFormatting sqref="E110:E117">
    <cfRule type="expression" dxfId="4470" priority="4524">
      <formula>IF(#REF!="FICTICIO",1,0)</formula>
    </cfRule>
  </conditionalFormatting>
  <conditionalFormatting sqref="E110:E117">
    <cfRule type="expression" dxfId="4469" priority="4523">
      <formula>IF(#REF!="FICTICIO",1,0)</formula>
    </cfRule>
  </conditionalFormatting>
  <conditionalFormatting sqref="E110:E117">
    <cfRule type="expression" dxfId="4468" priority="4522">
      <formula>IF(#REF!="FICTICIO",1,0)</formula>
    </cfRule>
  </conditionalFormatting>
  <conditionalFormatting sqref="E110:E117">
    <cfRule type="expression" dxfId="4467" priority="4521">
      <formula>IF(#REF!="FICTICIO",1,0)</formula>
    </cfRule>
  </conditionalFormatting>
  <conditionalFormatting sqref="E110:E117">
    <cfRule type="expression" dxfId="4466" priority="4520">
      <formula>IF(#REF!="FICTICIO",1,0)</formula>
    </cfRule>
  </conditionalFormatting>
  <conditionalFormatting sqref="E110:E117">
    <cfRule type="expression" dxfId="4465" priority="4519">
      <formula>IF(#REF!="FICTICIO",1,0)</formula>
    </cfRule>
  </conditionalFormatting>
  <conditionalFormatting sqref="E110:E117">
    <cfRule type="expression" dxfId="4464" priority="4518">
      <formula>IF(#REF!="FICTICIO",1,0)</formula>
    </cfRule>
  </conditionalFormatting>
  <conditionalFormatting sqref="D95">
    <cfRule type="expression" dxfId="4463" priority="4516">
      <formula>IF(#REF!="FICTICIO",1,0)</formula>
    </cfRule>
  </conditionalFormatting>
  <conditionalFormatting sqref="D95">
    <cfRule type="expression" dxfId="4462" priority="4517">
      <formula>IF(#REF!="FICTICIO",1,0)</formula>
    </cfRule>
  </conditionalFormatting>
  <conditionalFormatting sqref="D95 D97 D99">
    <cfRule type="expression" dxfId="4461" priority="4514">
      <formula>IF(#REF!="FICTICIO",1,0)</formula>
    </cfRule>
  </conditionalFormatting>
  <conditionalFormatting sqref="D95 D97 D99">
    <cfRule type="expression" dxfId="4460" priority="4515">
      <formula>IF(#REF!="FICTICIO",1,0)</formula>
    </cfRule>
  </conditionalFormatting>
  <conditionalFormatting sqref="D95 D97 D99">
    <cfRule type="expression" dxfId="4459" priority="4512">
      <formula>IF(#REF!="FICTICIO",1,0)</formula>
    </cfRule>
  </conditionalFormatting>
  <conditionalFormatting sqref="D95 D97 D99">
    <cfRule type="expression" dxfId="4458" priority="4513">
      <formula>IF(#REF!="FICTICIO",1,0)</formula>
    </cfRule>
  </conditionalFormatting>
  <conditionalFormatting sqref="D95 D97 D99">
    <cfRule type="expression" dxfId="4457" priority="4510">
      <formula>IF(#REF!="FICTICIO",1,0)</formula>
    </cfRule>
  </conditionalFormatting>
  <conditionalFormatting sqref="D95 D97 D99">
    <cfRule type="expression" dxfId="4456" priority="4511">
      <formula>IF(#REF!="FICTICIO",1,0)</formula>
    </cfRule>
  </conditionalFormatting>
  <conditionalFormatting sqref="D95 D97 D99">
    <cfRule type="expression" dxfId="4455" priority="4508">
      <formula>IF(#REF!="FICTICIO",1,0)</formula>
    </cfRule>
  </conditionalFormatting>
  <conditionalFormatting sqref="D95 D97 D99">
    <cfRule type="expression" dxfId="4454" priority="4509">
      <formula>IF(#REF!="FICTICIO",1,0)</formula>
    </cfRule>
  </conditionalFormatting>
  <conditionalFormatting sqref="F95">
    <cfRule type="expression" dxfId="4453" priority="4507">
      <formula>IF(#REF!="FICTICIO",1,0)</formula>
    </cfRule>
  </conditionalFormatting>
  <conditionalFormatting sqref="D97">
    <cfRule type="expression" dxfId="4452" priority="4505">
      <formula>IF(#REF!="FICTICIO",1,0)</formula>
    </cfRule>
  </conditionalFormatting>
  <conditionalFormatting sqref="D97">
    <cfRule type="expression" dxfId="4451" priority="4506">
      <formula>IF(#REF!="FICTICIO",1,0)</formula>
    </cfRule>
  </conditionalFormatting>
  <conditionalFormatting sqref="D97">
    <cfRule type="expression" dxfId="4450" priority="4503">
      <formula>IF(#REF!="FICTICIO",1,0)</formula>
    </cfRule>
  </conditionalFormatting>
  <conditionalFormatting sqref="D97">
    <cfRule type="expression" dxfId="4449" priority="4504">
      <formula>IF(#REF!="FICTICIO",1,0)</formula>
    </cfRule>
  </conditionalFormatting>
  <conditionalFormatting sqref="D97">
    <cfRule type="expression" dxfId="4448" priority="4501">
      <formula>IF(#REF!="FICTICIO",1,0)</formula>
    </cfRule>
  </conditionalFormatting>
  <conditionalFormatting sqref="D97">
    <cfRule type="expression" dxfId="4447" priority="4502">
      <formula>IF(#REF!="FICTICIO",1,0)</formula>
    </cfRule>
  </conditionalFormatting>
  <conditionalFormatting sqref="D97">
    <cfRule type="expression" dxfId="4446" priority="4499">
      <formula>IF(#REF!="FICTICIO",1,0)</formula>
    </cfRule>
  </conditionalFormatting>
  <conditionalFormatting sqref="D97">
    <cfRule type="expression" dxfId="4445" priority="4500">
      <formula>IF(#REF!="FICTICIO",1,0)</formula>
    </cfRule>
  </conditionalFormatting>
  <conditionalFormatting sqref="F97">
    <cfRule type="expression" dxfId="4444" priority="4498">
      <formula>IF(#REF!="FICTICIO",1,0)</formula>
    </cfRule>
  </conditionalFormatting>
  <conditionalFormatting sqref="D99">
    <cfRule type="expression" dxfId="4443" priority="4496">
      <formula>IF(#REF!="FICTICIO",1,0)</formula>
    </cfRule>
  </conditionalFormatting>
  <conditionalFormatting sqref="D99">
    <cfRule type="expression" dxfId="4442" priority="4497">
      <formula>IF(#REF!="FICTICIO",1,0)</formula>
    </cfRule>
  </conditionalFormatting>
  <conditionalFormatting sqref="D99">
    <cfRule type="expression" dxfId="4441" priority="4494">
      <formula>IF(#REF!="FICTICIO",1,0)</formula>
    </cfRule>
  </conditionalFormatting>
  <conditionalFormatting sqref="D99">
    <cfRule type="expression" dxfId="4440" priority="4495">
      <formula>IF(#REF!="FICTICIO",1,0)</formula>
    </cfRule>
  </conditionalFormatting>
  <conditionalFormatting sqref="D99">
    <cfRule type="expression" dxfId="4439" priority="4492">
      <formula>IF(#REF!="FICTICIO",1,0)</formula>
    </cfRule>
  </conditionalFormatting>
  <conditionalFormatting sqref="D99">
    <cfRule type="expression" dxfId="4438" priority="4493">
      <formula>IF(#REF!="FICTICIO",1,0)</formula>
    </cfRule>
  </conditionalFormatting>
  <conditionalFormatting sqref="D99">
    <cfRule type="expression" dxfId="4437" priority="4490">
      <formula>IF(#REF!="FICTICIO",1,0)</formula>
    </cfRule>
  </conditionalFormatting>
  <conditionalFormatting sqref="D99">
    <cfRule type="expression" dxfId="4436" priority="4491">
      <formula>IF(#REF!="FICTICIO",1,0)</formula>
    </cfRule>
  </conditionalFormatting>
  <conditionalFormatting sqref="D99">
    <cfRule type="expression" dxfId="4435" priority="4488">
      <formula>IF(#REF!="FICTICIO",1,0)</formula>
    </cfRule>
  </conditionalFormatting>
  <conditionalFormatting sqref="D99">
    <cfRule type="expression" dxfId="4434" priority="4489">
      <formula>IF(#REF!="FICTICIO",1,0)</formula>
    </cfRule>
  </conditionalFormatting>
  <conditionalFormatting sqref="D99">
    <cfRule type="expression" dxfId="4433" priority="4486">
      <formula>IF(#REF!="FICTICIO",1,0)</formula>
    </cfRule>
  </conditionalFormatting>
  <conditionalFormatting sqref="D99">
    <cfRule type="expression" dxfId="4432" priority="4487">
      <formula>IF(#REF!="FICTICIO",1,0)</formula>
    </cfRule>
  </conditionalFormatting>
  <conditionalFormatting sqref="D99">
    <cfRule type="expression" dxfId="4431" priority="4484">
      <formula>IF(#REF!="FICTICIO",1,0)</formula>
    </cfRule>
  </conditionalFormatting>
  <conditionalFormatting sqref="D99">
    <cfRule type="expression" dxfId="4430" priority="4485">
      <formula>IF(#REF!="FICTICIO",1,0)</formula>
    </cfRule>
  </conditionalFormatting>
  <conditionalFormatting sqref="D99">
    <cfRule type="expression" dxfId="4429" priority="4482">
      <formula>IF(#REF!="FICTICIO",1,0)</formula>
    </cfRule>
  </conditionalFormatting>
  <conditionalFormatting sqref="D99">
    <cfRule type="expression" dxfId="4428" priority="4483">
      <formula>IF(#REF!="FICTICIO",1,0)</formula>
    </cfRule>
  </conditionalFormatting>
  <conditionalFormatting sqref="D100">
    <cfRule type="expression" dxfId="4427" priority="4480">
      <formula>IF(#REF!="FICTICIO",1,0)</formula>
    </cfRule>
  </conditionalFormatting>
  <conditionalFormatting sqref="D100">
    <cfRule type="expression" dxfId="4426" priority="4481">
      <formula>IF(#REF!="FICTICIO",1,0)</formula>
    </cfRule>
  </conditionalFormatting>
  <conditionalFormatting sqref="D100">
    <cfRule type="expression" dxfId="4425" priority="4478">
      <formula>IF(#REF!="FICTICIO",1,0)</formula>
    </cfRule>
  </conditionalFormatting>
  <conditionalFormatting sqref="D100">
    <cfRule type="expression" dxfId="4424" priority="4479">
      <formula>IF(#REF!="FICTICIO",1,0)</formula>
    </cfRule>
  </conditionalFormatting>
  <conditionalFormatting sqref="D100">
    <cfRule type="expression" dxfId="4423" priority="4476">
      <formula>IF(#REF!="FICTICIO",1,0)</formula>
    </cfRule>
  </conditionalFormatting>
  <conditionalFormatting sqref="D100">
    <cfRule type="expression" dxfId="4422" priority="4477">
      <formula>IF(#REF!="FICTICIO",1,0)</formula>
    </cfRule>
  </conditionalFormatting>
  <conditionalFormatting sqref="D100">
    <cfRule type="expression" dxfId="4421" priority="4474">
      <formula>IF(#REF!="FICTICIO",1,0)</formula>
    </cfRule>
  </conditionalFormatting>
  <conditionalFormatting sqref="D100">
    <cfRule type="expression" dxfId="4420" priority="4475">
      <formula>IF(#REF!="FICTICIO",1,0)</formula>
    </cfRule>
  </conditionalFormatting>
  <conditionalFormatting sqref="D99">
    <cfRule type="expression" dxfId="4419" priority="4472">
      <formula>IF(#REF!="FICTICIO",1,0)</formula>
    </cfRule>
  </conditionalFormatting>
  <conditionalFormatting sqref="D99">
    <cfRule type="expression" dxfId="4418" priority="4473">
      <formula>IF(#REF!="FICTICIO",1,0)</formula>
    </cfRule>
  </conditionalFormatting>
  <conditionalFormatting sqref="D99">
    <cfRule type="expression" dxfId="4417" priority="4470">
      <formula>IF(#REF!="FICTICIO",1,0)</formula>
    </cfRule>
  </conditionalFormatting>
  <conditionalFormatting sqref="D99">
    <cfRule type="expression" dxfId="4416" priority="4471">
      <formula>IF(#REF!="FICTICIO",1,0)</formula>
    </cfRule>
  </conditionalFormatting>
  <conditionalFormatting sqref="D99">
    <cfRule type="expression" dxfId="4415" priority="4468">
      <formula>IF(#REF!="FICTICIO",1,0)</formula>
    </cfRule>
  </conditionalFormatting>
  <conditionalFormatting sqref="D99">
    <cfRule type="expression" dxfId="4414" priority="4469">
      <formula>IF(#REF!="FICTICIO",1,0)</formula>
    </cfRule>
  </conditionalFormatting>
  <conditionalFormatting sqref="D99">
    <cfRule type="expression" dxfId="4413" priority="4466">
      <formula>IF(#REF!="FICTICIO",1,0)</formula>
    </cfRule>
  </conditionalFormatting>
  <conditionalFormatting sqref="D99">
    <cfRule type="expression" dxfId="4412" priority="4467">
      <formula>IF(#REF!="FICTICIO",1,0)</formula>
    </cfRule>
  </conditionalFormatting>
  <conditionalFormatting sqref="D100">
    <cfRule type="expression" dxfId="4411" priority="4464">
      <formula>IF(#REF!="FICTICIO",1,0)</formula>
    </cfRule>
  </conditionalFormatting>
  <conditionalFormatting sqref="D100">
    <cfRule type="expression" dxfId="4410" priority="4465">
      <formula>IF(#REF!="FICTICIO",1,0)</formula>
    </cfRule>
  </conditionalFormatting>
  <conditionalFormatting sqref="D100">
    <cfRule type="expression" dxfId="4409" priority="4462">
      <formula>IF(#REF!="FICTICIO",1,0)</formula>
    </cfRule>
  </conditionalFormatting>
  <conditionalFormatting sqref="D100">
    <cfRule type="expression" dxfId="4408" priority="4463">
      <formula>IF(#REF!="FICTICIO",1,0)</formula>
    </cfRule>
  </conditionalFormatting>
  <conditionalFormatting sqref="D100">
    <cfRule type="expression" dxfId="4407" priority="4460">
      <formula>IF(#REF!="FICTICIO",1,0)</formula>
    </cfRule>
  </conditionalFormatting>
  <conditionalFormatting sqref="D100">
    <cfRule type="expression" dxfId="4406" priority="4461">
      <formula>IF(#REF!="FICTICIO",1,0)</formula>
    </cfRule>
  </conditionalFormatting>
  <conditionalFormatting sqref="D100">
    <cfRule type="expression" dxfId="4405" priority="4458">
      <formula>IF(#REF!="FICTICIO",1,0)</formula>
    </cfRule>
  </conditionalFormatting>
  <conditionalFormatting sqref="D100">
    <cfRule type="expression" dxfId="4404" priority="4459">
      <formula>IF(#REF!="FICTICIO",1,0)</formula>
    </cfRule>
  </conditionalFormatting>
  <conditionalFormatting sqref="D100">
    <cfRule type="expression" dxfId="4403" priority="4456">
      <formula>IF(#REF!="FICTICIO",1,0)</formula>
    </cfRule>
  </conditionalFormatting>
  <conditionalFormatting sqref="D100">
    <cfRule type="expression" dxfId="4402" priority="4457">
      <formula>IF(#REF!="FICTICIO",1,0)</formula>
    </cfRule>
  </conditionalFormatting>
  <conditionalFormatting sqref="D100">
    <cfRule type="expression" dxfId="4401" priority="4454">
      <formula>IF(#REF!="FICTICIO",1,0)</formula>
    </cfRule>
  </conditionalFormatting>
  <conditionalFormatting sqref="D100">
    <cfRule type="expression" dxfId="4400" priority="4455">
      <formula>IF(#REF!="FICTICIO",1,0)</formula>
    </cfRule>
  </conditionalFormatting>
  <conditionalFormatting sqref="D100">
    <cfRule type="expression" dxfId="4399" priority="4452">
      <formula>IF(#REF!="FICTICIO",1,0)</formula>
    </cfRule>
  </conditionalFormatting>
  <conditionalFormatting sqref="D100">
    <cfRule type="expression" dxfId="4398" priority="4453">
      <formula>IF(#REF!="FICTICIO",1,0)</formula>
    </cfRule>
  </conditionalFormatting>
  <conditionalFormatting sqref="D100">
    <cfRule type="expression" dxfId="4397" priority="4450">
      <formula>IF(#REF!="FICTICIO",1,0)</formula>
    </cfRule>
  </conditionalFormatting>
  <conditionalFormatting sqref="D100">
    <cfRule type="expression" dxfId="4396" priority="4451">
      <formula>IF(#REF!="FICTICIO",1,0)</formula>
    </cfRule>
  </conditionalFormatting>
  <conditionalFormatting sqref="D100">
    <cfRule type="expression" dxfId="4395" priority="4448">
      <formula>IF(#REF!="FICTICIO",1,0)</formula>
    </cfRule>
  </conditionalFormatting>
  <conditionalFormatting sqref="D100">
    <cfRule type="expression" dxfId="4394" priority="4449">
      <formula>IF(#REF!="FICTICIO",1,0)</formula>
    </cfRule>
  </conditionalFormatting>
  <conditionalFormatting sqref="D100">
    <cfRule type="expression" dxfId="4393" priority="4446">
      <formula>IF(#REF!="FICTICIO",1,0)</formula>
    </cfRule>
  </conditionalFormatting>
  <conditionalFormatting sqref="D100">
    <cfRule type="expression" dxfId="4392" priority="4447">
      <formula>IF(#REF!="FICTICIO",1,0)</formula>
    </cfRule>
  </conditionalFormatting>
  <conditionalFormatting sqref="D100">
    <cfRule type="expression" dxfId="4391" priority="4444">
      <formula>IF(#REF!="FICTICIO",1,0)</formula>
    </cfRule>
  </conditionalFormatting>
  <conditionalFormatting sqref="D100">
    <cfRule type="expression" dxfId="4390" priority="4445">
      <formula>IF(#REF!="FICTICIO",1,0)</formula>
    </cfRule>
  </conditionalFormatting>
  <conditionalFormatting sqref="D100">
    <cfRule type="expression" dxfId="4389" priority="4442">
      <formula>IF(#REF!="FICTICIO",1,0)</formula>
    </cfRule>
  </conditionalFormatting>
  <conditionalFormatting sqref="D100">
    <cfRule type="expression" dxfId="4388" priority="4443">
      <formula>IF(#REF!="FICTICIO",1,0)</formula>
    </cfRule>
  </conditionalFormatting>
  <conditionalFormatting sqref="F99">
    <cfRule type="expression" dxfId="4387" priority="4441">
      <formula>IF(#REF!="FICTICIO",1,0)</formula>
    </cfRule>
  </conditionalFormatting>
  <conditionalFormatting sqref="F109">
    <cfRule type="expression" dxfId="4386" priority="4440">
      <formula>IF(#REF!="FICTICIO",1,0)</formula>
    </cfRule>
  </conditionalFormatting>
  <conditionalFormatting sqref="F109">
    <cfRule type="expression" dxfId="4385" priority="4438">
      <formula>IF(#REF!="FICTICIO",1,0)</formula>
    </cfRule>
  </conditionalFormatting>
  <conditionalFormatting sqref="F109">
    <cfRule type="expression" dxfId="4384" priority="4439">
      <formula>IF(#REF!="FICTICIO",1,0)</formula>
    </cfRule>
  </conditionalFormatting>
  <conditionalFormatting sqref="D109">
    <cfRule type="expression" dxfId="4383" priority="4436">
      <formula>IF(#REF!="FICTICIO",1,0)</formula>
    </cfRule>
  </conditionalFormatting>
  <conditionalFormatting sqref="D109">
    <cfRule type="expression" dxfId="4382" priority="4437">
      <formula>IF(#REF!="FICTICIO",1,0)</formula>
    </cfRule>
  </conditionalFormatting>
  <conditionalFormatting sqref="D94">
    <cfRule type="expression" dxfId="4381" priority="4434">
      <formula>IF(#REF!="FICTICIO",1,0)</formula>
    </cfRule>
  </conditionalFormatting>
  <conditionalFormatting sqref="D94">
    <cfRule type="expression" dxfId="4380" priority="4435">
      <formula>IF(#REF!="FICTICIO",1,0)</formula>
    </cfRule>
  </conditionalFormatting>
  <conditionalFormatting sqref="D94">
    <cfRule type="expression" dxfId="4379" priority="4432">
      <formula>IF(#REF!="FICTICIO",1,0)</formula>
    </cfRule>
  </conditionalFormatting>
  <conditionalFormatting sqref="D94">
    <cfRule type="expression" dxfId="4378" priority="4433">
      <formula>IF(#REF!="FICTICIO",1,0)</formula>
    </cfRule>
  </conditionalFormatting>
  <conditionalFormatting sqref="F94">
    <cfRule type="expression" dxfId="4377" priority="4430">
      <formula>IF(#REF!="FICTICIO",1,0)</formula>
    </cfRule>
  </conditionalFormatting>
  <conditionalFormatting sqref="F94">
    <cfRule type="expression" dxfId="4376" priority="4431">
      <formula>IF(#REF!="FICTICIO",1,0)</formula>
    </cfRule>
  </conditionalFormatting>
  <conditionalFormatting sqref="F103">
    <cfRule type="expression" dxfId="4375" priority="4428">
      <formula>IF(#REF!="FICTICIO",1,0)</formula>
    </cfRule>
  </conditionalFormatting>
  <conditionalFormatting sqref="F103">
    <cfRule type="expression" dxfId="4374" priority="4429">
      <formula>IF(#REF!="FICTICIO",1,0)</formula>
    </cfRule>
  </conditionalFormatting>
  <conditionalFormatting sqref="D102">
    <cfRule type="expression" dxfId="4373" priority="4426">
      <formula>IF(#REF!="FICTICIO",1,0)</formula>
    </cfRule>
  </conditionalFormatting>
  <conditionalFormatting sqref="D102">
    <cfRule type="expression" dxfId="4372" priority="4427">
      <formula>IF(#REF!="FICTICIO",1,0)</formula>
    </cfRule>
  </conditionalFormatting>
  <conditionalFormatting sqref="D102">
    <cfRule type="expression" dxfId="4371" priority="4424">
      <formula>IF(#REF!="FICTICIO",1,0)</formula>
    </cfRule>
  </conditionalFormatting>
  <conditionalFormatting sqref="D102">
    <cfRule type="expression" dxfId="4370" priority="4425">
      <formula>IF(#REF!="FICTICIO",1,0)</formula>
    </cfRule>
  </conditionalFormatting>
  <conditionalFormatting sqref="F105">
    <cfRule type="expression" dxfId="4369" priority="4423">
      <formula>IF(#REF!="FICTICIO",1,0)</formula>
    </cfRule>
  </conditionalFormatting>
  <conditionalFormatting sqref="E105">
    <cfRule type="expression" dxfId="4368" priority="4422">
      <formula>IF(#REF!="FICTICIO",1,0)</formula>
    </cfRule>
  </conditionalFormatting>
  <conditionalFormatting sqref="E105">
    <cfRule type="expression" dxfId="4367" priority="4421">
      <formula>IF(#REF!="FICTICIO",1,0)</formula>
    </cfRule>
  </conditionalFormatting>
  <conditionalFormatting sqref="E105">
    <cfRule type="expression" dxfId="4366" priority="4420">
      <formula>IF(#REF!="FICTICIO",1,0)</formula>
    </cfRule>
  </conditionalFormatting>
  <conditionalFormatting sqref="E105">
    <cfRule type="expression" dxfId="4365" priority="4419">
      <formula>IF(#REF!="FICTICIO",1,0)</formula>
    </cfRule>
  </conditionalFormatting>
  <conditionalFormatting sqref="E105">
    <cfRule type="expression" dxfId="4364" priority="4418">
      <formula>IF(#REF!="FICTICIO",1,0)</formula>
    </cfRule>
  </conditionalFormatting>
  <conditionalFormatting sqref="E105">
    <cfRule type="expression" dxfId="4363" priority="4416">
      <formula>IF(#REF!="FICTICIO",1,0)</formula>
    </cfRule>
  </conditionalFormatting>
  <conditionalFormatting sqref="E105">
    <cfRule type="expression" dxfId="4362" priority="4417">
      <formula>IF(#REF!="FICTICIO",1,0)</formula>
    </cfRule>
  </conditionalFormatting>
  <conditionalFormatting sqref="E102">
    <cfRule type="expression" dxfId="4361" priority="4415">
      <formula>IF(#REF!="FICTICIO",1,0)</formula>
    </cfRule>
  </conditionalFormatting>
  <conditionalFormatting sqref="E102">
    <cfRule type="expression" dxfId="4360" priority="4414">
      <formula>IF(#REF!="FICTICIO",1,0)</formula>
    </cfRule>
  </conditionalFormatting>
  <conditionalFormatting sqref="E102">
    <cfRule type="expression" dxfId="4359" priority="4413">
      <formula>IF(#REF!="FICTICIO",1,0)</formula>
    </cfRule>
  </conditionalFormatting>
  <conditionalFormatting sqref="E103">
    <cfRule type="expression" dxfId="4358" priority="4412">
      <formula>IF(#REF!="FICTICIO",1,0)</formula>
    </cfRule>
  </conditionalFormatting>
  <conditionalFormatting sqref="E103">
    <cfRule type="expression" dxfId="4357" priority="4411">
      <formula>IF(#REF!="FICTICIO",1,0)</formula>
    </cfRule>
  </conditionalFormatting>
  <conditionalFormatting sqref="E103">
    <cfRule type="expression" dxfId="4356" priority="4410">
      <formula>IF(#REF!="FICTICIO",1,0)</formula>
    </cfRule>
  </conditionalFormatting>
  <conditionalFormatting sqref="E108">
    <cfRule type="expression" dxfId="4355" priority="4409">
      <formula>IF(#REF!="FICTICIO",1,0)</formula>
    </cfRule>
  </conditionalFormatting>
  <conditionalFormatting sqref="E108">
    <cfRule type="expression" dxfId="4354" priority="4408">
      <formula>IF(#REF!="FICTICIO",1,0)</formula>
    </cfRule>
  </conditionalFormatting>
  <conditionalFormatting sqref="E108">
    <cfRule type="expression" dxfId="4353" priority="4407">
      <formula>IF(#REF!="FICTICIO",1,0)</formula>
    </cfRule>
  </conditionalFormatting>
  <conditionalFormatting sqref="E108">
    <cfRule type="expression" dxfId="4352" priority="4406">
      <formula>IF(#REF!="FICTICIO",1,0)</formula>
    </cfRule>
  </conditionalFormatting>
  <conditionalFormatting sqref="E108">
    <cfRule type="expression" dxfId="4351" priority="4405">
      <formula>IF(#REF!="FICTICIO",1,0)</formula>
    </cfRule>
  </conditionalFormatting>
  <conditionalFormatting sqref="E108">
    <cfRule type="expression" dxfId="4350" priority="4404">
      <formula>IF(#REF!="FICTICIO",1,0)</formula>
    </cfRule>
  </conditionalFormatting>
  <conditionalFormatting sqref="E108">
    <cfRule type="expression" dxfId="4349" priority="4403">
      <formula>IF(#REF!="FICTICIO",1,0)</formula>
    </cfRule>
  </conditionalFormatting>
  <conditionalFormatting sqref="E108">
    <cfRule type="expression" dxfId="4348" priority="4402">
      <formula>IF(#REF!="FICTICIO",1,0)</formula>
    </cfRule>
  </conditionalFormatting>
  <conditionalFormatting sqref="E108">
    <cfRule type="expression" dxfId="4347" priority="4401">
      <formula>IF(#REF!="FICTICIO",1,0)</formula>
    </cfRule>
  </conditionalFormatting>
  <conditionalFormatting sqref="E108">
    <cfRule type="expression" dxfId="4346" priority="4400">
      <formula>IF(#REF!="FICTICIO",1,0)</formula>
    </cfRule>
  </conditionalFormatting>
  <conditionalFormatting sqref="E108">
    <cfRule type="expression" dxfId="4345" priority="4399">
      <formula>IF(#REF!="FICTICIO",1,0)</formula>
    </cfRule>
  </conditionalFormatting>
  <conditionalFormatting sqref="E108">
    <cfRule type="expression" dxfId="4344" priority="4398">
      <formula>IF(#REF!="FICTICIO",1,0)</formula>
    </cfRule>
  </conditionalFormatting>
  <conditionalFormatting sqref="E108">
    <cfRule type="expression" dxfId="4343" priority="4397">
      <formula>IF(#REF!="FICTICIO",1,0)</formula>
    </cfRule>
  </conditionalFormatting>
  <conditionalFormatting sqref="E108">
    <cfRule type="expression" dxfId="4342" priority="4396">
      <formula>IF(#REF!="FICTICIO",1,0)</formula>
    </cfRule>
  </conditionalFormatting>
  <conditionalFormatting sqref="E108">
    <cfRule type="expression" dxfId="4341" priority="4395">
      <formula>IF(#REF!="FICTICIO",1,0)</formula>
    </cfRule>
  </conditionalFormatting>
  <conditionalFormatting sqref="E108">
    <cfRule type="expression" dxfId="4340" priority="4393">
      <formula>IF(#REF!="FICTICIO",1,0)</formula>
    </cfRule>
  </conditionalFormatting>
  <conditionalFormatting sqref="E108">
    <cfRule type="expression" dxfId="4339" priority="4394">
      <formula>IF(#REF!="FICTICIO",1,0)</formula>
    </cfRule>
  </conditionalFormatting>
  <conditionalFormatting sqref="F108">
    <cfRule type="expression" dxfId="4338" priority="4392">
      <formula>IF(#REF!="FICTICIO",1,0)</formula>
    </cfRule>
  </conditionalFormatting>
  <conditionalFormatting sqref="E108">
    <cfRule type="expression" dxfId="4337" priority="4391">
      <formula>IF(#REF!="FICTICIO",1,0)</formula>
    </cfRule>
  </conditionalFormatting>
  <conditionalFormatting sqref="E108">
    <cfRule type="expression" dxfId="4336" priority="4390">
      <formula>IF(#REF!="FICTICIO",1,0)</formula>
    </cfRule>
  </conditionalFormatting>
  <conditionalFormatting sqref="E108">
    <cfRule type="expression" dxfId="4335" priority="4389">
      <formula>IF(#REF!="FICTICIO",1,0)</formula>
    </cfRule>
  </conditionalFormatting>
  <conditionalFormatting sqref="E108">
    <cfRule type="expression" dxfId="4334" priority="4388">
      <formula>IF(#REF!="FICTICIO",1,0)</formula>
    </cfRule>
  </conditionalFormatting>
  <conditionalFormatting sqref="E108">
    <cfRule type="expression" dxfId="4333" priority="4387">
      <formula>IF(#REF!="FICTICIO",1,0)</formula>
    </cfRule>
  </conditionalFormatting>
  <conditionalFormatting sqref="E108">
    <cfRule type="expression" dxfId="4332" priority="4386">
      <formula>IF(#REF!="FICTICIO",1,0)</formula>
    </cfRule>
  </conditionalFormatting>
  <conditionalFormatting sqref="E108">
    <cfRule type="expression" dxfId="4331" priority="4385">
      <formula>IF(#REF!="FICTICIO",1,0)</formula>
    </cfRule>
  </conditionalFormatting>
  <conditionalFormatting sqref="E108">
    <cfRule type="expression" dxfId="4330" priority="4384">
      <formula>IF(#REF!="FICTICIO",1,0)</formula>
    </cfRule>
  </conditionalFormatting>
  <conditionalFormatting sqref="E108">
    <cfRule type="expression" dxfId="4329" priority="4383">
      <formula>IF(#REF!="FICTICIO",1,0)</formula>
    </cfRule>
  </conditionalFormatting>
  <conditionalFormatting sqref="E108">
    <cfRule type="expression" dxfId="4328" priority="4382">
      <formula>IF(#REF!="FICTICIO",1,0)</formula>
    </cfRule>
  </conditionalFormatting>
  <conditionalFormatting sqref="E108">
    <cfRule type="expression" dxfId="4327" priority="4381">
      <formula>IF(#REF!="FICTICIO",1,0)</formula>
    </cfRule>
  </conditionalFormatting>
  <conditionalFormatting sqref="E108">
    <cfRule type="expression" dxfId="4326" priority="4380">
      <formula>IF(#REF!="FICTICIO",1,0)</formula>
    </cfRule>
  </conditionalFormatting>
  <conditionalFormatting sqref="E108">
    <cfRule type="expression" dxfId="4325" priority="4379">
      <formula>IF(#REF!="FICTICIO",1,0)</formula>
    </cfRule>
  </conditionalFormatting>
  <conditionalFormatting sqref="E108">
    <cfRule type="expression" dxfId="4324" priority="4378">
      <formula>IF(#REF!="FICTICIO",1,0)</formula>
    </cfRule>
  </conditionalFormatting>
  <conditionalFormatting sqref="E108">
    <cfRule type="expression" dxfId="4323" priority="4377">
      <formula>IF(#REF!="FICTICIO",1,0)</formula>
    </cfRule>
  </conditionalFormatting>
  <conditionalFormatting sqref="E108">
    <cfRule type="expression" dxfId="4322" priority="4376">
      <formula>IF(#REF!="FICTICIO",1,0)</formula>
    </cfRule>
  </conditionalFormatting>
  <conditionalFormatting sqref="E108">
    <cfRule type="expression" dxfId="4321" priority="4375">
      <formula>IF(#REF!="FICTICIO",1,0)</formula>
    </cfRule>
  </conditionalFormatting>
  <conditionalFormatting sqref="E108">
    <cfRule type="expression" dxfId="4320" priority="4374">
      <formula>IF(#REF!="FICTICIO",1,0)</formula>
    </cfRule>
  </conditionalFormatting>
  <conditionalFormatting sqref="E108">
    <cfRule type="expression" dxfId="4319" priority="4372">
      <formula>IF(#REF!="FICTICIO",1,0)</formula>
    </cfRule>
  </conditionalFormatting>
  <conditionalFormatting sqref="E108">
    <cfRule type="expression" dxfId="4318" priority="4373">
      <formula>IF(#REF!="FICTICIO",1,0)</formula>
    </cfRule>
  </conditionalFormatting>
  <conditionalFormatting sqref="F108">
    <cfRule type="expression" dxfId="4317" priority="4371">
      <formula>IF(#REF!="FICTICIO",1,0)</formula>
    </cfRule>
  </conditionalFormatting>
  <conditionalFormatting sqref="E108">
    <cfRule type="expression" dxfId="4316" priority="4370">
      <formula>IF(#REF!="FICTICIO",1,0)</formula>
    </cfRule>
  </conditionalFormatting>
  <conditionalFormatting sqref="E108">
    <cfRule type="expression" dxfId="4315" priority="4369">
      <formula>IF(#REF!="FICTICIO",1,0)</formula>
    </cfRule>
  </conditionalFormatting>
  <conditionalFormatting sqref="E108">
    <cfRule type="expression" dxfId="4314" priority="4368">
      <formula>IF(#REF!="FICTICIO",1,0)</formula>
    </cfRule>
  </conditionalFormatting>
  <conditionalFormatting sqref="E109">
    <cfRule type="expression" dxfId="4313" priority="4367">
      <formula>IF(#REF!="FICTICIO",1,0)</formula>
    </cfRule>
  </conditionalFormatting>
  <conditionalFormatting sqref="E109">
    <cfRule type="expression" dxfId="4312" priority="4366">
      <formula>IF(#REF!="FICTICIO",1,0)</formula>
    </cfRule>
  </conditionalFormatting>
  <conditionalFormatting sqref="E109">
    <cfRule type="expression" dxfId="4311" priority="4365">
      <formula>IF(#REF!="FICTICIO",1,0)</formula>
    </cfRule>
  </conditionalFormatting>
  <conditionalFormatting sqref="E109">
    <cfRule type="expression" dxfId="4310" priority="4364">
      <formula>IF(#REF!="FICTICIO",1,0)</formula>
    </cfRule>
  </conditionalFormatting>
  <conditionalFormatting sqref="E109">
    <cfRule type="expression" dxfId="4309" priority="4363">
      <formula>IF(#REF!="FICTICIO",1,0)</formula>
    </cfRule>
  </conditionalFormatting>
  <conditionalFormatting sqref="E109">
    <cfRule type="expression" dxfId="4308" priority="4362">
      <formula>IF(#REF!="FICTICIO",1,0)</formula>
    </cfRule>
  </conditionalFormatting>
  <conditionalFormatting sqref="E109">
    <cfRule type="expression" dxfId="4307" priority="4361">
      <formula>IF(#REF!="FICTICIO",1,0)</formula>
    </cfRule>
  </conditionalFormatting>
  <conditionalFormatting sqref="E109">
    <cfRule type="expression" dxfId="4306" priority="4360">
      <formula>IF(#REF!="FICTICIO",1,0)</formula>
    </cfRule>
  </conditionalFormatting>
  <conditionalFormatting sqref="E109">
    <cfRule type="expression" dxfId="4305" priority="4359">
      <formula>IF(#REF!="FICTICIO",1,0)</formula>
    </cfRule>
  </conditionalFormatting>
  <conditionalFormatting sqref="E109">
    <cfRule type="expression" dxfId="4304" priority="4358">
      <formula>IF(#REF!="FICTICIO",1,0)</formula>
    </cfRule>
  </conditionalFormatting>
  <conditionalFormatting sqref="E109">
    <cfRule type="expression" dxfId="4303" priority="4357">
      <formula>IF(#REF!="FICTICIO",1,0)</formula>
    </cfRule>
  </conditionalFormatting>
  <conditionalFormatting sqref="E109">
    <cfRule type="expression" dxfId="4302" priority="4356">
      <formula>IF(#REF!="FICTICIO",1,0)</formula>
    </cfRule>
  </conditionalFormatting>
  <conditionalFormatting sqref="E109">
    <cfRule type="expression" dxfId="4301" priority="4355">
      <formula>IF(#REF!="FICTICIO",1,0)</formula>
    </cfRule>
  </conditionalFormatting>
  <conditionalFormatting sqref="E109">
    <cfRule type="expression" dxfId="4300" priority="4354">
      <formula>IF(#REF!="FICTICIO",1,0)</formula>
    </cfRule>
  </conditionalFormatting>
  <conditionalFormatting sqref="E109">
    <cfRule type="expression" dxfId="4299" priority="4353">
      <formula>IF(#REF!="FICTICIO",1,0)</formula>
    </cfRule>
  </conditionalFormatting>
  <conditionalFormatting sqref="E109">
    <cfRule type="expression" dxfId="4298" priority="4352">
      <formula>IF(#REF!="FICTICIO",1,0)</formula>
    </cfRule>
  </conditionalFormatting>
  <conditionalFormatting sqref="E109">
    <cfRule type="expression" dxfId="4297" priority="4351">
      <formula>IF(#REF!="FICTICIO",1,0)</formula>
    </cfRule>
  </conditionalFormatting>
  <conditionalFormatting sqref="E109">
    <cfRule type="expression" dxfId="4296" priority="4350">
      <formula>IF(#REF!="FICTICIO",1,0)</formula>
    </cfRule>
  </conditionalFormatting>
  <conditionalFormatting sqref="E109">
    <cfRule type="expression" dxfId="4295" priority="4349">
      <formula>IF(#REF!="FICTICIO",1,0)</formula>
    </cfRule>
  </conditionalFormatting>
  <conditionalFormatting sqref="E109">
    <cfRule type="expression" dxfId="4294" priority="4348">
      <formula>IF(#REF!="FICTICIO",1,0)</formula>
    </cfRule>
  </conditionalFormatting>
  <conditionalFormatting sqref="E109">
    <cfRule type="expression" dxfId="4293" priority="4347">
      <formula>IF(#REF!="FICTICIO",1,0)</formula>
    </cfRule>
  </conditionalFormatting>
  <conditionalFormatting sqref="E109">
    <cfRule type="expression" dxfId="4292" priority="4346">
      <formula>IF(#REF!="FICTICIO",1,0)</formula>
    </cfRule>
  </conditionalFormatting>
  <conditionalFormatting sqref="E109">
    <cfRule type="expression" dxfId="4291" priority="4345">
      <formula>IF(#REF!="FICTICIO",1,0)</formula>
    </cfRule>
  </conditionalFormatting>
  <conditionalFormatting sqref="E109">
    <cfRule type="expression" dxfId="4290" priority="4344">
      <formula>IF(#REF!="FICTICIO",1,0)</formula>
    </cfRule>
  </conditionalFormatting>
  <conditionalFormatting sqref="E109">
    <cfRule type="expression" dxfId="4289" priority="4343">
      <formula>IF(#REF!="FICTICIO",1,0)</formula>
    </cfRule>
  </conditionalFormatting>
  <conditionalFormatting sqref="E109">
    <cfRule type="expression" dxfId="4288" priority="4341">
      <formula>IF(#REF!="FICTICIO",1,0)</formula>
    </cfRule>
  </conditionalFormatting>
  <conditionalFormatting sqref="E109">
    <cfRule type="expression" dxfId="4287" priority="4342">
      <formula>IF(#REF!="FICTICIO",1,0)</formula>
    </cfRule>
  </conditionalFormatting>
  <conditionalFormatting sqref="E109">
    <cfRule type="expression" dxfId="4286" priority="4340">
      <formula>IF(#REF!="FICTICIO",1,0)</formula>
    </cfRule>
  </conditionalFormatting>
  <conditionalFormatting sqref="E109">
    <cfRule type="expression" dxfId="4285" priority="4339">
      <formula>IF(#REF!="FICTICIO",1,0)</formula>
    </cfRule>
  </conditionalFormatting>
  <conditionalFormatting sqref="E109">
    <cfRule type="expression" dxfId="4284" priority="4338">
      <formula>IF(#REF!="FICTICIO",1,0)</formula>
    </cfRule>
  </conditionalFormatting>
  <conditionalFormatting sqref="E109">
    <cfRule type="expression" dxfId="4283" priority="4337">
      <formula>IF(#REF!="FICTICIO",1,0)</formula>
    </cfRule>
  </conditionalFormatting>
  <conditionalFormatting sqref="E109">
    <cfRule type="expression" dxfId="4282" priority="4336">
      <formula>IF(#REF!="FICTICIO",1,0)</formula>
    </cfRule>
  </conditionalFormatting>
  <conditionalFormatting sqref="E109">
    <cfRule type="expression" dxfId="4281" priority="4335">
      <formula>IF(#REF!="FICTICIO",1,0)</formula>
    </cfRule>
  </conditionalFormatting>
  <conditionalFormatting sqref="E109">
    <cfRule type="expression" dxfId="4280" priority="4334">
      <formula>IF(#REF!="FICTICIO",1,0)</formula>
    </cfRule>
  </conditionalFormatting>
  <conditionalFormatting sqref="E109">
    <cfRule type="expression" dxfId="4279" priority="4333">
      <formula>IF(#REF!="FICTICIO",1,0)</formula>
    </cfRule>
  </conditionalFormatting>
  <conditionalFormatting sqref="E109">
    <cfRule type="expression" dxfId="4278" priority="4332">
      <formula>IF(#REF!="FICTICIO",1,0)</formula>
    </cfRule>
  </conditionalFormatting>
  <conditionalFormatting sqref="E109">
    <cfRule type="expression" dxfId="4277" priority="4331">
      <formula>IF(#REF!="FICTICIO",1,0)</formula>
    </cfRule>
  </conditionalFormatting>
  <conditionalFormatting sqref="E109">
    <cfRule type="expression" dxfId="4276" priority="4330">
      <formula>IF(#REF!="FICTICIO",1,0)</formula>
    </cfRule>
  </conditionalFormatting>
  <conditionalFormatting sqref="E109">
    <cfRule type="expression" dxfId="4275" priority="4329">
      <formula>IF(#REF!="FICTICIO",1,0)</formula>
    </cfRule>
  </conditionalFormatting>
  <conditionalFormatting sqref="E109">
    <cfRule type="expression" dxfId="4274" priority="4328">
      <formula>IF(#REF!="FICTICIO",1,0)</formula>
    </cfRule>
  </conditionalFormatting>
  <conditionalFormatting sqref="E109">
    <cfRule type="expression" dxfId="4273" priority="4327">
      <formula>IF(#REF!="FICTICIO",1,0)</formula>
    </cfRule>
  </conditionalFormatting>
  <conditionalFormatting sqref="E109">
    <cfRule type="expression" dxfId="4272" priority="4326">
      <formula>IF(#REF!="FICTICIO",1,0)</formula>
    </cfRule>
  </conditionalFormatting>
  <conditionalFormatting sqref="E109">
    <cfRule type="expression" dxfId="4271" priority="4325">
      <formula>IF(#REF!="FICTICIO",1,0)</formula>
    </cfRule>
  </conditionalFormatting>
  <conditionalFormatting sqref="E109">
    <cfRule type="expression" dxfId="4270" priority="4324">
      <formula>IF(#REF!="FICTICIO",1,0)</formula>
    </cfRule>
  </conditionalFormatting>
  <conditionalFormatting sqref="E109">
    <cfRule type="expression" dxfId="4269" priority="4323">
      <formula>IF(#REF!="FICTICIO",1,0)</formula>
    </cfRule>
  </conditionalFormatting>
  <conditionalFormatting sqref="E109">
    <cfRule type="expression" dxfId="4268" priority="4322">
      <formula>IF(#REF!="FICTICIO",1,0)</formula>
    </cfRule>
  </conditionalFormatting>
  <conditionalFormatting sqref="E109">
    <cfRule type="expression" dxfId="4267" priority="4321">
      <formula>IF(#REF!="FICTICIO",1,0)</formula>
    </cfRule>
  </conditionalFormatting>
  <conditionalFormatting sqref="E109">
    <cfRule type="expression" dxfId="4266" priority="4320">
      <formula>IF(#REF!="FICTICIO",1,0)</formula>
    </cfRule>
  </conditionalFormatting>
  <conditionalFormatting sqref="E109">
    <cfRule type="expression" dxfId="4265" priority="4318">
      <formula>IF(#REF!="FICTICIO",1,0)</formula>
    </cfRule>
  </conditionalFormatting>
  <conditionalFormatting sqref="E109">
    <cfRule type="expression" dxfId="4264" priority="4319">
      <formula>IF(#REF!="FICTICIO",1,0)</formula>
    </cfRule>
  </conditionalFormatting>
  <conditionalFormatting sqref="E109">
    <cfRule type="expression" dxfId="4263" priority="4317">
      <formula>IF(#REF!="FICTICIO",1,0)</formula>
    </cfRule>
  </conditionalFormatting>
  <conditionalFormatting sqref="E109">
    <cfRule type="expression" dxfId="4262" priority="4316">
      <formula>IF(#REF!="FICTICIO",1,0)</formula>
    </cfRule>
  </conditionalFormatting>
  <conditionalFormatting sqref="E109">
    <cfRule type="expression" dxfId="4261" priority="4315">
      <formula>IF(#REF!="FICTICIO",1,0)</formula>
    </cfRule>
  </conditionalFormatting>
  <conditionalFormatting sqref="E109">
    <cfRule type="expression" dxfId="4260" priority="4314">
      <formula>IF(#REF!="FICTICIO",1,0)</formula>
    </cfRule>
  </conditionalFormatting>
  <conditionalFormatting sqref="E109">
    <cfRule type="expression" dxfId="4259" priority="4313">
      <formula>IF(#REF!="FICTICIO",1,0)</formula>
    </cfRule>
  </conditionalFormatting>
  <conditionalFormatting sqref="E109">
    <cfRule type="expression" dxfId="4258" priority="4312">
      <formula>IF(#REF!="FICTICIO",1,0)</formula>
    </cfRule>
  </conditionalFormatting>
  <conditionalFormatting sqref="E94">
    <cfRule type="expression" dxfId="4257" priority="4311">
      <formula>IF(#REF!="FICTICIO",1,0)</formula>
    </cfRule>
  </conditionalFormatting>
  <conditionalFormatting sqref="E94">
    <cfRule type="expression" dxfId="4256" priority="4310">
      <formula>IF(#REF!="FICTICIO",1,0)</formula>
    </cfRule>
  </conditionalFormatting>
  <conditionalFormatting sqref="E94">
    <cfRule type="expression" dxfId="4255" priority="4309">
      <formula>IF(#REF!="FICTICIO",1,0)</formula>
    </cfRule>
  </conditionalFormatting>
  <conditionalFormatting sqref="E94">
    <cfRule type="expression" dxfId="4254" priority="4308">
      <formula>IF(#REF!="FICTICIO",1,0)</formula>
    </cfRule>
  </conditionalFormatting>
  <conditionalFormatting sqref="E94">
    <cfRule type="expression" dxfId="4253" priority="4307">
      <formula>IF(#REF!="FICTICIO",1,0)</formula>
    </cfRule>
  </conditionalFormatting>
  <conditionalFormatting sqref="E94">
    <cfRule type="expression" dxfId="4252" priority="4306">
      <formula>IF(#REF!="FICTICIO",1,0)</formula>
    </cfRule>
  </conditionalFormatting>
  <conditionalFormatting sqref="E94">
    <cfRule type="expression" dxfId="4251" priority="4305">
      <formula>IF(#REF!="FICTICIO",1,0)</formula>
    </cfRule>
  </conditionalFormatting>
  <conditionalFormatting sqref="E94">
    <cfRule type="expression" dxfId="4250" priority="4304">
      <formula>IF(#REF!="FICTICIO",1,0)</formula>
    </cfRule>
  </conditionalFormatting>
  <conditionalFormatting sqref="E94">
    <cfRule type="expression" dxfId="4249" priority="4303">
      <formula>IF(#REF!="FICTICIO",1,0)</formula>
    </cfRule>
  </conditionalFormatting>
  <conditionalFormatting sqref="E94">
    <cfRule type="expression" dxfId="4248" priority="4302">
      <formula>IF(#REF!="FICTICIO",1,0)</formula>
    </cfRule>
  </conditionalFormatting>
  <conditionalFormatting sqref="E94">
    <cfRule type="expression" dxfId="4247" priority="4301">
      <formula>IF(#REF!="FICTICIO",1,0)</formula>
    </cfRule>
  </conditionalFormatting>
  <conditionalFormatting sqref="E94">
    <cfRule type="expression" dxfId="4246" priority="4300">
      <formula>IF(#REF!="FICTICIO",1,0)</formula>
    </cfRule>
  </conditionalFormatting>
  <conditionalFormatting sqref="E94">
    <cfRule type="expression" dxfId="4245" priority="4299">
      <formula>IF(#REF!="FICTICIO",1,0)</formula>
    </cfRule>
  </conditionalFormatting>
  <conditionalFormatting sqref="E94">
    <cfRule type="expression" dxfId="4244" priority="4298">
      <formula>IF(#REF!="FICTICIO",1,0)</formula>
    </cfRule>
  </conditionalFormatting>
  <conditionalFormatting sqref="E94">
    <cfRule type="expression" dxfId="4243" priority="4297">
      <formula>IF(#REF!="FICTICIO",1,0)</formula>
    </cfRule>
  </conditionalFormatting>
  <conditionalFormatting sqref="E94">
    <cfRule type="expression" dxfId="4242" priority="4296">
      <formula>IF(#REF!="FICTICIO",1,0)</formula>
    </cfRule>
  </conditionalFormatting>
  <conditionalFormatting sqref="E94">
    <cfRule type="expression" dxfId="4241" priority="4295">
      <formula>IF(#REF!="FICTICIO",1,0)</formula>
    </cfRule>
  </conditionalFormatting>
  <conditionalFormatting sqref="E94">
    <cfRule type="expression" dxfId="4240" priority="4294">
      <formula>IF(#REF!="FICTICIO",1,0)</formula>
    </cfRule>
  </conditionalFormatting>
  <conditionalFormatting sqref="E94">
    <cfRule type="expression" dxfId="4239" priority="4293">
      <formula>IF(#REF!="FICTICIO",1,0)</formula>
    </cfRule>
  </conditionalFormatting>
  <conditionalFormatting sqref="E94">
    <cfRule type="expression" dxfId="4238" priority="4292">
      <formula>IF(#REF!="FICTICIO",1,0)</formula>
    </cfRule>
  </conditionalFormatting>
  <conditionalFormatting sqref="E94">
    <cfRule type="expression" dxfId="4237" priority="4291">
      <formula>IF(#REF!="FICTICIO",1,0)</formula>
    </cfRule>
  </conditionalFormatting>
  <conditionalFormatting sqref="E94">
    <cfRule type="expression" dxfId="4236" priority="4290">
      <formula>IF(#REF!="FICTICIO",1,0)</formula>
    </cfRule>
  </conditionalFormatting>
  <conditionalFormatting sqref="E94">
    <cfRule type="expression" dxfId="4235" priority="4289">
      <formula>IF(#REF!="FICTICIO",1,0)</formula>
    </cfRule>
  </conditionalFormatting>
  <conditionalFormatting sqref="E94">
    <cfRule type="expression" dxfId="4234" priority="4288">
      <formula>IF(#REF!="FICTICIO",1,0)</formula>
    </cfRule>
  </conditionalFormatting>
  <conditionalFormatting sqref="E94">
    <cfRule type="expression" dxfId="4233" priority="4287">
      <formula>IF(#REF!="FICTICIO",1,0)</formula>
    </cfRule>
  </conditionalFormatting>
  <conditionalFormatting sqref="E94">
    <cfRule type="expression" dxfId="4232" priority="4286">
      <formula>IF(#REF!="FICTICIO",1,0)</formula>
    </cfRule>
  </conditionalFormatting>
  <conditionalFormatting sqref="E94">
    <cfRule type="expression" dxfId="4231" priority="4285">
      <formula>IF(#REF!="FICTICIO",1,0)</formula>
    </cfRule>
  </conditionalFormatting>
  <conditionalFormatting sqref="E94">
    <cfRule type="expression" dxfId="4230" priority="4284">
      <formula>IF(#REF!="FICTICIO",1,0)</formula>
    </cfRule>
  </conditionalFormatting>
  <conditionalFormatting sqref="E94">
    <cfRule type="expression" dxfId="4229" priority="4283">
      <formula>IF(#REF!="FICTICIO",1,0)</formula>
    </cfRule>
  </conditionalFormatting>
  <conditionalFormatting sqref="E94">
    <cfRule type="expression" dxfId="4228" priority="4282">
      <formula>IF(#REF!="FICTICIO",1,0)</formula>
    </cfRule>
  </conditionalFormatting>
  <conditionalFormatting sqref="E94">
    <cfRule type="expression" dxfId="4227" priority="4281">
      <formula>IF(#REF!="FICTICIO",1,0)</formula>
    </cfRule>
  </conditionalFormatting>
  <conditionalFormatting sqref="E94">
    <cfRule type="expression" dxfId="4226" priority="4280">
      <formula>IF(#REF!="FICTICIO",1,0)</formula>
    </cfRule>
  </conditionalFormatting>
  <conditionalFormatting sqref="E94">
    <cfRule type="expression" dxfId="4225" priority="4279">
      <formula>IF(#REF!="FICTICIO",1,0)</formula>
    </cfRule>
  </conditionalFormatting>
  <conditionalFormatting sqref="E94">
    <cfRule type="expression" dxfId="4224" priority="4278">
      <formula>IF(#REF!="FICTICIO",1,0)</formula>
    </cfRule>
  </conditionalFormatting>
  <conditionalFormatting sqref="E94">
    <cfRule type="expression" dxfId="4223" priority="4277">
      <formula>IF(#REF!="FICTICIO",1,0)</formula>
    </cfRule>
  </conditionalFormatting>
  <conditionalFormatting sqref="E94">
    <cfRule type="expression" dxfId="4222" priority="4276">
      <formula>IF(#REF!="FICTICIO",1,0)</formula>
    </cfRule>
  </conditionalFormatting>
  <conditionalFormatting sqref="E94">
    <cfRule type="expression" dxfId="4221" priority="4275">
      <formula>IF(#REF!="FICTICIO",1,0)</formula>
    </cfRule>
  </conditionalFormatting>
  <conditionalFormatting sqref="E94">
    <cfRule type="expression" dxfId="4220" priority="4274">
      <formula>IF(#REF!="FICTICIO",1,0)</formula>
    </cfRule>
  </conditionalFormatting>
  <conditionalFormatting sqref="E94">
    <cfRule type="expression" dxfId="4219" priority="4273">
      <formula>IF(#REF!="FICTICIO",1,0)</formula>
    </cfRule>
  </conditionalFormatting>
  <conditionalFormatting sqref="E94">
    <cfRule type="expression" dxfId="4218" priority="4272">
      <formula>IF(#REF!="FICTICIO",1,0)</formula>
    </cfRule>
  </conditionalFormatting>
  <conditionalFormatting sqref="E94">
    <cfRule type="expression" dxfId="4217" priority="4271">
      <formula>IF(#REF!="FICTICIO",1,0)</formula>
    </cfRule>
  </conditionalFormatting>
  <conditionalFormatting sqref="E94">
    <cfRule type="expression" dxfId="4216" priority="4270">
      <formula>IF(#REF!="FICTICIO",1,0)</formula>
    </cfRule>
  </conditionalFormatting>
  <conditionalFormatting sqref="E94">
    <cfRule type="expression" dxfId="4215" priority="4269">
      <formula>IF(#REF!="FICTICIO",1,0)</formula>
    </cfRule>
  </conditionalFormatting>
  <conditionalFormatting sqref="E94">
    <cfRule type="expression" dxfId="4214" priority="4268">
      <formula>IF(#REF!="FICTICIO",1,0)</formula>
    </cfRule>
  </conditionalFormatting>
  <conditionalFormatting sqref="E94">
    <cfRule type="expression" dxfId="4213" priority="4267">
      <formula>IF(#REF!="FICTICIO",1,0)</formula>
    </cfRule>
  </conditionalFormatting>
  <conditionalFormatting sqref="E94">
    <cfRule type="expression" dxfId="4212" priority="4266">
      <formula>IF(#REF!="FICTICIO",1,0)</formula>
    </cfRule>
  </conditionalFormatting>
  <conditionalFormatting sqref="E94">
    <cfRule type="expression" dxfId="4211" priority="4265">
      <formula>IF(#REF!="FICTICIO",1,0)</formula>
    </cfRule>
  </conditionalFormatting>
  <conditionalFormatting sqref="E94">
    <cfRule type="expression" dxfId="4210" priority="4264">
      <formula>IF(#REF!="FICTICIO",1,0)</formula>
    </cfRule>
  </conditionalFormatting>
  <conditionalFormatting sqref="E94">
    <cfRule type="expression" dxfId="4209" priority="4263">
      <formula>IF(#REF!="FICTICIO",1,0)</formula>
    </cfRule>
  </conditionalFormatting>
  <conditionalFormatting sqref="E94">
    <cfRule type="expression" dxfId="4208" priority="4262">
      <formula>IF(#REF!="FICTICIO",1,0)</formula>
    </cfRule>
  </conditionalFormatting>
  <conditionalFormatting sqref="E94">
    <cfRule type="expression" dxfId="4207" priority="4261">
      <formula>IF(#REF!="FICTICIO",1,0)</formula>
    </cfRule>
  </conditionalFormatting>
  <conditionalFormatting sqref="E94">
    <cfRule type="expression" dxfId="4206" priority="4260">
      <formula>IF(#REF!="FICTICIO",1,0)</formula>
    </cfRule>
  </conditionalFormatting>
  <conditionalFormatting sqref="E94">
    <cfRule type="expression" dxfId="4205" priority="4259">
      <formula>IF(#REF!="FICTICIO",1,0)</formula>
    </cfRule>
  </conditionalFormatting>
  <conditionalFormatting sqref="E94">
    <cfRule type="expression" dxfId="4204" priority="4258">
      <formula>IF(#REF!="FICTICIO",1,0)</formula>
    </cfRule>
  </conditionalFormatting>
  <conditionalFormatting sqref="E94">
    <cfRule type="expression" dxfId="4203" priority="4257">
      <formula>IF(#REF!="FICTICIO",1,0)</formula>
    </cfRule>
  </conditionalFormatting>
  <conditionalFormatting sqref="E94">
    <cfRule type="expression" dxfId="4202" priority="4256">
      <formula>IF(#REF!="FICTICIO",1,0)</formula>
    </cfRule>
  </conditionalFormatting>
  <conditionalFormatting sqref="E94">
    <cfRule type="expression" dxfId="4201" priority="4255">
      <formula>IF(#REF!="FICTICIO",1,0)</formula>
    </cfRule>
  </conditionalFormatting>
  <conditionalFormatting sqref="E94">
    <cfRule type="expression" dxfId="4200" priority="4254">
      <formula>IF(#REF!="FICTICIO",1,0)</formula>
    </cfRule>
  </conditionalFormatting>
  <conditionalFormatting sqref="E94">
    <cfRule type="expression" dxfId="4199" priority="4253">
      <formula>IF(#REF!="FICTICIO",1,0)</formula>
    </cfRule>
  </conditionalFormatting>
  <conditionalFormatting sqref="E94">
    <cfRule type="expression" dxfId="4198" priority="4252">
      <formula>IF(#REF!="FICTICIO",1,0)</formula>
    </cfRule>
  </conditionalFormatting>
  <conditionalFormatting sqref="E94">
    <cfRule type="expression" dxfId="4197" priority="4251">
      <formula>IF(#REF!="FICTICIO",1,0)</formula>
    </cfRule>
  </conditionalFormatting>
  <conditionalFormatting sqref="E94">
    <cfRule type="expression" dxfId="4196" priority="4250">
      <formula>IF(#REF!="FICTICIO",1,0)</formula>
    </cfRule>
  </conditionalFormatting>
  <conditionalFormatting sqref="E94">
    <cfRule type="expression" dxfId="4195" priority="4249">
      <formula>IF(#REF!="FICTICIO",1,0)</formula>
    </cfRule>
  </conditionalFormatting>
  <conditionalFormatting sqref="E94">
    <cfRule type="expression" dxfId="4194" priority="4248">
      <formula>IF(#REF!="FICTICIO",1,0)</formula>
    </cfRule>
  </conditionalFormatting>
  <conditionalFormatting sqref="E94">
    <cfRule type="expression" dxfId="4193" priority="4247">
      <formula>IF(#REF!="FICTICIO",1,0)</formula>
    </cfRule>
  </conditionalFormatting>
  <conditionalFormatting sqref="E94">
    <cfRule type="expression" dxfId="4192" priority="4246">
      <formula>IF(#REF!="FICTICIO",1,0)</formula>
    </cfRule>
  </conditionalFormatting>
  <conditionalFormatting sqref="E94">
    <cfRule type="expression" dxfId="4191" priority="4245">
      <formula>IF(#REF!="FICTICIO",1,0)</formula>
    </cfRule>
  </conditionalFormatting>
  <conditionalFormatting sqref="E94">
    <cfRule type="expression" dxfId="4190" priority="4244">
      <formula>IF(#REF!="FICTICIO",1,0)</formula>
    </cfRule>
  </conditionalFormatting>
  <conditionalFormatting sqref="E94">
    <cfRule type="expression" dxfId="4189" priority="4243">
      <formula>IF(#REF!="FICTICIO",1,0)</formula>
    </cfRule>
  </conditionalFormatting>
  <conditionalFormatting sqref="E94">
    <cfRule type="expression" dxfId="4188" priority="4242">
      <formula>IF(#REF!="FICTICIO",1,0)</formula>
    </cfRule>
  </conditionalFormatting>
  <conditionalFormatting sqref="E94">
    <cfRule type="expression" dxfId="4187" priority="4241">
      <formula>IF(#REF!="FICTICIO",1,0)</formula>
    </cfRule>
  </conditionalFormatting>
  <conditionalFormatting sqref="E94">
    <cfRule type="expression" dxfId="4186" priority="4240">
      <formula>IF(#REF!="FICTICIO",1,0)</formula>
    </cfRule>
  </conditionalFormatting>
  <conditionalFormatting sqref="E94">
    <cfRule type="expression" dxfId="4185" priority="4239">
      <formula>IF(#REF!="FICTICIO",1,0)</formula>
    </cfRule>
  </conditionalFormatting>
  <conditionalFormatting sqref="E94">
    <cfRule type="expression" dxfId="4184" priority="4238">
      <formula>IF(#REF!="FICTICIO",1,0)</formula>
    </cfRule>
  </conditionalFormatting>
  <conditionalFormatting sqref="E94">
    <cfRule type="expression" dxfId="4183" priority="4237">
      <formula>IF(#REF!="FICTICIO",1,0)</formula>
    </cfRule>
  </conditionalFormatting>
  <conditionalFormatting sqref="E94">
    <cfRule type="expression" dxfId="4182" priority="4236">
      <formula>IF(#REF!="FICTICIO",1,0)</formula>
    </cfRule>
  </conditionalFormatting>
  <conditionalFormatting sqref="E95">
    <cfRule type="expression" dxfId="4181" priority="4235">
      <formula>IF(#REF!="FICTICIO",1,0)</formula>
    </cfRule>
  </conditionalFormatting>
  <conditionalFormatting sqref="E95">
    <cfRule type="expression" dxfId="4180" priority="4234">
      <formula>IF(#REF!="FICTICIO",1,0)</formula>
    </cfRule>
  </conditionalFormatting>
  <conditionalFormatting sqref="E95">
    <cfRule type="expression" dxfId="4179" priority="4233">
      <formula>IF(#REF!="FICTICIO",1,0)</formula>
    </cfRule>
  </conditionalFormatting>
  <conditionalFormatting sqref="E95">
    <cfRule type="expression" dxfId="4178" priority="4232">
      <formula>IF(#REF!="FICTICIO",1,0)</formula>
    </cfRule>
  </conditionalFormatting>
  <conditionalFormatting sqref="E95">
    <cfRule type="expression" dxfId="4177" priority="4231">
      <formula>IF(#REF!="FICTICIO",1,0)</formula>
    </cfRule>
  </conditionalFormatting>
  <conditionalFormatting sqref="E95">
    <cfRule type="expression" dxfId="4176" priority="4230">
      <formula>IF(#REF!="FICTICIO",1,0)</formula>
    </cfRule>
  </conditionalFormatting>
  <conditionalFormatting sqref="E95">
    <cfRule type="expression" dxfId="4175" priority="4229">
      <formula>IF(#REF!="FICTICIO",1,0)</formula>
    </cfRule>
  </conditionalFormatting>
  <conditionalFormatting sqref="E95">
    <cfRule type="expression" dxfId="4174" priority="4228">
      <formula>IF(#REF!="FICTICIO",1,0)</formula>
    </cfRule>
  </conditionalFormatting>
  <conditionalFormatting sqref="E95">
    <cfRule type="expression" dxfId="4173" priority="4227">
      <formula>IF(#REF!="FICTICIO",1,0)</formula>
    </cfRule>
  </conditionalFormatting>
  <conditionalFormatting sqref="E95">
    <cfRule type="expression" dxfId="4172" priority="4226">
      <formula>IF(#REF!="FICTICIO",1,0)</formula>
    </cfRule>
  </conditionalFormatting>
  <conditionalFormatting sqref="E95">
    <cfRule type="expression" dxfId="4171" priority="4225">
      <formula>IF(#REF!="FICTICIO",1,0)</formula>
    </cfRule>
  </conditionalFormatting>
  <conditionalFormatting sqref="E95">
    <cfRule type="expression" dxfId="4170" priority="4224">
      <formula>IF(#REF!="FICTICIO",1,0)</formula>
    </cfRule>
  </conditionalFormatting>
  <conditionalFormatting sqref="E95">
    <cfRule type="expression" dxfId="4169" priority="4223">
      <formula>IF(#REF!="FICTICIO",1,0)</formula>
    </cfRule>
  </conditionalFormatting>
  <conditionalFormatting sqref="E95">
    <cfRule type="expression" dxfId="4168" priority="4222">
      <formula>IF(#REF!="FICTICIO",1,0)</formula>
    </cfRule>
  </conditionalFormatting>
  <conditionalFormatting sqref="E95">
    <cfRule type="expression" dxfId="4167" priority="4221">
      <formula>IF(#REF!="FICTICIO",1,0)</formula>
    </cfRule>
  </conditionalFormatting>
  <conditionalFormatting sqref="E95">
    <cfRule type="expression" dxfId="4166" priority="4220">
      <formula>IF(#REF!="FICTICIO",1,0)</formula>
    </cfRule>
  </conditionalFormatting>
  <conditionalFormatting sqref="E95">
    <cfRule type="expression" dxfId="4165" priority="4219">
      <formula>IF(#REF!="FICTICIO",1,0)</formula>
    </cfRule>
  </conditionalFormatting>
  <conditionalFormatting sqref="E95">
    <cfRule type="expression" dxfId="4164" priority="4218">
      <formula>IF(#REF!="FICTICIO",1,0)</formula>
    </cfRule>
  </conditionalFormatting>
  <conditionalFormatting sqref="E95">
    <cfRule type="expression" dxfId="4163" priority="4217">
      <formula>IF(#REF!="FICTICIO",1,0)</formula>
    </cfRule>
  </conditionalFormatting>
  <conditionalFormatting sqref="E95">
    <cfRule type="expression" dxfId="4162" priority="4216">
      <formula>IF(#REF!="FICTICIO",1,0)</formula>
    </cfRule>
  </conditionalFormatting>
  <conditionalFormatting sqref="E95">
    <cfRule type="expression" dxfId="4161" priority="4215">
      <formula>IF(#REF!="FICTICIO",1,0)</formula>
    </cfRule>
  </conditionalFormatting>
  <conditionalFormatting sqref="E95">
    <cfRule type="expression" dxfId="4160" priority="4214">
      <formula>IF(#REF!="FICTICIO",1,0)</formula>
    </cfRule>
  </conditionalFormatting>
  <conditionalFormatting sqref="E95">
    <cfRule type="expression" dxfId="4159" priority="4213">
      <formula>IF(#REF!="FICTICIO",1,0)</formula>
    </cfRule>
  </conditionalFormatting>
  <conditionalFormatting sqref="E95">
    <cfRule type="expression" dxfId="4158" priority="4212">
      <formula>IF(#REF!="FICTICIO",1,0)</formula>
    </cfRule>
  </conditionalFormatting>
  <conditionalFormatting sqref="E95">
    <cfRule type="expression" dxfId="4157" priority="4211">
      <formula>IF(#REF!="FICTICIO",1,0)</formula>
    </cfRule>
  </conditionalFormatting>
  <conditionalFormatting sqref="E95">
    <cfRule type="expression" dxfId="4156" priority="4210">
      <formula>IF(#REF!="FICTICIO",1,0)</formula>
    </cfRule>
  </conditionalFormatting>
  <conditionalFormatting sqref="E95">
    <cfRule type="expression" dxfId="4155" priority="4209">
      <formula>IF(#REF!="FICTICIO",1,0)</formula>
    </cfRule>
  </conditionalFormatting>
  <conditionalFormatting sqref="E95">
    <cfRule type="expression" dxfId="4154" priority="4208">
      <formula>IF(#REF!="FICTICIO",1,0)</formula>
    </cfRule>
  </conditionalFormatting>
  <conditionalFormatting sqref="E95">
    <cfRule type="expression" dxfId="4153" priority="4207">
      <formula>IF(#REF!="FICTICIO",1,0)</formula>
    </cfRule>
  </conditionalFormatting>
  <conditionalFormatting sqref="E95">
    <cfRule type="expression" dxfId="4152" priority="4206">
      <formula>IF(#REF!="FICTICIO",1,0)</formula>
    </cfRule>
  </conditionalFormatting>
  <conditionalFormatting sqref="E95">
    <cfRule type="expression" dxfId="4151" priority="4205">
      <formula>IF(#REF!="FICTICIO",1,0)</formula>
    </cfRule>
  </conditionalFormatting>
  <conditionalFormatting sqref="E95">
    <cfRule type="expression" dxfId="4150" priority="4204">
      <formula>IF(#REF!="FICTICIO",1,0)</formula>
    </cfRule>
  </conditionalFormatting>
  <conditionalFormatting sqref="E95">
    <cfRule type="expression" dxfId="4149" priority="4203">
      <formula>IF(#REF!="FICTICIO",1,0)</formula>
    </cfRule>
  </conditionalFormatting>
  <conditionalFormatting sqref="E95">
    <cfRule type="expression" dxfId="4148" priority="4202">
      <formula>IF(#REF!="FICTICIO",1,0)</formula>
    </cfRule>
  </conditionalFormatting>
  <conditionalFormatting sqref="E95">
    <cfRule type="expression" dxfId="4147" priority="4201">
      <formula>IF(#REF!="FICTICIO",1,0)</formula>
    </cfRule>
  </conditionalFormatting>
  <conditionalFormatting sqref="E95">
    <cfRule type="expression" dxfId="4146" priority="4200">
      <formula>IF(#REF!="FICTICIO",1,0)</formula>
    </cfRule>
  </conditionalFormatting>
  <conditionalFormatting sqref="E95">
    <cfRule type="expression" dxfId="4145" priority="4199">
      <formula>IF(#REF!="FICTICIO",1,0)</formula>
    </cfRule>
  </conditionalFormatting>
  <conditionalFormatting sqref="E95">
    <cfRule type="expression" dxfId="4144" priority="4198">
      <formula>IF(#REF!="FICTICIO",1,0)</formula>
    </cfRule>
  </conditionalFormatting>
  <conditionalFormatting sqref="E95">
    <cfRule type="expression" dxfId="4143" priority="4197">
      <formula>IF(#REF!="FICTICIO",1,0)</formula>
    </cfRule>
  </conditionalFormatting>
  <conditionalFormatting sqref="E95">
    <cfRule type="expression" dxfId="4142" priority="4196">
      <formula>IF(#REF!="FICTICIO",1,0)</formula>
    </cfRule>
  </conditionalFormatting>
  <conditionalFormatting sqref="E95">
    <cfRule type="expression" dxfId="4141" priority="4195">
      <formula>IF(#REF!="FICTICIO",1,0)</formula>
    </cfRule>
  </conditionalFormatting>
  <conditionalFormatting sqref="E95">
    <cfRule type="expression" dxfId="4140" priority="4194">
      <formula>IF(#REF!="FICTICIO",1,0)</formula>
    </cfRule>
  </conditionalFormatting>
  <conditionalFormatting sqref="E95">
    <cfRule type="expression" dxfId="4139" priority="4193">
      <formula>IF(#REF!="FICTICIO",1,0)</formula>
    </cfRule>
  </conditionalFormatting>
  <conditionalFormatting sqref="E95">
    <cfRule type="expression" dxfId="4138" priority="4192">
      <formula>IF(#REF!="FICTICIO",1,0)</formula>
    </cfRule>
  </conditionalFormatting>
  <conditionalFormatting sqref="E95">
    <cfRule type="expression" dxfId="4137" priority="4191">
      <formula>IF(#REF!="FICTICIO",1,0)</formula>
    </cfRule>
  </conditionalFormatting>
  <conditionalFormatting sqref="E95">
    <cfRule type="expression" dxfId="4136" priority="4190">
      <formula>IF(#REF!="FICTICIO",1,0)</formula>
    </cfRule>
  </conditionalFormatting>
  <conditionalFormatting sqref="E95">
    <cfRule type="expression" dxfId="4135" priority="4189">
      <formula>IF(#REF!="FICTICIO",1,0)</formula>
    </cfRule>
  </conditionalFormatting>
  <conditionalFormatting sqref="E95">
    <cfRule type="expression" dxfId="4134" priority="4188">
      <formula>IF(#REF!="FICTICIO",1,0)</formula>
    </cfRule>
  </conditionalFormatting>
  <conditionalFormatting sqref="E95">
    <cfRule type="expression" dxfId="4133" priority="4187">
      <formula>IF(#REF!="FICTICIO",1,0)</formula>
    </cfRule>
  </conditionalFormatting>
  <conditionalFormatting sqref="E95">
    <cfRule type="expression" dxfId="4132" priority="4186">
      <formula>IF(#REF!="FICTICIO",1,0)</formula>
    </cfRule>
  </conditionalFormatting>
  <conditionalFormatting sqref="E95">
    <cfRule type="expression" dxfId="4131" priority="4185">
      <formula>IF(#REF!="FICTICIO",1,0)</formula>
    </cfRule>
  </conditionalFormatting>
  <conditionalFormatting sqref="E95">
    <cfRule type="expression" dxfId="4130" priority="4184">
      <formula>IF(#REF!="FICTICIO",1,0)</formula>
    </cfRule>
  </conditionalFormatting>
  <conditionalFormatting sqref="E95">
    <cfRule type="expression" dxfId="4129" priority="4183">
      <formula>IF(#REF!="FICTICIO",1,0)</formula>
    </cfRule>
  </conditionalFormatting>
  <conditionalFormatting sqref="E95">
    <cfRule type="expression" dxfId="4128" priority="4182">
      <formula>IF(#REF!="FICTICIO",1,0)</formula>
    </cfRule>
  </conditionalFormatting>
  <conditionalFormatting sqref="E95">
    <cfRule type="expression" dxfId="4127" priority="4181">
      <formula>IF(#REF!="FICTICIO",1,0)</formula>
    </cfRule>
  </conditionalFormatting>
  <conditionalFormatting sqref="E95">
    <cfRule type="expression" dxfId="4126" priority="4180">
      <formula>IF(#REF!="FICTICIO",1,0)</formula>
    </cfRule>
  </conditionalFormatting>
  <conditionalFormatting sqref="E95">
    <cfRule type="expression" dxfId="4125" priority="4179">
      <formula>IF(#REF!="FICTICIO",1,0)</formula>
    </cfRule>
  </conditionalFormatting>
  <conditionalFormatting sqref="E95">
    <cfRule type="expression" dxfId="4124" priority="4178">
      <formula>IF(#REF!="FICTICIO",1,0)</formula>
    </cfRule>
  </conditionalFormatting>
  <conditionalFormatting sqref="E95">
    <cfRule type="expression" dxfId="4123" priority="4177">
      <formula>IF(#REF!="FICTICIO",1,0)</formula>
    </cfRule>
  </conditionalFormatting>
  <conditionalFormatting sqref="E95">
    <cfRule type="expression" dxfId="4122" priority="4176">
      <formula>IF(#REF!="FICTICIO",1,0)</formula>
    </cfRule>
  </conditionalFormatting>
  <conditionalFormatting sqref="E95">
    <cfRule type="expression" dxfId="4121" priority="4175">
      <formula>IF(#REF!="FICTICIO",1,0)</formula>
    </cfRule>
  </conditionalFormatting>
  <conditionalFormatting sqref="E95">
    <cfRule type="expression" dxfId="4120" priority="4174">
      <formula>IF(#REF!="FICTICIO",1,0)</formula>
    </cfRule>
  </conditionalFormatting>
  <conditionalFormatting sqref="E95">
    <cfRule type="expression" dxfId="4119" priority="4173">
      <formula>IF(#REF!="FICTICIO",1,0)</formula>
    </cfRule>
  </conditionalFormatting>
  <conditionalFormatting sqref="E95">
    <cfRule type="expression" dxfId="4118" priority="4172">
      <formula>IF(#REF!="FICTICIO",1,0)</formula>
    </cfRule>
  </conditionalFormatting>
  <conditionalFormatting sqref="E95">
    <cfRule type="expression" dxfId="4117" priority="4171">
      <formula>IF(#REF!="FICTICIO",1,0)</formula>
    </cfRule>
  </conditionalFormatting>
  <conditionalFormatting sqref="E95">
    <cfRule type="expression" dxfId="4116" priority="4170">
      <formula>IF(#REF!="FICTICIO",1,0)</formula>
    </cfRule>
  </conditionalFormatting>
  <conditionalFormatting sqref="E95">
    <cfRule type="expression" dxfId="4115" priority="4169">
      <formula>IF(#REF!="FICTICIO",1,0)</formula>
    </cfRule>
  </conditionalFormatting>
  <conditionalFormatting sqref="E95">
    <cfRule type="expression" dxfId="4114" priority="4168">
      <formula>IF(#REF!="FICTICIO",1,0)</formula>
    </cfRule>
  </conditionalFormatting>
  <conditionalFormatting sqref="E95">
    <cfRule type="expression" dxfId="4113" priority="4167">
      <formula>IF(#REF!="FICTICIO",1,0)</formula>
    </cfRule>
  </conditionalFormatting>
  <conditionalFormatting sqref="E95">
    <cfRule type="expression" dxfId="4112" priority="4166">
      <formula>IF(#REF!="FICTICIO",1,0)</formula>
    </cfRule>
  </conditionalFormatting>
  <conditionalFormatting sqref="E95">
    <cfRule type="expression" dxfId="4111" priority="4165">
      <formula>IF(#REF!="FICTICIO",1,0)</formula>
    </cfRule>
  </conditionalFormatting>
  <conditionalFormatting sqref="E95">
    <cfRule type="expression" dxfId="4110" priority="4164">
      <formula>IF(#REF!="FICTICIO",1,0)</formula>
    </cfRule>
  </conditionalFormatting>
  <conditionalFormatting sqref="E95">
    <cfRule type="expression" dxfId="4109" priority="4163">
      <formula>IF(#REF!="FICTICIO",1,0)</formula>
    </cfRule>
  </conditionalFormatting>
  <conditionalFormatting sqref="E95">
    <cfRule type="expression" dxfId="4108" priority="4162">
      <formula>IF(#REF!="FICTICIO",1,0)</formula>
    </cfRule>
  </conditionalFormatting>
  <conditionalFormatting sqref="E95">
    <cfRule type="expression" dxfId="4107" priority="4161">
      <formula>IF(#REF!="FICTICIO",1,0)</formula>
    </cfRule>
  </conditionalFormatting>
  <conditionalFormatting sqref="E95">
    <cfRule type="expression" dxfId="4106" priority="4160">
      <formula>IF(#REF!="FICTICIO",1,0)</formula>
    </cfRule>
  </conditionalFormatting>
  <conditionalFormatting sqref="D96">
    <cfRule type="expression" dxfId="4105" priority="4158">
      <formula>IF(#REF!="FICTICIO",1,0)</formula>
    </cfRule>
  </conditionalFormatting>
  <conditionalFormatting sqref="D96">
    <cfRule type="expression" dxfId="4104" priority="4159">
      <formula>IF(#REF!="FICTICIO",1,0)</formula>
    </cfRule>
  </conditionalFormatting>
  <conditionalFormatting sqref="D96">
    <cfRule type="expression" dxfId="4103" priority="4156">
      <formula>IF(#REF!="FICTICIO",1,0)</formula>
    </cfRule>
  </conditionalFormatting>
  <conditionalFormatting sqref="D96">
    <cfRule type="expression" dxfId="4102" priority="4157">
      <formula>IF(#REF!="FICTICIO",1,0)</formula>
    </cfRule>
  </conditionalFormatting>
  <conditionalFormatting sqref="D96">
    <cfRule type="expression" dxfId="4101" priority="4154">
      <formula>IF(#REF!="FICTICIO",1,0)</formula>
    </cfRule>
  </conditionalFormatting>
  <conditionalFormatting sqref="D96">
    <cfRule type="expression" dxfId="4100" priority="4155">
      <formula>IF(#REF!="FICTICIO",1,0)</formula>
    </cfRule>
  </conditionalFormatting>
  <conditionalFormatting sqref="D96">
    <cfRule type="expression" dxfId="4099" priority="4152">
      <formula>IF(#REF!="FICTICIO",1,0)</formula>
    </cfRule>
  </conditionalFormatting>
  <conditionalFormatting sqref="D96">
    <cfRule type="expression" dxfId="4098" priority="4153">
      <formula>IF(#REF!="FICTICIO",1,0)</formula>
    </cfRule>
  </conditionalFormatting>
  <conditionalFormatting sqref="D96">
    <cfRule type="expression" dxfId="4097" priority="4150">
      <formula>IF(#REF!="FICTICIO",1,0)</formula>
    </cfRule>
  </conditionalFormatting>
  <conditionalFormatting sqref="D96">
    <cfRule type="expression" dxfId="4096" priority="4151">
      <formula>IF(#REF!="FICTICIO",1,0)</formula>
    </cfRule>
  </conditionalFormatting>
  <conditionalFormatting sqref="F96">
    <cfRule type="expression" dxfId="4095" priority="4149">
      <formula>IF(#REF!="FICTICIO",1,0)</formula>
    </cfRule>
  </conditionalFormatting>
  <conditionalFormatting sqref="E96">
    <cfRule type="expression" dxfId="4094" priority="4148">
      <formula>IF(#REF!="FICTICIO",1,0)</formula>
    </cfRule>
  </conditionalFormatting>
  <conditionalFormatting sqref="E96">
    <cfRule type="expression" dxfId="4093" priority="4147">
      <formula>IF(#REF!="FICTICIO",1,0)</formula>
    </cfRule>
  </conditionalFormatting>
  <conditionalFormatting sqref="E96">
    <cfRule type="expression" dxfId="4092" priority="4146">
      <formula>IF(#REF!="FICTICIO",1,0)</formula>
    </cfRule>
  </conditionalFormatting>
  <conditionalFormatting sqref="E96">
    <cfRule type="expression" dxfId="4091" priority="4145">
      <formula>IF(#REF!="FICTICIO",1,0)</formula>
    </cfRule>
  </conditionalFormatting>
  <conditionalFormatting sqref="E96">
    <cfRule type="expression" dxfId="4090" priority="4144">
      <formula>IF(#REF!="FICTICIO",1,0)</formula>
    </cfRule>
  </conditionalFormatting>
  <conditionalFormatting sqref="E96">
    <cfRule type="expression" dxfId="4089" priority="4143">
      <formula>IF(#REF!="FICTICIO",1,0)</formula>
    </cfRule>
  </conditionalFormatting>
  <conditionalFormatting sqref="E96">
    <cfRule type="expression" dxfId="4088" priority="4142">
      <formula>IF(#REF!="FICTICIO",1,0)</formula>
    </cfRule>
  </conditionalFormatting>
  <conditionalFormatting sqref="E96">
    <cfRule type="expression" dxfId="4087" priority="4141">
      <formula>IF(#REF!="FICTICIO",1,0)</formula>
    </cfRule>
  </conditionalFormatting>
  <conditionalFormatting sqref="E96">
    <cfRule type="expression" dxfId="4086" priority="4140">
      <formula>IF(#REF!="FICTICIO",1,0)</formula>
    </cfRule>
  </conditionalFormatting>
  <conditionalFormatting sqref="E96">
    <cfRule type="expression" dxfId="4085" priority="4139">
      <formula>IF(#REF!="FICTICIO",1,0)</formula>
    </cfRule>
  </conditionalFormatting>
  <conditionalFormatting sqref="E96">
    <cfRule type="expression" dxfId="4084" priority="4138">
      <formula>IF(#REF!="FICTICIO",1,0)</formula>
    </cfRule>
  </conditionalFormatting>
  <conditionalFormatting sqref="E96">
    <cfRule type="expression" dxfId="4083" priority="4137">
      <formula>IF(#REF!="FICTICIO",1,0)</formula>
    </cfRule>
  </conditionalFormatting>
  <conditionalFormatting sqref="E96">
    <cfRule type="expression" dxfId="4082" priority="4136">
      <formula>IF(#REF!="FICTICIO",1,0)</formula>
    </cfRule>
  </conditionalFormatting>
  <conditionalFormatting sqref="E96">
    <cfRule type="expression" dxfId="4081" priority="4135">
      <formula>IF(#REF!="FICTICIO",1,0)</formula>
    </cfRule>
  </conditionalFormatting>
  <conditionalFormatting sqref="E96">
    <cfRule type="expression" dxfId="4080" priority="4134">
      <formula>IF(#REF!="FICTICIO",1,0)</formula>
    </cfRule>
  </conditionalFormatting>
  <conditionalFormatting sqref="E96">
    <cfRule type="expression" dxfId="4079" priority="4133">
      <formula>IF(#REF!="FICTICIO",1,0)</formula>
    </cfRule>
  </conditionalFormatting>
  <conditionalFormatting sqref="E96">
    <cfRule type="expression" dxfId="4078" priority="4132">
      <formula>IF(#REF!="FICTICIO",1,0)</formula>
    </cfRule>
  </conditionalFormatting>
  <conditionalFormatting sqref="E96">
    <cfRule type="expression" dxfId="4077" priority="4131">
      <formula>IF(#REF!="FICTICIO",1,0)</formula>
    </cfRule>
  </conditionalFormatting>
  <conditionalFormatting sqref="E96">
    <cfRule type="expression" dxfId="4076" priority="4130">
      <formula>IF(#REF!="FICTICIO",1,0)</formula>
    </cfRule>
  </conditionalFormatting>
  <conditionalFormatting sqref="E96">
    <cfRule type="expression" dxfId="4075" priority="4129">
      <formula>IF(#REF!="FICTICIO",1,0)</formula>
    </cfRule>
  </conditionalFormatting>
  <conditionalFormatting sqref="E96">
    <cfRule type="expression" dxfId="4074" priority="4128">
      <formula>IF(#REF!="FICTICIO",1,0)</formula>
    </cfRule>
  </conditionalFormatting>
  <conditionalFormatting sqref="E96">
    <cfRule type="expression" dxfId="4073" priority="4127">
      <formula>IF(#REF!="FICTICIO",1,0)</formula>
    </cfRule>
  </conditionalFormatting>
  <conditionalFormatting sqref="E96">
    <cfRule type="expression" dxfId="4072" priority="4126">
      <formula>IF(#REF!="FICTICIO",1,0)</formula>
    </cfRule>
  </conditionalFormatting>
  <conditionalFormatting sqref="E96">
    <cfRule type="expression" dxfId="4071" priority="4125">
      <formula>IF(#REF!="FICTICIO",1,0)</formula>
    </cfRule>
  </conditionalFormatting>
  <conditionalFormatting sqref="E96">
    <cfRule type="expression" dxfId="4070" priority="4124">
      <formula>IF(#REF!="FICTICIO",1,0)</formula>
    </cfRule>
  </conditionalFormatting>
  <conditionalFormatting sqref="E96">
    <cfRule type="expression" dxfId="4069" priority="4123">
      <formula>IF(#REF!="FICTICIO",1,0)</formula>
    </cfRule>
  </conditionalFormatting>
  <conditionalFormatting sqref="E96">
    <cfRule type="expression" dxfId="4068" priority="4122">
      <formula>IF(#REF!="FICTICIO",1,0)</formula>
    </cfRule>
  </conditionalFormatting>
  <conditionalFormatting sqref="E96">
    <cfRule type="expression" dxfId="4067" priority="4121">
      <formula>IF(#REF!="FICTICIO",1,0)</formula>
    </cfRule>
  </conditionalFormatting>
  <conditionalFormatting sqref="E96">
    <cfRule type="expression" dxfId="4066" priority="4120">
      <formula>IF(#REF!="FICTICIO",1,0)</formula>
    </cfRule>
  </conditionalFormatting>
  <conditionalFormatting sqref="E96">
    <cfRule type="expression" dxfId="4065" priority="4119">
      <formula>IF(#REF!="FICTICIO",1,0)</formula>
    </cfRule>
  </conditionalFormatting>
  <conditionalFormatting sqref="E96">
    <cfRule type="expression" dxfId="4064" priority="4118">
      <formula>IF(#REF!="FICTICIO",1,0)</formula>
    </cfRule>
  </conditionalFormatting>
  <conditionalFormatting sqref="E96">
    <cfRule type="expression" dxfId="4063" priority="4117">
      <formula>IF(#REF!="FICTICIO",1,0)</formula>
    </cfRule>
  </conditionalFormatting>
  <conditionalFormatting sqref="E96">
    <cfRule type="expression" dxfId="4062" priority="4116">
      <formula>IF(#REF!="FICTICIO",1,0)</formula>
    </cfRule>
  </conditionalFormatting>
  <conditionalFormatting sqref="E96">
    <cfRule type="expression" dxfId="4061" priority="4115">
      <formula>IF(#REF!="FICTICIO",1,0)</formula>
    </cfRule>
  </conditionalFormatting>
  <conditionalFormatting sqref="E96">
    <cfRule type="expression" dxfId="4060" priority="4114">
      <formula>IF(#REF!="FICTICIO",1,0)</formula>
    </cfRule>
  </conditionalFormatting>
  <conditionalFormatting sqref="E96">
    <cfRule type="expression" dxfId="4059" priority="4113">
      <formula>IF(#REF!="FICTICIO",1,0)</formula>
    </cfRule>
  </conditionalFormatting>
  <conditionalFormatting sqref="E96">
    <cfRule type="expression" dxfId="4058" priority="4112">
      <formula>IF(#REF!="FICTICIO",1,0)</formula>
    </cfRule>
  </conditionalFormatting>
  <conditionalFormatting sqref="E96">
    <cfRule type="expression" dxfId="4057" priority="4111">
      <formula>IF(#REF!="FICTICIO",1,0)</formula>
    </cfRule>
  </conditionalFormatting>
  <conditionalFormatting sqref="E96">
    <cfRule type="expression" dxfId="4056" priority="4110">
      <formula>IF(#REF!="FICTICIO",1,0)</formula>
    </cfRule>
  </conditionalFormatting>
  <conditionalFormatting sqref="E96">
    <cfRule type="expression" dxfId="4055" priority="4109">
      <formula>IF(#REF!="FICTICIO",1,0)</formula>
    </cfRule>
  </conditionalFormatting>
  <conditionalFormatting sqref="E96">
    <cfRule type="expression" dxfId="4054" priority="4108">
      <formula>IF(#REF!="FICTICIO",1,0)</formula>
    </cfRule>
  </conditionalFormatting>
  <conditionalFormatting sqref="E96">
    <cfRule type="expression" dxfId="4053" priority="4107">
      <formula>IF(#REF!="FICTICIO",1,0)</formula>
    </cfRule>
  </conditionalFormatting>
  <conditionalFormatting sqref="E96">
    <cfRule type="expression" dxfId="4052" priority="4106">
      <formula>IF(#REF!="FICTICIO",1,0)</formula>
    </cfRule>
  </conditionalFormatting>
  <conditionalFormatting sqref="E96">
    <cfRule type="expression" dxfId="4051" priority="4105">
      <formula>IF(#REF!="FICTICIO",1,0)</formula>
    </cfRule>
  </conditionalFormatting>
  <conditionalFormatting sqref="E96">
    <cfRule type="expression" dxfId="4050" priority="4104">
      <formula>IF(#REF!="FICTICIO",1,0)</formula>
    </cfRule>
  </conditionalFormatting>
  <conditionalFormatting sqref="E96">
    <cfRule type="expression" dxfId="4049" priority="4103">
      <formula>IF(#REF!="FICTICIO",1,0)</formula>
    </cfRule>
  </conditionalFormatting>
  <conditionalFormatting sqref="E96">
    <cfRule type="expression" dxfId="4048" priority="4102">
      <formula>IF(#REF!="FICTICIO",1,0)</formula>
    </cfRule>
  </conditionalFormatting>
  <conditionalFormatting sqref="E96">
    <cfRule type="expression" dxfId="4047" priority="4101">
      <formula>IF(#REF!="FICTICIO",1,0)</formula>
    </cfRule>
  </conditionalFormatting>
  <conditionalFormatting sqref="E96">
    <cfRule type="expression" dxfId="4046" priority="4100">
      <formula>IF(#REF!="FICTICIO",1,0)</formula>
    </cfRule>
  </conditionalFormatting>
  <conditionalFormatting sqref="E96">
    <cfRule type="expression" dxfId="4045" priority="4099">
      <formula>IF(#REF!="FICTICIO",1,0)</formula>
    </cfRule>
  </conditionalFormatting>
  <conditionalFormatting sqref="E96">
    <cfRule type="expression" dxfId="4044" priority="4098">
      <formula>IF(#REF!="FICTICIO",1,0)</formula>
    </cfRule>
  </conditionalFormatting>
  <conditionalFormatting sqref="E96">
    <cfRule type="expression" dxfId="4043" priority="4097">
      <formula>IF(#REF!="FICTICIO",1,0)</formula>
    </cfRule>
  </conditionalFormatting>
  <conditionalFormatting sqref="E96">
    <cfRule type="expression" dxfId="4042" priority="4096">
      <formula>IF(#REF!="FICTICIO",1,0)</formula>
    </cfRule>
  </conditionalFormatting>
  <conditionalFormatting sqref="E96">
    <cfRule type="expression" dxfId="4041" priority="4095">
      <formula>IF(#REF!="FICTICIO",1,0)</formula>
    </cfRule>
  </conditionalFormatting>
  <conditionalFormatting sqref="E96">
    <cfRule type="expression" dxfId="4040" priority="4094">
      <formula>IF(#REF!="FICTICIO",1,0)</formula>
    </cfRule>
  </conditionalFormatting>
  <conditionalFormatting sqref="E96">
    <cfRule type="expression" dxfId="4039" priority="4093">
      <formula>IF(#REF!="FICTICIO",1,0)</formula>
    </cfRule>
  </conditionalFormatting>
  <conditionalFormatting sqref="E96">
    <cfRule type="expression" dxfId="4038" priority="4092">
      <formula>IF(#REF!="FICTICIO",1,0)</formula>
    </cfRule>
  </conditionalFormatting>
  <conditionalFormatting sqref="E96">
    <cfRule type="expression" dxfId="4037" priority="4091">
      <formula>IF(#REF!="FICTICIO",1,0)</formula>
    </cfRule>
  </conditionalFormatting>
  <conditionalFormatting sqref="E96">
    <cfRule type="expression" dxfId="4036" priority="4090">
      <formula>IF(#REF!="FICTICIO",1,0)</formula>
    </cfRule>
  </conditionalFormatting>
  <conditionalFormatting sqref="E96">
    <cfRule type="expression" dxfId="4035" priority="4089">
      <formula>IF(#REF!="FICTICIO",1,0)</formula>
    </cfRule>
  </conditionalFormatting>
  <conditionalFormatting sqref="E96">
    <cfRule type="expression" dxfId="4034" priority="4088">
      <formula>IF(#REF!="FICTICIO",1,0)</formula>
    </cfRule>
  </conditionalFormatting>
  <conditionalFormatting sqref="E96">
    <cfRule type="expression" dxfId="4033" priority="4087">
      <formula>IF(#REF!="FICTICIO",1,0)</formula>
    </cfRule>
  </conditionalFormatting>
  <conditionalFormatting sqref="E96">
    <cfRule type="expression" dxfId="4032" priority="4086">
      <formula>IF(#REF!="FICTICIO",1,0)</formula>
    </cfRule>
  </conditionalFormatting>
  <conditionalFormatting sqref="E96">
    <cfRule type="expression" dxfId="4031" priority="4085">
      <formula>IF(#REF!="FICTICIO",1,0)</formula>
    </cfRule>
  </conditionalFormatting>
  <conditionalFormatting sqref="E96">
    <cfRule type="expression" dxfId="4030" priority="4084">
      <formula>IF(#REF!="FICTICIO",1,0)</formula>
    </cfRule>
  </conditionalFormatting>
  <conditionalFormatting sqref="E96">
    <cfRule type="expression" dxfId="4029" priority="4083">
      <formula>IF(#REF!="FICTICIO",1,0)</formula>
    </cfRule>
  </conditionalFormatting>
  <conditionalFormatting sqref="E96">
    <cfRule type="expression" dxfId="4028" priority="4082">
      <formula>IF(#REF!="FICTICIO",1,0)</formula>
    </cfRule>
  </conditionalFormatting>
  <conditionalFormatting sqref="E96">
    <cfRule type="expression" dxfId="4027" priority="4081">
      <formula>IF(#REF!="FICTICIO",1,0)</formula>
    </cfRule>
  </conditionalFormatting>
  <conditionalFormatting sqref="E96">
    <cfRule type="expression" dxfId="4026" priority="4080">
      <formula>IF(#REF!="FICTICIO",1,0)</formula>
    </cfRule>
  </conditionalFormatting>
  <conditionalFormatting sqref="E96">
    <cfRule type="expression" dxfId="4025" priority="4079">
      <formula>IF(#REF!="FICTICIO",1,0)</formula>
    </cfRule>
  </conditionalFormatting>
  <conditionalFormatting sqref="E96">
    <cfRule type="expression" dxfId="4024" priority="4078">
      <formula>IF(#REF!="FICTICIO",1,0)</formula>
    </cfRule>
  </conditionalFormatting>
  <conditionalFormatting sqref="E96">
    <cfRule type="expression" dxfId="4023" priority="4077">
      <formula>IF(#REF!="FICTICIO",1,0)</formula>
    </cfRule>
  </conditionalFormatting>
  <conditionalFormatting sqref="E96">
    <cfRule type="expression" dxfId="4022" priority="4076">
      <formula>IF(#REF!="FICTICIO",1,0)</formula>
    </cfRule>
  </conditionalFormatting>
  <conditionalFormatting sqref="E96">
    <cfRule type="expression" dxfId="4021" priority="4075">
      <formula>IF(#REF!="FICTICIO",1,0)</formula>
    </cfRule>
  </conditionalFormatting>
  <conditionalFormatting sqref="E96">
    <cfRule type="expression" dxfId="4020" priority="4074">
      <formula>IF(#REF!="FICTICIO",1,0)</formula>
    </cfRule>
  </conditionalFormatting>
  <conditionalFormatting sqref="E96">
    <cfRule type="expression" dxfId="4019" priority="4073">
      <formula>IF(#REF!="FICTICIO",1,0)</formula>
    </cfRule>
  </conditionalFormatting>
  <conditionalFormatting sqref="E97">
    <cfRule type="expression" dxfId="4018" priority="4072">
      <formula>IF(#REF!="FICTICIO",1,0)</formula>
    </cfRule>
  </conditionalFormatting>
  <conditionalFormatting sqref="E97">
    <cfRule type="expression" dxfId="4017" priority="4071">
      <formula>IF(#REF!="FICTICIO",1,0)</formula>
    </cfRule>
  </conditionalFormatting>
  <conditionalFormatting sqref="E97">
    <cfRule type="expression" dxfId="4016" priority="4070">
      <formula>IF(#REF!="FICTICIO",1,0)</formula>
    </cfRule>
  </conditionalFormatting>
  <conditionalFormatting sqref="E97">
    <cfRule type="expression" dxfId="4015" priority="4069">
      <formula>IF(#REF!="FICTICIO",1,0)</formula>
    </cfRule>
  </conditionalFormatting>
  <conditionalFormatting sqref="E97">
    <cfRule type="expression" dxfId="4014" priority="4068">
      <formula>IF(#REF!="FICTICIO",1,0)</formula>
    </cfRule>
  </conditionalFormatting>
  <conditionalFormatting sqref="E97">
    <cfRule type="expression" dxfId="4013" priority="4067">
      <formula>IF(#REF!="FICTICIO",1,0)</formula>
    </cfRule>
  </conditionalFormatting>
  <conditionalFormatting sqref="E97">
    <cfRule type="expression" dxfId="4012" priority="4066">
      <formula>IF(#REF!="FICTICIO",1,0)</formula>
    </cfRule>
  </conditionalFormatting>
  <conditionalFormatting sqref="E97">
    <cfRule type="expression" dxfId="4011" priority="4065">
      <formula>IF(#REF!="FICTICIO",1,0)</formula>
    </cfRule>
  </conditionalFormatting>
  <conditionalFormatting sqref="E97">
    <cfRule type="expression" dxfId="4010" priority="4064">
      <formula>IF(#REF!="FICTICIO",1,0)</formula>
    </cfRule>
  </conditionalFormatting>
  <conditionalFormatting sqref="E97">
    <cfRule type="expression" dxfId="4009" priority="4063">
      <formula>IF(#REF!="FICTICIO",1,0)</formula>
    </cfRule>
  </conditionalFormatting>
  <conditionalFormatting sqref="E97">
    <cfRule type="expression" dxfId="4008" priority="4062">
      <formula>IF(#REF!="FICTICIO",1,0)</formula>
    </cfRule>
  </conditionalFormatting>
  <conditionalFormatting sqref="E97">
    <cfRule type="expression" dxfId="4007" priority="4061">
      <formula>IF(#REF!="FICTICIO",1,0)</formula>
    </cfRule>
  </conditionalFormatting>
  <conditionalFormatting sqref="E97">
    <cfRule type="expression" dxfId="4006" priority="4060">
      <formula>IF(#REF!="FICTICIO",1,0)</formula>
    </cfRule>
  </conditionalFormatting>
  <conditionalFormatting sqref="E97">
    <cfRule type="expression" dxfId="4005" priority="4059">
      <formula>IF(#REF!="FICTICIO",1,0)</formula>
    </cfRule>
  </conditionalFormatting>
  <conditionalFormatting sqref="E97">
    <cfRule type="expression" dxfId="4004" priority="4058">
      <formula>IF(#REF!="FICTICIO",1,0)</formula>
    </cfRule>
  </conditionalFormatting>
  <conditionalFormatting sqref="E97">
    <cfRule type="expression" dxfId="4003" priority="4057">
      <formula>IF(#REF!="FICTICIO",1,0)</formula>
    </cfRule>
  </conditionalFormatting>
  <conditionalFormatting sqref="E97">
    <cfRule type="expression" dxfId="4002" priority="4056">
      <formula>IF(#REF!="FICTICIO",1,0)</formula>
    </cfRule>
  </conditionalFormatting>
  <conditionalFormatting sqref="E97">
    <cfRule type="expression" dxfId="4001" priority="4055">
      <formula>IF(#REF!="FICTICIO",1,0)</formula>
    </cfRule>
  </conditionalFormatting>
  <conditionalFormatting sqref="E97">
    <cfRule type="expression" dxfId="4000" priority="4054">
      <formula>IF(#REF!="FICTICIO",1,0)</formula>
    </cfRule>
  </conditionalFormatting>
  <conditionalFormatting sqref="E97">
    <cfRule type="expression" dxfId="3999" priority="4053">
      <formula>IF(#REF!="FICTICIO",1,0)</formula>
    </cfRule>
  </conditionalFormatting>
  <conditionalFormatting sqref="E97">
    <cfRule type="expression" dxfId="3998" priority="4052">
      <formula>IF(#REF!="FICTICIO",1,0)</formula>
    </cfRule>
  </conditionalFormatting>
  <conditionalFormatting sqref="E97">
    <cfRule type="expression" dxfId="3997" priority="4051">
      <formula>IF(#REF!="FICTICIO",1,0)</formula>
    </cfRule>
  </conditionalFormatting>
  <conditionalFormatting sqref="E97">
    <cfRule type="expression" dxfId="3996" priority="4050">
      <formula>IF(#REF!="FICTICIO",1,0)</formula>
    </cfRule>
  </conditionalFormatting>
  <conditionalFormatting sqref="E97">
    <cfRule type="expression" dxfId="3995" priority="4049">
      <formula>IF(#REF!="FICTICIO",1,0)</formula>
    </cfRule>
  </conditionalFormatting>
  <conditionalFormatting sqref="E97">
    <cfRule type="expression" dxfId="3994" priority="4048">
      <formula>IF(#REF!="FICTICIO",1,0)</formula>
    </cfRule>
  </conditionalFormatting>
  <conditionalFormatting sqref="E97">
    <cfRule type="expression" dxfId="3993" priority="4047">
      <formula>IF(#REF!="FICTICIO",1,0)</formula>
    </cfRule>
  </conditionalFormatting>
  <conditionalFormatting sqref="E97">
    <cfRule type="expression" dxfId="3992" priority="4046">
      <formula>IF(#REF!="FICTICIO",1,0)</formula>
    </cfRule>
  </conditionalFormatting>
  <conditionalFormatting sqref="E97">
    <cfRule type="expression" dxfId="3991" priority="4045">
      <formula>IF(#REF!="FICTICIO",1,0)</formula>
    </cfRule>
  </conditionalFormatting>
  <conditionalFormatting sqref="E97">
    <cfRule type="expression" dxfId="3990" priority="4044">
      <formula>IF(#REF!="FICTICIO",1,0)</formula>
    </cfRule>
  </conditionalFormatting>
  <conditionalFormatting sqref="E97">
    <cfRule type="expression" dxfId="3989" priority="4043">
      <formula>IF(#REF!="FICTICIO",1,0)</formula>
    </cfRule>
  </conditionalFormatting>
  <conditionalFormatting sqref="E97">
    <cfRule type="expression" dxfId="3988" priority="4042">
      <formula>IF(#REF!="FICTICIO",1,0)</formula>
    </cfRule>
  </conditionalFormatting>
  <conditionalFormatting sqref="E97">
    <cfRule type="expression" dxfId="3987" priority="4041">
      <formula>IF(#REF!="FICTICIO",1,0)</formula>
    </cfRule>
  </conditionalFormatting>
  <conditionalFormatting sqref="E97">
    <cfRule type="expression" dxfId="3986" priority="4040">
      <formula>IF(#REF!="FICTICIO",1,0)</formula>
    </cfRule>
  </conditionalFormatting>
  <conditionalFormatting sqref="E97">
    <cfRule type="expression" dxfId="3985" priority="4039">
      <formula>IF(#REF!="FICTICIO",1,0)</formula>
    </cfRule>
  </conditionalFormatting>
  <conditionalFormatting sqref="E97">
    <cfRule type="expression" dxfId="3984" priority="4038">
      <formula>IF(#REF!="FICTICIO",1,0)</formula>
    </cfRule>
  </conditionalFormatting>
  <conditionalFormatting sqref="E97">
    <cfRule type="expression" dxfId="3983" priority="4037">
      <formula>IF(#REF!="FICTICIO",1,0)</formula>
    </cfRule>
  </conditionalFormatting>
  <conditionalFormatting sqref="E97">
    <cfRule type="expression" dxfId="3982" priority="4036">
      <formula>IF(#REF!="FICTICIO",1,0)</formula>
    </cfRule>
  </conditionalFormatting>
  <conditionalFormatting sqref="E97">
    <cfRule type="expression" dxfId="3981" priority="4035">
      <formula>IF(#REF!="FICTICIO",1,0)</formula>
    </cfRule>
  </conditionalFormatting>
  <conditionalFormatting sqref="E97">
    <cfRule type="expression" dxfId="3980" priority="4034">
      <formula>IF(#REF!="FICTICIO",1,0)</formula>
    </cfRule>
  </conditionalFormatting>
  <conditionalFormatting sqref="E97">
    <cfRule type="expression" dxfId="3979" priority="4033">
      <formula>IF(#REF!="FICTICIO",1,0)</formula>
    </cfRule>
  </conditionalFormatting>
  <conditionalFormatting sqref="E97">
    <cfRule type="expression" dxfId="3978" priority="4032">
      <formula>IF(#REF!="FICTICIO",1,0)</formula>
    </cfRule>
  </conditionalFormatting>
  <conditionalFormatting sqref="E97">
    <cfRule type="expression" dxfId="3977" priority="4031">
      <formula>IF(#REF!="FICTICIO",1,0)</formula>
    </cfRule>
  </conditionalFormatting>
  <conditionalFormatting sqref="E97">
    <cfRule type="expression" dxfId="3976" priority="4030">
      <formula>IF(#REF!="FICTICIO",1,0)</formula>
    </cfRule>
  </conditionalFormatting>
  <conditionalFormatting sqref="E97">
    <cfRule type="expression" dxfId="3975" priority="4029">
      <formula>IF(#REF!="FICTICIO",1,0)</formula>
    </cfRule>
  </conditionalFormatting>
  <conditionalFormatting sqref="E97">
    <cfRule type="expression" dxfId="3974" priority="4028">
      <formula>IF(#REF!="FICTICIO",1,0)</formula>
    </cfRule>
  </conditionalFormatting>
  <conditionalFormatting sqref="E97">
    <cfRule type="expression" dxfId="3973" priority="4027">
      <formula>IF(#REF!="FICTICIO",1,0)</formula>
    </cfRule>
  </conditionalFormatting>
  <conditionalFormatting sqref="E97">
    <cfRule type="expression" dxfId="3972" priority="4026">
      <formula>IF(#REF!="FICTICIO",1,0)</formula>
    </cfRule>
  </conditionalFormatting>
  <conditionalFormatting sqref="E97">
    <cfRule type="expression" dxfId="3971" priority="4025">
      <formula>IF(#REF!="FICTICIO",1,0)</formula>
    </cfRule>
  </conditionalFormatting>
  <conditionalFormatting sqref="E97">
    <cfRule type="expression" dxfId="3970" priority="4024">
      <formula>IF(#REF!="FICTICIO",1,0)</formula>
    </cfRule>
  </conditionalFormatting>
  <conditionalFormatting sqref="E97">
    <cfRule type="expression" dxfId="3969" priority="4023">
      <formula>IF(#REF!="FICTICIO",1,0)</formula>
    </cfRule>
  </conditionalFormatting>
  <conditionalFormatting sqref="E97">
    <cfRule type="expression" dxfId="3968" priority="4022">
      <formula>IF(#REF!="FICTICIO",1,0)</formula>
    </cfRule>
  </conditionalFormatting>
  <conditionalFormatting sqref="E97">
    <cfRule type="expression" dxfId="3967" priority="4021">
      <formula>IF(#REF!="FICTICIO",1,0)</formula>
    </cfRule>
  </conditionalFormatting>
  <conditionalFormatting sqref="E97">
    <cfRule type="expression" dxfId="3966" priority="4020">
      <formula>IF(#REF!="FICTICIO",1,0)</formula>
    </cfRule>
  </conditionalFormatting>
  <conditionalFormatting sqref="E97">
    <cfRule type="expression" dxfId="3965" priority="4019">
      <formula>IF(#REF!="FICTICIO",1,0)</formula>
    </cfRule>
  </conditionalFormatting>
  <conditionalFormatting sqref="E97">
    <cfRule type="expression" dxfId="3964" priority="4018">
      <formula>IF(#REF!="FICTICIO",1,0)</formula>
    </cfRule>
  </conditionalFormatting>
  <conditionalFormatting sqref="E97">
    <cfRule type="expression" dxfId="3963" priority="4017">
      <formula>IF(#REF!="FICTICIO",1,0)</formula>
    </cfRule>
  </conditionalFormatting>
  <conditionalFormatting sqref="E97">
    <cfRule type="expression" dxfId="3962" priority="4016">
      <formula>IF(#REF!="FICTICIO",1,0)</formula>
    </cfRule>
  </conditionalFormatting>
  <conditionalFormatting sqref="E97">
    <cfRule type="expression" dxfId="3961" priority="4015">
      <formula>IF(#REF!="FICTICIO",1,0)</formula>
    </cfRule>
  </conditionalFormatting>
  <conditionalFormatting sqref="E97">
    <cfRule type="expression" dxfId="3960" priority="4014">
      <formula>IF(#REF!="FICTICIO",1,0)</formula>
    </cfRule>
  </conditionalFormatting>
  <conditionalFormatting sqref="E97">
    <cfRule type="expression" dxfId="3959" priority="4013">
      <formula>IF(#REF!="FICTICIO",1,0)</formula>
    </cfRule>
  </conditionalFormatting>
  <conditionalFormatting sqref="E97">
    <cfRule type="expression" dxfId="3958" priority="4012">
      <formula>IF(#REF!="FICTICIO",1,0)</formula>
    </cfRule>
  </conditionalFormatting>
  <conditionalFormatting sqref="E97">
    <cfRule type="expression" dxfId="3957" priority="4011">
      <formula>IF(#REF!="FICTICIO",1,0)</formula>
    </cfRule>
  </conditionalFormatting>
  <conditionalFormatting sqref="E97">
    <cfRule type="expression" dxfId="3956" priority="4010">
      <formula>IF(#REF!="FICTICIO",1,0)</formula>
    </cfRule>
  </conditionalFormatting>
  <conditionalFormatting sqref="E97">
    <cfRule type="expression" dxfId="3955" priority="4009">
      <formula>IF(#REF!="FICTICIO",1,0)</formula>
    </cfRule>
  </conditionalFormatting>
  <conditionalFormatting sqref="E97">
    <cfRule type="expression" dxfId="3954" priority="4008">
      <formula>IF(#REF!="FICTICIO",1,0)</formula>
    </cfRule>
  </conditionalFormatting>
  <conditionalFormatting sqref="E97">
    <cfRule type="expression" dxfId="3953" priority="4007">
      <formula>IF(#REF!="FICTICIO",1,0)</formula>
    </cfRule>
  </conditionalFormatting>
  <conditionalFormatting sqref="E97">
    <cfRule type="expression" dxfId="3952" priority="4006">
      <formula>IF(#REF!="FICTICIO",1,0)</formula>
    </cfRule>
  </conditionalFormatting>
  <conditionalFormatting sqref="E97">
    <cfRule type="expression" dxfId="3951" priority="4005">
      <formula>IF(#REF!="FICTICIO",1,0)</formula>
    </cfRule>
  </conditionalFormatting>
  <conditionalFormatting sqref="E97">
    <cfRule type="expression" dxfId="3950" priority="4004">
      <formula>IF(#REF!="FICTICIO",1,0)</formula>
    </cfRule>
  </conditionalFormatting>
  <conditionalFormatting sqref="E97">
    <cfRule type="expression" dxfId="3949" priority="4003">
      <formula>IF(#REF!="FICTICIO",1,0)</formula>
    </cfRule>
  </conditionalFormatting>
  <conditionalFormatting sqref="E97">
    <cfRule type="expression" dxfId="3948" priority="4002">
      <formula>IF(#REF!="FICTICIO",1,0)</formula>
    </cfRule>
  </conditionalFormatting>
  <conditionalFormatting sqref="E97">
    <cfRule type="expression" dxfId="3947" priority="4001">
      <formula>IF(#REF!="FICTICIO",1,0)</formula>
    </cfRule>
  </conditionalFormatting>
  <conditionalFormatting sqref="E97">
    <cfRule type="expression" dxfId="3946" priority="4000">
      <formula>IF(#REF!="FICTICIO",1,0)</formula>
    </cfRule>
  </conditionalFormatting>
  <conditionalFormatting sqref="E97">
    <cfRule type="expression" dxfId="3945" priority="3999">
      <formula>IF(#REF!="FICTICIO",1,0)</formula>
    </cfRule>
  </conditionalFormatting>
  <conditionalFormatting sqref="E97">
    <cfRule type="expression" dxfId="3944" priority="3998">
      <formula>IF(#REF!="FICTICIO",1,0)</formula>
    </cfRule>
  </conditionalFormatting>
  <conditionalFormatting sqref="E97">
    <cfRule type="expression" dxfId="3943" priority="3997">
      <formula>IF(#REF!="FICTICIO",1,0)</formula>
    </cfRule>
  </conditionalFormatting>
  <conditionalFormatting sqref="D98">
    <cfRule type="expression" dxfId="3942" priority="3995">
      <formula>IF(#REF!="FICTICIO",1,0)</formula>
    </cfRule>
  </conditionalFormatting>
  <conditionalFormatting sqref="D98">
    <cfRule type="expression" dxfId="3941" priority="3996">
      <formula>IF(#REF!="FICTICIO",1,0)</formula>
    </cfRule>
  </conditionalFormatting>
  <conditionalFormatting sqref="D98">
    <cfRule type="expression" dxfId="3940" priority="3993">
      <formula>IF(#REF!="FICTICIO",1,0)</formula>
    </cfRule>
  </conditionalFormatting>
  <conditionalFormatting sqref="D98">
    <cfRule type="expression" dxfId="3939" priority="3994">
      <formula>IF(#REF!="FICTICIO",1,0)</formula>
    </cfRule>
  </conditionalFormatting>
  <conditionalFormatting sqref="D98">
    <cfRule type="expression" dxfId="3938" priority="3991">
      <formula>IF(#REF!="FICTICIO",1,0)</formula>
    </cfRule>
  </conditionalFormatting>
  <conditionalFormatting sqref="D98">
    <cfRule type="expression" dxfId="3937" priority="3992">
      <formula>IF(#REF!="FICTICIO",1,0)</formula>
    </cfRule>
  </conditionalFormatting>
  <conditionalFormatting sqref="D98">
    <cfRule type="expression" dxfId="3936" priority="3989">
      <formula>IF(#REF!="FICTICIO",1,0)</formula>
    </cfRule>
  </conditionalFormatting>
  <conditionalFormatting sqref="D98">
    <cfRule type="expression" dxfId="3935" priority="3990">
      <formula>IF(#REF!="FICTICIO",1,0)</formula>
    </cfRule>
  </conditionalFormatting>
  <conditionalFormatting sqref="D98">
    <cfRule type="expression" dxfId="3934" priority="3987">
      <formula>IF(#REF!="FICTICIO",1,0)</formula>
    </cfRule>
  </conditionalFormatting>
  <conditionalFormatting sqref="D98">
    <cfRule type="expression" dxfId="3933" priority="3988">
      <formula>IF(#REF!="FICTICIO",1,0)</formula>
    </cfRule>
  </conditionalFormatting>
  <conditionalFormatting sqref="D98">
    <cfRule type="expression" dxfId="3932" priority="3985">
      <formula>IF(#REF!="FICTICIO",1,0)</formula>
    </cfRule>
  </conditionalFormatting>
  <conditionalFormatting sqref="D98">
    <cfRule type="expression" dxfId="3931" priority="3986">
      <formula>IF(#REF!="FICTICIO",1,0)</formula>
    </cfRule>
  </conditionalFormatting>
  <conditionalFormatting sqref="D98">
    <cfRule type="expression" dxfId="3930" priority="3983">
      <formula>IF(#REF!="FICTICIO",1,0)</formula>
    </cfRule>
  </conditionalFormatting>
  <conditionalFormatting sqref="D98">
    <cfRule type="expression" dxfId="3929" priority="3984">
      <formula>IF(#REF!="FICTICIO",1,0)</formula>
    </cfRule>
  </conditionalFormatting>
  <conditionalFormatting sqref="D98">
    <cfRule type="expression" dxfId="3928" priority="3981">
      <formula>IF(#REF!="FICTICIO",1,0)</formula>
    </cfRule>
  </conditionalFormatting>
  <conditionalFormatting sqref="D98">
    <cfRule type="expression" dxfId="3927" priority="3982">
      <formula>IF(#REF!="FICTICIO",1,0)</formula>
    </cfRule>
  </conditionalFormatting>
  <conditionalFormatting sqref="F98">
    <cfRule type="expression" dxfId="3926" priority="3980">
      <formula>IF(#REF!="FICTICIO",1,0)</formula>
    </cfRule>
  </conditionalFormatting>
  <conditionalFormatting sqref="E98">
    <cfRule type="expression" dxfId="3925" priority="3979">
      <formula>IF(#REF!="FICTICIO",1,0)</formula>
    </cfRule>
  </conditionalFormatting>
  <conditionalFormatting sqref="E98">
    <cfRule type="expression" dxfId="3924" priority="3978">
      <formula>IF(#REF!="FICTICIO",1,0)</formula>
    </cfRule>
  </conditionalFormatting>
  <conditionalFormatting sqref="E98">
    <cfRule type="expression" dxfId="3923" priority="3977">
      <formula>IF(#REF!="FICTICIO",1,0)</formula>
    </cfRule>
  </conditionalFormatting>
  <conditionalFormatting sqref="E98">
    <cfRule type="expression" dxfId="3922" priority="3976">
      <formula>IF(#REF!="FICTICIO",1,0)</formula>
    </cfRule>
  </conditionalFormatting>
  <conditionalFormatting sqref="E98">
    <cfRule type="expression" dxfId="3921" priority="3975">
      <formula>IF(#REF!="FICTICIO",1,0)</formula>
    </cfRule>
  </conditionalFormatting>
  <conditionalFormatting sqref="E98">
    <cfRule type="expression" dxfId="3920" priority="3974">
      <formula>IF(#REF!="FICTICIO",1,0)</formula>
    </cfRule>
  </conditionalFormatting>
  <conditionalFormatting sqref="E98">
    <cfRule type="expression" dxfId="3919" priority="3973">
      <formula>IF(#REF!="FICTICIO",1,0)</formula>
    </cfRule>
  </conditionalFormatting>
  <conditionalFormatting sqref="E98">
    <cfRule type="expression" dxfId="3918" priority="3972">
      <formula>IF(#REF!="FICTICIO",1,0)</formula>
    </cfRule>
  </conditionalFormatting>
  <conditionalFormatting sqref="E98">
    <cfRule type="expression" dxfId="3917" priority="3971">
      <formula>IF(#REF!="FICTICIO",1,0)</formula>
    </cfRule>
  </conditionalFormatting>
  <conditionalFormatting sqref="E98">
    <cfRule type="expression" dxfId="3916" priority="3970">
      <formula>IF(#REF!="FICTICIO",1,0)</formula>
    </cfRule>
  </conditionalFormatting>
  <conditionalFormatting sqref="E98">
    <cfRule type="expression" dxfId="3915" priority="3969">
      <formula>IF(#REF!="FICTICIO",1,0)</formula>
    </cfRule>
  </conditionalFormatting>
  <conditionalFormatting sqref="E98">
    <cfRule type="expression" dxfId="3914" priority="3968">
      <formula>IF(#REF!="FICTICIO",1,0)</formula>
    </cfRule>
  </conditionalFormatting>
  <conditionalFormatting sqref="E98">
    <cfRule type="expression" dxfId="3913" priority="3967">
      <formula>IF(#REF!="FICTICIO",1,0)</formula>
    </cfRule>
  </conditionalFormatting>
  <conditionalFormatting sqref="E98">
    <cfRule type="expression" dxfId="3912" priority="3966">
      <formula>IF(#REF!="FICTICIO",1,0)</formula>
    </cfRule>
  </conditionalFormatting>
  <conditionalFormatting sqref="E98">
    <cfRule type="expression" dxfId="3911" priority="3965">
      <formula>IF(#REF!="FICTICIO",1,0)</formula>
    </cfRule>
  </conditionalFormatting>
  <conditionalFormatting sqref="E98">
    <cfRule type="expression" dxfId="3910" priority="3964">
      <formula>IF(#REF!="FICTICIO",1,0)</formula>
    </cfRule>
  </conditionalFormatting>
  <conditionalFormatting sqref="E98">
    <cfRule type="expression" dxfId="3909" priority="3963">
      <formula>IF(#REF!="FICTICIO",1,0)</formula>
    </cfRule>
  </conditionalFormatting>
  <conditionalFormatting sqref="E98">
    <cfRule type="expression" dxfId="3908" priority="3962">
      <formula>IF(#REF!="FICTICIO",1,0)</formula>
    </cfRule>
  </conditionalFormatting>
  <conditionalFormatting sqref="E98">
    <cfRule type="expression" dxfId="3907" priority="3961">
      <formula>IF(#REF!="FICTICIO",1,0)</formula>
    </cfRule>
  </conditionalFormatting>
  <conditionalFormatting sqref="E98">
    <cfRule type="expression" dxfId="3906" priority="3960">
      <formula>IF(#REF!="FICTICIO",1,0)</formula>
    </cfRule>
  </conditionalFormatting>
  <conditionalFormatting sqref="E98">
    <cfRule type="expression" dxfId="3905" priority="3959">
      <formula>IF(#REF!="FICTICIO",1,0)</formula>
    </cfRule>
  </conditionalFormatting>
  <conditionalFormatting sqref="E98">
    <cfRule type="expression" dxfId="3904" priority="3958">
      <formula>IF(#REF!="FICTICIO",1,0)</formula>
    </cfRule>
  </conditionalFormatting>
  <conditionalFormatting sqref="E98">
    <cfRule type="expression" dxfId="3903" priority="3957">
      <formula>IF(#REF!="FICTICIO",1,0)</formula>
    </cfRule>
  </conditionalFormatting>
  <conditionalFormatting sqref="E98">
    <cfRule type="expression" dxfId="3902" priority="3956">
      <formula>IF(#REF!="FICTICIO",1,0)</formula>
    </cfRule>
  </conditionalFormatting>
  <conditionalFormatting sqref="E98">
    <cfRule type="expression" dxfId="3901" priority="3955">
      <formula>IF(#REF!="FICTICIO",1,0)</formula>
    </cfRule>
  </conditionalFormatting>
  <conditionalFormatting sqref="E98">
    <cfRule type="expression" dxfId="3900" priority="3954">
      <formula>IF(#REF!="FICTICIO",1,0)</formula>
    </cfRule>
  </conditionalFormatting>
  <conditionalFormatting sqref="E98">
    <cfRule type="expression" dxfId="3899" priority="3953">
      <formula>IF(#REF!="FICTICIO",1,0)</formula>
    </cfRule>
  </conditionalFormatting>
  <conditionalFormatting sqref="E98">
    <cfRule type="expression" dxfId="3898" priority="3952">
      <formula>IF(#REF!="FICTICIO",1,0)</formula>
    </cfRule>
  </conditionalFormatting>
  <conditionalFormatting sqref="E98">
    <cfRule type="expression" dxfId="3897" priority="3951">
      <formula>IF(#REF!="FICTICIO",1,0)</formula>
    </cfRule>
  </conditionalFormatting>
  <conditionalFormatting sqref="E98">
    <cfRule type="expression" dxfId="3896" priority="3950">
      <formula>IF(#REF!="FICTICIO",1,0)</formula>
    </cfRule>
  </conditionalFormatting>
  <conditionalFormatting sqref="E98">
    <cfRule type="expression" dxfId="3895" priority="3949">
      <formula>IF(#REF!="FICTICIO",1,0)</formula>
    </cfRule>
  </conditionalFormatting>
  <conditionalFormatting sqref="E98">
    <cfRule type="expression" dxfId="3894" priority="3948">
      <formula>IF(#REF!="FICTICIO",1,0)</formula>
    </cfRule>
  </conditionalFormatting>
  <conditionalFormatting sqref="E98">
    <cfRule type="expression" dxfId="3893" priority="3947">
      <formula>IF(#REF!="FICTICIO",1,0)</formula>
    </cfRule>
  </conditionalFormatting>
  <conditionalFormatting sqref="E98">
    <cfRule type="expression" dxfId="3892" priority="3946">
      <formula>IF(#REF!="FICTICIO",1,0)</formula>
    </cfRule>
  </conditionalFormatting>
  <conditionalFormatting sqref="E98">
    <cfRule type="expression" dxfId="3891" priority="3945">
      <formula>IF(#REF!="FICTICIO",1,0)</formula>
    </cfRule>
  </conditionalFormatting>
  <conditionalFormatting sqref="E98">
    <cfRule type="expression" dxfId="3890" priority="3944">
      <formula>IF(#REF!="FICTICIO",1,0)</formula>
    </cfRule>
  </conditionalFormatting>
  <conditionalFormatting sqref="E98">
    <cfRule type="expression" dxfId="3889" priority="3943">
      <formula>IF(#REF!="FICTICIO",1,0)</formula>
    </cfRule>
  </conditionalFormatting>
  <conditionalFormatting sqref="E98">
    <cfRule type="expression" dxfId="3888" priority="3942">
      <formula>IF(#REF!="FICTICIO",1,0)</formula>
    </cfRule>
  </conditionalFormatting>
  <conditionalFormatting sqref="E98">
    <cfRule type="expression" dxfId="3887" priority="3941">
      <formula>IF(#REF!="FICTICIO",1,0)</formula>
    </cfRule>
  </conditionalFormatting>
  <conditionalFormatting sqref="E98">
    <cfRule type="expression" dxfId="3886" priority="3940">
      <formula>IF(#REF!="FICTICIO",1,0)</formula>
    </cfRule>
  </conditionalFormatting>
  <conditionalFormatting sqref="E98">
    <cfRule type="expression" dxfId="3885" priority="3939">
      <formula>IF(#REF!="FICTICIO",1,0)</formula>
    </cfRule>
  </conditionalFormatting>
  <conditionalFormatting sqref="E98">
    <cfRule type="expression" dxfId="3884" priority="3938">
      <formula>IF(#REF!="FICTICIO",1,0)</formula>
    </cfRule>
  </conditionalFormatting>
  <conditionalFormatting sqref="E98">
    <cfRule type="expression" dxfId="3883" priority="3937">
      <formula>IF(#REF!="FICTICIO",1,0)</formula>
    </cfRule>
  </conditionalFormatting>
  <conditionalFormatting sqref="E98">
    <cfRule type="expression" dxfId="3882" priority="3936">
      <formula>IF(#REF!="FICTICIO",1,0)</formula>
    </cfRule>
  </conditionalFormatting>
  <conditionalFormatting sqref="E98">
    <cfRule type="expression" dxfId="3881" priority="3935">
      <formula>IF(#REF!="FICTICIO",1,0)</formula>
    </cfRule>
  </conditionalFormatting>
  <conditionalFormatting sqref="E98">
    <cfRule type="expression" dxfId="3880" priority="3934">
      <formula>IF(#REF!="FICTICIO",1,0)</formula>
    </cfRule>
  </conditionalFormatting>
  <conditionalFormatting sqref="E98">
    <cfRule type="expression" dxfId="3879" priority="3933">
      <formula>IF(#REF!="FICTICIO",1,0)</formula>
    </cfRule>
  </conditionalFormatting>
  <conditionalFormatting sqref="E98">
    <cfRule type="expression" dxfId="3878" priority="3932">
      <formula>IF(#REF!="FICTICIO",1,0)</formula>
    </cfRule>
  </conditionalFormatting>
  <conditionalFormatting sqref="E98">
    <cfRule type="expression" dxfId="3877" priority="3931">
      <formula>IF(#REF!="FICTICIO",1,0)</formula>
    </cfRule>
  </conditionalFormatting>
  <conditionalFormatting sqref="E98">
    <cfRule type="expression" dxfId="3876" priority="3930">
      <formula>IF(#REF!="FICTICIO",1,0)</formula>
    </cfRule>
  </conditionalFormatting>
  <conditionalFormatting sqref="E98">
    <cfRule type="expression" dxfId="3875" priority="3929">
      <formula>IF(#REF!="FICTICIO",1,0)</formula>
    </cfRule>
  </conditionalFormatting>
  <conditionalFormatting sqref="E98">
    <cfRule type="expression" dxfId="3874" priority="3928">
      <formula>IF(#REF!="FICTICIO",1,0)</formula>
    </cfRule>
  </conditionalFormatting>
  <conditionalFormatting sqref="E98">
    <cfRule type="expression" dxfId="3873" priority="3927">
      <formula>IF(#REF!="FICTICIO",1,0)</formula>
    </cfRule>
  </conditionalFormatting>
  <conditionalFormatting sqref="E98">
    <cfRule type="expression" dxfId="3872" priority="3926">
      <formula>IF(#REF!="FICTICIO",1,0)</formula>
    </cfRule>
  </conditionalFormatting>
  <conditionalFormatting sqref="E98">
    <cfRule type="expression" dxfId="3871" priority="3925">
      <formula>IF(#REF!="FICTICIO",1,0)</formula>
    </cfRule>
  </conditionalFormatting>
  <conditionalFormatting sqref="E98">
    <cfRule type="expression" dxfId="3870" priority="3924">
      <formula>IF(#REF!="FICTICIO",1,0)</formula>
    </cfRule>
  </conditionalFormatting>
  <conditionalFormatting sqref="E98">
    <cfRule type="expression" dxfId="3869" priority="3923">
      <formula>IF(#REF!="FICTICIO",1,0)</formula>
    </cfRule>
  </conditionalFormatting>
  <conditionalFormatting sqref="E98">
    <cfRule type="expression" dxfId="3868" priority="3922">
      <formula>IF(#REF!="FICTICIO",1,0)</formula>
    </cfRule>
  </conditionalFormatting>
  <conditionalFormatting sqref="E98">
    <cfRule type="expression" dxfId="3867" priority="3921">
      <formula>IF(#REF!="FICTICIO",1,0)</formula>
    </cfRule>
  </conditionalFormatting>
  <conditionalFormatting sqref="E98">
    <cfRule type="expression" dxfId="3866" priority="3920">
      <formula>IF(#REF!="FICTICIO",1,0)</formula>
    </cfRule>
  </conditionalFormatting>
  <conditionalFormatting sqref="E98">
    <cfRule type="expression" dxfId="3865" priority="3919">
      <formula>IF(#REF!="FICTICIO",1,0)</formula>
    </cfRule>
  </conditionalFormatting>
  <conditionalFormatting sqref="E98">
    <cfRule type="expression" dxfId="3864" priority="3918">
      <formula>IF(#REF!="FICTICIO",1,0)</formula>
    </cfRule>
  </conditionalFormatting>
  <conditionalFormatting sqref="E98">
    <cfRule type="expression" dxfId="3863" priority="3917">
      <formula>IF(#REF!="FICTICIO",1,0)</formula>
    </cfRule>
  </conditionalFormatting>
  <conditionalFormatting sqref="E98">
    <cfRule type="expression" dxfId="3862" priority="3916">
      <formula>IF(#REF!="FICTICIO",1,0)</formula>
    </cfRule>
  </conditionalFormatting>
  <conditionalFormatting sqref="E98">
    <cfRule type="expression" dxfId="3861" priority="3915">
      <formula>IF(#REF!="FICTICIO",1,0)</formula>
    </cfRule>
  </conditionalFormatting>
  <conditionalFormatting sqref="E98">
    <cfRule type="expression" dxfId="3860" priority="3914">
      <formula>IF(#REF!="FICTICIO",1,0)</formula>
    </cfRule>
  </conditionalFormatting>
  <conditionalFormatting sqref="E98">
    <cfRule type="expression" dxfId="3859" priority="3913">
      <formula>IF(#REF!="FICTICIO",1,0)</formula>
    </cfRule>
  </conditionalFormatting>
  <conditionalFormatting sqref="E98">
    <cfRule type="expression" dxfId="3858" priority="3912">
      <formula>IF(#REF!="FICTICIO",1,0)</formula>
    </cfRule>
  </conditionalFormatting>
  <conditionalFormatting sqref="E98">
    <cfRule type="expression" dxfId="3857" priority="3911">
      <formula>IF(#REF!="FICTICIO",1,0)</formula>
    </cfRule>
  </conditionalFormatting>
  <conditionalFormatting sqref="E98">
    <cfRule type="expression" dxfId="3856" priority="3910">
      <formula>IF(#REF!="FICTICIO",1,0)</formula>
    </cfRule>
  </conditionalFormatting>
  <conditionalFormatting sqref="E98">
    <cfRule type="expression" dxfId="3855" priority="3909">
      <formula>IF(#REF!="FICTICIO",1,0)</formula>
    </cfRule>
  </conditionalFormatting>
  <conditionalFormatting sqref="E98">
    <cfRule type="expression" dxfId="3854" priority="3908">
      <formula>IF(#REF!="FICTICIO",1,0)</formula>
    </cfRule>
  </conditionalFormatting>
  <conditionalFormatting sqref="E98">
    <cfRule type="expression" dxfId="3853" priority="3907">
      <formula>IF(#REF!="FICTICIO",1,0)</formula>
    </cfRule>
  </conditionalFormatting>
  <conditionalFormatting sqref="E98">
    <cfRule type="expression" dxfId="3852" priority="3906">
      <formula>IF(#REF!="FICTICIO",1,0)</formula>
    </cfRule>
  </conditionalFormatting>
  <conditionalFormatting sqref="E98">
    <cfRule type="expression" dxfId="3851" priority="3905">
      <formula>IF(#REF!="FICTICIO",1,0)</formula>
    </cfRule>
  </conditionalFormatting>
  <conditionalFormatting sqref="E98">
    <cfRule type="expression" dxfId="3850" priority="3904">
      <formula>IF(#REF!="FICTICIO",1,0)</formula>
    </cfRule>
  </conditionalFormatting>
  <conditionalFormatting sqref="E99">
    <cfRule type="expression" dxfId="3849" priority="3903">
      <formula>IF(#REF!="FICTICIO",1,0)</formula>
    </cfRule>
  </conditionalFormatting>
  <conditionalFormatting sqref="E99">
    <cfRule type="expression" dxfId="3848" priority="3902">
      <formula>IF(#REF!="FICTICIO",1,0)</formula>
    </cfRule>
  </conditionalFormatting>
  <conditionalFormatting sqref="E99">
    <cfRule type="expression" dxfId="3847" priority="3901">
      <formula>IF(#REF!="FICTICIO",1,0)</formula>
    </cfRule>
  </conditionalFormatting>
  <conditionalFormatting sqref="E99">
    <cfRule type="expression" dxfId="3846" priority="3900">
      <formula>IF(#REF!="FICTICIO",1,0)</formula>
    </cfRule>
  </conditionalFormatting>
  <conditionalFormatting sqref="E99">
    <cfRule type="expression" dxfId="3845" priority="3899">
      <formula>IF(#REF!="FICTICIO",1,0)</formula>
    </cfRule>
  </conditionalFormatting>
  <conditionalFormatting sqref="E99">
    <cfRule type="expression" dxfId="3844" priority="3898">
      <formula>IF(#REF!="FICTICIO",1,0)</formula>
    </cfRule>
  </conditionalFormatting>
  <conditionalFormatting sqref="E99">
    <cfRule type="expression" dxfId="3843" priority="3897">
      <formula>IF(#REF!="FICTICIO",1,0)</formula>
    </cfRule>
  </conditionalFormatting>
  <conditionalFormatting sqref="E99">
    <cfRule type="expression" dxfId="3842" priority="3896">
      <formula>IF(#REF!="FICTICIO",1,0)</formula>
    </cfRule>
  </conditionalFormatting>
  <conditionalFormatting sqref="E99">
    <cfRule type="expression" dxfId="3841" priority="3895">
      <formula>IF(#REF!="FICTICIO",1,0)</formula>
    </cfRule>
  </conditionalFormatting>
  <conditionalFormatting sqref="E99">
    <cfRule type="expression" dxfId="3840" priority="3894">
      <formula>IF(#REF!="FICTICIO",1,0)</formula>
    </cfRule>
  </conditionalFormatting>
  <conditionalFormatting sqref="E99">
    <cfRule type="expression" dxfId="3839" priority="3893">
      <formula>IF(#REF!="FICTICIO",1,0)</formula>
    </cfRule>
  </conditionalFormatting>
  <conditionalFormatting sqref="E99">
    <cfRule type="expression" dxfId="3838" priority="3892">
      <formula>IF(#REF!="FICTICIO",1,0)</formula>
    </cfRule>
  </conditionalFormatting>
  <conditionalFormatting sqref="E99">
    <cfRule type="expression" dxfId="3837" priority="3891">
      <formula>IF(#REF!="FICTICIO",1,0)</formula>
    </cfRule>
  </conditionalFormatting>
  <conditionalFormatting sqref="E99">
    <cfRule type="expression" dxfId="3836" priority="3890">
      <formula>IF(#REF!="FICTICIO",1,0)</formula>
    </cfRule>
  </conditionalFormatting>
  <conditionalFormatting sqref="E99">
    <cfRule type="expression" dxfId="3835" priority="3889">
      <formula>IF(#REF!="FICTICIO",1,0)</formula>
    </cfRule>
  </conditionalFormatting>
  <conditionalFormatting sqref="E99">
    <cfRule type="expression" dxfId="3834" priority="3888">
      <formula>IF(#REF!="FICTICIO",1,0)</formula>
    </cfRule>
  </conditionalFormatting>
  <conditionalFormatting sqref="E99">
    <cfRule type="expression" dxfId="3833" priority="3887">
      <formula>IF(#REF!="FICTICIO",1,0)</formula>
    </cfRule>
  </conditionalFormatting>
  <conditionalFormatting sqref="E99">
    <cfRule type="expression" dxfId="3832" priority="3886">
      <formula>IF(#REF!="FICTICIO",1,0)</formula>
    </cfRule>
  </conditionalFormatting>
  <conditionalFormatting sqref="E99">
    <cfRule type="expression" dxfId="3831" priority="3885">
      <formula>IF(#REF!="FICTICIO",1,0)</formula>
    </cfRule>
  </conditionalFormatting>
  <conditionalFormatting sqref="E99">
    <cfRule type="expression" dxfId="3830" priority="3884">
      <formula>IF(#REF!="FICTICIO",1,0)</formula>
    </cfRule>
  </conditionalFormatting>
  <conditionalFormatting sqref="E99">
    <cfRule type="expression" dxfId="3829" priority="3883">
      <formula>IF(#REF!="FICTICIO",1,0)</formula>
    </cfRule>
  </conditionalFormatting>
  <conditionalFormatting sqref="E99">
    <cfRule type="expression" dxfId="3828" priority="3882">
      <formula>IF(#REF!="FICTICIO",1,0)</formula>
    </cfRule>
  </conditionalFormatting>
  <conditionalFormatting sqref="E99">
    <cfRule type="expression" dxfId="3827" priority="3881">
      <formula>IF(#REF!="FICTICIO",1,0)</formula>
    </cfRule>
  </conditionalFormatting>
  <conditionalFormatting sqref="E99">
    <cfRule type="expression" dxfId="3826" priority="3880">
      <formula>IF(#REF!="FICTICIO",1,0)</formula>
    </cfRule>
  </conditionalFormatting>
  <conditionalFormatting sqref="E99">
    <cfRule type="expression" dxfId="3825" priority="3879">
      <formula>IF(#REF!="FICTICIO",1,0)</formula>
    </cfRule>
  </conditionalFormatting>
  <conditionalFormatting sqref="E99">
    <cfRule type="expression" dxfId="3824" priority="3878">
      <formula>IF(#REF!="FICTICIO",1,0)</formula>
    </cfRule>
  </conditionalFormatting>
  <conditionalFormatting sqref="E99">
    <cfRule type="expression" dxfId="3823" priority="3877">
      <formula>IF(#REF!="FICTICIO",1,0)</formula>
    </cfRule>
  </conditionalFormatting>
  <conditionalFormatting sqref="E99">
    <cfRule type="expression" dxfId="3822" priority="3876">
      <formula>IF(#REF!="FICTICIO",1,0)</formula>
    </cfRule>
  </conditionalFormatting>
  <conditionalFormatting sqref="E99">
    <cfRule type="expression" dxfId="3821" priority="3875">
      <formula>IF(#REF!="FICTICIO",1,0)</formula>
    </cfRule>
  </conditionalFormatting>
  <conditionalFormatting sqref="E99">
    <cfRule type="expression" dxfId="3820" priority="3874">
      <formula>IF(#REF!="FICTICIO",1,0)</formula>
    </cfRule>
  </conditionalFormatting>
  <conditionalFormatting sqref="E99">
    <cfRule type="expression" dxfId="3819" priority="3873">
      <formula>IF(#REF!="FICTICIO",1,0)</formula>
    </cfRule>
  </conditionalFormatting>
  <conditionalFormatting sqref="E99">
    <cfRule type="expression" dxfId="3818" priority="3872">
      <formula>IF(#REF!="FICTICIO",1,0)</formula>
    </cfRule>
  </conditionalFormatting>
  <conditionalFormatting sqref="E99">
    <cfRule type="expression" dxfId="3817" priority="3871">
      <formula>IF(#REF!="FICTICIO",1,0)</formula>
    </cfRule>
  </conditionalFormatting>
  <conditionalFormatting sqref="E99">
    <cfRule type="expression" dxfId="3816" priority="3870">
      <formula>IF(#REF!="FICTICIO",1,0)</formula>
    </cfRule>
  </conditionalFormatting>
  <conditionalFormatting sqref="E99">
    <cfRule type="expression" dxfId="3815" priority="3869">
      <formula>IF(#REF!="FICTICIO",1,0)</formula>
    </cfRule>
  </conditionalFormatting>
  <conditionalFormatting sqref="E99">
    <cfRule type="expression" dxfId="3814" priority="3868">
      <formula>IF(#REF!="FICTICIO",1,0)</formula>
    </cfRule>
  </conditionalFormatting>
  <conditionalFormatting sqref="E99">
    <cfRule type="expression" dxfId="3813" priority="3867">
      <formula>IF(#REF!="FICTICIO",1,0)</formula>
    </cfRule>
  </conditionalFormatting>
  <conditionalFormatting sqref="E99">
    <cfRule type="expression" dxfId="3812" priority="3866">
      <formula>IF(#REF!="FICTICIO",1,0)</formula>
    </cfRule>
  </conditionalFormatting>
  <conditionalFormatting sqref="E99">
    <cfRule type="expression" dxfId="3811" priority="3865">
      <formula>IF(#REF!="FICTICIO",1,0)</formula>
    </cfRule>
  </conditionalFormatting>
  <conditionalFormatting sqref="E99">
    <cfRule type="expression" dxfId="3810" priority="3864">
      <formula>IF(#REF!="FICTICIO",1,0)</formula>
    </cfRule>
  </conditionalFormatting>
  <conditionalFormatting sqref="E99">
    <cfRule type="expression" dxfId="3809" priority="3863">
      <formula>IF(#REF!="FICTICIO",1,0)</formula>
    </cfRule>
  </conditionalFormatting>
  <conditionalFormatting sqref="E99">
    <cfRule type="expression" dxfId="3808" priority="3862">
      <formula>IF(#REF!="FICTICIO",1,0)</formula>
    </cfRule>
  </conditionalFormatting>
  <conditionalFormatting sqref="E99">
    <cfRule type="expression" dxfId="3807" priority="3861">
      <formula>IF(#REF!="FICTICIO",1,0)</formula>
    </cfRule>
  </conditionalFormatting>
  <conditionalFormatting sqref="E99">
    <cfRule type="expression" dxfId="3806" priority="3860">
      <formula>IF(#REF!="FICTICIO",1,0)</formula>
    </cfRule>
  </conditionalFormatting>
  <conditionalFormatting sqref="E99">
    <cfRule type="expression" dxfId="3805" priority="3859">
      <formula>IF(#REF!="FICTICIO",1,0)</formula>
    </cfRule>
  </conditionalFormatting>
  <conditionalFormatting sqref="E99">
    <cfRule type="expression" dxfId="3804" priority="3858">
      <formula>IF(#REF!="FICTICIO",1,0)</formula>
    </cfRule>
  </conditionalFormatting>
  <conditionalFormatting sqref="E99">
    <cfRule type="expression" dxfId="3803" priority="3857">
      <formula>IF(#REF!="FICTICIO",1,0)</formula>
    </cfRule>
  </conditionalFormatting>
  <conditionalFormatting sqref="E99">
    <cfRule type="expression" dxfId="3802" priority="3856">
      <formula>IF(#REF!="FICTICIO",1,0)</formula>
    </cfRule>
  </conditionalFormatting>
  <conditionalFormatting sqref="E99">
    <cfRule type="expression" dxfId="3801" priority="3855">
      <formula>IF(#REF!="FICTICIO",1,0)</formula>
    </cfRule>
  </conditionalFormatting>
  <conditionalFormatting sqref="E99">
    <cfRule type="expression" dxfId="3800" priority="3854">
      <formula>IF(#REF!="FICTICIO",1,0)</formula>
    </cfRule>
  </conditionalFormatting>
  <conditionalFormatting sqref="E99">
    <cfRule type="expression" dxfId="3799" priority="3853">
      <formula>IF(#REF!="FICTICIO",1,0)</formula>
    </cfRule>
  </conditionalFormatting>
  <conditionalFormatting sqref="E99">
    <cfRule type="expression" dxfId="3798" priority="3852">
      <formula>IF(#REF!="FICTICIO",1,0)</formula>
    </cfRule>
  </conditionalFormatting>
  <conditionalFormatting sqref="E99">
    <cfRule type="expression" dxfId="3797" priority="3851">
      <formula>IF(#REF!="FICTICIO",1,0)</formula>
    </cfRule>
  </conditionalFormatting>
  <conditionalFormatting sqref="E99">
    <cfRule type="expression" dxfId="3796" priority="3850">
      <formula>IF(#REF!="FICTICIO",1,0)</formula>
    </cfRule>
  </conditionalFormatting>
  <conditionalFormatting sqref="E99">
    <cfRule type="expression" dxfId="3795" priority="3849">
      <formula>IF(#REF!="FICTICIO",1,0)</formula>
    </cfRule>
  </conditionalFormatting>
  <conditionalFormatting sqref="E99">
    <cfRule type="expression" dxfId="3794" priority="3848">
      <formula>IF(#REF!="FICTICIO",1,0)</formula>
    </cfRule>
  </conditionalFormatting>
  <conditionalFormatting sqref="E99">
    <cfRule type="expression" dxfId="3793" priority="3847">
      <formula>IF(#REF!="FICTICIO",1,0)</formula>
    </cfRule>
  </conditionalFormatting>
  <conditionalFormatting sqref="E99">
    <cfRule type="expression" dxfId="3792" priority="3846">
      <formula>IF(#REF!="FICTICIO",1,0)</formula>
    </cfRule>
  </conditionalFormatting>
  <conditionalFormatting sqref="E99">
    <cfRule type="expression" dxfId="3791" priority="3845">
      <formula>IF(#REF!="FICTICIO",1,0)</formula>
    </cfRule>
  </conditionalFormatting>
  <conditionalFormatting sqref="E99">
    <cfRule type="expression" dxfId="3790" priority="3844">
      <formula>IF(#REF!="FICTICIO",1,0)</formula>
    </cfRule>
  </conditionalFormatting>
  <conditionalFormatting sqref="E99">
    <cfRule type="expression" dxfId="3789" priority="3843">
      <formula>IF(#REF!="FICTICIO",1,0)</formula>
    </cfRule>
  </conditionalFormatting>
  <conditionalFormatting sqref="E99">
    <cfRule type="expression" dxfId="3788" priority="3842">
      <formula>IF(#REF!="FICTICIO",1,0)</formula>
    </cfRule>
  </conditionalFormatting>
  <conditionalFormatting sqref="E99">
    <cfRule type="expression" dxfId="3787" priority="3841">
      <formula>IF(#REF!="FICTICIO",1,0)</formula>
    </cfRule>
  </conditionalFormatting>
  <conditionalFormatting sqref="E99">
    <cfRule type="expression" dxfId="3786" priority="3840">
      <formula>IF(#REF!="FICTICIO",1,0)</formula>
    </cfRule>
  </conditionalFormatting>
  <conditionalFormatting sqref="E99">
    <cfRule type="expression" dxfId="3785" priority="3839">
      <formula>IF(#REF!="FICTICIO",1,0)</formula>
    </cfRule>
  </conditionalFormatting>
  <conditionalFormatting sqref="E99">
    <cfRule type="expression" dxfId="3784" priority="3838">
      <formula>IF(#REF!="FICTICIO",1,0)</formula>
    </cfRule>
  </conditionalFormatting>
  <conditionalFormatting sqref="E99">
    <cfRule type="expression" dxfId="3783" priority="3837">
      <formula>IF(#REF!="FICTICIO",1,0)</formula>
    </cfRule>
  </conditionalFormatting>
  <conditionalFormatting sqref="E99">
    <cfRule type="expression" dxfId="3782" priority="3836">
      <formula>IF(#REF!="FICTICIO",1,0)</formula>
    </cfRule>
  </conditionalFormatting>
  <conditionalFormatting sqref="E99">
    <cfRule type="expression" dxfId="3781" priority="3835">
      <formula>IF(#REF!="FICTICIO",1,0)</formula>
    </cfRule>
  </conditionalFormatting>
  <conditionalFormatting sqref="E99">
    <cfRule type="expression" dxfId="3780" priority="3834">
      <formula>IF(#REF!="FICTICIO",1,0)</formula>
    </cfRule>
  </conditionalFormatting>
  <conditionalFormatting sqref="E99">
    <cfRule type="expression" dxfId="3779" priority="3833">
      <formula>IF(#REF!="FICTICIO",1,0)</formula>
    </cfRule>
  </conditionalFormatting>
  <conditionalFormatting sqref="E99">
    <cfRule type="expression" dxfId="3778" priority="3832">
      <formula>IF(#REF!="FICTICIO",1,0)</formula>
    </cfRule>
  </conditionalFormatting>
  <conditionalFormatting sqref="E99">
    <cfRule type="expression" dxfId="3777" priority="3831">
      <formula>IF(#REF!="FICTICIO",1,0)</formula>
    </cfRule>
  </conditionalFormatting>
  <conditionalFormatting sqref="E99">
    <cfRule type="expression" dxfId="3776" priority="3830">
      <formula>IF(#REF!="FICTICIO",1,0)</formula>
    </cfRule>
  </conditionalFormatting>
  <conditionalFormatting sqref="E99">
    <cfRule type="expression" dxfId="3775" priority="3829">
      <formula>IF(#REF!="FICTICIO",1,0)</formula>
    </cfRule>
  </conditionalFormatting>
  <conditionalFormatting sqref="E99">
    <cfRule type="expression" dxfId="3774" priority="3828">
      <formula>IF(#REF!="FICTICIO",1,0)</formula>
    </cfRule>
  </conditionalFormatting>
  <conditionalFormatting sqref="E100">
    <cfRule type="expression" dxfId="3773" priority="3827">
      <formula>IF(#REF!="FICTICIO",1,0)</formula>
    </cfRule>
  </conditionalFormatting>
  <conditionalFormatting sqref="E100">
    <cfRule type="expression" dxfId="3772" priority="3826">
      <formula>IF(#REF!="FICTICIO",1,0)</formula>
    </cfRule>
  </conditionalFormatting>
  <conditionalFormatting sqref="E100">
    <cfRule type="expression" dxfId="3771" priority="3825">
      <formula>IF(#REF!="FICTICIO",1,0)</formula>
    </cfRule>
  </conditionalFormatting>
  <conditionalFormatting sqref="E100">
    <cfRule type="expression" dxfId="3770" priority="3824">
      <formula>IF(#REF!="FICTICIO",1,0)</formula>
    </cfRule>
  </conditionalFormatting>
  <conditionalFormatting sqref="E100">
    <cfRule type="expression" dxfId="3769" priority="3823">
      <formula>IF(#REF!="FICTICIO",1,0)</formula>
    </cfRule>
  </conditionalFormatting>
  <conditionalFormatting sqref="E100">
    <cfRule type="expression" dxfId="3768" priority="3822">
      <formula>IF(#REF!="FICTICIO",1,0)</formula>
    </cfRule>
  </conditionalFormatting>
  <conditionalFormatting sqref="E100">
    <cfRule type="expression" dxfId="3767" priority="3821">
      <formula>IF(#REF!="FICTICIO",1,0)</formula>
    </cfRule>
  </conditionalFormatting>
  <conditionalFormatting sqref="E100">
    <cfRule type="expression" dxfId="3766" priority="3820">
      <formula>IF(#REF!="FICTICIO",1,0)</formula>
    </cfRule>
  </conditionalFormatting>
  <conditionalFormatting sqref="E100">
    <cfRule type="expression" dxfId="3765" priority="3819">
      <formula>IF(#REF!="FICTICIO",1,0)</formula>
    </cfRule>
  </conditionalFormatting>
  <conditionalFormatting sqref="E100">
    <cfRule type="expression" dxfId="3764" priority="3818">
      <formula>IF(#REF!="FICTICIO",1,0)</formula>
    </cfRule>
  </conditionalFormatting>
  <conditionalFormatting sqref="E100">
    <cfRule type="expression" dxfId="3763" priority="3817">
      <formula>IF(#REF!="FICTICIO",1,0)</formula>
    </cfRule>
  </conditionalFormatting>
  <conditionalFormatting sqref="E100">
    <cfRule type="expression" dxfId="3762" priority="3816">
      <formula>IF(#REF!="FICTICIO",1,0)</formula>
    </cfRule>
  </conditionalFormatting>
  <conditionalFormatting sqref="E100">
    <cfRule type="expression" dxfId="3761" priority="3815">
      <formula>IF(#REF!="FICTICIO",1,0)</formula>
    </cfRule>
  </conditionalFormatting>
  <conditionalFormatting sqref="E100">
    <cfRule type="expression" dxfId="3760" priority="3814">
      <formula>IF(#REF!="FICTICIO",1,0)</formula>
    </cfRule>
  </conditionalFormatting>
  <conditionalFormatting sqref="E100">
    <cfRule type="expression" dxfId="3759" priority="3813">
      <formula>IF(#REF!="FICTICIO",1,0)</formula>
    </cfRule>
  </conditionalFormatting>
  <conditionalFormatting sqref="E100">
    <cfRule type="expression" dxfId="3758" priority="3812">
      <formula>IF(#REF!="FICTICIO",1,0)</formula>
    </cfRule>
  </conditionalFormatting>
  <conditionalFormatting sqref="E100">
    <cfRule type="expression" dxfId="3757" priority="3811">
      <formula>IF(#REF!="FICTICIO",1,0)</formula>
    </cfRule>
  </conditionalFormatting>
  <conditionalFormatting sqref="E100">
    <cfRule type="expression" dxfId="3756" priority="3810">
      <formula>IF(#REF!="FICTICIO",1,0)</formula>
    </cfRule>
  </conditionalFormatting>
  <conditionalFormatting sqref="E100">
    <cfRule type="expression" dxfId="3755" priority="3809">
      <formula>IF(#REF!="FICTICIO",1,0)</formula>
    </cfRule>
  </conditionalFormatting>
  <conditionalFormatting sqref="E100">
    <cfRule type="expression" dxfId="3754" priority="3808">
      <formula>IF(#REF!="FICTICIO",1,0)</formula>
    </cfRule>
  </conditionalFormatting>
  <conditionalFormatting sqref="E100">
    <cfRule type="expression" dxfId="3753" priority="3807">
      <formula>IF(#REF!="FICTICIO",1,0)</formula>
    </cfRule>
  </conditionalFormatting>
  <conditionalFormatting sqref="E100">
    <cfRule type="expression" dxfId="3752" priority="3806">
      <formula>IF(#REF!="FICTICIO",1,0)</formula>
    </cfRule>
  </conditionalFormatting>
  <conditionalFormatting sqref="E100">
    <cfRule type="expression" dxfId="3751" priority="3805">
      <formula>IF(#REF!="FICTICIO",1,0)</formula>
    </cfRule>
  </conditionalFormatting>
  <conditionalFormatting sqref="E100">
    <cfRule type="expression" dxfId="3750" priority="3804">
      <formula>IF(#REF!="FICTICIO",1,0)</formula>
    </cfRule>
  </conditionalFormatting>
  <conditionalFormatting sqref="E100">
    <cfRule type="expression" dxfId="3749" priority="3803">
      <formula>IF(#REF!="FICTICIO",1,0)</formula>
    </cfRule>
  </conditionalFormatting>
  <conditionalFormatting sqref="E100">
    <cfRule type="expression" dxfId="3748" priority="3802">
      <formula>IF(#REF!="FICTICIO",1,0)</formula>
    </cfRule>
  </conditionalFormatting>
  <conditionalFormatting sqref="E100">
    <cfRule type="expression" dxfId="3747" priority="3801">
      <formula>IF(#REF!="FICTICIO",1,0)</formula>
    </cfRule>
  </conditionalFormatting>
  <conditionalFormatting sqref="E100">
    <cfRule type="expression" dxfId="3746" priority="3800">
      <formula>IF(#REF!="FICTICIO",1,0)</formula>
    </cfRule>
  </conditionalFormatting>
  <conditionalFormatting sqref="E100">
    <cfRule type="expression" dxfId="3745" priority="3799">
      <formula>IF(#REF!="FICTICIO",1,0)</formula>
    </cfRule>
  </conditionalFormatting>
  <conditionalFormatting sqref="E100">
    <cfRule type="expression" dxfId="3744" priority="3798">
      <formula>IF(#REF!="FICTICIO",1,0)</formula>
    </cfRule>
  </conditionalFormatting>
  <conditionalFormatting sqref="E100">
    <cfRule type="expression" dxfId="3743" priority="3797">
      <formula>IF(#REF!="FICTICIO",1,0)</formula>
    </cfRule>
  </conditionalFormatting>
  <conditionalFormatting sqref="E100">
    <cfRule type="expression" dxfId="3742" priority="3796">
      <formula>IF(#REF!="FICTICIO",1,0)</formula>
    </cfRule>
  </conditionalFormatting>
  <conditionalFormatting sqref="E100">
    <cfRule type="expression" dxfId="3741" priority="3795">
      <formula>IF(#REF!="FICTICIO",1,0)</formula>
    </cfRule>
  </conditionalFormatting>
  <conditionalFormatting sqref="E100">
    <cfRule type="expression" dxfId="3740" priority="3794">
      <formula>IF(#REF!="FICTICIO",1,0)</formula>
    </cfRule>
  </conditionalFormatting>
  <conditionalFormatting sqref="E100">
    <cfRule type="expression" dxfId="3739" priority="3793">
      <formula>IF(#REF!="FICTICIO",1,0)</formula>
    </cfRule>
  </conditionalFormatting>
  <conditionalFormatting sqref="E100">
    <cfRule type="expression" dxfId="3738" priority="3792">
      <formula>IF(#REF!="FICTICIO",1,0)</formula>
    </cfRule>
  </conditionalFormatting>
  <conditionalFormatting sqref="E100">
    <cfRule type="expression" dxfId="3737" priority="3791">
      <formula>IF(#REF!="FICTICIO",1,0)</formula>
    </cfRule>
  </conditionalFormatting>
  <conditionalFormatting sqref="E100">
    <cfRule type="expression" dxfId="3736" priority="3790">
      <formula>IF(#REF!="FICTICIO",1,0)</formula>
    </cfRule>
  </conditionalFormatting>
  <conditionalFormatting sqref="E100">
    <cfRule type="expression" dxfId="3735" priority="3789">
      <formula>IF(#REF!="FICTICIO",1,0)</formula>
    </cfRule>
  </conditionalFormatting>
  <conditionalFormatting sqref="E100">
    <cfRule type="expression" dxfId="3734" priority="3788">
      <formula>IF(#REF!="FICTICIO",1,0)</formula>
    </cfRule>
  </conditionalFormatting>
  <conditionalFormatting sqref="E100">
    <cfRule type="expression" dxfId="3733" priority="3787">
      <formula>IF(#REF!="FICTICIO",1,0)</formula>
    </cfRule>
  </conditionalFormatting>
  <conditionalFormatting sqref="E100">
    <cfRule type="expression" dxfId="3732" priority="3786">
      <formula>IF(#REF!="FICTICIO",1,0)</formula>
    </cfRule>
  </conditionalFormatting>
  <conditionalFormatting sqref="E100">
    <cfRule type="expression" dxfId="3731" priority="3785">
      <formula>IF(#REF!="FICTICIO",1,0)</formula>
    </cfRule>
  </conditionalFormatting>
  <conditionalFormatting sqref="E100">
    <cfRule type="expression" dxfId="3730" priority="3784">
      <formula>IF(#REF!="FICTICIO",1,0)</formula>
    </cfRule>
  </conditionalFormatting>
  <conditionalFormatting sqref="E100">
    <cfRule type="expression" dxfId="3729" priority="3783">
      <formula>IF(#REF!="FICTICIO",1,0)</formula>
    </cfRule>
  </conditionalFormatting>
  <conditionalFormatting sqref="E100">
    <cfRule type="expression" dxfId="3728" priority="3782">
      <formula>IF(#REF!="FICTICIO",1,0)</formula>
    </cfRule>
  </conditionalFormatting>
  <conditionalFormatting sqref="E100">
    <cfRule type="expression" dxfId="3727" priority="3781">
      <formula>IF(#REF!="FICTICIO",1,0)</formula>
    </cfRule>
  </conditionalFormatting>
  <conditionalFormatting sqref="E100">
    <cfRule type="expression" dxfId="3726" priority="3780">
      <formula>IF(#REF!="FICTICIO",1,0)</formula>
    </cfRule>
  </conditionalFormatting>
  <conditionalFormatting sqref="E100">
    <cfRule type="expression" dxfId="3725" priority="3779">
      <formula>IF(#REF!="FICTICIO",1,0)</formula>
    </cfRule>
  </conditionalFormatting>
  <conditionalFormatting sqref="E100">
    <cfRule type="expression" dxfId="3724" priority="3778">
      <formula>IF(#REF!="FICTICIO",1,0)</formula>
    </cfRule>
  </conditionalFormatting>
  <conditionalFormatting sqref="E100">
    <cfRule type="expression" dxfId="3723" priority="3777">
      <formula>IF(#REF!="FICTICIO",1,0)</formula>
    </cfRule>
  </conditionalFormatting>
  <conditionalFormatting sqref="E100">
    <cfRule type="expression" dxfId="3722" priority="3776">
      <formula>IF(#REF!="FICTICIO",1,0)</formula>
    </cfRule>
  </conditionalFormatting>
  <conditionalFormatting sqref="E100">
    <cfRule type="expression" dxfId="3721" priority="3775">
      <formula>IF(#REF!="FICTICIO",1,0)</formula>
    </cfRule>
  </conditionalFormatting>
  <conditionalFormatting sqref="E100">
    <cfRule type="expression" dxfId="3720" priority="3774">
      <formula>IF(#REF!="FICTICIO",1,0)</formula>
    </cfRule>
  </conditionalFormatting>
  <conditionalFormatting sqref="E100">
    <cfRule type="expression" dxfId="3719" priority="3773">
      <formula>IF(#REF!="FICTICIO",1,0)</formula>
    </cfRule>
  </conditionalFormatting>
  <conditionalFormatting sqref="E100">
    <cfRule type="expression" dxfId="3718" priority="3772">
      <formula>IF(#REF!="FICTICIO",1,0)</formula>
    </cfRule>
  </conditionalFormatting>
  <conditionalFormatting sqref="E100">
    <cfRule type="expression" dxfId="3717" priority="3771">
      <formula>IF(#REF!="FICTICIO",1,0)</formula>
    </cfRule>
  </conditionalFormatting>
  <conditionalFormatting sqref="E100">
    <cfRule type="expression" dxfId="3716" priority="3770">
      <formula>IF(#REF!="FICTICIO",1,0)</formula>
    </cfRule>
  </conditionalFormatting>
  <conditionalFormatting sqref="E100">
    <cfRule type="expression" dxfId="3715" priority="3769">
      <formula>IF(#REF!="FICTICIO",1,0)</formula>
    </cfRule>
  </conditionalFormatting>
  <conditionalFormatting sqref="E100">
    <cfRule type="expression" dxfId="3714" priority="3768">
      <formula>IF(#REF!="FICTICIO",1,0)</formula>
    </cfRule>
  </conditionalFormatting>
  <conditionalFormatting sqref="E100">
    <cfRule type="expression" dxfId="3713" priority="3767">
      <formula>IF(#REF!="FICTICIO",1,0)</formula>
    </cfRule>
  </conditionalFormatting>
  <conditionalFormatting sqref="E100">
    <cfRule type="expression" dxfId="3712" priority="3766">
      <formula>IF(#REF!="FICTICIO",1,0)</formula>
    </cfRule>
  </conditionalFormatting>
  <conditionalFormatting sqref="E100">
    <cfRule type="expression" dxfId="3711" priority="3765">
      <formula>IF(#REF!="FICTICIO",1,0)</formula>
    </cfRule>
  </conditionalFormatting>
  <conditionalFormatting sqref="E100">
    <cfRule type="expression" dxfId="3710" priority="3764">
      <formula>IF(#REF!="FICTICIO",1,0)</formula>
    </cfRule>
  </conditionalFormatting>
  <conditionalFormatting sqref="E100">
    <cfRule type="expression" dxfId="3709" priority="3763">
      <formula>IF(#REF!="FICTICIO",1,0)</formula>
    </cfRule>
  </conditionalFormatting>
  <conditionalFormatting sqref="E100">
    <cfRule type="expression" dxfId="3708" priority="3762">
      <formula>IF(#REF!="FICTICIO",1,0)</formula>
    </cfRule>
  </conditionalFormatting>
  <conditionalFormatting sqref="E100">
    <cfRule type="expression" dxfId="3707" priority="3761">
      <formula>IF(#REF!="FICTICIO",1,0)</formula>
    </cfRule>
  </conditionalFormatting>
  <conditionalFormatting sqref="E100">
    <cfRule type="expression" dxfId="3706" priority="3760">
      <formula>IF(#REF!="FICTICIO",1,0)</formula>
    </cfRule>
  </conditionalFormatting>
  <conditionalFormatting sqref="E100">
    <cfRule type="expression" dxfId="3705" priority="3759">
      <formula>IF(#REF!="FICTICIO",1,0)</formula>
    </cfRule>
  </conditionalFormatting>
  <conditionalFormatting sqref="E100">
    <cfRule type="expression" dxfId="3704" priority="3758">
      <formula>IF(#REF!="FICTICIO",1,0)</formula>
    </cfRule>
  </conditionalFormatting>
  <conditionalFormatting sqref="E100">
    <cfRule type="expression" dxfId="3703" priority="3757">
      <formula>IF(#REF!="FICTICIO",1,0)</formula>
    </cfRule>
  </conditionalFormatting>
  <conditionalFormatting sqref="E100">
    <cfRule type="expression" dxfId="3702" priority="3756">
      <formula>IF(#REF!="FICTICIO",1,0)</formula>
    </cfRule>
  </conditionalFormatting>
  <conditionalFormatting sqref="E100">
    <cfRule type="expression" dxfId="3701" priority="3755">
      <formula>IF(#REF!="FICTICIO",1,0)</formula>
    </cfRule>
  </conditionalFormatting>
  <conditionalFormatting sqref="E100">
    <cfRule type="expression" dxfId="3700" priority="3754">
      <formula>IF(#REF!="FICTICIO",1,0)</formula>
    </cfRule>
  </conditionalFormatting>
  <conditionalFormatting sqref="E100">
    <cfRule type="expression" dxfId="3699" priority="3753">
      <formula>IF(#REF!="FICTICIO",1,0)</formula>
    </cfRule>
  </conditionalFormatting>
  <conditionalFormatting sqref="E100">
    <cfRule type="expression" dxfId="3698" priority="3752">
      <formula>IF(#REF!="FICTICIO",1,0)</formula>
    </cfRule>
  </conditionalFormatting>
  <conditionalFormatting sqref="F100">
    <cfRule type="expression" dxfId="3697" priority="3751">
      <formula>IF(#REF!="FICTICIO",1,0)</formula>
    </cfRule>
  </conditionalFormatting>
  <conditionalFormatting sqref="D101">
    <cfRule type="expression" dxfId="3696" priority="3749">
      <formula>IF(#REF!="FICTICIO",1,0)</formula>
    </cfRule>
  </conditionalFormatting>
  <conditionalFormatting sqref="D101">
    <cfRule type="expression" dxfId="3695" priority="3750">
      <formula>IF(#REF!="FICTICIO",1,0)</formula>
    </cfRule>
  </conditionalFormatting>
  <conditionalFormatting sqref="D101">
    <cfRule type="expression" dxfId="3694" priority="3747">
      <formula>IF(#REF!="FICTICIO",1,0)</formula>
    </cfRule>
  </conditionalFormatting>
  <conditionalFormatting sqref="D101">
    <cfRule type="expression" dxfId="3693" priority="3748">
      <formula>IF(#REF!="FICTICIO",1,0)</formula>
    </cfRule>
  </conditionalFormatting>
  <conditionalFormatting sqref="F101">
    <cfRule type="expression" dxfId="3692" priority="3746">
      <formula>IF(#REF!="FICTICIO",1,0)</formula>
    </cfRule>
  </conditionalFormatting>
  <conditionalFormatting sqref="E101">
    <cfRule type="expression" dxfId="3691" priority="3745">
      <formula>IF(#REF!="FICTICIO",1,0)</formula>
    </cfRule>
  </conditionalFormatting>
  <conditionalFormatting sqref="E101">
    <cfRule type="expression" dxfId="3690" priority="3744">
      <formula>IF(#REF!="FICTICIO",1,0)</formula>
    </cfRule>
  </conditionalFormatting>
  <conditionalFormatting sqref="E101">
    <cfRule type="expression" dxfId="3689" priority="3743">
      <formula>IF(#REF!="FICTICIO",1,0)</formula>
    </cfRule>
  </conditionalFormatting>
  <conditionalFormatting sqref="E101">
    <cfRule type="expression" dxfId="3688" priority="3742">
      <formula>IF(#REF!="FICTICIO",1,0)</formula>
    </cfRule>
  </conditionalFormatting>
  <conditionalFormatting sqref="E101">
    <cfRule type="expression" dxfId="3687" priority="3741">
      <formula>IF(#REF!="FICTICIO",1,0)</formula>
    </cfRule>
  </conditionalFormatting>
  <conditionalFormatting sqref="E101">
    <cfRule type="expression" dxfId="3686" priority="3740">
      <formula>IF(#REF!="FICTICIO",1,0)</formula>
    </cfRule>
  </conditionalFormatting>
  <conditionalFormatting sqref="E101">
    <cfRule type="expression" dxfId="3685" priority="3739">
      <formula>IF(#REF!="FICTICIO",1,0)</formula>
    </cfRule>
  </conditionalFormatting>
  <conditionalFormatting sqref="E101">
    <cfRule type="expression" dxfId="3684" priority="3738">
      <formula>IF(#REF!="FICTICIO",1,0)</formula>
    </cfRule>
  </conditionalFormatting>
  <conditionalFormatting sqref="E101">
    <cfRule type="expression" dxfId="3683" priority="3737">
      <formula>IF(#REF!="FICTICIO",1,0)</formula>
    </cfRule>
  </conditionalFormatting>
  <conditionalFormatting sqref="E101">
    <cfRule type="expression" dxfId="3682" priority="3736">
      <formula>IF(#REF!="FICTICIO",1,0)</formula>
    </cfRule>
  </conditionalFormatting>
  <conditionalFormatting sqref="E101">
    <cfRule type="expression" dxfId="3681" priority="3735">
      <formula>IF(#REF!="FICTICIO",1,0)</formula>
    </cfRule>
  </conditionalFormatting>
  <conditionalFormatting sqref="E101">
    <cfRule type="expression" dxfId="3680" priority="3734">
      <formula>IF(#REF!="FICTICIO",1,0)</formula>
    </cfRule>
  </conditionalFormatting>
  <conditionalFormatting sqref="E101">
    <cfRule type="expression" dxfId="3679" priority="3733">
      <formula>IF(#REF!="FICTICIO",1,0)</formula>
    </cfRule>
  </conditionalFormatting>
  <conditionalFormatting sqref="E101">
    <cfRule type="expression" dxfId="3678" priority="3732">
      <formula>IF(#REF!="FICTICIO",1,0)</formula>
    </cfRule>
  </conditionalFormatting>
  <conditionalFormatting sqref="E101">
    <cfRule type="expression" dxfId="3677" priority="3731">
      <formula>IF(#REF!="FICTICIO",1,0)</formula>
    </cfRule>
  </conditionalFormatting>
  <conditionalFormatting sqref="E101">
    <cfRule type="expression" dxfId="3676" priority="3730">
      <formula>IF(#REF!="FICTICIO",1,0)</formula>
    </cfRule>
  </conditionalFormatting>
  <conditionalFormatting sqref="E101">
    <cfRule type="expression" dxfId="3675" priority="3729">
      <formula>IF(#REF!="FICTICIO",1,0)</formula>
    </cfRule>
  </conditionalFormatting>
  <conditionalFormatting sqref="E101">
    <cfRule type="expression" dxfId="3674" priority="3728">
      <formula>IF(#REF!="FICTICIO",1,0)</formula>
    </cfRule>
  </conditionalFormatting>
  <conditionalFormatting sqref="E101">
    <cfRule type="expression" dxfId="3673" priority="3727">
      <formula>IF(#REF!="FICTICIO",1,0)</formula>
    </cfRule>
  </conditionalFormatting>
  <conditionalFormatting sqref="E101">
    <cfRule type="expression" dxfId="3672" priority="3726">
      <formula>IF(#REF!="FICTICIO",1,0)</formula>
    </cfRule>
  </conditionalFormatting>
  <conditionalFormatting sqref="E101">
    <cfRule type="expression" dxfId="3671" priority="3725">
      <formula>IF(#REF!="FICTICIO",1,0)</formula>
    </cfRule>
  </conditionalFormatting>
  <conditionalFormatting sqref="E101">
    <cfRule type="expression" dxfId="3670" priority="3724">
      <formula>IF(#REF!="FICTICIO",1,0)</formula>
    </cfRule>
  </conditionalFormatting>
  <conditionalFormatting sqref="E101">
    <cfRule type="expression" dxfId="3669" priority="3723">
      <formula>IF(#REF!="FICTICIO",1,0)</formula>
    </cfRule>
  </conditionalFormatting>
  <conditionalFormatting sqref="E101">
    <cfRule type="expression" dxfId="3668" priority="3722">
      <formula>IF(#REF!="FICTICIO",1,0)</formula>
    </cfRule>
  </conditionalFormatting>
  <conditionalFormatting sqref="E101">
    <cfRule type="expression" dxfId="3667" priority="3721">
      <formula>IF(#REF!="FICTICIO",1,0)</formula>
    </cfRule>
  </conditionalFormatting>
  <conditionalFormatting sqref="E101">
    <cfRule type="expression" dxfId="3666" priority="3720">
      <formula>IF(#REF!="FICTICIO",1,0)</formula>
    </cfRule>
  </conditionalFormatting>
  <conditionalFormatting sqref="E101">
    <cfRule type="expression" dxfId="3665" priority="3719">
      <formula>IF(#REF!="FICTICIO",1,0)</formula>
    </cfRule>
  </conditionalFormatting>
  <conditionalFormatting sqref="E101">
    <cfRule type="expression" dxfId="3664" priority="3718">
      <formula>IF(#REF!="FICTICIO",1,0)</formula>
    </cfRule>
  </conditionalFormatting>
  <conditionalFormatting sqref="E101">
    <cfRule type="expression" dxfId="3663" priority="3717">
      <formula>IF(#REF!="FICTICIO",1,0)</formula>
    </cfRule>
  </conditionalFormatting>
  <conditionalFormatting sqref="E101">
    <cfRule type="expression" dxfId="3662" priority="3716">
      <formula>IF(#REF!="FICTICIO",1,0)</formula>
    </cfRule>
  </conditionalFormatting>
  <conditionalFormatting sqref="E101">
    <cfRule type="expression" dxfId="3661" priority="3715">
      <formula>IF(#REF!="FICTICIO",1,0)</formula>
    </cfRule>
  </conditionalFormatting>
  <conditionalFormatting sqref="E101">
    <cfRule type="expression" dxfId="3660" priority="3714">
      <formula>IF(#REF!="FICTICIO",1,0)</formula>
    </cfRule>
  </conditionalFormatting>
  <conditionalFormatting sqref="E101">
    <cfRule type="expression" dxfId="3659" priority="3713">
      <formula>IF(#REF!="FICTICIO",1,0)</formula>
    </cfRule>
  </conditionalFormatting>
  <conditionalFormatting sqref="E101">
    <cfRule type="expression" dxfId="3658" priority="3712">
      <formula>IF(#REF!="FICTICIO",1,0)</formula>
    </cfRule>
  </conditionalFormatting>
  <conditionalFormatting sqref="E101">
    <cfRule type="expression" dxfId="3657" priority="3711">
      <formula>IF(#REF!="FICTICIO",1,0)</formula>
    </cfRule>
  </conditionalFormatting>
  <conditionalFormatting sqref="E101">
    <cfRule type="expression" dxfId="3656" priority="3710">
      <formula>IF(#REF!="FICTICIO",1,0)</formula>
    </cfRule>
  </conditionalFormatting>
  <conditionalFormatting sqref="E101">
    <cfRule type="expression" dxfId="3655" priority="3709">
      <formula>IF(#REF!="FICTICIO",1,0)</formula>
    </cfRule>
  </conditionalFormatting>
  <conditionalFormatting sqref="E101">
    <cfRule type="expression" dxfId="3654" priority="3708">
      <formula>IF(#REF!="FICTICIO",1,0)</formula>
    </cfRule>
  </conditionalFormatting>
  <conditionalFormatting sqref="E101">
    <cfRule type="expression" dxfId="3653" priority="3707">
      <formula>IF(#REF!="FICTICIO",1,0)</formula>
    </cfRule>
  </conditionalFormatting>
  <conditionalFormatting sqref="E101">
    <cfRule type="expression" dxfId="3652" priority="3706">
      <formula>IF(#REF!="FICTICIO",1,0)</formula>
    </cfRule>
  </conditionalFormatting>
  <conditionalFormatting sqref="E101">
    <cfRule type="expression" dxfId="3651" priority="3705">
      <formula>IF(#REF!="FICTICIO",1,0)</formula>
    </cfRule>
  </conditionalFormatting>
  <conditionalFormatting sqref="E101">
    <cfRule type="expression" dxfId="3650" priority="3704">
      <formula>IF(#REF!="FICTICIO",1,0)</formula>
    </cfRule>
  </conditionalFormatting>
  <conditionalFormatting sqref="E101">
    <cfRule type="expression" dxfId="3649" priority="3703">
      <formula>IF(#REF!="FICTICIO",1,0)</formula>
    </cfRule>
  </conditionalFormatting>
  <conditionalFormatting sqref="E101">
    <cfRule type="expression" dxfId="3648" priority="3702">
      <formula>IF(#REF!="FICTICIO",1,0)</formula>
    </cfRule>
  </conditionalFormatting>
  <conditionalFormatting sqref="E101">
    <cfRule type="expression" dxfId="3647" priority="3701">
      <formula>IF(#REF!="FICTICIO",1,0)</formula>
    </cfRule>
  </conditionalFormatting>
  <conditionalFormatting sqref="E101">
    <cfRule type="expression" dxfId="3646" priority="3700">
      <formula>IF(#REF!="FICTICIO",1,0)</formula>
    </cfRule>
  </conditionalFormatting>
  <conditionalFormatting sqref="E101">
    <cfRule type="expression" dxfId="3645" priority="3699">
      <formula>IF(#REF!="FICTICIO",1,0)</formula>
    </cfRule>
  </conditionalFormatting>
  <conditionalFormatting sqref="E101">
    <cfRule type="expression" dxfId="3644" priority="3698">
      <formula>IF(#REF!="FICTICIO",1,0)</formula>
    </cfRule>
  </conditionalFormatting>
  <conditionalFormatting sqref="E101">
    <cfRule type="expression" dxfId="3643" priority="3697">
      <formula>IF(#REF!="FICTICIO",1,0)</formula>
    </cfRule>
  </conditionalFormatting>
  <conditionalFormatting sqref="E101">
    <cfRule type="expression" dxfId="3642" priority="3696">
      <formula>IF(#REF!="FICTICIO",1,0)</formula>
    </cfRule>
  </conditionalFormatting>
  <conditionalFormatting sqref="E101">
    <cfRule type="expression" dxfId="3641" priority="3695">
      <formula>IF(#REF!="FICTICIO",1,0)</formula>
    </cfRule>
  </conditionalFormatting>
  <conditionalFormatting sqref="E101">
    <cfRule type="expression" dxfId="3640" priority="3694">
      <formula>IF(#REF!="FICTICIO",1,0)</formula>
    </cfRule>
  </conditionalFormatting>
  <conditionalFormatting sqref="E101">
    <cfRule type="expression" dxfId="3639" priority="3693">
      <formula>IF(#REF!="FICTICIO",1,0)</formula>
    </cfRule>
  </conditionalFormatting>
  <conditionalFormatting sqref="E101">
    <cfRule type="expression" dxfId="3638" priority="3692">
      <formula>IF(#REF!="FICTICIO",1,0)</formula>
    </cfRule>
  </conditionalFormatting>
  <conditionalFormatting sqref="E101">
    <cfRule type="expression" dxfId="3637" priority="3691">
      <formula>IF(#REF!="FICTICIO",1,0)</formula>
    </cfRule>
  </conditionalFormatting>
  <conditionalFormatting sqref="E101">
    <cfRule type="expression" dxfId="3636" priority="3690">
      <formula>IF(#REF!="FICTICIO",1,0)</formula>
    </cfRule>
  </conditionalFormatting>
  <conditionalFormatting sqref="E101">
    <cfRule type="expression" dxfId="3635" priority="3689">
      <formula>IF(#REF!="FICTICIO",1,0)</formula>
    </cfRule>
  </conditionalFormatting>
  <conditionalFormatting sqref="E101">
    <cfRule type="expression" dxfId="3634" priority="3688">
      <formula>IF(#REF!="FICTICIO",1,0)</formula>
    </cfRule>
  </conditionalFormatting>
  <conditionalFormatting sqref="E101">
    <cfRule type="expression" dxfId="3633" priority="3687">
      <formula>IF(#REF!="FICTICIO",1,0)</formula>
    </cfRule>
  </conditionalFormatting>
  <conditionalFormatting sqref="E101">
    <cfRule type="expression" dxfId="3632" priority="3686">
      <formula>IF(#REF!="FICTICIO",1,0)</formula>
    </cfRule>
  </conditionalFormatting>
  <conditionalFormatting sqref="E101">
    <cfRule type="expression" dxfId="3631" priority="3685">
      <formula>IF(#REF!="FICTICIO",1,0)</formula>
    </cfRule>
  </conditionalFormatting>
  <conditionalFormatting sqref="E101">
    <cfRule type="expression" dxfId="3630" priority="3684">
      <formula>IF(#REF!="FICTICIO",1,0)</formula>
    </cfRule>
  </conditionalFormatting>
  <conditionalFormatting sqref="E101">
    <cfRule type="expression" dxfId="3629" priority="3683">
      <formula>IF(#REF!="FICTICIO",1,0)</formula>
    </cfRule>
  </conditionalFormatting>
  <conditionalFormatting sqref="E101">
    <cfRule type="expression" dxfId="3628" priority="3682">
      <formula>IF(#REF!="FICTICIO",1,0)</formula>
    </cfRule>
  </conditionalFormatting>
  <conditionalFormatting sqref="E101">
    <cfRule type="expression" dxfId="3627" priority="3681">
      <formula>IF(#REF!="FICTICIO",1,0)</formula>
    </cfRule>
  </conditionalFormatting>
  <conditionalFormatting sqref="E101">
    <cfRule type="expression" dxfId="3626" priority="3680">
      <formula>IF(#REF!="FICTICIO",1,0)</formula>
    </cfRule>
  </conditionalFormatting>
  <conditionalFormatting sqref="E101">
    <cfRule type="expression" dxfId="3625" priority="3679">
      <formula>IF(#REF!="FICTICIO",1,0)</formula>
    </cfRule>
  </conditionalFormatting>
  <conditionalFormatting sqref="E101">
    <cfRule type="expression" dxfId="3624" priority="3678">
      <formula>IF(#REF!="FICTICIO",1,0)</formula>
    </cfRule>
  </conditionalFormatting>
  <conditionalFormatting sqref="E101">
    <cfRule type="expression" dxfId="3623" priority="3677">
      <formula>IF(#REF!="FICTICIO",1,0)</formula>
    </cfRule>
  </conditionalFormatting>
  <conditionalFormatting sqref="E101">
    <cfRule type="expression" dxfId="3622" priority="3676">
      <formula>IF(#REF!="FICTICIO",1,0)</formula>
    </cfRule>
  </conditionalFormatting>
  <conditionalFormatting sqref="E101">
    <cfRule type="expression" dxfId="3621" priority="3675">
      <formula>IF(#REF!="FICTICIO",1,0)</formula>
    </cfRule>
  </conditionalFormatting>
  <conditionalFormatting sqref="E101">
    <cfRule type="expression" dxfId="3620" priority="3674">
      <formula>IF(#REF!="FICTICIO",1,0)</formula>
    </cfRule>
  </conditionalFormatting>
  <conditionalFormatting sqref="E101">
    <cfRule type="expression" dxfId="3619" priority="3673">
      <formula>IF(#REF!="FICTICIO",1,0)</formula>
    </cfRule>
  </conditionalFormatting>
  <conditionalFormatting sqref="E101">
    <cfRule type="expression" dxfId="3618" priority="3672">
      <formula>IF(#REF!="FICTICIO",1,0)</formula>
    </cfRule>
  </conditionalFormatting>
  <conditionalFormatting sqref="E101">
    <cfRule type="expression" dxfId="3617" priority="3671">
      <formula>IF(#REF!="FICTICIO",1,0)</formula>
    </cfRule>
  </conditionalFormatting>
  <conditionalFormatting sqref="E101">
    <cfRule type="expression" dxfId="3616" priority="3670">
      <formula>IF(#REF!="FICTICIO",1,0)</formula>
    </cfRule>
  </conditionalFormatting>
  <conditionalFormatting sqref="F102">
    <cfRule type="expression" dxfId="3615" priority="3669">
      <formula>IF(#REF!="FICTICIO",1,0)</formula>
    </cfRule>
  </conditionalFormatting>
  <conditionalFormatting sqref="E103">
    <cfRule type="expression" dxfId="3614" priority="3668">
      <formula>IF(#REF!="FICTICIO",1,0)</formula>
    </cfRule>
  </conditionalFormatting>
  <conditionalFormatting sqref="E103">
    <cfRule type="expression" dxfId="3613" priority="3667">
      <formula>IF(#REF!="FICTICIO",1,0)</formula>
    </cfRule>
  </conditionalFormatting>
  <conditionalFormatting sqref="E103">
    <cfRule type="expression" dxfId="3612" priority="3666">
      <formula>IF(#REF!="FICTICIO",1,0)</formula>
    </cfRule>
  </conditionalFormatting>
  <conditionalFormatting sqref="E104">
    <cfRule type="expression" dxfId="3611" priority="3665">
      <formula>IF(#REF!="FICTICIO",1,0)</formula>
    </cfRule>
  </conditionalFormatting>
  <conditionalFormatting sqref="E104">
    <cfRule type="expression" dxfId="3610" priority="3664">
      <formula>IF(#REF!="FICTICIO",1,0)</formula>
    </cfRule>
  </conditionalFormatting>
  <conditionalFormatting sqref="E104">
    <cfRule type="expression" dxfId="3609" priority="3663">
      <formula>IF(#REF!="FICTICIO",1,0)</formula>
    </cfRule>
  </conditionalFormatting>
  <conditionalFormatting sqref="E104">
    <cfRule type="expression" dxfId="3608" priority="3662">
      <formula>IF(#REF!="FICTICIO",1,0)</formula>
    </cfRule>
  </conditionalFormatting>
  <conditionalFormatting sqref="E104">
    <cfRule type="expression" dxfId="3607" priority="3661">
      <formula>IF(#REF!="FICTICIO",1,0)</formula>
    </cfRule>
  </conditionalFormatting>
  <conditionalFormatting sqref="E104">
    <cfRule type="expression" dxfId="3606" priority="3660">
      <formula>IF(#REF!="FICTICIO",1,0)</formula>
    </cfRule>
  </conditionalFormatting>
  <conditionalFormatting sqref="E104">
    <cfRule type="expression" dxfId="3605" priority="3659">
      <formula>IF(#REF!="FICTICIO",1,0)</formula>
    </cfRule>
  </conditionalFormatting>
  <conditionalFormatting sqref="E104">
    <cfRule type="expression" dxfId="3604" priority="3658">
      <formula>IF(#REF!="FICTICIO",1,0)</formula>
    </cfRule>
  </conditionalFormatting>
  <conditionalFormatting sqref="E104">
    <cfRule type="expression" dxfId="3603" priority="3657">
      <formula>IF(#REF!="FICTICIO",1,0)</formula>
    </cfRule>
  </conditionalFormatting>
  <conditionalFormatting sqref="E104">
    <cfRule type="expression" dxfId="3602" priority="3656">
      <formula>IF(#REF!="FICTICIO",1,0)</formula>
    </cfRule>
  </conditionalFormatting>
  <conditionalFormatting sqref="F104">
    <cfRule type="expression" dxfId="3601" priority="3654">
      <formula>IF(#REF!="FICTICIO",1,0)</formula>
    </cfRule>
  </conditionalFormatting>
  <conditionalFormatting sqref="F104">
    <cfRule type="expression" dxfId="3600" priority="3655">
      <formula>IF(#REF!="FICTICIO",1,0)</formula>
    </cfRule>
  </conditionalFormatting>
  <conditionalFormatting sqref="E104">
    <cfRule type="expression" dxfId="3599" priority="3653">
      <formula>IF(#REF!="FICTICIO",1,0)</formula>
    </cfRule>
  </conditionalFormatting>
  <conditionalFormatting sqref="E104">
    <cfRule type="expression" dxfId="3598" priority="3652">
      <formula>IF(#REF!="FICTICIO",1,0)</formula>
    </cfRule>
  </conditionalFormatting>
  <conditionalFormatting sqref="E104">
    <cfRule type="expression" dxfId="3597" priority="3651">
      <formula>IF(#REF!="FICTICIO",1,0)</formula>
    </cfRule>
  </conditionalFormatting>
  <conditionalFormatting sqref="E104">
    <cfRule type="expression" dxfId="3596" priority="3650">
      <formula>IF(#REF!="FICTICIO",1,0)</formula>
    </cfRule>
  </conditionalFormatting>
  <conditionalFormatting sqref="E104">
    <cfRule type="expression" dxfId="3595" priority="3649">
      <formula>IF(#REF!="FICTICIO",1,0)</formula>
    </cfRule>
  </conditionalFormatting>
  <conditionalFormatting sqref="E104">
    <cfRule type="expression" dxfId="3594" priority="3648">
      <formula>IF(#REF!="FICTICIO",1,0)</formula>
    </cfRule>
  </conditionalFormatting>
  <conditionalFormatting sqref="E104">
    <cfRule type="expression" dxfId="3593" priority="3647">
      <formula>IF(#REF!="FICTICIO",1,0)</formula>
    </cfRule>
  </conditionalFormatting>
  <conditionalFormatting sqref="E104">
    <cfRule type="expression" dxfId="3592" priority="3646">
      <formula>IF(#REF!="FICTICIO",1,0)</formula>
    </cfRule>
  </conditionalFormatting>
  <conditionalFormatting sqref="E104">
    <cfRule type="expression" dxfId="3591" priority="3645">
      <formula>IF(#REF!="FICTICIO",1,0)</formula>
    </cfRule>
  </conditionalFormatting>
  <conditionalFormatting sqref="D104">
    <cfRule type="expression" dxfId="3590" priority="3643">
      <formula>IF(#REF!="FICTICIO",1,0)</formula>
    </cfRule>
  </conditionalFormatting>
  <conditionalFormatting sqref="D104">
    <cfRule type="expression" dxfId="3589" priority="3644">
      <formula>IF(#REF!="FICTICIO",1,0)</formula>
    </cfRule>
  </conditionalFormatting>
  <conditionalFormatting sqref="D104">
    <cfRule type="expression" dxfId="3588" priority="3641">
      <formula>IF(#REF!="FICTICIO",1,0)</formula>
    </cfRule>
  </conditionalFormatting>
  <conditionalFormatting sqref="D104">
    <cfRule type="expression" dxfId="3587" priority="3642">
      <formula>IF(#REF!="FICTICIO",1,0)</formula>
    </cfRule>
  </conditionalFormatting>
  <conditionalFormatting sqref="E104">
    <cfRule type="expression" dxfId="3586" priority="3640">
      <formula>IF(#REF!="FICTICIO",1,0)</formula>
    </cfRule>
  </conditionalFormatting>
  <conditionalFormatting sqref="E104">
    <cfRule type="expression" dxfId="3585" priority="3639">
      <formula>IF(#REF!="FICTICIO",1,0)</formula>
    </cfRule>
  </conditionalFormatting>
  <conditionalFormatting sqref="E104">
    <cfRule type="expression" dxfId="3584" priority="3638">
      <formula>IF(#REF!="FICTICIO",1,0)</formula>
    </cfRule>
  </conditionalFormatting>
  <conditionalFormatting sqref="F110">
    <cfRule type="expression" dxfId="3583" priority="3636">
      <formula>IF(#REF!="FICTICIO",1,0)</formula>
    </cfRule>
  </conditionalFormatting>
  <conditionalFormatting sqref="F110">
    <cfRule type="expression" dxfId="3582" priority="3637">
      <formula>IF(#REF!="FICTICIO",1,0)</formula>
    </cfRule>
  </conditionalFormatting>
  <conditionalFormatting sqref="F112">
    <cfRule type="expression" dxfId="3581" priority="3635">
      <formula>IF(#REF!="FICTICIO",1,0)</formula>
    </cfRule>
  </conditionalFormatting>
  <conditionalFormatting sqref="F111">
    <cfRule type="expression" dxfId="3580" priority="3633">
      <formula>IF(#REF!="FICTICIO",1,0)</formula>
    </cfRule>
  </conditionalFormatting>
  <conditionalFormatting sqref="F111">
    <cfRule type="expression" dxfId="3579" priority="3634">
      <formula>IF(#REF!="FICTICIO",1,0)</formula>
    </cfRule>
  </conditionalFormatting>
  <conditionalFormatting sqref="F115">
    <cfRule type="expression" dxfId="3578" priority="3632">
      <formula>IF(#REF!="FICTICIO",1,0)</formula>
    </cfRule>
  </conditionalFormatting>
  <conditionalFormatting sqref="F115">
    <cfRule type="expression" dxfId="3577" priority="3631">
      <formula>IF(#REF!="FICTICIO",1,0)</formula>
    </cfRule>
  </conditionalFormatting>
  <conditionalFormatting sqref="F116">
    <cfRule type="expression" dxfId="3576" priority="3630">
      <formula>IF(#REF!="FICTICIO",1,0)</formula>
    </cfRule>
  </conditionalFormatting>
  <conditionalFormatting sqref="F116">
    <cfRule type="expression" dxfId="3575" priority="3629">
      <formula>IF(#REF!="FICTICIO",1,0)</formula>
    </cfRule>
  </conditionalFormatting>
  <conditionalFormatting sqref="F111">
    <cfRule type="expression" dxfId="3574" priority="3627">
      <formula>IF(#REF!="FICTICIO",1,0)</formula>
    </cfRule>
  </conditionalFormatting>
  <conditionalFormatting sqref="F111">
    <cfRule type="expression" dxfId="3573" priority="3628">
      <formula>IF(#REF!="FICTICIO",1,0)</formula>
    </cfRule>
  </conditionalFormatting>
  <conditionalFormatting sqref="F110">
    <cfRule type="expression" dxfId="3572" priority="3625">
      <formula>IF(#REF!="FICTICIO",1,0)</formula>
    </cfRule>
  </conditionalFormatting>
  <conditionalFormatting sqref="F110">
    <cfRule type="expression" dxfId="3571" priority="3626">
      <formula>IF(#REF!="FICTICIO",1,0)</formula>
    </cfRule>
  </conditionalFormatting>
  <conditionalFormatting sqref="F112">
    <cfRule type="expression" dxfId="3570" priority="3622">
      <formula>IF(#REF!="FICTICIO",1,0)</formula>
    </cfRule>
  </conditionalFormatting>
  <conditionalFormatting sqref="F112">
    <cfRule type="expression" dxfId="3569" priority="3623">
      <formula>IF(#REF!="FICTICIO",1,0)</formula>
    </cfRule>
  </conditionalFormatting>
  <conditionalFormatting sqref="F116">
    <cfRule type="expression" dxfId="3568" priority="3621">
      <formula>IF(#REF!="FICTICIO",1,0)</formula>
    </cfRule>
  </conditionalFormatting>
  <conditionalFormatting sqref="F116">
    <cfRule type="expression" dxfId="3567" priority="3620">
      <formula>IF(#REF!="FICTICIO",1,0)</formula>
    </cfRule>
  </conditionalFormatting>
  <conditionalFormatting sqref="E93">
    <cfRule type="expression" dxfId="3566" priority="3619">
      <formula>IF(#REF!="FICTICIO",1,0)</formula>
    </cfRule>
  </conditionalFormatting>
  <conditionalFormatting sqref="E93">
    <cfRule type="expression" dxfId="3565" priority="3618">
      <formula>IF(#REF!="FICTICIO",1,0)</formula>
    </cfRule>
  </conditionalFormatting>
  <conditionalFormatting sqref="E93">
    <cfRule type="expression" dxfId="3564" priority="3617">
      <formula>IF(#REF!="FICTICIO",1,0)</formula>
    </cfRule>
  </conditionalFormatting>
  <conditionalFormatting sqref="E93">
    <cfRule type="expression" dxfId="3563" priority="3616">
      <formula>IF(#REF!="FICTICIO",1,0)</formula>
    </cfRule>
  </conditionalFormatting>
  <conditionalFormatting sqref="E93">
    <cfRule type="expression" dxfId="3562" priority="3615">
      <formula>IF(#REF!="FICTICIO",1,0)</formula>
    </cfRule>
  </conditionalFormatting>
  <conditionalFormatting sqref="E93">
    <cfRule type="expression" dxfId="3561" priority="3614">
      <formula>IF(#REF!="FICTICIO",1,0)</formula>
    </cfRule>
  </conditionalFormatting>
  <conditionalFormatting sqref="E93">
    <cfRule type="expression" dxfId="3560" priority="3613">
      <formula>IF(#REF!="FICTICIO",1,0)</formula>
    </cfRule>
  </conditionalFormatting>
  <conditionalFormatting sqref="E93">
    <cfRule type="expression" dxfId="3559" priority="3612">
      <formula>IF(#REF!="FICTICIO",1,0)</formula>
    </cfRule>
  </conditionalFormatting>
  <conditionalFormatting sqref="E93">
    <cfRule type="expression" dxfId="3558" priority="3611">
      <formula>IF(#REF!="FICTICIO",1,0)</formula>
    </cfRule>
  </conditionalFormatting>
  <conditionalFormatting sqref="E93">
    <cfRule type="expression" dxfId="3557" priority="3610">
      <formula>IF(#REF!="FICTICIO",1,0)</formula>
    </cfRule>
  </conditionalFormatting>
  <conditionalFormatting sqref="F93">
    <cfRule type="expression" dxfId="3556" priority="3609">
      <formula>IF(#REF!="FICTICIO",1,0)</formula>
    </cfRule>
  </conditionalFormatting>
  <conditionalFormatting sqref="E93">
    <cfRule type="expression" dxfId="3555" priority="3608">
      <formula>IF(#REF!="FICTICIO",1,0)</formula>
    </cfRule>
  </conditionalFormatting>
  <conditionalFormatting sqref="E93">
    <cfRule type="expression" dxfId="3554" priority="3607">
      <formula>IF(#REF!="FICTICIO",1,0)</formula>
    </cfRule>
  </conditionalFormatting>
  <conditionalFormatting sqref="E93">
    <cfRule type="expression" dxfId="3553" priority="3606">
      <formula>IF(#REF!="FICTICIO",1,0)</formula>
    </cfRule>
  </conditionalFormatting>
  <conditionalFormatting sqref="E93">
    <cfRule type="expression" dxfId="3552" priority="3605">
      <formula>IF(#REF!="FICTICIO",1,0)</formula>
    </cfRule>
  </conditionalFormatting>
  <conditionalFormatting sqref="E93">
    <cfRule type="expression" dxfId="3551" priority="3604">
      <formula>IF(#REF!="FICTICIO",1,0)</formula>
    </cfRule>
  </conditionalFormatting>
  <conditionalFormatting sqref="E93">
    <cfRule type="expression" dxfId="3550" priority="3603">
      <formula>IF(#REF!="FICTICIO",1,0)</formula>
    </cfRule>
  </conditionalFormatting>
  <conditionalFormatting sqref="E93">
    <cfRule type="expression" dxfId="3549" priority="3602">
      <formula>IF(#REF!="FICTICIO",1,0)</formula>
    </cfRule>
  </conditionalFormatting>
  <conditionalFormatting sqref="E93">
    <cfRule type="expression" dxfId="3548" priority="3601">
      <formula>IF(#REF!="FICTICIO",1,0)</formula>
    </cfRule>
  </conditionalFormatting>
  <conditionalFormatting sqref="E93">
    <cfRule type="expression" dxfId="3547" priority="3600">
      <formula>IF(#REF!="FICTICIO",1,0)</formula>
    </cfRule>
  </conditionalFormatting>
  <conditionalFormatting sqref="D93">
    <cfRule type="expression" dxfId="3546" priority="3598">
      <formula>IF(#REF!="FICTICIO",1,0)</formula>
    </cfRule>
  </conditionalFormatting>
  <conditionalFormatting sqref="D93">
    <cfRule type="expression" dxfId="3545" priority="3599">
      <formula>IF(#REF!="FICTICIO",1,0)</formula>
    </cfRule>
  </conditionalFormatting>
  <conditionalFormatting sqref="D93">
    <cfRule type="expression" dxfId="3544" priority="3596">
      <formula>IF(#REF!="FICTICIO",1,0)</formula>
    </cfRule>
  </conditionalFormatting>
  <conditionalFormatting sqref="D93">
    <cfRule type="expression" dxfId="3543" priority="3597">
      <formula>IF(#REF!="FICTICIO",1,0)</formula>
    </cfRule>
  </conditionalFormatting>
  <conditionalFormatting sqref="E93">
    <cfRule type="expression" dxfId="3542" priority="3595">
      <formula>IF(#REF!="FICTICIO",1,0)</formula>
    </cfRule>
  </conditionalFormatting>
  <conditionalFormatting sqref="E93">
    <cfRule type="expression" dxfId="3541" priority="3594">
      <formula>IF(#REF!="FICTICIO",1,0)</formula>
    </cfRule>
  </conditionalFormatting>
  <conditionalFormatting sqref="E93">
    <cfRule type="expression" dxfId="3540" priority="3593">
      <formula>IF(#REF!="FICTICIO",1,0)</formula>
    </cfRule>
  </conditionalFormatting>
  <conditionalFormatting sqref="E93">
    <cfRule type="expression" dxfId="3539" priority="3592">
      <formula>IF(#REF!="FICTICIO",1,0)</formula>
    </cfRule>
  </conditionalFormatting>
  <conditionalFormatting sqref="E93">
    <cfRule type="expression" dxfId="3538" priority="3591">
      <formula>IF(#REF!="FICTICIO",1,0)</formula>
    </cfRule>
  </conditionalFormatting>
  <conditionalFormatting sqref="E93">
    <cfRule type="expression" dxfId="3537" priority="3590">
      <formula>IF(#REF!="FICTICIO",1,0)</formula>
    </cfRule>
  </conditionalFormatting>
  <conditionalFormatting sqref="E93">
    <cfRule type="expression" dxfId="3536" priority="3589">
      <formula>IF(#REF!="FICTICIO",1,0)</formula>
    </cfRule>
  </conditionalFormatting>
  <conditionalFormatting sqref="E93">
    <cfRule type="expression" dxfId="3535" priority="3588">
      <formula>IF(#REF!="FICTICIO",1,0)</formula>
    </cfRule>
  </conditionalFormatting>
  <conditionalFormatting sqref="E93">
    <cfRule type="expression" dxfId="3534" priority="3587">
      <formula>IF(#REF!="FICTICIO",1,0)</formula>
    </cfRule>
  </conditionalFormatting>
  <conditionalFormatting sqref="E93">
    <cfRule type="expression" dxfId="3533" priority="3586">
      <formula>IF(#REF!="FICTICIO",1,0)</formula>
    </cfRule>
  </conditionalFormatting>
  <conditionalFormatting sqref="E93">
    <cfRule type="expression" dxfId="3532" priority="3585">
      <formula>IF(#REF!="FICTICIO",1,0)</formula>
    </cfRule>
  </conditionalFormatting>
  <conditionalFormatting sqref="E93">
    <cfRule type="expression" dxfId="3531" priority="3584">
      <formula>IF(#REF!="FICTICIO",1,0)</formula>
    </cfRule>
  </conditionalFormatting>
  <conditionalFormatting sqref="E93">
    <cfRule type="expression" dxfId="3530" priority="3583">
      <formula>IF(#REF!="FICTICIO",1,0)</formula>
    </cfRule>
  </conditionalFormatting>
  <conditionalFormatting sqref="D93">
    <cfRule type="expression" dxfId="3529" priority="3581">
      <formula>IF(#REF!="FICTICIO",1,0)</formula>
    </cfRule>
  </conditionalFormatting>
  <conditionalFormatting sqref="D93">
    <cfRule type="expression" dxfId="3528" priority="3582">
      <formula>IF(#REF!="FICTICIO",1,0)</formula>
    </cfRule>
  </conditionalFormatting>
  <conditionalFormatting sqref="D93">
    <cfRule type="expression" dxfId="3527" priority="3579">
      <formula>IF(#REF!="FICTICIO",1,0)</formula>
    </cfRule>
  </conditionalFormatting>
  <conditionalFormatting sqref="D93">
    <cfRule type="expression" dxfId="3526" priority="3580">
      <formula>IF(#REF!="FICTICIO",1,0)</formula>
    </cfRule>
  </conditionalFormatting>
  <conditionalFormatting sqref="E93">
    <cfRule type="expression" dxfId="3525" priority="3578">
      <formula>IF(#REF!="FICTICIO",1,0)</formula>
    </cfRule>
  </conditionalFormatting>
  <conditionalFormatting sqref="E93">
    <cfRule type="expression" dxfId="3524" priority="3577">
      <formula>IF(#REF!="FICTICIO",1,0)</formula>
    </cfRule>
  </conditionalFormatting>
  <conditionalFormatting sqref="E93">
    <cfRule type="expression" dxfId="3523" priority="3576">
      <formula>IF(#REF!="FICTICIO",1,0)</formula>
    </cfRule>
  </conditionalFormatting>
  <conditionalFormatting sqref="F93">
    <cfRule type="expression" dxfId="3522" priority="3574">
      <formula>IF(#REF!="FICTICIO",1,0)</formula>
    </cfRule>
  </conditionalFormatting>
  <conditionalFormatting sqref="F93">
    <cfRule type="expression" dxfId="3521" priority="3575">
      <formula>IF(#REF!="FICTICIO",1,0)</formula>
    </cfRule>
  </conditionalFormatting>
  <conditionalFormatting sqref="E93">
    <cfRule type="expression" dxfId="3520" priority="3573">
      <formula>IF(#REF!="FICTICIO",1,0)</formula>
    </cfRule>
  </conditionalFormatting>
  <conditionalFormatting sqref="E93">
    <cfRule type="expression" dxfId="3519" priority="3572">
      <formula>IF(#REF!="FICTICIO",1,0)</formula>
    </cfRule>
  </conditionalFormatting>
  <conditionalFormatting sqref="E93">
    <cfRule type="expression" dxfId="3518" priority="3571">
      <formula>IF(#REF!="FICTICIO",1,0)</formula>
    </cfRule>
  </conditionalFormatting>
  <conditionalFormatting sqref="D93">
    <cfRule type="expression" dxfId="3517" priority="3569">
      <formula>IF(#REF!="FICTICIO",1,0)</formula>
    </cfRule>
  </conditionalFormatting>
  <conditionalFormatting sqref="D93">
    <cfRule type="expression" dxfId="3516" priority="3570">
      <formula>IF(#REF!="FICTICIO",1,0)</formula>
    </cfRule>
  </conditionalFormatting>
  <conditionalFormatting sqref="D93">
    <cfRule type="expression" dxfId="3515" priority="3567">
      <formula>IF(#REF!="FICTICIO",1,0)</formula>
    </cfRule>
  </conditionalFormatting>
  <conditionalFormatting sqref="D93">
    <cfRule type="expression" dxfId="3514" priority="3568">
      <formula>IF(#REF!="FICTICIO",1,0)</formula>
    </cfRule>
  </conditionalFormatting>
  <conditionalFormatting sqref="D93">
    <cfRule type="expression" dxfId="3513" priority="3565">
      <formula>IF(#REF!="FICTICIO",1,0)</formula>
    </cfRule>
  </conditionalFormatting>
  <conditionalFormatting sqref="D93">
    <cfRule type="expression" dxfId="3512" priority="3566">
      <formula>IF(#REF!="FICTICIO",1,0)</formula>
    </cfRule>
  </conditionalFormatting>
  <conditionalFormatting sqref="D93">
    <cfRule type="expression" dxfId="3511" priority="3563">
      <formula>IF(#REF!="FICTICIO",1,0)</formula>
    </cfRule>
  </conditionalFormatting>
  <conditionalFormatting sqref="D93">
    <cfRule type="expression" dxfId="3510" priority="3564">
      <formula>IF(#REF!="FICTICIO",1,0)</formula>
    </cfRule>
  </conditionalFormatting>
  <conditionalFormatting sqref="E93">
    <cfRule type="expression" dxfId="3509" priority="3562">
      <formula>IF(#REF!="FICTICIO",1,0)</formula>
    </cfRule>
  </conditionalFormatting>
  <conditionalFormatting sqref="E93">
    <cfRule type="expression" dxfId="3508" priority="3561">
      <formula>IF(#REF!="FICTICIO",1,0)</formula>
    </cfRule>
  </conditionalFormatting>
  <conditionalFormatting sqref="E93">
    <cfRule type="expression" dxfId="3507" priority="3560">
      <formula>IF(#REF!="FICTICIO",1,0)</formula>
    </cfRule>
  </conditionalFormatting>
  <conditionalFormatting sqref="E93">
    <cfRule type="expression" dxfId="3506" priority="3559">
      <formula>IF(#REF!="FICTICIO",1,0)</formula>
    </cfRule>
  </conditionalFormatting>
  <conditionalFormatting sqref="E93">
    <cfRule type="expression" dxfId="3505" priority="3558">
      <formula>IF(#REF!="FICTICIO",1,0)</formula>
    </cfRule>
  </conditionalFormatting>
  <conditionalFormatting sqref="E93">
    <cfRule type="expression" dxfId="3504" priority="3557">
      <formula>IF(#REF!="FICTICIO",1,0)</formula>
    </cfRule>
  </conditionalFormatting>
  <conditionalFormatting sqref="E93">
    <cfRule type="expression" dxfId="3503" priority="3556">
      <formula>IF(#REF!="FICTICIO",1,0)</formula>
    </cfRule>
  </conditionalFormatting>
  <conditionalFormatting sqref="E93">
    <cfRule type="expression" dxfId="3502" priority="3555">
      <formula>IF(#REF!="FICTICIO",1,0)</formula>
    </cfRule>
  </conditionalFormatting>
  <conditionalFormatting sqref="E93">
    <cfRule type="expression" dxfId="3501" priority="3554">
      <formula>IF(#REF!="FICTICIO",1,0)</formula>
    </cfRule>
  </conditionalFormatting>
  <conditionalFormatting sqref="E93">
    <cfRule type="expression" dxfId="3500" priority="3553">
      <formula>IF(#REF!="FICTICIO",1,0)</formula>
    </cfRule>
  </conditionalFormatting>
  <conditionalFormatting sqref="E93">
    <cfRule type="expression" dxfId="3499" priority="3552">
      <formula>IF(#REF!="FICTICIO",1,0)</formula>
    </cfRule>
  </conditionalFormatting>
  <conditionalFormatting sqref="E93">
    <cfRule type="expression" dxfId="3498" priority="3551">
      <formula>IF(#REF!="FICTICIO",1,0)</formula>
    </cfRule>
  </conditionalFormatting>
  <conditionalFormatting sqref="E93">
    <cfRule type="expression" dxfId="3497" priority="3550">
      <formula>IF(#REF!="FICTICIO",1,0)</formula>
    </cfRule>
  </conditionalFormatting>
  <conditionalFormatting sqref="E93">
    <cfRule type="expression" dxfId="3496" priority="3549">
      <formula>IF(#REF!="FICTICIO",1,0)</formula>
    </cfRule>
  </conditionalFormatting>
  <conditionalFormatting sqref="E93">
    <cfRule type="expression" dxfId="3495" priority="3548">
      <formula>IF(#REF!="FICTICIO",1,0)</formula>
    </cfRule>
  </conditionalFormatting>
  <conditionalFormatting sqref="E93">
    <cfRule type="expression" dxfId="3494" priority="3547">
      <formula>IF(#REF!="FICTICIO",1,0)</formula>
    </cfRule>
  </conditionalFormatting>
  <conditionalFormatting sqref="E93">
    <cfRule type="expression" dxfId="3493" priority="3546">
      <formula>IF(#REF!="FICTICIO",1,0)</formula>
    </cfRule>
  </conditionalFormatting>
  <conditionalFormatting sqref="E93">
    <cfRule type="expression" dxfId="3492" priority="3545">
      <formula>IF(#REF!="FICTICIO",1,0)</formula>
    </cfRule>
  </conditionalFormatting>
  <conditionalFormatting sqref="E93">
    <cfRule type="expression" dxfId="3491" priority="3544">
      <formula>IF(#REF!="FICTICIO",1,0)</formula>
    </cfRule>
  </conditionalFormatting>
  <conditionalFormatting sqref="E93">
    <cfRule type="expression" dxfId="3490" priority="3543">
      <formula>IF(#REF!="FICTICIO",1,0)</formula>
    </cfRule>
  </conditionalFormatting>
  <conditionalFormatting sqref="E93">
    <cfRule type="expression" dxfId="3489" priority="3542">
      <formula>IF(#REF!="FICTICIO",1,0)</formula>
    </cfRule>
  </conditionalFormatting>
  <conditionalFormatting sqref="E93">
    <cfRule type="expression" dxfId="3488" priority="3541">
      <formula>IF(#REF!="FICTICIO",1,0)</formula>
    </cfRule>
  </conditionalFormatting>
  <conditionalFormatting sqref="E93">
    <cfRule type="expression" dxfId="3487" priority="3540">
      <formula>IF(#REF!="FICTICIO",1,0)</formula>
    </cfRule>
  </conditionalFormatting>
  <conditionalFormatting sqref="E93">
    <cfRule type="expression" dxfId="3486" priority="3539">
      <formula>IF(#REF!="FICTICIO",1,0)</formula>
    </cfRule>
  </conditionalFormatting>
  <conditionalFormatting sqref="E93">
    <cfRule type="expression" dxfId="3485" priority="3538">
      <formula>IF(#REF!="FICTICIO",1,0)</formula>
    </cfRule>
  </conditionalFormatting>
  <conditionalFormatting sqref="E93">
    <cfRule type="expression" dxfId="3484" priority="3537">
      <formula>IF(#REF!="FICTICIO",1,0)</formula>
    </cfRule>
  </conditionalFormatting>
  <conditionalFormatting sqref="E93">
    <cfRule type="expression" dxfId="3483" priority="3536">
      <formula>IF(#REF!="FICTICIO",1,0)</formula>
    </cfRule>
  </conditionalFormatting>
  <conditionalFormatting sqref="E93">
    <cfRule type="expression" dxfId="3482" priority="3535">
      <formula>IF(#REF!="FICTICIO",1,0)</formula>
    </cfRule>
  </conditionalFormatting>
  <conditionalFormatting sqref="E93">
    <cfRule type="expression" dxfId="3481" priority="3534">
      <formula>IF(#REF!="FICTICIO",1,0)</formula>
    </cfRule>
  </conditionalFormatting>
  <conditionalFormatting sqref="E93">
    <cfRule type="expression" dxfId="3480" priority="3533">
      <formula>IF(#REF!="FICTICIO",1,0)</formula>
    </cfRule>
  </conditionalFormatting>
  <conditionalFormatting sqref="E93">
    <cfRule type="expression" dxfId="3479" priority="3532">
      <formula>IF(#REF!="FICTICIO",1,0)</formula>
    </cfRule>
  </conditionalFormatting>
  <conditionalFormatting sqref="E93">
    <cfRule type="expression" dxfId="3478" priority="3531">
      <formula>IF(#REF!="FICTICIO",1,0)</formula>
    </cfRule>
  </conditionalFormatting>
  <conditionalFormatting sqref="E93">
    <cfRule type="expression" dxfId="3477" priority="3530">
      <formula>IF(#REF!="FICTICIO",1,0)</formula>
    </cfRule>
  </conditionalFormatting>
  <conditionalFormatting sqref="E93">
    <cfRule type="expression" dxfId="3476" priority="3529">
      <formula>IF(#REF!="FICTICIO",1,0)</formula>
    </cfRule>
  </conditionalFormatting>
  <conditionalFormatting sqref="E93">
    <cfRule type="expression" dxfId="3475" priority="3528">
      <formula>IF(#REF!="FICTICIO",1,0)</formula>
    </cfRule>
  </conditionalFormatting>
  <conditionalFormatting sqref="E93">
    <cfRule type="expression" dxfId="3474" priority="3527">
      <formula>IF(#REF!="FICTICIO",1,0)</formula>
    </cfRule>
  </conditionalFormatting>
  <conditionalFormatting sqref="E93">
    <cfRule type="expression" dxfId="3473" priority="3526">
      <formula>IF(#REF!="FICTICIO",1,0)</formula>
    </cfRule>
  </conditionalFormatting>
  <conditionalFormatting sqref="E93">
    <cfRule type="expression" dxfId="3472" priority="3525">
      <formula>IF(#REF!="FICTICIO",1,0)</formula>
    </cfRule>
  </conditionalFormatting>
  <conditionalFormatting sqref="E117">
    <cfRule type="expression" dxfId="3471" priority="3524">
      <formula>IF(#REF!="FICTICIO",1,0)</formula>
    </cfRule>
  </conditionalFormatting>
  <conditionalFormatting sqref="E117">
    <cfRule type="expression" dxfId="3470" priority="3523">
      <formula>IF(#REF!="FICTICIO",1,0)</formula>
    </cfRule>
  </conditionalFormatting>
  <conditionalFormatting sqref="E117">
    <cfRule type="expression" dxfId="3469" priority="3522">
      <formula>IF(#REF!="FICTICIO",1,0)</formula>
    </cfRule>
  </conditionalFormatting>
  <conditionalFormatting sqref="E117">
    <cfRule type="expression" dxfId="3468" priority="3521">
      <formula>IF(#REF!="FICTICIO",1,0)</formula>
    </cfRule>
  </conditionalFormatting>
  <conditionalFormatting sqref="E117">
    <cfRule type="expression" dxfId="3467" priority="3520">
      <formula>IF(#REF!="FICTICIO",1,0)</formula>
    </cfRule>
  </conditionalFormatting>
  <conditionalFormatting sqref="E117">
    <cfRule type="expression" dxfId="3466" priority="3519">
      <formula>IF(#REF!="FICTICIO",1,0)</formula>
    </cfRule>
  </conditionalFormatting>
  <conditionalFormatting sqref="E117">
    <cfRule type="expression" dxfId="3465" priority="3518">
      <formula>IF(#REF!="FICTICIO",1,0)</formula>
    </cfRule>
  </conditionalFormatting>
  <conditionalFormatting sqref="E117">
    <cfRule type="expression" dxfId="3464" priority="3517">
      <formula>IF(#REF!="FICTICIO",1,0)</formula>
    </cfRule>
  </conditionalFormatting>
  <conditionalFormatting sqref="E117">
    <cfRule type="expression" dxfId="3463" priority="3516">
      <formula>IF(#REF!="FICTICIO",1,0)</formula>
    </cfRule>
  </conditionalFormatting>
  <conditionalFormatting sqref="E117">
    <cfRule type="expression" dxfId="3462" priority="3515">
      <formula>IF(#REF!="FICTICIO",1,0)</formula>
    </cfRule>
  </conditionalFormatting>
  <conditionalFormatting sqref="F117">
    <cfRule type="expression" dxfId="3461" priority="3514">
      <formula>IF(#REF!="FICTICIO",1,0)</formula>
    </cfRule>
  </conditionalFormatting>
  <conditionalFormatting sqref="E117">
    <cfRule type="expression" dxfId="3460" priority="3513">
      <formula>IF(#REF!="FICTICIO",1,0)</formula>
    </cfRule>
  </conditionalFormatting>
  <conditionalFormatting sqref="E117">
    <cfRule type="expression" dxfId="3459" priority="3512">
      <formula>IF(#REF!="FICTICIO",1,0)</formula>
    </cfRule>
  </conditionalFormatting>
  <conditionalFormatting sqref="E117">
    <cfRule type="expression" dxfId="3458" priority="3511">
      <formula>IF(#REF!="FICTICIO",1,0)</formula>
    </cfRule>
  </conditionalFormatting>
  <conditionalFormatting sqref="E117">
    <cfRule type="expression" dxfId="3457" priority="3510">
      <formula>IF(#REF!="FICTICIO",1,0)</formula>
    </cfRule>
  </conditionalFormatting>
  <conditionalFormatting sqref="E117">
    <cfRule type="expression" dxfId="3456" priority="3509">
      <formula>IF(#REF!="FICTICIO",1,0)</formula>
    </cfRule>
  </conditionalFormatting>
  <conditionalFormatting sqref="E117">
    <cfRule type="expression" dxfId="3455" priority="3508">
      <formula>IF(#REF!="FICTICIO",1,0)</formula>
    </cfRule>
  </conditionalFormatting>
  <conditionalFormatting sqref="E117">
    <cfRule type="expression" dxfId="3454" priority="3507">
      <formula>IF(#REF!="FICTICIO",1,0)</formula>
    </cfRule>
  </conditionalFormatting>
  <conditionalFormatting sqref="E117">
    <cfRule type="expression" dxfId="3453" priority="3506">
      <formula>IF(#REF!="FICTICIO",1,0)</formula>
    </cfRule>
  </conditionalFormatting>
  <conditionalFormatting sqref="E117">
    <cfRule type="expression" dxfId="3452" priority="3505">
      <formula>IF(#REF!="FICTICIO",1,0)</formula>
    </cfRule>
  </conditionalFormatting>
  <conditionalFormatting sqref="D117">
    <cfRule type="expression" dxfId="3451" priority="3503">
      <formula>IF(#REF!="FICTICIO",1,0)</formula>
    </cfRule>
  </conditionalFormatting>
  <conditionalFormatting sqref="D117">
    <cfRule type="expression" dxfId="3450" priority="3504">
      <formula>IF(#REF!="FICTICIO",1,0)</formula>
    </cfRule>
  </conditionalFormatting>
  <conditionalFormatting sqref="D117">
    <cfRule type="expression" dxfId="3449" priority="3501">
      <formula>IF(#REF!="FICTICIO",1,0)</formula>
    </cfRule>
  </conditionalFormatting>
  <conditionalFormatting sqref="D117">
    <cfRule type="expression" dxfId="3448" priority="3502">
      <formula>IF(#REF!="FICTICIO",1,0)</formula>
    </cfRule>
  </conditionalFormatting>
  <conditionalFormatting sqref="E117">
    <cfRule type="expression" dxfId="3447" priority="3500">
      <formula>IF(#REF!="FICTICIO",1,0)</formula>
    </cfRule>
  </conditionalFormatting>
  <conditionalFormatting sqref="E117">
    <cfRule type="expression" dxfId="3446" priority="3499">
      <formula>IF(#REF!="FICTICIO",1,0)</formula>
    </cfRule>
  </conditionalFormatting>
  <conditionalFormatting sqref="E117">
    <cfRule type="expression" dxfId="3445" priority="3498">
      <formula>IF(#REF!="FICTICIO",1,0)</formula>
    </cfRule>
  </conditionalFormatting>
  <conditionalFormatting sqref="E117">
    <cfRule type="expression" dxfId="3444" priority="3497">
      <formula>IF(#REF!="FICTICIO",1,0)</formula>
    </cfRule>
  </conditionalFormatting>
  <conditionalFormatting sqref="E117">
    <cfRule type="expression" dxfId="3443" priority="3496">
      <formula>IF(#REF!="FICTICIO",1,0)</formula>
    </cfRule>
  </conditionalFormatting>
  <conditionalFormatting sqref="E117">
    <cfRule type="expression" dxfId="3442" priority="3495">
      <formula>IF(#REF!="FICTICIO",1,0)</formula>
    </cfRule>
  </conditionalFormatting>
  <conditionalFormatting sqref="E117">
    <cfRule type="expression" dxfId="3441" priority="3494">
      <formula>IF(#REF!="FICTICIO",1,0)</formula>
    </cfRule>
  </conditionalFormatting>
  <conditionalFormatting sqref="E117">
    <cfRule type="expression" dxfId="3440" priority="3493">
      <formula>IF(#REF!="FICTICIO",1,0)</formula>
    </cfRule>
  </conditionalFormatting>
  <conditionalFormatting sqref="E117">
    <cfRule type="expression" dxfId="3439" priority="3492">
      <formula>IF(#REF!="FICTICIO",1,0)</formula>
    </cfRule>
  </conditionalFormatting>
  <conditionalFormatting sqref="E117">
    <cfRule type="expression" dxfId="3438" priority="3491">
      <formula>IF(#REF!="FICTICIO",1,0)</formula>
    </cfRule>
  </conditionalFormatting>
  <conditionalFormatting sqref="E117">
    <cfRule type="expression" dxfId="3437" priority="3490">
      <formula>IF(#REF!="FICTICIO",1,0)</formula>
    </cfRule>
  </conditionalFormatting>
  <conditionalFormatting sqref="E117">
    <cfRule type="expression" dxfId="3436" priority="3489">
      <formula>IF(#REF!="FICTICIO",1,0)</formula>
    </cfRule>
  </conditionalFormatting>
  <conditionalFormatting sqref="E117">
    <cfRule type="expression" dxfId="3435" priority="3488">
      <formula>IF(#REF!="FICTICIO",1,0)</formula>
    </cfRule>
  </conditionalFormatting>
  <conditionalFormatting sqref="D117">
    <cfRule type="expression" dxfId="3434" priority="3486">
      <formula>IF(#REF!="FICTICIO",1,0)</formula>
    </cfRule>
  </conditionalFormatting>
  <conditionalFormatting sqref="D117">
    <cfRule type="expression" dxfId="3433" priority="3487">
      <formula>IF(#REF!="FICTICIO",1,0)</formula>
    </cfRule>
  </conditionalFormatting>
  <conditionalFormatting sqref="D117">
    <cfRule type="expression" dxfId="3432" priority="3484">
      <formula>IF(#REF!="FICTICIO",1,0)</formula>
    </cfRule>
  </conditionalFormatting>
  <conditionalFormatting sqref="D117">
    <cfRule type="expression" dxfId="3431" priority="3485">
      <formula>IF(#REF!="FICTICIO",1,0)</formula>
    </cfRule>
  </conditionalFormatting>
  <conditionalFormatting sqref="E117">
    <cfRule type="expression" dxfId="3430" priority="3483">
      <formula>IF(#REF!="FICTICIO",1,0)</formula>
    </cfRule>
  </conditionalFormatting>
  <conditionalFormatting sqref="E117">
    <cfRule type="expression" dxfId="3429" priority="3482">
      <formula>IF(#REF!="FICTICIO",1,0)</formula>
    </cfRule>
  </conditionalFormatting>
  <conditionalFormatting sqref="E117">
    <cfRule type="expression" dxfId="3428" priority="3481">
      <formula>IF(#REF!="FICTICIO",1,0)</formula>
    </cfRule>
  </conditionalFormatting>
  <conditionalFormatting sqref="F117">
    <cfRule type="expression" dxfId="3427" priority="3479">
      <formula>IF(#REF!="FICTICIO",1,0)</formula>
    </cfRule>
  </conditionalFormatting>
  <conditionalFormatting sqref="F117">
    <cfRule type="expression" dxfId="3426" priority="3480">
      <formula>IF(#REF!="FICTICIO",1,0)</formula>
    </cfRule>
  </conditionalFormatting>
  <conditionalFormatting sqref="E117">
    <cfRule type="expression" dxfId="3425" priority="3478">
      <formula>IF(#REF!="FICTICIO",1,0)</formula>
    </cfRule>
  </conditionalFormatting>
  <conditionalFormatting sqref="E117">
    <cfRule type="expression" dxfId="3424" priority="3477">
      <formula>IF(#REF!="FICTICIO",1,0)</formula>
    </cfRule>
  </conditionalFormatting>
  <conditionalFormatting sqref="E117">
    <cfRule type="expression" dxfId="3423" priority="3476">
      <formula>IF(#REF!="FICTICIO",1,0)</formula>
    </cfRule>
  </conditionalFormatting>
  <conditionalFormatting sqref="D117">
    <cfRule type="expression" dxfId="3422" priority="3474">
      <formula>IF(#REF!="FICTICIO",1,0)</formula>
    </cfRule>
  </conditionalFormatting>
  <conditionalFormatting sqref="D117">
    <cfRule type="expression" dxfId="3421" priority="3475">
      <formula>IF(#REF!="FICTICIO",1,0)</formula>
    </cfRule>
  </conditionalFormatting>
  <conditionalFormatting sqref="D117">
    <cfRule type="expression" dxfId="3420" priority="3472">
      <formula>IF(#REF!="FICTICIO",1,0)</formula>
    </cfRule>
  </conditionalFormatting>
  <conditionalFormatting sqref="D117">
    <cfRule type="expression" dxfId="3419" priority="3473">
      <formula>IF(#REF!="FICTICIO",1,0)</formula>
    </cfRule>
  </conditionalFormatting>
  <conditionalFormatting sqref="D117">
    <cfRule type="expression" dxfId="3418" priority="3470">
      <formula>IF(#REF!="FICTICIO",1,0)</formula>
    </cfRule>
  </conditionalFormatting>
  <conditionalFormatting sqref="D117">
    <cfRule type="expression" dxfId="3417" priority="3471">
      <formula>IF(#REF!="FICTICIO",1,0)</formula>
    </cfRule>
  </conditionalFormatting>
  <conditionalFormatting sqref="D117">
    <cfRule type="expression" dxfId="3416" priority="3468">
      <formula>IF(#REF!="FICTICIO",1,0)</formula>
    </cfRule>
  </conditionalFormatting>
  <conditionalFormatting sqref="D117">
    <cfRule type="expression" dxfId="3415" priority="3469">
      <formula>IF(#REF!="FICTICIO",1,0)</formula>
    </cfRule>
  </conditionalFormatting>
  <conditionalFormatting sqref="E117">
    <cfRule type="expression" dxfId="3414" priority="3467">
      <formula>IF(#REF!="FICTICIO",1,0)</formula>
    </cfRule>
  </conditionalFormatting>
  <conditionalFormatting sqref="E117">
    <cfRule type="expression" dxfId="3413" priority="3466">
      <formula>IF(#REF!="FICTICIO",1,0)</formula>
    </cfRule>
  </conditionalFormatting>
  <conditionalFormatting sqref="E117">
    <cfRule type="expression" dxfId="3412" priority="3465">
      <formula>IF(#REF!="FICTICIO",1,0)</formula>
    </cfRule>
  </conditionalFormatting>
  <conditionalFormatting sqref="E117">
    <cfRule type="expression" dxfId="3411" priority="3464">
      <formula>IF(#REF!="FICTICIO",1,0)</formula>
    </cfRule>
  </conditionalFormatting>
  <conditionalFormatting sqref="E117">
    <cfRule type="expression" dxfId="3410" priority="3463">
      <formula>IF(#REF!="FICTICIO",1,0)</formula>
    </cfRule>
  </conditionalFormatting>
  <conditionalFormatting sqref="E117">
    <cfRule type="expression" dxfId="3409" priority="3462">
      <formula>IF(#REF!="FICTICIO",1,0)</formula>
    </cfRule>
  </conditionalFormatting>
  <conditionalFormatting sqref="E117">
    <cfRule type="expression" dxfId="3408" priority="3461">
      <formula>IF(#REF!="FICTICIO",1,0)</formula>
    </cfRule>
  </conditionalFormatting>
  <conditionalFormatting sqref="E117">
    <cfRule type="expression" dxfId="3407" priority="3460">
      <formula>IF(#REF!="FICTICIO",1,0)</formula>
    </cfRule>
  </conditionalFormatting>
  <conditionalFormatting sqref="E117">
    <cfRule type="expression" dxfId="3406" priority="3459">
      <formula>IF(#REF!="FICTICIO",1,0)</formula>
    </cfRule>
  </conditionalFormatting>
  <conditionalFormatting sqref="E117">
    <cfRule type="expression" dxfId="3405" priority="3458">
      <formula>IF(#REF!="FICTICIO",1,0)</formula>
    </cfRule>
  </conditionalFormatting>
  <conditionalFormatting sqref="E117">
    <cfRule type="expression" dxfId="3404" priority="3457">
      <formula>IF(#REF!="FICTICIO",1,0)</formula>
    </cfRule>
  </conditionalFormatting>
  <conditionalFormatting sqref="E117">
    <cfRule type="expression" dxfId="3403" priority="3456">
      <formula>IF(#REF!="FICTICIO",1,0)</formula>
    </cfRule>
  </conditionalFormatting>
  <conditionalFormatting sqref="E117">
    <cfRule type="expression" dxfId="3402" priority="3455">
      <formula>IF(#REF!="FICTICIO",1,0)</formula>
    </cfRule>
  </conditionalFormatting>
  <conditionalFormatting sqref="E117">
    <cfRule type="expression" dxfId="3401" priority="3454">
      <formula>IF(#REF!="FICTICIO",1,0)</formula>
    </cfRule>
  </conditionalFormatting>
  <conditionalFormatting sqref="E117">
    <cfRule type="expression" dxfId="3400" priority="3453">
      <formula>IF(#REF!="FICTICIO",1,0)</formula>
    </cfRule>
  </conditionalFormatting>
  <conditionalFormatting sqref="E117">
    <cfRule type="expression" dxfId="3399" priority="3452">
      <formula>IF(#REF!="FICTICIO",1,0)</formula>
    </cfRule>
  </conditionalFormatting>
  <conditionalFormatting sqref="E117">
    <cfRule type="expression" dxfId="3398" priority="3451">
      <formula>IF(#REF!="FICTICIO",1,0)</formula>
    </cfRule>
  </conditionalFormatting>
  <conditionalFormatting sqref="E117">
    <cfRule type="expression" dxfId="3397" priority="3450">
      <formula>IF(#REF!="FICTICIO",1,0)</formula>
    </cfRule>
  </conditionalFormatting>
  <conditionalFormatting sqref="E117">
    <cfRule type="expression" dxfId="3396" priority="3449">
      <formula>IF(#REF!="FICTICIO",1,0)</formula>
    </cfRule>
  </conditionalFormatting>
  <conditionalFormatting sqref="E117">
    <cfRule type="expression" dxfId="3395" priority="3448">
      <formula>IF(#REF!="FICTICIO",1,0)</formula>
    </cfRule>
  </conditionalFormatting>
  <conditionalFormatting sqref="E117">
    <cfRule type="expression" dxfId="3394" priority="3447">
      <formula>IF(#REF!="FICTICIO",1,0)</formula>
    </cfRule>
  </conditionalFormatting>
  <conditionalFormatting sqref="E117">
    <cfRule type="expression" dxfId="3393" priority="3446">
      <formula>IF(#REF!="FICTICIO",1,0)</formula>
    </cfRule>
  </conditionalFormatting>
  <conditionalFormatting sqref="E117">
    <cfRule type="expression" dxfId="3392" priority="3445">
      <formula>IF(#REF!="FICTICIO",1,0)</formula>
    </cfRule>
  </conditionalFormatting>
  <conditionalFormatting sqref="E117">
    <cfRule type="expression" dxfId="3391" priority="3444">
      <formula>IF(#REF!="FICTICIO",1,0)</formula>
    </cfRule>
  </conditionalFormatting>
  <conditionalFormatting sqref="E117">
    <cfRule type="expression" dxfId="3390" priority="3443">
      <formula>IF(#REF!="FICTICIO",1,0)</formula>
    </cfRule>
  </conditionalFormatting>
  <conditionalFormatting sqref="E117">
    <cfRule type="expression" dxfId="3389" priority="3442">
      <formula>IF(#REF!="FICTICIO",1,0)</formula>
    </cfRule>
  </conditionalFormatting>
  <conditionalFormatting sqref="E117">
    <cfRule type="expression" dxfId="3388" priority="3441">
      <formula>IF(#REF!="FICTICIO",1,0)</formula>
    </cfRule>
  </conditionalFormatting>
  <conditionalFormatting sqref="E117">
    <cfRule type="expression" dxfId="3387" priority="3440">
      <formula>IF(#REF!="FICTICIO",1,0)</formula>
    </cfRule>
  </conditionalFormatting>
  <conditionalFormatting sqref="E117">
    <cfRule type="expression" dxfId="3386" priority="3439">
      <formula>IF(#REF!="FICTICIO",1,0)</formula>
    </cfRule>
  </conditionalFormatting>
  <conditionalFormatting sqref="E117">
    <cfRule type="expression" dxfId="3385" priority="3438">
      <formula>IF(#REF!="FICTICIO",1,0)</formula>
    </cfRule>
  </conditionalFormatting>
  <conditionalFormatting sqref="E117">
    <cfRule type="expression" dxfId="3384" priority="3437">
      <formula>IF(#REF!="FICTICIO",1,0)</formula>
    </cfRule>
  </conditionalFormatting>
  <conditionalFormatting sqref="E117">
    <cfRule type="expression" dxfId="3383" priority="3436">
      <formula>IF(#REF!="FICTICIO",1,0)</formula>
    </cfRule>
  </conditionalFormatting>
  <conditionalFormatting sqref="E117">
    <cfRule type="expression" dxfId="3382" priority="3435">
      <formula>IF(#REF!="FICTICIO",1,0)</formula>
    </cfRule>
  </conditionalFormatting>
  <conditionalFormatting sqref="E117">
    <cfRule type="expression" dxfId="3381" priority="3434">
      <formula>IF(#REF!="FICTICIO",1,0)</formula>
    </cfRule>
  </conditionalFormatting>
  <conditionalFormatting sqref="E117">
    <cfRule type="expression" dxfId="3380" priority="3433">
      <formula>IF(#REF!="FICTICIO",1,0)</formula>
    </cfRule>
  </conditionalFormatting>
  <conditionalFormatting sqref="E117">
    <cfRule type="expression" dxfId="3379" priority="3432">
      <formula>IF(#REF!="FICTICIO",1,0)</formula>
    </cfRule>
  </conditionalFormatting>
  <conditionalFormatting sqref="E117">
    <cfRule type="expression" dxfId="3378" priority="3431">
      <formula>IF(#REF!="FICTICIO",1,0)</formula>
    </cfRule>
  </conditionalFormatting>
  <conditionalFormatting sqref="E117">
    <cfRule type="expression" dxfId="3377" priority="3430">
      <formula>IF(#REF!="FICTICIO",1,0)</formula>
    </cfRule>
  </conditionalFormatting>
  <conditionalFormatting sqref="E113">
    <cfRule type="expression" dxfId="3376" priority="3429">
      <formula>IF(#REF!="FICTICIO",1,0)</formula>
    </cfRule>
  </conditionalFormatting>
  <conditionalFormatting sqref="E113">
    <cfRule type="expression" dxfId="3375" priority="3428">
      <formula>IF(#REF!="FICTICIO",1,0)</formula>
    </cfRule>
  </conditionalFormatting>
  <conditionalFormatting sqref="E113">
    <cfRule type="expression" dxfId="3374" priority="3427">
      <formula>IF(#REF!="FICTICIO",1,0)</formula>
    </cfRule>
  </conditionalFormatting>
  <conditionalFormatting sqref="E113">
    <cfRule type="expression" dxfId="3373" priority="3426">
      <formula>IF(#REF!="FICTICIO",1,0)</formula>
    </cfRule>
  </conditionalFormatting>
  <conditionalFormatting sqref="E113">
    <cfRule type="expression" dxfId="3372" priority="3425">
      <formula>IF(#REF!="FICTICIO",1,0)</formula>
    </cfRule>
  </conditionalFormatting>
  <conditionalFormatting sqref="E113">
    <cfRule type="expression" dxfId="3371" priority="3424">
      <formula>IF(#REF!="FICTICIO",1,0)</formula>
    </cfRule>
  </conditionalFormatting>
  <conditionalFormatting sqref="E113">
    <cfRule type="expression" dxfId="3370" priority="3423">
      <formula>IF(#REF!="FICTICIO",1,0)</formula>
    </cfRule>
  </conditionalFormatting>
  <conditionalFormatting sqref="E113">
    <cfRule type="expression" dxfId="3369" priority="3422">
      <formula>IF(#REF!="FICTICIO",1,0)</formula>
    </cfRule>
  </conditionalFormatting>
  <conditionalFormatting sqref="E113">
    <cfRule type="expression" dxfId="3368" priority="3421">
      <formula>IF(#REF!="FICTICIO",1,0)</formula>
    </cfRule>
  </conditionalFormatting>
  <conditionalFormatting sqref="E113">
    <cfRule type="expression" dxfId="3367" priority="3420">
      <formula>IF(#REF!="FICTICIO",1,0)</formula>
    </cfRule>
  </conditionalFormatting>
  <conditionalFormatting sqref="F113">
    <cfRule type="expression" dxfId="3366" priority="3419">
      <formula>IF(#REF!="FICTICIO",1,0)</formula>
    </cfRule>
  </conditionalFormatting>
  <conditionalFormatting sqref="E113">
    <cfRule type="expression" dxfId="3365" priority="3418">
      <formula>IF(#REF!="FICTICIO",1,0)</formula>
    </cfRule>
  </conditionalFormatting>
  <conditionalFormatting sqref="E113">
    <cfRule type="expression" dxfId="3364" priority="3417">
      <formula>IF(#REF!="FICTICIO",1,0)</formula>
    </cfRule>
  </conditionalFormatting>
  <conditionalFormatting sqref="E113">
    <cfRule type="expression" dxfId="3363" priority="3416">
      <formula>IF(#REF!="FICTICIO",1,0)</formula>
    </cfRule>
  </conditionalFormatting>
  <conditionalFormatting sqref="E113">
    <cfRule type="expression" dxfId="3362" priority="3415">
      <formula>IF(#REF!="FICTICIO",1,0)</formula>
    </cfRule>
  </conditionalFormatting>
  <conditionalFormatting sqref="E113">
    <cfRule type="expression" dxfId="3361" priority="3414">
      <formula>IF(#REF!="FICTICIO",1,0)</formula>
    </cfRule>
  </conditionalFormatting>
  <conditionalFormatting sqref="E113">
    <cfRule type="expression" dxfId="3360" priority="3413">
      <formula>IF(#REF!="FICTICIO",1,0)</formula>
    </cfRule>
  </conditionalFormatting>
  <conditionalFormatting sqref="E113">
    <cfRule type="expression" dxfId="3359" priority="3412">
      <formula>IF(#REF!="FICTICIO",1,0)</formula>
    </cfRule>
  </conditionalFormatting>
  <conditionalFormatting sqref="E113">
    <cfRule type="expression" dxfId="3358" priority="3411">
      <formula>IF(#REF!="FICTICIO",1,0)</formula>
    </cfRule>
  </conditionalFormatting>
  <conditionalFormatting sqref="E113">
    <cfRule type="expression" dxfId="3357" priority="3410">
      <formula>IF(#REF!="FICTICIO",1,0)</formula>
    </cfRule>
  </conditionalFormatting>
  <conditionalFormatting sqref="D113">
    <cfRule type="expression" dxfId="3356" priority="3408">
      <formula>IF(#REF!="FICTICIO",1,0)</formula>
    </cfRule>
  </conditionalFormatting>
  <conditionalFormatting sqref="D113">
    <cfRule type="expression" dxfId="3355" priority="3409">
      <formula>IF(#REF!="FICTICIO",1,0)</formula>
    </cfRule>
  </conditionalFormatting>
  <conditionalFormatting sqref="D113">
    <cfRule type="expression" dxfId="3354" priority="3406">
      <formula>IF(#REF!="FICTICIO",1,0)</formula>
    </cfRule>
  </conditionalFormatting>
  <conditionalFormatting sqref="D113">
    <cfRule type="expression" dxfId="3353" priority="3407">
      <formula>IF(#REF!="FICTICIO",1,0)</formula>
    </cfRule>
  </conditionalFormatting>
  <conditionalFormatting sqref="E113">
    <cfRule type="expression" dxfId="3352" priority="3405">
      <formula>IF(#REF!="FICTICIO",1,0)</formula>
    </cfRule>
  </conditionalFormatting>
  <conditionalFormatting sqref="E113">
    <cfRule type="expression" dxfId="3351" priority="3404">
      <formula>IF(#REF!="FICTICIO",1,0)</formula>
    </cfRule>
  </conditionalFormatting>
  <conditionalFormatting sqref="E113">
    <cfRule type="expression" dxfId="3350" priority="3403">
      <formula>IF(#REF!="FICTICIO",1,0)</formula>
    </cfRule>
  </conditionalFormatting>
  <conditionalFormatting sqref="E113">
    <cfRule type="expression" dxfId="3349" priority="3402">
      <formula>IF(#REF!="FICTICIO",1,0)</formula>
    </cfRule>
  </conditionalFormatting>
  <conditionalFormatting sqref="E113">
    <cfRule type="expression" dxfId="3348" priority="3401">
      <formula>IF(#REF!="FICTICIO",1,0)</formula>
    </cfRule>
  </conditionalFormatting>
  <conditionalFormatting sqref="E113">
    <cfRule type="expression" dxfId="3347" priority="3400">
      <formula>IF(#REF!="FICTICIO",1,0)</formula>
    </cfRule>
  </conditionalFormatting>
  <conditionalFormatting sqref="E113">
    <cfRule type="expression" dxfId="3346" priority="3399">
      <formula>IF(#REF!="FICTICIO",1,0)</formula>
    </cfRule>
  </conditionalFormatting>
  <conditionalFormatting sqref="E113">
    <cfRule type="expression" dxfId="3345" priority="3398">
      <formula>IF(#REF!="FICTICIO",1,0)</formula>
    </cfRule>
  </conditionalFormatting>
  <conditionalFormatting sqref="E113">
    <cfRule type="expression" dxfId="3344" priority="3397">
      <formula>IF(#REF!="FICTICIO",1,0)</formula>
    </cfRule>
  </conditionalFormatting>
  <conditionalFormatting sqref="E113">
    <cfRule type="expression" dxfId="3343" priority="3396">
      <formula>IF(#REF!="FICTICIO",1,0)</formula>
    </cfRule>
  </conditionalFormatting>
  <conditionalFormatting sqref="E113">
    <cfRule type="expression" dxfId="3342" priority="3395">
      <formula>IF(#REF!="FICTICIO",1,0)</formula>
    </cfRule>
  </conditionalFormatting>
  <conditionalFormatting sqref="E113">
    <cfRule type="expression" dxfId="3341" priority="3394">
      <formula>IF(#REF!="FICTICIO",1,0)</formula>
    </cfRule>
  </conditionalFormatting>
  <conditionalFormatting sqref="E113">
    <cfRule type="expression" dxfId="3340" priority="3393">
      <formula>IF(#REF!="FICTICIO",1,0)</formula>
    </cfRule>
  </conditionalFormatting>
  <conditionalFormatting sqref="D113">
    <cfRule type="expression" dxfId="3339" priority="3391">
      <formula>IF(#REF!="FICTICIO",1,0)</formula>
    </cfRule>
  </conditionalFormatting>
  <conditionalFormatting sqref="D113">
    <cfRule type="expression" dxfId="3338" priority="3392">
      <formula>IF(#REF!="FICTICIO",1,0)</formula>
    </cfRule>
  </conditionalFormatting>
  <conditionalFormatting sqref="D113">
    <cfRule type="expression" dxfId="3337" priority="3389">
      <formula>IF(#REF!="FICTICIO",1,0)</formula>
    </cfRule>
  </conditionalFormatting>
  <conditionalFormatting sqref="D113">
    <cfRule type="expression" dxfId="3336" priority="3390">
      <formula>IF(#REF!="FICTICIO",1,0)</formula>
    </cfRule>
  </conditionalFormatting>
  <conditionalFormatting sqref="F113">
    <cfRule type="expression" dxfId="3335" priority="3388">
      <formula>IF(#REF!="FICTICIO",1,0)</formula>
    </cfRule>
  </conditionalFormatting>
  <conditionalFormatting sqref="E113">
    <cfRule type="expression" dxfId="3334" priority="3387">
      <formula>IF(#REF!="FICTICIO",1,0)</formula>
    </cfRule>
  </conditionalFormatting>
  <conditionalFormatting sqref="E113">
    <cfRule type="expression" dxfId="3333" priority="3386">
      <formula>IF(#REF!="FICTICIO",1,0)</formula>
    </cfRule>
  </conditionalFormatting>
  <conditionalFormatting sqref="E113">
    <cfRule type="expression" dxfId="3332" priority="3385">
      <formula>IF(#REF!="FICTICIO",1,0)</formula>
    </cfRule>
  </conditionalFormatting>
  <conditionalFormatting sqref="E113">
    <cfRule type="expression" dxfId="3331" priority="3384">
      <formula>IF(#REF!="FICTICIO",1,0)</formula>
    </cfRule>
  </conditionalFormatting>
  <conditionalFormatting sqref="E113">
    <cfRule type="expression" dxfId="3330" priority="3383">
      <formula>IF(#REF!="FICTICIO",1,0)</formula>
    </cfRule>
  </conditionalFormatting>
  <conditionalFormatting sqref="E113">
    <cfRule type="expression" dxfId="3329" priority="3382">
      <formula>IF(#REF!="FICTICIO",1,0)</formula>
    </cfRule>
  </conditionalFormatting>
  <conditionalFormatting sqref="D113">
    <cfRule type="expression" dxfId="3328" priority="3380">
      <formula>IF(#REF!="FICTICIO",1,0)</formula>
    </cfRule>
  </conditionalFormatting>
  <conditionalFormatting sqref="D113">
    <cfRule type="expression" dxfId="3327" priority="3381">
      <formula>IF(#REF!="FICTICIO",1,0)</formula>
    </cfRule>
  </conditionalFormatting>
  <conditionalFormatting sqref="D113">
    <cfRule type="expression" dxfId="3326" priority="3378">
      <formula>IF(#REF!="FICTICIO",1,0)</formula>
    </cfRule>
  </conditionalFormatting>
  <conditionalFormatting sqref="D113">
    <cfRule type="expression" dxfId="3325" priority="3379">
      <formula>IF(#REF!="FICTICIO",1,0)</formula>
    </cfRule>
  </conditionalFormatting>
  <conditionalFormatting sqref="D113">
    <cfRule type="expression" dxfId="3324" priority="3376">
      <formula>IF(#REF!="FICTICIO",1,0)</formula>
    </cfRule>
  </conditionalFormatting>
  <conditionalFormatting sqref="D113">
    <cfRule type="expression" dxfId="3323" priority="3377">
      <formula>IF(#REF!="FICTICIO",1,0)</formula>
    </cfRule>
  </conditionalFormatting>
  <conditionalFormatting sqref="D113">
    <cfRule type="expression" dxfId="3322" priority="3374">
      <formula>IF(#REF!="FICTICIO",1,0)</formula>
    </cfRule>
  </conditionalFormatting>
  <conditionalFormatting sqref="D113">
    <cfRule type="expression" dxfId="3321" priority="3375">
      <formula>IF(#REF!="FICTICIO",1,0)</formula>
    </cfRule>
  </conditionalFormatting>
  <conditionalFormatting sqref="E113">
    <cfRule type="expression" dxfId="3320" priority="3373">
      <formula>IF(#REF!="FICTICIO",1,0)</formula>
    </cfRule>
  </conditionalFormatting>
  <conditionalFormatting sqref="E113">
    <cfRule type="expression" dxfId="3319" priority="3372">
      <formula>IF(#REF!="FICTICIO",1,0)</formula>
    </cfRule>
  </conditionalFormatting>
  <conditionalFormatting sqref="E113">
    <cfRule type="expression" dxfId="3318" priority="3371">
      <formula>IF(#REF!="FICTICIO",1,0)</formula>
    </cfRule>
  </conditionalFormatting>
  <conditionalFormatting sqref="E113">
    <cfRule type="expression" dxfId="3317" priority="3370">
      <formula>IF(#REF!="FICTICIO",1,0)</formula>
    </cfRule>
  </conditionalFormatting>
  <conditionalFormatting sqref="E113">
    <cfRule type="expression" dxfId="3316" priority="3369">
      <formula>IF(#REF!="FICTICIO",1,0)</formula>
    </cfRule>
  </conditionalFormatting>
  <conditionalFormatting sqref="E113">
    <cfRule type="expression" dxfId="3315" priority="3368">
      <formula>IF(#REF!="FICTICIO",1,0)</formula>
    </cfRule>
  </conditionalFormatting>
  <conditionalFormatting sqref="E113">
    <cfRule type="expression" dxfId="3314" priority="3367">
      <formula>IF(#REF!="FICTICIO",1,0)</formula>
    </cfRule>
  </conditionalFormatting>
  <conditionalFormatting sqref="E113">
    <cfRule type="expression" dxfId="3313" priority="3366">
      <formula>IF(#REF!="FICTICIO",1,0)</formula>
    </cfRule>
  </conditionalFormatting>
  <conditionalFormatting sqref="E113">
    <cfRule type="expression" dxfId="3312" priority="3365">
      <formula>IF(#REF!="FICTICIO",1,0)</formula>
    </cfRule>
  </conditionalFormatting>
  <conditionalFormatting sqref="E113">
    <cfRule type="expression" dxfId="3311" priority="3364">
      <formula>IF(#REF!="FICTICIO",1,0)</formula>
    </cfRule>
  </conditionalFormatting>
  <conditionalFormatting sqref="E113">
    <cfRule type="expression" dxfId="3310" priority="3363">
      <formula>IF(#REF!="FICTICIO",1,0)</formula>
    </cfRule>
  </conditionalFormatting>
  <conditionalFormatting sqref="E113">
    <cfRule type="expression" dxfId="3309" priority="3362">
      <formula>IF(#REF!="FICTICIO",1,0)</formula>
    </cfRule>
  </conditionalFormatting>
  <conditionalFormatting sqref="E113">
    <cfRule type="expression" dxfId="3308" priority="3361">
      <formula>IF(#REF!="FICTICIO",1,0)</formula>
    </cfRule>
  </conditionalFormatting>
  <conditionalFormatting sqref="E113">
    <cfRule type="expression" dxfId="3307" priority="3360">
      <formula>IF(#REF!="FICTICIO",1,0)</formula>
    </cfRule>
  </conditionalFormatting>
  <conditionalFormatting sqref="E113">
    <cfRule type="expression" dxfId="3306" priority="3359">
      <formula>IF(#REF!="FICTICIO",1,0)</formula>
    </cfRule>
  </conditionalFormatting>
  <conditionalFormatting sqref="E113">
    <cfRule type="expression" dxfId="3305" priority="3358">
      <formula>IF(#REF!="FICTICIO",1,0)</formula>
    </cfRule>
  </conditionalFormatting>
  <conditionalFormatting sqref="E113">
    <cfRule type="expression" dxfId="3304" priority="3357">
      <formula>IF(#REF!="FICTICIO",1,0)</formula>
    </cfRule>
  </conditionalFormatting>
  <conditionalFormatting sqref="E113">
    <cfRule type="expression" dxfId="3303" priority="3356">
      <formula>IF(#REF!="FICTICIO",1,0)</formula>
    </cfRule>
  </conditionalFormatting>
  <conditionalFormatting sqref="E113">
    <cfRule type="expression" dxfId="3302" priority="3355">
      <formula>IF(#REF!="FICTICIO",1,0)</formula>
    </cfRule>
  </conditionalFormatting>
  <conditionalFormatting sqref="E113">
    <cfRule type="expression" dxfId="3301" priority="3354">
      <formula>IF(#REF!="FICTICIO",1,0)</formula>
    </cfRule>
  </conditionalFormatting>
  <conditionalFormatting sqref="E113">
    <cfRule type="expression" dxfId="3300" priority="3353">
      <formula>IF(#REF!="FICTICIO",1,0)</formula>
    </cfRule>
  </conditionalFormatting>
  <conditionalFormatting sqref="E113">
    <cfRule type="expression" dxfId="3299" priority="3352">
      <formula>IF(#REF!="FICTICIO",1,0)</formula>
    </cfRule>
  </conditionalFormatting>
  <conditionalFormatting sqref="E113">
    <cfRule type="expression" dxfId="3298" priority="3351">
      <formula>IF(#REF!="FICTICIO",1,0)</formula>
    </cfRule>
  </conditionalFormatting>
  <conditionalFormatting sqref="E113">
    <cfRule type="expression" dxfId="3297" priority="3350">
      <formula>IF(#REF!="FICTICIO",1,0)</formula>
    </cfRule>
  </conditionalFormatting>
  <conditionalFormatting sqref="E113">
    <cfRule type="expression" dxfId="3296" priority="3349">
      <formula>IF(#REF!="FICTICIO",1,0)</formula>
    </cfRule>
  </conditionalFormatting>
  <conditionalFormatting sqref="E113">
    <cfRule type="expression" dxfId="3295" priority="3348">
      <formula>IF(#REF!="FICTICIO",1,0)</formula>
    </cfRule>
  </conditionalFormatting>
  <conditionalFormatting sqref="E113">
    <cfRule type="expression" dxfId="3294" priority="3347">
      <formula>IF(#REF!="FICTICIO",1,0)</formula>
    </cfRule>
  </conditionalFormatting>
  <conditionalFormatting sqref="E113">
    <cfRule type="expression" dxfId="3293" priority="3346">
      <formula>IF(#REF!="FICTICIO",1,0)</formula>
    </cfRule>
  </conditionalFormatting>
  <conditionalFormatting sqref="E113">
    <cfRule type="expression" dxfId="3292" priority="3345">
      <formula>IF(#REF!="FICTICIO",1,0)</formula>
    </cfRule>
  </conditionalFormatting>
  <conditionalFormatting sqref="E113">
    <cfRule type="expression" dxfId="3291" priority="3344">
      <formula>IF(#REF!="FICTICIO",1,0)</formula>
    </cfRule>
  </conditionalFormatting>
  <conditionalFormatting sqref="E113">
    <cfRule type="expression" dxfId="3290" priority="3343">
      <formula>IF(#REF!="FICTICIO",1,0)</formula>
    </cfRule>
  </conditionalFormatting>
  <conditionalFormatting sqref="E113">
    <cfRule type="expression" dxfId="3289" priority="3342">
      <formula>IF(#REF!="FICTICIO",1,0)</formula>
    </cfRule>
  </conditionalFormatting>
  <conditionalFormatting sqref="E113">
    <cfRule type="expression" dxfId="3288" priority="3341">
      <formula>IF(#REF!="FICTICIO",1,0)</formula>
    </cfRule>
  </conditionalFormatting>
  <conditionalFormatting sqref="E113">
    <cfRule type="expression" dxfId="3287" priority="3340">
      <formula>IF(#REF!="FICTICIO",1,0)</formula>
    </cfRule>
  </conditionalFormatting>
  <conditionalFormatting sqref="E113">
    <cfRule type="expression" dxfId="3286" priority="3339">
      <formula>IF(#REF!="FICTICIO",1,0)</formula>
    </cfRule>
  </conditionalFormatting>
  <conditionalFormatting sqref="E113">
    <cfRule type="expression" dxfId="3285" priority="3338">
      <formula>IF(#REF!="FICTICIO",1,0)</formula>
    </cfRule>
  </conditionalFormatting>
  <conditionalFormatting sqref="E113">
    <cfRule type="expression" dxfId="3284" priority="3337">
      <formula>IF(#REF!="FICTICIO",1,0)</formula>
    </cfRule>
  </conditionalFormatting>
  <conditionalFormatting sqref="E113">
    <cfRule type="expression" dxfId="3283" priority="3336">
      <formula>IF(#REF!="FICTICIO",1,0)</formula>
    </cfRule>
  </conditionalFormatting>
  <conditionalFormatting sqref="F113">
    <cfRule type="expression" dxfId="3282" priority="3335">
      <formula>IF(#REF!="FICTICIO",1,0)</formula>
    </cfRule>
  </conditionalFormatting>
  <conditionalFormatting sqref="F113">
    <cfRule type="expression" dxfId="3281" priority="3333">
      <formula>IF(#REF!="FICTICIO",1,0)</formula>
    </cfRule>
  </conditionalFormatting>
  <conditionalFormatting sqref="F113">
    <cfRule type="expression" dxfId="3280" priority="3334">
      <formula>IF(#REF!="FICTICIO",1,0)</formula>
    </cfRule>
  </conditionalFormatting>
  <conditionalFormatting sqref="E114">
    <cfRule type="expression" dxfId="3279" priority="3332">
      <formula>IF(#REF!="FICTICIO",1,0)</formula>
    </cfRule>
  </conditionalFormatting>
  <conditionalFormatting sqref="E114">
    <cfRule type="expression" dxfId="3278" priority="3331">
      <formula>IF(#REF!="FICTICIO",1,0)</formula>
    </cfRule>
  </conditionalFormatting>
  <conditionalFormatting sqref="E114">
    <cfRule type="expression" dxfId="3277" priority="3330">
      <formula>IF(#REF!="FICTICIO",1,0)</formula>
    </cfRule>
  </conditionalFormatting>
  <conditionalFormatting sqref="E114">
    <cfRule type="expression" dxfId="3276" priority="3329">
      <formula>IF(#REF!="FICTICIO",1,0)</formula>
    </cfRule>
  </conditionalFormatting>
  <conditionalFormatting sqref="E114">
    <cfRule type="expression" dxfId="3275" priority="3328">
      <formula>IF(#REF!="FICTICIO",1,0)</formula>
    </cfRule>
  </conditionalFormatting>
  <conditionalFormatting sqref="E114">
    <cfRule type="expression" dxfId="3274" priority="3327">
      <formula>IF(#REF!="FICTICIO",1,0)</formula>
    </cfRule>
  </conditionalFormatting>
  <conditionalFormatting sqref="E114">
    <cfRule type="expression" dxfId="3273" priority="3326">
      <formula>IF(#REF!="FICTICIO",1,0)</formula>
    </cfRule>
  </conditionalFormatting>
  <conditionalFormatting sqref="E114">
    <cfRule type="expression" dxfId="3272" priority="3325">
      <formula>IF(#REF!="FICTICIO",1,0)</formula>
    </cfRule>
  </conditionalFormatting>
  <conditionalFormatting sqref="E114">
    <cfRule type="expression" dxfId="3271" priority="3324">
      <formula>IF(#REF!="FICTICIO",1,0)</formula>
    </cfRule>
  </conditionalFormatting>
  <conditionalFormatting sqref="E114">
    <cfRule type="expression" dxfId="3270" priority="3323">
      <formula>IF(#REF!="FICTICIO",1,0)</formula>
    </cfRule>
  </conditionalFormatting>
  <conditionalFormatting sqref="F114">
    <cfRule type="expression" dxfId="3269" priority="3322">
      <formula>IF(#REF!="FICTICIO",1,0)</formula>
    </cfRule>
  </conditionalFormatting>
  <conditionalFormatting sqref="E114">
    <cfRule type="expression" dxfId="3268" priority="3321">
      <formula>IF(#REF!="FICTICIO",1,0)</formula>
    </cfRule>
  </conditionalFormatting>
  <conditionalFormatting sqref="E114">
    <cfRule type="expression" dxfId="3267" priority="3320">
      <formula>IF(#REF!="FICTICIO",1,0)</formula>
    </cfRule>
  </conditionalFormatting>
  <conditionalFormatting sqref="E114">
    <cfRule type="expression" dxfId="3266" priority="3319">
      <formula>IF(#REF!="FICTICIO",1,0)</formula>
    </cfRule>
  </conditionalFormatting>
  <conditionalFormatting sqref="E114">
    <cfRule type="expression" dxfId="3265" priority="3318">
      <formula>IF(#REF!="FICTICIO",1,0)</formula>
    </cfRule>
  </conditionalFormatting>
  <conditionalFormatting sqref="E114">
    <cfRule type="expression" dxfId="3264" priority="3317">
      <formula>IF(#REF!="FICTICIO",1,0)</formula>
    </cfRule>
  </conditionalFormatting>
  <conditionalFormatting sqref="E114">
    <cfRule type="expression" dxfId="3263" priority="3316">
      <formula>IF(#REF!="FICTICIO",1,0)</formula>
    </cfRule>
  </conditionalFormatting>
  <conditionalFormatting sqref="E114">
    <cfRule type="expression" dxfId="3262" priority="3315">
      <formula>IF(#REF!="FICTICIO",1,0)</formula>
    </cfRule>
  </conditionalFormatting>
  <conditionalFormatting sqref="E114">
    <cfRule type="expression" dxfId="3261" priority="3314">
      <formula>IF(#REF!="FICTICIO",1,0)</formula>
    </cfRule>
  </conditionalFormatting>
  <conditionalFormatting sqref="E114">
    <cfRule type="expression" dxfId="3260" priority="3313">
      <formula>IF(#REF!="FICTICIO",1,0)</formula>
    </cfRule>
  </conditionalFormatting>
  <conditionalFormatting sqref="D114">
    <cfRule type="expression" dxfId="3259" priority="3311">
      <formula>IF(#REF!="FICTICIO",1,0)</formula>
    </cfRule>
  </conditionalFormatting>
  <conditionalFormatting sqref="D114">
    <cfRule type="expression" dxfId="3258" priority="3312">
      <formula>IF(#REF!="FICTICIO",1,0)</formula>
    </cfRule>
  </conditionalFormatting>
  <conditionalFormatting sqref="D114">
    <cfRule type="expression" dxfId="3257" priority="3309">
      <formula>IF(#REF!="FICTICIO",1,0)</formula>
    </cfRule>
  </conditionalFormatting>
  <conditionalFormatting sqref="D114">
    <cfRule type="expression" dxfId="3256" priority="3310">
      <formula>IF(#REF!="FICTICIO",1,0)</formula>
    </cfRule>
  </conditionalFormatting>
  <conditionalFormatting sqref="E114">
    <cfRule type="expression" dxfId="3255" priority="3308">
      <formula>IF(#REF!="FICTICIO",1,0)</formula>
    </cfRule>
  </conditionalFormatting>
  <conditionalFormatting sqref="E114">
    <cfRule type="expression" dxfId="3254" priority="3307">
      <formula>IF(#REF!="FICTICIO",1,0)</formula>
    </cfRule>
  </conditionalFormatting>
  <conditionalFormatting sqref="E114">
    <cfRule type="expression" dxfId="3253" priority="3306">
      <formula>IF(#REF!="FICTICIO",1,0)</formula>
    </cfRule>
  </conditionalFormatting>
  <conditionalFormatting sqref="E114">
    <cfRule type="expression" dxfId="3252" priority="3305">
      <formula>IF(#REF!="FICTICIO",1,0)</formula>
    </cfRule>
  </conditionalFormatting>
  <conditionalFormatting sqref="E114">
    <cfRule type="expression" dxfId="3251" priority="3304">
      <formula>IF(#REF!="FICTICIO",1,0)</formula>
    </cfRule>
  </conditionalFormatting>
  <conditionalFormatting sqref="E114">
    <cfRule type="expression" dxfId="3250" priority="3303">
      <formula>IF(#REF!="FICTICIO",1,0)</formula>
    </cfRule>
  </conditionalFormatting>
  <conditionalFormatting sqref="E114">
    <cfRule type="expression" dxfId="3249" priority="3302">
      <formula>IF(#REF!="FICTICIO",1,0)</formula>
    </cfRule>
  </conditionalFormatting>
  <conditionalFormatting sqref="E114">
    <cfRule type="expression" dxfId="3248" priority="3301">
      <formula>IF(#REF!="FICTICIO",1,0)</formula>
    </cfRule>
  </conditionalFormatting>
  <conditionalFormatting sqref="E114">
    <cfRule type="expression" dxfId="3247" priority="3300">
      <formula>IF(#REF!="FICTICIO",1,0)</formula>
    </cfRule>
  </conditionalFormatting>
  <conditionalFormatting sqref="E114">
    <cfRule type="expression" dxfId="3246" priority="3299">
      <formula>IF(#REF!="FICTICIO",1,0)</formula>
    </cfRule>
  </conditionalFormatting>
  <conditionalFormatting sqref="E114">
    <cfRule type="expression" dxfId="3245" priority="3298">
      <formula>IF(#REF!="FICTICIO",1,0)</formula>
    </cfRule>
  </conditionalFormatting>
  <conditionalFormatting sqref="E114">
    <cfRule type="expression" dxfId="3244" priority="3297">
      <formula>IF(#REF!="FICTICIO",1,0)</formula>
    </cfRule>
  </conditionalFormatting>
  <conditionalFormatting sqref="E114">
    <cfRule type="expression" dxfId="3243" priority="3296">
      <formula>IF(#REF!="FICTICIO",1,0)</formula>
    </cfRule>
  </conditionalFormatting>
  <conditionalFormatting sqref="D114">
    <cfRule type="expression" dxfId="3242" priority="3294">
      <formula>IF(#REF!="FICTICIO",1,0)</formula>
    </cfRule>
  </conditionalFormatting>
  <conditionalFormatting sqref="D114">
    <cfRule type="expression" dxfId="3241" priority="3295">
      <formula>IF(#REF!="FICTICIO",1,0)</formula>
    </cfRule>
  </conditionalFormatting>
  <conditionalFormatting sqref="D114">
    <cfRule type="expression" dxfId="3240" priority="3292">
      <formula>IF(#REF!="FICTICIO",1,0)</formula>
    </cfRule>
  </conditionalFormatting>
  <conditionalFormatting sqref="D114">
    <cfRule type="expression" dxfId="3239" priority="3293">
      <formula>IF(#REF!="FICTICIO",1,0)</formula>
    </cfRule>
  </conditionalFormatting>
  <conditionalFormatting sqref="F114">
    <cfRule type="expression" dxfId="3238" priority="3291">
      <formula>IF(#REF!="FICTICIO",1,0)</formula>
    </cfRule>
  </conditionalFormatting>
  <conditionalFormatting sqref="E114">
    <cfRule type="expression" dxfId="3237" priority="3290">
      <formula>IF(#REF!="FICTICIO",1,0)</formula>
    </cfRule>
  </conditionalFormatting>
  <conditionalFormatting sqref="E114">
    <cfRule type="expression" dxfId="3236" priority="3289">
      <formula>IF(#REF!="FICTICIO",1,0)</formula>
    </cfRule>
  </conditionalFormatting>
  <conditionalFormatting sqref="E114">
    <cfRule type="expression" dxfId="3235" priority="3288">
      <formula>IF(#REF!="FICTICIO",1,0)</formula>
    </cfRule>
  </conditionalFormatting>
  <conditionalFormatting sqref="E114">
    <cfRule type="expression" dxfId="3234" priority="3287">
      <formula>IF(#REF!="FICTICIO",1,0)</formula>
    </cfRule>
  </conditionalFormatting>
  <conditionalFormatting sqref="E114">
    <cfRule type="expression" dxfId="3233" priority="3286">
      <formula>IF(#REF!="FICTICIO",1,0)</formula>
    </cfRule>
  </conditionalFormatting>
  <conditionalFormatting sqref="E114">
    <cfRule type="expression" dxfId="3232" priority="3285">
      <formula>IF(#REF!="FICTICIO",1,0)</formula>
    </cfRule>
  </conditionalFormatting>
  <conditionalFormatting sqref="D114">
    <cfRule type="expression" dxfId="3231" priority="3283">
      <formula>IF(#REF!="FICTICIO",1,0)</formula>
    </cfRule>
  </conditionalFormatting>
  <conditionalFormatting sqref="D114">
    <cfRule type="expression" dxfId="3230" priority="3284">
      <formula>IF(#REF!="FICTICIO",1,0)</formula>
    </cfRule>
  </conditionalFormatting>
  <conditionalFormatting sqref="D114">
    <cfRule type="expression" dxfId="3229" priority="3281">
      <formula>IF(#REF!="FICTICIO",1,0)</formula>
    </cfRule>
  </conditionalFormatting>
  <conditionalFormatting sqref="D114">
    <cfRule type="expression" dxfId="3228" priority="3282">
      <formula>IF(#REF!="FICTICIO",1,0)</formula>
    </cfRule>
  </conditionalFormatting>
  <conditionalFormatting sqref="D114">
    <cfRule type="expression" dxfId="3227" priority="3279">
      <formula>IF(#REF!="FICTICIO",1,0)</formula>
    </cfRule>
  </conditionalFormatting>
  <conditionalFormatting sqref="D114">
    <cfRule type="expression" dxfId="3226" priority="3280">
      <formula>IF(#REF!="FICTICIO",1,0)</formula>
    </cfRule>
  </conditionalFormatting>
  <conditionalFormatting sqref="D114">
    <cfRule type="expression" dxfId="3225" priority="3277">
      <formula>IF(#REF!="FICTICIO",1,0)</formula>
    </cfRule>
  </conditionalFormatting>
  <conditionalFormatting sqref="D114">
    <cfRule type="expression" dxfId="3224" priority="3278">
      <formula>IF(#REF!="FICTICIO",1,0)</formula>
    </cfRule>
  </conditionalFormatting>
  <conditionalFormatting sqref="E114">
    <cfRule type="expression" dxfId="3223" priority="3276">
      <formula>IF(#REF!="FICTICIO",1,0)</formula>
    </cfRule>
  </conditionalFormatting>
  <conditionalFormatting sqref="E114">
    <cfRule type="expression" dxfId="3222" priority="3275">
      <formula>IF(#REF!="FICTICIO",1,0)</formula>
    </cfRule>
  </conditionalFormatting>
  <conditionalFormatting sqref="E114">
    <cfRule type="expression" dxfId="3221" priority="3274">
      <formula>IF(#REF!="FICTICIO",1,0)</formula>
    </cfRule>
  </conditionalFormatting>
  <conditionalFormatting sqref="E114">
    <cfRule type="expression" dxfId="3220" priority="3273">
      <formula>IF(#REF!="FICTICIO",1,0)</formula>
    </cfRule>
  </conditionalFormatting>
  <conditionalFormatting sqref="E114">
    <cfRule type="expression" dxfId="3219" priority="3272">
      <formula>IF(#REF!="FICTICIO",1,0)</formula>
    </cfRule>
  </conditionalFormatting>
  <conditionalFormatting sqref="E114">
    <cfRule type="expression" dxfId="3218" priority="3271">
      <formula>IF(#REF!="FICTICIO",1,0)</formula>
    </cfRule>
  </conditionalFormatting>
  <conditionalFormatting sqref="E114">
    <cfRule type="expression" dxfId="3217" priority="3270">
      <formula>IF(#REF!="FICTICIO",1,0)</formula>
    </cfRule>
  </conditionalFormatting>
  <conditionalFormatting sqref="E114">
    <cfRule type="expression" dxfId="3216" priority="3269">
      <formula>IF(#REF!="FICTICIO",1,0)</formula>
    </cfRule>
  </conditionalFormatting>
  <conditionalFormatting sqref="E114">
    <cfRule type="expression" dxfId="3215" priority="3268">
      <formula>IF(#REF!="FICTICIO",1,0)</formula>
    </cfRule>
  </conditionalFormatting>
  <conditionalFormatting sqref="E114">
    <cfRule type="expression" dxfId="3214" priority="3267">
      <formula>IF(#REF!="FICTICIO",1,0)</formula>
    </cfRule>
  </conditionalFormatting>
  <conditionalFormatting sqref="E114">
    <cfRule type="expression" dxfId="3213" priority="3266">
      <formula>IF(#REF!="FICTICIO",1,0)</formula>
    </cfRule>
  </conditionalFormatting>
  <conditionalFormatting sqref="E114">
    <cfRule type="expression" dxfId="3212" priority="3265">
      <formula>IF(#REF!="FICTICIO",1,0)</formula>
    </cfRule>
  </conditionalFormatting>
  <conditionalFormatting sqref="E114">
    <cfRule type="expression" dxfId="3211" priority="3264">
      <formula>IF(#REF!="FICTICIO",1,0)</formula>
    </cfRule>
  </conditionalFormatting>
  <conditionalFormatting sqref="E114">
    <cfRule type="expression" dxfId="3210" priority="3263">
      <formula>IF(#REF!="FICTICIO",1,0)</formula>
    </cfRule>
  </conditionalFormatting>
  <conditionalFormatting sqref="E114">
    <cfRule type="expression" dxfId="3209" priority="3262">
      <formula>IF(#REF!="FICTICIO",1,0)</formula>
    </cfRule>
  </conditionalFormatting>
  <conditionalFormatting sqref="E114">
    <cfRule type="expression" dxfId="3208" priority="3261">
      <formula>IF(#REF!="FICTICIO",1,0)</formula>
    </cfRule>
  </conditionalFormatting>
  <conditionalFormatting sqref="E114">
    <cfRule type="expression" dxfId="3207" priority="3260">
      <formula>IF(#REF!="FICTICIO",1,0)</formula>
    </cfRule>
  </conditionalFormatting>
  <conditionalFormatting sqref="E114">
    <cfRule type="expression" dxfId="3206" priority="3259">
      <formula>IF(#REF!="FICTICIO",1,0)</formula>
    </cfRule>
  </conditionalFormatting>
  <conditionalFormatting sqref="E114">
    <cfRule type="expression" dxfId="3205" priority="3258">
      <formula>IF(#REF!="FICTICIO",1,0)</formula>
    </cfRule>
  </conditionalFormatting>
  <conditionalFormatting sqref="E114">
    <cfRule type="expression" dxfId="3204" priority="3257">
      <formula>IF(#REF!="FICTICIO",1,0)</formula>
    </cfRule>
  </conditionalFormatting>
  <conditionalFormatting sqref="E114">
    <cfRule type="expression" dxfId="3203" priority="3256">
      <formula>IF(#REF!="FICTICIO",1,0)</formula>
    </cfRule>
  </conditionalFormatting>
  <conditionalFormatting sqref="E114">
    <cfRule type="expression" dxfId="3202" priority="3255">
      <formula>IF(#REF!="FICTICIO",1,0)</formula>
    </cfRule>
  </conditionalFormatting>
  <conditionalFormatting sqref="E114">
    <cfRule type="expression" dxfId="3201" priority="3254">
      <formula>IF(#REF!="FICTICIO",1,0)</formula>
    </cfRule>
  </conditionalFormatting>
  <conditionalFormatting sqref="E114">
    <cfRule type="expression" dxfId="3200" priority="3253">
      <formula>IF(#REF!="FICTICIO",1,0)</formula>
    </cfRule>
  </conditionalFormatting>
  <conditionalFormatting sqref="E114">
    <cfRule type="expression" dxfId="3199" priority="3252">
      <formula>IF(#REF!="FICTICIO",1,0)</formula>
    </cfRule>
  </conditionalFormatting>
  <conditionalFormatting sqref="E114">
    <cfRule type="expression" dxfId="3198" priority="3251">
      <formula>IF(#REF!="FICTICIO",1,0)</formula>
    </cfRule>
  </conditionalFormatting>
  <conditionalFormatting sqref="E114">
    <cfRule type="expression" dxfId="3197" priority="3250">
      <formula>IF(#REF!="FICTICIO",1,0)</formula>
    </cfRule>
  </conditionalFormatting>
  <conditionalFormatting sqref="E114">
    <cfRule type="expression" dxfId="3196" priority="3249">
      <formula>IF(#REF!="FICTICIO",1,0)</formula>
    </cfRule>
  </conditionalFormatting>
  <conditionalFormatting sqref="E114">
    <cfRule type="expression" dxfId="3195" priority="3248">
      <formula>IF(#REF!="FICTICIO",1,0)</formula>
    </cfRule>
  </conditionalFormatting>
  <conditionalFormatting sqref="E114">
    <cfRule type="expression" dxfId="3194" priority="3247">
      <formula>IF(#REF!="FICTICIO",1,0)</formula>
    </cfRule>
  </conditionalFormatting>
  <conditionalFormatting sqref="E114">
    <cfRule type="expression" dxfId="3193" priority="3246">
      <formula>IF(#REF!="FICTICIO",1,0)</formula>
    </cfRule>
  </conditionalFormatting>
  <conditionalFormatting sqref="E114">
    <cfRule type="expression" dxfId="3192" priority="3245">
      <formula>IF(#REF!="FICTICIO",1,0)</formula>
    </cfRule>
  </conditionalFormatting>
  <conditionalFormatting sqref="E114">
    <cfRule type="expression" dxfId="3191" priority="3244">
      <formula>IF(#REF!="FICTICIO",1,0)</formula>
    </cfRule>
  </conditionalFormatting>
  <conditionalFormatting sqref="E114">
    <cfRule type="expression" dxfId="3190" priority="3243">
      <formula>IF(#REF!="FICTICIO",1,0)</formula>
    </cfRule>
  </conditionalFormatting>
  <conditionalFormatting sqref="E114">
    <cfRule type="expression" dxfId="3189" priority="3242">
      <formula>IF(#REF!="FICTICIO",1,0)</formula>
    </cfRule>
  </conditionalFormatting>
  <conditionalFormatting sqref="E114">
    <cfRule type="expression" dxfId="3188" priority="3241">
      <formula>IF(#REF!="FICTICIO",1,0)</formula>
    </cfRule>
  </conditionalFormatting>
  <conditionalFormatting sqref="E114">
    <cfRule type="expression" dxfId="3187" priority="3240">
      <formula>IF(#REF!="FICTICIO",1,0)</formula>
    </cfRule>
  </conditionalFormatting>
  <conditionalFormatting sqref="E114">
    <cfRule type="expression" dxfId="3186" priority="3239">
      <formula>IF(#REF!="FICTICIO",1,0)</formula>
    </cfRule>
  </conditionalFormatting>
  <conditionalFormatting sqref="F114">
    <cfRule type="expression" dxfId="3185" priority="3238">
      <formula>IF(#REF!="FICTICIO",1,0)</formula>
    </cfRule>
  </conditionalFormatting>
  <conditionalFormatting sqref="F114">
    <cfRule type="expression" dxfId="3184" priority="3236">
      <formula>IF(#REF!="FICTICIO",1,0)</formula>
    </cfRule>
  </conditionalFormatting>
  <conditionalFormatting sqref="F114">
    <cfRule type="expression" dxfId="3183" priority="3237">
      <formula>IF(#REF!="FICTICIO",1,0)</formula>
    </cfRule>
  </conditionalFormatting>
  <conditionalFormatting sqref="F112">
    <cfRule type="expression" dxfId="3182" priority="3235">
      <formula>IF(#REF!="FICTICIO",1,0)</formula>
    </cfRule>
  </conditionalFormatting>
  <conditionalFormatting sqref="F113">
    <cfRule type="expression" dxfId="3181" priority="3234">
      <formula>IF(#REF!="FICTICIO",1,0)</formula>
    </cfRule>
  </conditionalFormatting>
  <conditionalFormatting sqref="F113">
    <cfRule type="expression" dxfId="3180" priority="3233">
      <formula>IF(#REF!="FICTICIO",1,0)</formula>
    </cfRule>
  </conditionalFormatting>
  <conditionalFormatting sqref="F112">
    <cfRule type="expression" dxfId="3179" priority="3231">
      <formula>IF(#REF!="FICTICIO",1,0)</formula>
    </cfRule>
  </conditionalFormatting>
  <conditionalFormatting sqref="F112">
    <cfRule type="expression" dxfId="3178" priority="3232">
      <formula>IF(#REF!="FICTICIO",1,0)</formula>
    </cfRule>
  </conditionalFormatting>
  <conditionalFormatting sqref="F113">
    <cfRule type="expression" dxfId="3177" priority="3230">
      <formula>IF(#REF!="FICTICIO",1,0)</formula>
    </cfRule>
  </conditionalFormatting>
  <conditionalFormatting sqref="F112">
    <cfRule type="expression" dxfId="3176" priority="3228">
      <formula>IF(#REF!="FICTICIO",1,0)</formula>
    </cfRule>
  </conditionalFormatting>
  <conditionalFormatting sqref="F112">
    <cfRule type="expression" dxfId="3175" priority="3229">
      <formula>IF(#REF!="FICTICIO",1,0)</formula>
    </cfRule>
  </conditionalFormatting>
  <conditionalFormatting sqref="F112">
    <cfRule type="expression" dxfId="3174" priority="3226">
      <formula>IF(#REF!="FICTICIO",1,0)</formula>
    </cfRule>
  </conditionalFormatting>
  <conditionalFormatting sqref="F112">
    <cfRule type="expression" dxfId="3173" priority="3227">
      <formula>IF(#REF!="FICTICIO",1,0)</formula>
    </cfRule>
  </conditionalFormatting>
  <conditionalFormatting sqref="F113">
    <cfRule type="expression" dxfId="3172" priority="3224">
      <formula>IF(#REF!="FICTICIO",1,0)</formula>
    </cfRule>
  </conditionalFormatting>
  <conditionalFormatting sqref="F113">
    <cfRule type="expression" dxfId="3171" priority="3225">
      <formula>IF(#REF!="FICTICIO",1,0)</formula>
    </cfRule>
  </conditionalFormatting>
  <conditionalFormatting sqref="E114">
    <cfRule type="expression" dxfId="3170" priority="3223">
      <formula>IF(#REF!="FICTICIO",1,0)</formula>
    </cfRule>
  </conditionalFormatting>
  <conditionalFormatting sqref="E114">
    <cfRule type="expression" dxfId="3169" priority="3222">
      <formula>IF(#REF!="FICTICIO",1,0)</formula>
    </cfRule>
  </conditionalFormatting>
  <conditionalFormatting sqref="E114">
    <cfRule type="expression" dxfId="3168" priority="3221">
      <formula>IF(#REF!="FICTICIO",1,0)</formula>
    </cfRule>
  </conditionalFormatting>
  <conditionalFormatting sqref="E114">
    <cfRule type="expression" dxfId="3167" priority="3220">
      <formula>IF(#REF!="FICTICIO",1,0)</formula>
    </cfRule>
  </conditionalFormatting>
  <conditionalFormatting sqref="E114">
    <cfRule type="expression" dxfId="3166" priority="3219">
      <formula>IF(#REF!="FICTICIO",1,0)</formula>
    </cfRule>
  </conditionalFormatting>
  <conditionalFormatting sqref="E114">
    <cfRule type="expression" dxfId="3165" priority="3218">
      <formula>IF(#REF!="FICTICIO",1,0)</formula>
    </cfRule>
  </conditionalFormatting>
  <conditionalFormatting sqref="E114">
    <cfRule type="expression" dxfId="3164" priority="3217">
      <formula>IF(#REF!="FICTICIO",1,0)</formula>
    </cfRule>
  </conditionalFormatting>
  <conditionalFormatting sqref="E114">
    <cfRule type="expression" dxfId="3163" priority="3216">
      <formula>IF(#REF!="FICTICIO",1,0)</formula>
    </cfRule>
  </conditionalFormatting>
  <conditionalFormatting sqref="E114">
    <cfRule type="expression" dxfId="3162" priority="3215">
      <formula>IF(#REF!="FICTICIO",1,0)</formula>
    </cfRule>
  </conditionalFormatting>
  <conditionalFormatting sqref="E114">
    <cfRule type="expression" dxfId="3161" priority="3214">
      <formula>IF(#REF!="FICTICIO",1,0)</formula>
    </cfRule>
  </conditionalFormatting>
  <conditionalFormatting sqref="F114">
    <cfRule type="expression" dxfId="3160" priority="3213">
      <formula>IF(#REF!="FICTICIO",1,0)</formula>
    </cfRule>
  </conditionalFormatting>
  <conditionalFormatting sqref="E114">
    <cfRule type="expression" dxfId="3159" priority="3212">
      <formula>IF(#REF!="FICTICIO",1,0)</formula>
    </cfRule>
  </conditionalFormatting>
  <conditionalFormatting sqref="E114">
    <cfRule type="expression" dxfId="3158" priority="3211">
      <formula>IF(#REF!="FICTICIO",1,0)</formula>
    </cfRule>
  </conditionalFormatting>
  <conditionalFormatting sqref="E114">
    <cfRule type="expression" dxfId="3157" priority="3210">
      <formula>IF(#REF!="FICTICIO",1,0)</formula>
    </cfRule>
  </conditionalFormatting>
  <conditionalFormatting sqref="E114">
    <cfRule type="expression" dxfId="3156" priority="3209">
      <formula>IF(#REF!="FICTICIO",1,0)</formula>
    </cfRule>
  </conditionalFormatting>
  <conditionalFormatting sqref="E114">
    <cfRule type="expression" dxfId="3155" priority="3208">
      <formula>IF(#REF!="FICTICIO",1,0)</formula>
    </cfRule>
  </conditionalFormatting>
  <conditionalFormatting sqref="E114">
    <cfRule type="expression" dxfId="3154" priority="3207">
      <formula>IF(#REF!="FICTICIO",1,0)</formula>
    </cfRule>
  </conditionalFormatting>
  <conditionalFormatting sqref="E114">
    <cfRule type="expression" dxfId="3153" priority="3206">
      <formula>IF(#REF!="FICTICIO",1,0)</formula>
    </cfRule>
  </conditionalFormatting>
  <conditionalFormatting sqref="E114">
    <cfRule type="expression" dxfId="3152" priority="3205">
      <formula>IF(#REF!="FICTICIO",1,0)</formula>
    </cfRule>
  </conditionalFormatting>
  <conditionalFormatting sqref="E114">
    <cfRule type="expression" dxfId="3151" priority="3204">
      <formula>IF(#REF!="FICTICIO",1,0)</formula>
    </cfRule>
  </conditionalFormatting>
  <conditionalFormatting sqref="D114">
    <cfRule type="expression" dxfId="3150" priority="3202">
      <formula>IF(#REF!="FICTICIO",1,0)</formula>
    </cfRule>
  </conditionalFormatting>
  <conditionalFormatting sqref="D114">
    <cfRule type="expression" dxfId="3149" priority="3203">
      <formula>IF(#REF!="FICTICIO",1,0)</formula>
    </cfRule>
  </conditionalFormatting>
  <conditionalFormatting sqref="D114">
    <cfRule type="expression" dxfId="3148" priority="3200">
      <formula>IF(#REF!="FICTICIO",1,0)</formula>
    </cfRule>
  </conditionalFormatting>
  <conditionalFormatting sqref="D114">
    <cfRule type="expression" dxfId="3147" priority="3201">
      <formula>IF(#REF!="FICTICIO",1,0)</formula>
    </cfRule>
  </conditionalFormatting>
  <conditionalFormatting sqref="E114">
    <cfRule type="expression" dxfId="3146" priority="3199">
      <formula>IF(#REF!="FICTICIO",1,0)</formula>
    </cfRule>
  </conditionalFormatting>
  <conditionalFormatting sqref="E114">
    <cfRule type="expression" dxfId="3145" priority="3198">
      <formula>IF(#REF!="FICTICIO",1,0)</formula>
    </cfRule>
  </conditionalFormatting>
  <conditionalFormatting sqref="E114">
    <cfRule type="expression" dxfId="3144" priority="3197">
      <formula>IF(#REF!="FICTICIO",1,0)</formula>
    </cfRule>
  </conditionalFormatting>
  <conditionalFormatting sqref="E114">
    <cfRule type="expression" dxfId="3143" priority="3196">
      <formula>IF(#REF!="FICTICIO",1,0)</formula>
    </cfRule>
  </conditionalFormatting>
  <conditionalFormatting sqref="E114">
    <cfRule type="expression" dxfId="3142" priority="3195">
      <formula>IF(#REF!="FICTICIO",1,0)</formula>
    </cfRule>
  </conditionalFormatting>
  <conditionalFormatting sqref="E114">
    <cfRule type="expression" dxfId="3141" priority="3194">
      <formula>IF(#REF!="FICTICIO",1,0)</formula>
    </cfRule>
  </conditionalFormatting>
  <conditionalFormatting sqref="E114">
    <cfRule type="expression" dxfId="3140" priority="3193">
      <formula>IF(#REF!="FICTICIO",1,0)</formula>
    </cfRule>
  </conditionalFormatting>
  <conditionalFormatting sqref="E114">
    <cfRule type="expression" dxfId="3139" priority="3192">
      <formula>IF(#REF!="FICTICIO",1,0)</formula>
    </cfRule>
  </conditionalFormatting>
  <conditionalFormatting sqref="E114">
    <cfRule type="expression" dxfId="3138" priority="3191">
      <formula>IF(#REF!="FICTICIO",1,0)</formula>
    </cfRule>
  </conditionalFormatting>
  <conditionalFormatting sqref="E114">
    <cfRule type="expression" dxfId="3137" priority="3190">
      <formula>IF(#REF!="FICTICIO",1,0)</formula>
    </cfRule>
  </conditionalFormatting>
  <conditionalFormatting sqref="E114">
    <cfRule type="expression" dxfId="3136" priority="3189">
      <formula>IF(#REF!="FICTICIO",1,0)</formula>
    </cfRule>
  </conditionalFormatting>
  <conditionalFormatting sqref="E114">
    <cfRule type="expression" dxfId="3135" priority="3188">
      <formula>IF(#REF!="FICTICIO",1,0)</formula>
    </cfRule>
  </conditionalFormatting>
  <conditionalFormatting sqref="E114">
    <cfRule type="expression" dxfId="3134" priority="3187">
      <formula>IF(#REF!="FICTICIO",1,0)</formula>
    </cfRule>
  </conditionalFormatting>
  <conditionalFormatting sqref="D114">
    <cfRule type="expression" dxfId="3133" priority="3185">
      <formula>IF(#REF!="FICTICIO",1,0)</formula>
    </cfRule>
  </conditionalFormatting>
  <conditionalFormatting sqref="D114">
    <cfRule type="expression" dxfId="3132" priority="3186">
      <formula>IF(#REF!="FICTICIO",1,0)</formula>
    </cfRule>
  </conditionalFormatting>
  <conditionalFormatting sqref="D114">
    <cfRule type="expression" dxfId="3131" priority="3183">
      <formula>IF(#REF!="FICTICIO",1,0)</formula>
    </cfRule>
  </conditionalFormatting>
  <conditionalFormatting sqref="D114">
    <cfRule type="expression" dxfId="3130" priority="3184">
      <formula>IF(#REF!="FICTICIO",1,0)</formula>
    </cfRule>
  </conditionalFormatting>
  <conditionalFormatting sqref="F114">
    <cfRule type="expression" dxfId="3129" priority="3182">
      <formula>IF(#REF!="FICTICIO",1,0)</formula>
    </cfRule>
  </conditionalFormatting>
  <conditionalFormatting sqref="E114">
    <cfRule type="expression" dxfId="3128" priority="3181">
      <formula>IF(#REF!="FICTICIO",1,0)</formula>
    </cfRule>
  </conditionalFormatting>
  <conditionalFormatting sqref="E114">
    <cfRule type="expression" dxfId="3127" priority="3180">
      <formula>IF(#REF!="FICTICIO",1,0)</formula>
    </cfRule>
  </conditionalFormatting>
  <conditionalFormatting sqref="E114">
    <cfRule type="expression" dxfId="3126" priority="3179">
      <formula>IF(#REF!="FICTICIO",1,0)</formula>
    </cfRule>
  </conditionalFormatting>
  <conditionalFormatting sqref="E114">
    <cfRule type="expression" dxfId="3125" priority="3178">
      <formula>IF(#REF!="FICTICIO",1,0)</formula>
    </cfRule>
  </conditionalFormatting>
  <conditionalFormatting sqref="E114">
    <cfRule type="expression" dxfId="3124" priority="3177">
      <formula>IF(#REF!="FICTICIO",1,0)</formula>
    </cfRule>
  </conditionalFormatting>
  <conditionalFormatting sqref="E114">
    <cfRule type="expression" dxfId="3123" priority="3176">
      <formula>IF(#REF!="FICTICIO",1,0)</formula>
    </cfRule>
  </conditionalFormatting>
  <conditionalFormatting sqref="D114">
    <cfRule type="expression" dxfId="3122" priority="3174">
      <formula>IF(#REF!="FICTICIO",1,0)</formula>
    </cfRule>
  </conditionalFormatting>
  <conditionalFormatting sqref="D114">
    <cfRule type="expression" dxfId="3121" priority="3175">
      <formula>IF(#REF!="FICTICIO",1,0)</formula>
    </cfRule>
  </conditionalFormatting>
  <conditionalFormatting sqref="D114">
    <cfRule type="expression" dxfId="3120" priority="3172">
      <formula>IF(#REF!="FICTICIO",1,0)</formula>
    </cfRule>
  </conditionalFormatting>
  <conditionalFormatting sqref="D114">
    <cfRule type="expression" dxfId="3119" priority="3173">
      <formula>IF(#REF!="FICTICIO",1,0)</formula>
    </cfRule>
  </conditionalFormatting>
  <conditionalFormatting sqref="D114">
    <cfRule type="expression" dxfId="3118" priority="3170">
      <formula>IF(#REF!="FICTICIO",1,0)</formula>
    </cfRule>
  </conditionalFormatting>
  <conditionalFormatting sqref="D114">
    <cfRule type="expression" dxfId="3117" priority="3171">
      <formula>IF(#REF!="FICTICIO",1,0)</formula>
    </cfRule>
  </conditionalFormatting>
  <conditionalFormatting sqref="D114">
    <cfRule type="expression" dxfId="3116" priority="3168">
      <formula>IF(#REF!="FICTICIO",1,0)</formula>
    </cfRule>
  </conditionalFormatting>
  <conditionalFormatting sqref="D114">
    <cfRule type="expression" dxfId="3115" priority="3169">
      <formula>IF(#REF!="FICTICIO",1,0)</formula>
    </cfRule>
  </conditionalFormatting>
  <conditionalFormatting sqref="E114">
    <cfRule type="expression" dxfId="3114" priority="3167">
      <formula>IF(#REF!="FICTICIO",1,0)</formula>
    </cfRule>
  </conditionalFormatting>
  <conditionalFormatting sqref="E114">
    <cfRule type="expression" dxfId="3113" priority="3166">
      <formula>IF(#REF!="FICTICIO",1,0)</formula>
    </cfRule>
  </conditionalFormatting>
  <conditionalFormatting sqref="E114">
    <cfRule type="expression" dxfId="3112" priority="3165">
      <formula>IF(#REF!="FICTICIO",1,0)</formula>
    </cfRule>
  </conditionalFormatting>
  <conditionalFormatting sqref="E114">
    <cfRule type="expression" dxfId="3111" priority="3164">
      <formula>IF(#REF!="FICTICIO",1,0)</formula>
    </cfRule>
  </conditionalFormatting>
  <conditionalFormatting sqref="E114">
    <cfRule type="expression" dxfId="3110" priority="3163">
      <formula>IF(#REF!="FICTICIO",1,0)</formula>
    </cfRule>
  </conditionalFormatting>
  <conditionalFormatting sqref="E114">
    <cfRule type="expression" dxfId="3109" priority="3162">
      <formula>IF(#REF!="FICTICIO",1,0)</formula>
    </cfRule>
  </conditionalFormatting>
  <conditionalFormatting sqref="E114">
    <cfRule type="expression" dxfId="3108" priority="3161">
      <formula>IF(#REF!="FICTICIO",1,0)</formula>
    </cfRule>
  </conditionalFormatting>
  <conditionalFormatting sqref="E114">
    <cfRule type="expression" dxfId="3107" priority="3160">
      <formula>IF(#REF!="FICTICIO",1,0)</formula>
    </cfRule>
  </conditionalFormatting>
  <conditionalFormatting sqref="E114">
    <cfRule type="expression" dxfId="3106" priority="3159">
      <formula>IF(#REF!="FICTICIO",1,0)</formula>
    </cfRule>
  </conditionalFormatting>
  <conditionalFormatting sqref="E114">
    <cfRule type="expression" dxfId="3105" priority="3158">
      <formula>IF(#REF!="FICTICIO",1,0)</formula>
    </cfRule>
  </conditionalFormatting>
  <conditionalFormatting sqref="E114">
    <cfRule type="expression" dxfId="3104" priority="3157">
      <formula>IF(#REF!="FICTICIO",1,0)</formula>
    </cfRule>
  </conditionalFormatting>
  <conditionalFormatting sqref="E114">
    <cfRule type="expression" dxfId="3103" priority="3156">
      <formula>IF(#REF!="FICTICIO",1,0)</formula>
    </cfRule>
  </conditionalFormatting>
  <conditionalFormatting sqref="E114">
    <cfRule type="expression" dxfId="3102" priority="3155">
      <formula>IF(#REF!="FICTICIO",1,0)</formula>
    </cfRule>
  </conditionalFormatting>
  <conditionalFormatting sqref="E114">
    <cfRule type="expression" dxfId="3101" priority="3154">
      <formula>IF(#REF!="FICTICIO",1,0)</formula>
    </cfRule>
  </conditionalFormatting>
  <conditionalFormatting sqref="E114">
    <cfRule type="expression" dxfId="3100" priority="3153">
      <formula>IF(#REF!="FICTICIO",1,0)</formula>
    </cfRule>
  </conditionalFormatting>
  <conditionalFormatting sqref="E114">
    <cfRule type="expression" dxfId="3099" priority="3152">
      <formula>IF(#REF!="FICTICIO",1,0)</formula>
    </cfRule>
  </conditionalFormatting>
  <conditionalFormatting sqref="E114">
    <cfRule type="expression" dxfId="3098" priority="3151">
      <formula>IF(#REF!="FICTICIO",1,0)</formula>
    </cfRule>
  </conditionalFormatting>
  <conditionalFormatting sqref="E114">
    <cfRule type="expression" dxfId="3097" priority="3150">
      <formula>IF(#REF!="FICTICIO",1,0)</formula>
    </cfRule>
  </conditionalFormatting>
  <conditionalFormatting sqref="E114">
    <cfRule type="expression" dxfId="3096" priority="3149">
      <formula>IF(#REF!="FICTICIO",1,0)</formula>
    </cfRule>
  </conditionalFormatting>
  <conditionalFormatting sqref="E114">
    <cfRule type="expression" dxfId="3095" priority="3148">
      <formula>IF(#REF!="FICTICIO",1,0)</formula>
    </cfRule>
  </conditionalFormatting>
  <conditionalFormatting sqref="E114">
    <cfRule type="expression" dxfId="3094" priority="3147">
      <formula>IF(#REF!="FICTICIO",1,0)</formula>
    </cfRule>
  </conditionalFormatting>
  <conditionalFormatting sqref="E114">
    <cfRule type="expression" dxfId="3093" priority="3146">
      <formula>IF(#REF!="FICTICIO",1,0)</formula>
    </cfRule>
  </conditionalFormatting>
  <conditionalFormatting sqref="E114">
    <cfRule type="expression" dxfId="3092" priority="3145">
      <formula>IF(#REF!="FICTICIO",1,0)</formula>
    </cfRule>
  </conditionalFormatting>
  <conditionalFormatting sqref="E114">
    <cfRule type="expression" dxfId="3091" priority="3144">
      <formula>IF(#REF!="FICTICIO",1,0)</formula>
    </cfRule>
  </conditionalFormatting>
  <conditionalFormatting sqref="E114">
    <cfRule type="expression" dxfId="3090" priority="3143">
      <formula>IF(#REF!="FICTICIO",1,0)</formula>
    </cfRule>
  </conditionalFormatting>
  <conditionalFormatting sqref="E114">
    <cfRule type="expression" dxfId="3089" priority="3142">
      <formula>IF(#REF!="FICTICIO",1,0)</formula>
    </cfRule>
  </conditionalFormatting>
  <conditionalFormatting sqref="E114">
    <cfRule type="expression" dxfId="3088" priority="3141">
      <formula>IF(#REF!="FICTICIO",1,0)</formula>
    </cfRule>
  </conditionalFormatting>
  <conditionalFormatting sqref="E114">
    <cfRule type="expression" dxfId="3087" priority="3140">
      <formula>IF(#REF!="FICTICIO",1,0)</formula>
    </cfRule>
  </conditionalFormatting>
  <conditionalFormatting sqref="E114">
    <cfRule type="expression" dxfId="3086" priority="3139">
      <formula>IF(#REF!="FICTICIO",1,0)</formula>
    </cfRule>
  </conditionalFormatting>
  <conditionalFormatting sqref="E114">
    <cfRule type="expression" dxfId="3085" priority="3138">
      <formula>IF(#REF!="FICTICIO",1,0)</formula>
    </cfRule>
  </conditionalFormatting>
  <conditionalFormatting sqref="E114">
    <cfRule type="expression" dxfId="3084" priority="3137">
      <formula>IF(#REF!="FICTICIO",1,0)</formula>
    </cfRule>
  </conditionalFormatting>
  <conditionalFormatting sqref="E114">
    <cfRule type="expression" dxfId="3083" priority="3136">
      <formula>IF(#REF!="FICTICIO",1,0)</formula>
    </cfRule>
  </conditionalFormatting>
  <conditionalFormatting sqref="E114">
    <cfRule type="expression" dxfId="3082" priority="3135">
      <formula>IF(#REF!="FICTICIO",1,0)</formula>
    </cfRule>
  </conditionalFormatting>
  <conditionalFormatting sqref="E114">
    <cfRule type="expression" dxfId="3081" priority="3134">
      <formula>IF(#REF!="FICTICIO",1,0)</formula>
    </cfRule>
  </conditionalFormatting>
  <conditionalFormatting sqref="E114">
    <cfRule type="expression" dxfId="3080" priority="3133">
      <formula>IF(#REF!="FICTICIO",1,0)</formula>
    </cfRule>
  </conditionalFormatting>
  <conditionalFormatting sqref="E114">
    <cfRule type="expression" dxfId="3079" priority="3132">
      <formula>IF(#REF!="FICTICIO",1,0)</formula>
    </cfRule>
  </conditionalFormatting>
  <conditionalFormatting sqref="E114">
    <cfRule type="expression" dxfId="3078" priority="3131">
      <formula>IF(#REF!="FICTICIO",1,0)</formula>
    </cfRule>
  </conditionalFormatting>
  <conditionalFormatting sqref="E114">
    <cfRule type="expression" dxfId="3077" priority="3130">
      <formula>IF(#REF!="FICTICIO",1,0)</formula>
    </cfRule>
  </conditionalFormatting>
  <conditionalFormatting sqref="F114">
    <cfRule type="expression" dxfId="3076" priority="3129">
      <formula>IF(#REF!="FICTICIO",1,0)</formula>
    </cfRule>
  </conditionalFormatting>
  <conditionalFormatting sqref="F114">
    <cfRule type="expression" dxfId="3075" priority="3127">
      <formula>IF(#REF!="FICTICIO",1,0)</formula>
    </cfRule>
  </conditionalFormatting>
  <conditionalFormatting sqref="F114">
    <cfRule type="expression" dxfId="3074" priority="3128">
      <formula>IF(#REF!="FICTICIO",1,0)</formula>
    </cfRule>
  </conditionalFormatting>
  <conditionalFormatting sqref="E115">
    <cfRule type="expression" dxfId="3073" priority="3126">
      <formula>IF(#REF!="FICTICIO",1,0)</formula>
    </cfRule>
  </conditionalFormatting>
  <conditionalFormatting sqref="E115">
    <cfRule type="expression" dxfId="3072" priority="3125">
      <formula>IF(#REF!="FICTICIO",1,0)</formula>
    </cfRule>
  </conditionalFormatting>
  <conditionalFormatting sqref="E115">
    <cfRule type="expression" dxfId="3071" priority="3124">
      <formula>IF(#REF!="FICTICIO",1,0)</formula>
    </cfRule>
  </conditionalFormatting>
  <conditionalFormatting sqref="E115">
    <cfRule type="expression" dxfId="3070" priority="3123">
      <formula>IF(#REF!="FICTICIO",1,0)</formula>
    </cfRule>
  </conditionalFormatting>
  <conditionalFormatting sqref="E115">
    <cfRule type="expression" dxfId="3069" priority="3122">
      <formula>IF(#REF!="FICTICIO",1,0)</formula>
    </cfRule>
  </conditionalFormatting>
  <conditionalFormatting sqref="E115">
    <cfRule type="expression" dxfId="3068" priority="3121">
      <formula>IF(#REF!="FICTICIO",1,0)</formula>
    </cfRule>
  </conditionalFormatting>
  <conditionalFormatting sqref="E115">
    <cfRule type="expression" dxfId="3067" priority="3120">
      <formula>IF(#REF!="FICTICIO",1,0)</formula>
    </cfRule>
  </conditionalFormatting>
  <conditionalFormatting sqref="E115">
    <cfRule type="expression" dxfId="3066" priority="3119">
      <formula>IF(#REF!="FICTICIO",1,0)</formula>
    </cfRule>
  </conditionalFormatting>
  <conditionalFormatting sqref="E115">
    <cfRule type="expression" dxfId="3065" priority="3118">
      <formula>IF(#REF!="FICTICIO",1,0)</formula>
    </cfRule>
  </conditionalFormatting>
  <conditionalFormatting sqref="E115">
    <cfRule type="expression" dxfId="3064" priority="3117">
      <formula>IF(#REF!="FICTICIO",1,0)</formula>
    </cfRule>
  </conditionalFormatting>
  <conditionalFormatting sqref="F115">
    <cfRule type="expression" dxfId="3063" priority="3116">
      <formula>IF(#REF!="FICTICIO",1,0)</formula>
    </cfRule>
  </conditionalFormatting>
  <conditionalFormatting sqref="E115">
    <cfRule type="expression" dxfId="3062" priority="3115">
      <formula>IF(#REF!="FICTICIO",1,0)</formula>
    </cfRule>
  </conditionalFormatting>
  <conditionalFormatting sqref="E115">
    <cfRule type="expression" dxfId="3061" priority="3114">
      <formula>IF(#REF!="FICTICIO",1,0)</formula>
    </cfRule>
  </conditionalFormatting>
  <conditionalFormatting sqref="E115">
    <cfRule type="expression" dxfId="3060" priority="3113">
      <formula>IF(#REF!="FICTICIO",1,0)</formula>
    </cfRule>
  </conditionalFormatting>
  <conditionalFormatting sqref="E115">
    <cfRule type="expression" dxfId="3059" priority="3112">
      <formula>IF(#REF!="FICTICIO",1,0)</formula>
    </cfRule>
  </conditionalFormatting>
  <conditionalFormatting sqref="E115">
    <cfRule type="expression" dxfId="3058" priority="3111">
      <formula>IF(#REF!="FICTICIO",1,0)</formula>
    </cfRule>
  </conditionalFormatting>
  <conditionalFormatting sqref="E115">
    <cfRule type="expression" dxfId="3057" priority="3110">
      <formula>IF(#REF!="FICTICIO",1,0)</formula>
    </cfRule>
  </conditionalFormatting>
  <conditionalFormatting sqref="E115">
    <cfRule type="expression" dxfId="3056" priority="3109">
      <formula>IF(#REF!="FICTICIO",1,0)</formula>
    </cfRule>
  </conditionalFormatting>
  <conditionalFormatting sqref="E115">
    <cfRule type="expression" dxfId="3055" priority="3108">
      <formula>IF(#REF!="FICTICIO",1,0)</formula>
    </cfRule>
  </conditionalFormatting>
  <conditionalFormatting sqref="E115">
    <cfRule type="expression" dxfId="3054" priority="3107">
      <formula>IF(#REF!="FICTICIO",1,0)</formula>
    </cfRule>
  </conditionalFormatting>
  <conditionalFormatting sqref="D115">
    <cfRule type="expression" dxfId="3053" priority="3105">
      <formula>IF(#REF!="FICTICIO",1,0)</formula>
    </cfRule>
  </conditionalFormatting>
  <conditionalFormatting sqref="D115">
    <cfRule type="expression" dxfId="3052" priority="3106">
      <formula>IF(#REF!="FICTICIO",1,0)</formula>
    </cfRule>
  </conditionalFormatting>
  <conditionalFormatting sqref="D115">
    <cfRule type="expression" dxfId="3051" priority="3103">
      <formula>IF(#REF!="FICTICIO",1,0)</formula>
    </cfRule>
  </conditionalFormatting>
  <conditionalFormatting sqref="D115">
    <cfRule type="expression" dxfId="3050" priority="3104">
      <formula>IF(#REF!="FICTICIO",1,0)</formula>
    </cfRule>
  </conditionalFormatting>
  <conditionalFormatting sqref="E115">
    <cfRule type="expression" dxfId="3049" priority="3102">
      <formula>IF(#REF!="FICTICIO",1,0)</formula>
    </cfRule>
  </conditionalFormatting>
  <conditionalFormatting sqref="E115">
    <cfRule type="expression" dxfId="3048" priority="3101">
      <formula>IF(#REF!="FICTICIO",1,0)</formula>
    </cfRule>
  </conditionalFormatting>
  <conditionalFormatting sqref="E115">
    <cfRule type="expression" dxfId="3047" priority="3100">
      <formula>IF(#REF!="FICTICIO",1,0)</formula>
    </cfRule>
  </conditionalFormatting>
  <conditionalFormatting sqref="E115">
    <cfRule type="expression" dxfId="3046" priority="3099">
      <formula>IF(#REF!="FICTICIO",1,0)</formula>
    </cfRule>
  </conditionalFormatting>
  <conditionalFormatting sqref="E115">
    <cfRule type="expression" dxfId="3045" priority="3098">
      <formula>IF(#REF!="FICTICIO",1,0)</formula>
    </cfRule>
  </conditionalFormatting>
  <conditionalFormatting sqref="E115">
    <cfRule type="expression" dxfId="3044" priority="3097">
      <formula>IF(#REF!="FICTICIO",1,0)</formula>
    </cfRule>
  </conditionalFormatting>
  <conditionalFormatting sqref="E115">
    <cfRule type="expression" dxfId="3043" priority="3096">
      <formula>IF(#REF!="FICTICIO",1,0)</formula>
    </cfRule>
  </conditionalFormatting>
  <conditionalFormatting sqref="E115">
    <cfRule type="expression" dxfId="3042" priority="3095">
      <formula>IF(#REF!="FICTICIO",1,0)</formula>
    </cfRule>
  </conditionalFormatting>
  <conditionalFormatting sqref="E115">
    <cfRule type="expression" dxfId="3041" priority="3094">
      <formula>IF(#REF!="FICTICIO",1,0)</formula>
    </cfRule>
  </conditionalFormatting>
  <conditionalFormatting sqref="E115">
    <cfRule type="expression" dxfId="3040" priority="3093">
      <formula>IF(#REF!="FICTICIO",1,0)</formula>
    </cfRule>
  </conditionalFormatting>
  <conditionalFormatting sqref="E115">
    <cfRule type="expression" dxfId="3039" priority="3092">
      <formula>IF(#REF!="FICTICIO",1,0)</formula>
    </cfRule>
  </conditionalFormatting>
  <conditionalFormatting sqref="E115">
    <cfRule type="expression" dxfId="3038" priority="3091">
      <formula>IF(#REF!="FICTICIO",1,0)</formula>
    </cfRule>
  </conditionalFormatting>
  <conditionalFormatting sqref="E115">
    <cfRule type="expression" dxfId="3037" priority="3090">
      <formula>IF(#REF!="FICTICIO",1,0)</formula>
    </cfRule>
  </conditionalFormatting>
  <conditionalFormatting sqref="D115">
    <cfRule type="expression" dxfId="3036" priority="3088">
      <formula>IF(#REF!="FICTICIO",1,0)</formula>
    </cfRule>
  </conditionalFormatting>
  <conditionalFormatting sqref="D115">
    <cfRule type="expression" dxfId="3035" priority="3089">
      <formula>IF(#REF!="FICTICIO",1,0)</formula>
    </cfRule>
  </conditionalFormatting>
  <conditionalFormatting sqref="D115">
    <cfRule type="expression" dxfId="3034" priority="3086">
      <formula>IF(#REF!="FICTICIO",1,0)</formula>
    </cfRule>
  </conditionalFormatting>
  <conditionalFormatting sqref="D115">
    <cfRule type="expression" dxfId="3033" priority="3087">
      <formula>IF(#REF!="FICTICIO",1,0)</formula>
    </cfRule>
  </conditionalFormatting>
  <conditionalFormatting sqref="F115">
    <cfRule type="expression" dxfId="3032" priority="3085">
      <formula>IF(#REF!="FICTICIO",1,0)</formula>
    </cfRule>
  </conditionalFormatting>
  <conditionalFormatting sqref="E115">
    <cfRule type="expression" dxfId="3031" priority="3084">
      <formula>IF(#REF!="FICTICIO",1,0)</formula>
    </cfRule>
  </conditionalFormatting>
  <conditionalFormatting sqref="E115">
    <cfRule type="expression" dxfId="3030" priority="3083">
      <formula>IF(#REF!="FICTICIO",1,0)</formula>
    </cfRule>
  </conditionalFormatting>
  <conditionalFormatting sqref="E115">
    <cfRule type="expression" dxfId="3029" priority="3082">
      <formula>IF(#REF!="FICTICIO",1,0)</formula>
    </cfRule>
  </conditionalFormatting>
  <conditionalFormatting sqref="E115">
    <cfRule type="expression" dxfId="3028" priority="3081">
      <formula>IF(#REF!="FICTICIO",1,0)</formula>
    </cfRule>
  </conditionalFormatting>
  <conditionalFormatting sqref="E115">
    <cfRule type="expression" dxfId="3027" priority="3080">
      <formula>IF(#REF!="FICTICIO",1,0)</formula>
    </cfRule>
  </conditionalFormatting>
  <conditionalFormatting sqref="E115">
    <cfRule type="expression" dxfId="3026" priority="3079">
      <formula>IF(#REF!="FICTICIO",1,0)</formula>
    </cfRule>
  </conditionalFormatting>
  <conditionalFormatting sqref="D115">
    <cfRule type="expression" dxfId="3025" priority="3077">
      <formula>IF(#REF!="FICTICIO",1,0)</formula>
    </cfRule>
  </conditionalFormatting>
  <conditionalFormatting sqref="D115">
    <cfRule type="expression" dxfId="3024" priority="3078">
      <formula>IF(#REF!="FICTICIO",1,0)</formula>
    </cfRule>
  </conditionalFormatting>
  <conditionalFormatting sqref="D115">
    <cfRule type="expression" dxfId="3023" priority="3075">
      <formula>IF(#REF!="FICTICIO",1,0)</formula>
    </cfRule>
  </conditionalFormatting>
  <conditionalFormatting sqref="D115">
    <cfRule type="expression" dxfId="3022" priority="3076">
      <formula>IF(#REF!="FICTICIO",1,0)</formula>
    </cfRule>
  </conditionalFormatting>
  <conditionalFormatting sqref="D115">
    <cfRule type="expression" dxfId="3021" priority="3073">
      <formula>IF(#REF!="FICTICIO",1,0)</formula>
    </cfRule>
  </conditionalFormatting>
  <conditionalFormatting sqref="D115">
    <cfRule type="expression" dxfId="3020" priority="3074">
      <formula>IF(#REF!="FICTICIO",1,0)</formula>
    </cfRule>
  </conditionalFormatting>
  <conditionalFormatting sqref="D115">
    <cfRule type="expression" dxfId="3019" priority="3071">
      <formula>IF(#REF!="FICTICIO",1,0)</formula>
    </cfRule>
  </conditionalFormatting>
  <conditionalFormatting sqref="D115">
    <cfRule type="expression" dxfId="3018" priority="3072">
      <formula>IF(#REF!="FICTICIO",1,0)</formula>
    </cfRule>
  </conditionalFormatting>
  <conditionalFormatting sqref="E115">
    <cfRule type="expression" dxfId="3017" priority="3070">
      <formula>IF(#REF!="FICTICIO",1,0)</formula>
    </cfRule>
  </conditionalFormatting>
  <conditionalFormatting sqref="E115">
    <cfRule type="expression" dxfId="3016" priority="3069">
      <formula>IF(#REF!="FICTICIO",1,0)</formula>
    </cfRule>
  </conditionalFormatting>
  <conditionalFormatting sqref="E115">
    <cfRule type="expression" dxfId="3015" priority="3068">
      <formula>IF(#REF!="FICTICIO",1,0)</formula>
    </cfRule>
  </conditionalFormatting>
  <conditionalFormatting sqref="E115">
    <cfRule type="expression" dxfId="3014" priority="3067">
      <formula>IF(#REF!="FICTICIO",1,0)</formula>
    </cfRule>
  </conditionalFormatting>
  <conditionalFormatting sqref="E115">
    <cfRule type="expression" dxfId="3013" priority="3066">
      <formula>IF(#REF!="FICTICIO",1,0)</formula>
    </cfRule>
  </conditionalFormatting>
  <conditionalFormatting sqref="E115">
    <cfRule type="expression" dxfId="3012" priority="3065">
      <formula>IF(#REF!="FICTICIO",1,0)</formula>
    </cfRule>
  </conditionalFormatting>
  <conditionalFormatting sqref="E115">
    <cfRule type="expression" dxfId="3011" priority="3064">
      <formula>IF(#REF!="FICTICIO",1,0)</formula>
    </cfRule>
  </conditionalFormatting>
  <conditionalFormatting sqref="E115">
    <cfRule type="expression" dxfId="3010" priority="3063">
      <formula>IF(#REF!="FICTICIO",1,0)</formula>
    </cfRule>
  </conditionalFormatting>
  <conditionalFormatting sqref="E115">
    <cfRule type="expression" dxfId="3009" priority="3062">
      <formula>IF(#REF!="FICTICIO",1,0)</formula>
    </cfRule>
  </conditionalFormatting>
  <conditionalFormatting sqref="E115">
    <cfRule type="expression" dxfId="3008" priority="3061">
      <formula>IF(#REF!="FICTICIO",1,0)</formula>
    </cfRule>
  </conditionalFormatting>
  <conditionalFormatting sqref="E115">
    <cfRule type="expression" dxfId="3007" priority="3060">
      <formula>IF(#REF!="FICTICIO",1,0)</formula>
    </cfRule>
  </conditionalFormatting>
  <conditionalFormatting sqref="E115">
    <cfRule type="expression" dxfId="3006" priority="3059">
      <formula>IF(#REF!="FICTICIO",1,0)</formula>
    </cfRule>
  </conditionalFormatting>
  <conditionalFormatting sqref="E115">
    <cfRule type="expression" dxfId="3005" priority="3058">
      <formula>IF(#REF!="FICTICIO",1,0)</formula>
    </cfRule>
  </conditionalFormatting>
  <conditionalFormatting sqref="E115">
    <cfRule type="expression" dxfId="3004" priority="3057">
      <formula>IF(#REF!="FICTICIO",1,0)</formula>
    </cfRule>
  </conditionalFormatting>
  <conditionalFormatting sqref="E115">
    <cfRule type="expression" dxfId="3003" priority="3056">
      <formula>IF(#REF!="FICTICIO",1,0)</formula>
    </cfRule>
  </conditionalFormatting>
  <conditionalFormatting sqref="E115">
    <cfRule type="expression" dxfId="3002" priority="3055">
      <formula>IF(#REF!="FICTICIO",1,0)</formula>
    </cfRule>
  </conditionalFormatting>
  <conditionalFormatting sqref="E115">
    <cfRule type="expression" dxfId="3001" priority="3054">
      <formula>IF(#REF!="FICTICIO",1,0)</formula>
    </cfRule>
  </conditionalFormatting>
  <conditionalFormatting sqref="E115">
    <cfRule type="expression" dxfId="3000" priority="3053">
      <formula>IF(#REF!="FICTICIO",1,0)</formula>
    </cfRule>
  </conditionalFormatting>
  <conditionalFormatting sqref="E115">
    <cfRule type="expression" dxfId="2999" priority="3052">
      <formula>IF(#REF!="FICTICIO",1,0)</formula>
    </cfRule>
  </conditionalFormatting>
  <conditionalFormatting sqref="E115">
    <cfRule type="expression" dxfId="2998" priority="3051">
      <formula>IF(#REF!="FICTICIO",1,0)</formula>
    </cfRule>
  </conditionalFormatting>
  <conditionalFormatting sqref="E115">
    <cfRule type="expression" dxfId="2997" priority="3050">
      <formula>IF(#REF!="FICTICIO",1,0)</formula>
    </cfRule>
  </conditionalFormatting>
  <conditionalFormatting sqref="E115">
    <cfRule type="expression" dxfId="2996" priority="3049">
      <formula>IF(#REF!="FICTICIO",1,0)</formula>
    </cfRule>
  </conditionalFormatting>
  <conditionalFormatting sqref="E115">
    <cfRule type="expression" dxfId="2995" priority="3048">
      <formula>IF(#REF!="FICTICIO",1,0)</formula>
    </cfRule>
  </conditionalFormatting>
  <conditionalFormatting sqref="E115">
    <cfRule type="expression" dxfId="2994" priority="3047">
      <formula>IF(#REF!="FICTICIO",1,0)</formula>
    </cfRule>
  </conditionalFormatting>
  <conditionalFormatting sqref="E115">
    <cfRule type="expression" dxfId="2993" priority="3046">
      <formula>IF(#REF!="FICTICIO",1,0)</formula>
    </cfRule>
  </conditionalFormatting>
  <conditionalFormatting sqref="E115">
    <cfRule type="expression" dxfId="2992" priority="3045">
      <formula>IF(#REF!="FICTICIO",1,0)</formula>
    </cfRule>
  </conditionalFormatting>
  <conditionalFormatting sqref="E115">
    <cfRule type="expression" dxfId="2991" priority="3044">
      <formula>IF(#REF!="FICTICIO",1,0)</formula>
    </cfRule>
  </conditionalFormatting>
  <conditionalFormatting sqref="E115">
    <cfRule type="expression" dxfId="2990" priority="3043">
      <formula>IF(#REF!="FICTICIO",1,0)</formula>
    </cfRule>
  </conditionalFormatting>
  <conditionalFormatting sqref="E115">
    <cfRule type="expression" dxfId="2989" priority="3042">
      <formula>IF(#REF!="FICTICIO",1,0)</formula>
    </cfRule>
  </conditionalFormatting>
  <conditionalFormatting sqref="E115">
    <cfRule type="expression" dxfId="2988" priority="3041">
      <formula>IF(#REF!="FICTICIO",1,0)</formula>
    </cfRule>
  </conditionalFormatting>
  <conditionalFormatting sqref="E115">
    <cfRule type="expression" dxfId="2987" priority="3040">
      <formula>IF(#REF!="FICTICIO",1,0)</formula>
    </cfRule>
  </conditionalFormatting>
  <conditionalFormatting sqref="E115">
    <cfRule type="expression" dxfId="2986" priority="3039">
      <formula>IF(#REF!="FICTICIO",1,0)</formula>
    </cfRule>
  </conditionalFormatting>
  <conditionalFormatting sqref="E115">
    <cfRule type="expression" dxfId="2985" priority="3038">
      <formula>IF(#REF!="FICTICIO",1,0)</formula>
    </cfRule>
  </conditionalFormatting>
  <conditionalFormatting sqref="E115">
    <cfRule type="expression" dxfId="2984" priority="3037">
      <formula>IF(#REF!="FICTICIO",1,0)</formula>
    </cfRule>
  </conditionalFormatting>
  <conditionalFormatting sqref="E115">
    <cfRule type="expression" dxfId="2983" priority="3036">
      <formula>IF(#REF!="FICTICIO",1,0)</formula>
    </cfRule>
  </conditionalFormatting>
  <conditionalFormatting sqref="E115">
    <cfRule type="expression" dxfId="2982" priority="3035">
      <formula>IF(#REF!="FICTICIO",1,0)</formula>
    </cfRule>
  </conditionalFormatting>
  <conditionalFormatting sqref="E115">
    <cfRule type="expression" dxfId="2981" priority="3034">
      <formula>IF(#REF!="FICTICIO",1,0)</formula>
    </cfRule>
  </conditionalFormatting>
  <conditionalFormatting sqref="E115">
    <cfRule type="expression" dxfId="2980" priority="3033">
      <formula>IF(#REF!="FICTICIO",1,0)</formula>
    </cfRule>
  </conditionalFormatting>
  <conditionalFormatting sqref="F115">
    <cfRule type="expression" dxfId="2979" priority="3032">
      <formula>IF(#REF!="FICTICIO",1,0)</formula>
    </cfRule>
  </conditionalFormatting>
  <conditionalFormatting sqref="F115">
    <cfRule type="expression" dxfId="2978" priority="3030">
      <formula>IF(#REF!="FICTICIO",1,0)</formula>
    </cfRule>
  </conditionalFormatting>
  <conditionalFormatting sqref="F115">
    <cfRule type="expression" dxfId="2977" priority="3031">
      <formula>IF(#REF!="FICTICIO",1,0)</formula>
    </cfRule>
  </conditionalFormatting>
  <conditionalFormatting sqref="F116">
    <cfRule type="expression" dxfId="2976" priority="3029">
      <formula>IF(#REF!="FICTICIO",1,0)</formula>
    </cfRule>
  </conditionalFormatting>
  <conditionalFormatting sqref="F116">
    <cfRule type="expression" dxfId="2975" priority="3028">
      <formula>IF(#REF!="FICTICIO",1,0)</formula>
    </cfRule>
  </conditionalFormatting>
  <conditionalFormatting sqref="F116">
    <cfRule type="expression" dxfId="2974" priority="3027">
      <formula>IF(#REF!="FICTICIO",1,0)</formula>
    </cfRule>
  </conditionalFormatting>
  <conditionalFormatting sqref="F116">
    <cfRule type="expression" dxfId="2973" priority="3026">
      <formula>IF(#REF!="FICTICIO",1,0)</formula>
    </cfRule>
  </conditionalFormatting>
  <conditionalFormatting sqref="F116">
    <cfRule type="expression" dxfId="2972" priority="3025">
      <formula>IF(#REF!="FICTICIO",1,0)</formula>
    </cfRule>
  </conditionalFormatting>
  <conditionalFormatting sqref="F116">
    <cfRule type="expression" dxfId="2971" priority="3024">
      <formula>IF(#REF!="FICTICIO",1,0)</formula>
    </cfRule>
  </conditionalFormatting>
  <conditionalFormatting sqref="F116">
    <cfRule type="expression" dxfId="2970" priority="3023">
      <formula>IF(#REF!="FICTICIO",1,0)</formula>
    </cfRule>
  </conditionalFormatting>
  <conditionalFormatting sqref="E114">
    <cfRule type="expression" dxfId="2969" priority="3022">
      <formula>IF(#REF!="FICTICIO",1,0)</formula>
    </cfRule>
  </conditionalFormatting>
  <conditionalFormatting sqref="E114">
    <cfRule type="expression" dxfId="2968" priority="3021">
      <formula>IF(#REF!="FICTICIO",1,0)</formula>
    </cfRule>
  </conditionalFormatting>
  <conditionalFormatting sqref="E114">
    <cfRule type="expression" dxfId="2967" priority="3020">
      <formula>IF(#REF!="FICTICIO",1,0)</formula>
    </cfRule>
  </conditionalFormatting>
  <conditionalFormatting sqref="E114">
    <cfRule type="expression" dxfId="2966" priority="3019">
      <formula>IF(#REF!="FICTICIO",1,0)</formula>
    </cfRule>
  </conditionalFormatting>
  <conditionalFormatting sqref="E114">
    <cfRule type="expression" dxfId="2965" priority="3018">
      <formula>IF(#REF!="FICTICIO",1,0)</formula>
    </cfRule>
  </conditionalFormatting>
  <conditionalFormatting sqref="E114">
    <cfRule type="expression" dxfId="2964" priority="3017">
      <formula>IF(#REF!="FICTICIO",1,0)</formula>
    </cfRule>
  </conditionalFormatting>
  <conditionalFormatting sqref="E114">
    <cfRule type="expression" dxfId="2963" priority="3016">
      <formula>IF(#REF!="FICTICIO",1,0)</formula>
    </cfRule>
  </conditionalFormatting>
  <conditionalFormatting sqref="E114">
    <cfRule type="expression" dxfId="2962" priority="3015">
      <formula>IF(#REF!="FICTICIO",1,0)</formula>
    </cfRule>
  </conditionalFormatting>
  <conditionalFormatting sqref="E114">
    <cfRule type="expression" dxfId="2961" priority="3014">
      <formula>IF(#REF!="FICTICIO",1,0)</formula>
    </cfRule>
  </conditionalFormatting>
  <conditionalFormatting sqref="E114">
    <cfRule type="expression" dxfId="2960" priority="3013">
      <formula>IF(#REF!="FICTICIO",1,0)</formula>
    </cfRule>
  </conditionalFormatting>
  <conditionalFormatting sqref="F114">
    <cfRule type="expression" dxfId="2959" priority="3012">
      <formula>IF(#REF!="FICTICIO",1,0)</formula>
    </cfRule>
  </conditionalFormatting>
  <conditionalFormatting sqref="E114">
    <cfRule type="expression" dxfId="2958" priority="3011">
      <formula>IF(#REF!="FICTICIO",1,0)</formula>
    </cfRule>
  </conditionalFormatting>
  <conditionalFormatting sqref="E114">
    <cfRule type="expression" dxfId="2957" priority="3010">
      <formula>IF(#REF!="FICTICIO",1,0)</formula>
    </cfRule>
  </conditionalFormatting>
  <conditionalFormatting sqref="E114">
    <cfRule type="expression" dxfId="2956" priority="3009">
      <formula>IF(#REF!="FICTICIO",1,0)</formula>
    </cfRule>
  </conditionalFormatting>
  <conditionalFormatting sqref="E114">
    <cfRule type="expression" dxfId="2955" priority="3008">
      <formula>IF(#REF!="FICTICIO",1,0)</formula>
    </cfRule>
  </conditionalFormatting>
  <conditionalFormatting sqref="E114">
    <cfRule type="expression" dxfId="2954" priority="3007">
      <formula>IF(#REF!="FICTICIO",1,0)</formula>
    </cfRule>
  </conditionalFormatting>
  <conditionalFormatting sqref="E114">
    <cfRule type="expression" dxfId="2953" priority="3006">
      <formula>IF(#REF!="FICTICIO",1,0)</formula>
    </cfRule>
  </conditionalFormatting>
  <conditionalFormatting sqref="E114">
    <cfRule type="expression" dxfId="2952" priority="3005">
      <formula>IF(#REF!="FICTICIO",1,0)</formula>
    </cfRule>
  </conditionalFormatting>
  <conditionalFormatting sqref="E114">
    <cfRule type="expression" dxfId="2951" priority="3004">
      <formula>IF(#REF!="FICTICIO",1,0)</formula>
    </cfRule>
  </conditionalFormatting>
  <conditionalFormatting sqref="E114">
    <cfRule type="expression" dxfId="2950" priority="3003">
      <formula>IF(#REF!="FICTICIO",1,0)</formula>
    </cfRule>
  </conditionalFormatting>
  <conditionalFormatting sqref="D114">
    <cfRule type="expression" dxfId="2949" priority="3001">
      <formula>IF(#REF!="FICTICIO",1,0)</formula>
    </cfRule>
  </conditionalFormatting>
  <conditionalFormatting sqref="D114">
    <cfRule type="expression" dxfId="2948" priority="3002">
      <formula>IF(#REF!="FICTICIO",1,0)</formula>
    </cfRule>
  </conditionalFormatting>
  <conditionalFormatting sqref="D114">
    <cfRule type="expression" dxfId="2947" priority="2999">
      <formula>IF(#REF!="FICTICIO",1,0)</formula>
    </cfRule>
  </conditionalFormatting>
  <conditionalFormatting sqref="D114">
    <cfRule type="expression" dxfId="2946" priority="3000">
      <formula>IF(#REF!="FICTICIO",1,0)</formula>
    </cfRule>
  </conditionalFormatting>
  <conditionalFormatting sqref="E114">
    <cfRule type="expression" dxfId="2945" priority="2998">
      <formula>IF(#REF!="FICTICIO",1,0)</formula>
    </cfRule>
  </conditionalFormatting>
  <conditionalFormatting sqref="E114">
    <cfRule type="expression" dxfId="2944" priority="2997">
      <formula>IF(#REF!="FICTICIO",1,0)</formula>
    </cfRule>
  </conditionalFormatting>
  <conditionalFormatting sqref="E114">
    <cfRule type="expression" dxfId="2943" priority="2996">
      <formula>IF(#REF!="FICTICIO",1,0)</formula>
    </cfRule>
  </conditionalFormatting>
  <conditionalFormatting sqref="E114">
    <cfRule type="expression" dxfId="2942" priority="2995">
      <formula>IF(#REF!="FICTICIO",1,0)</formula>
    </cfRule>
  </conditionalFormatting>
  <conditionalFormatting sqref="E114">
    <cfRule type="expression" dxfId="2941" priority="2994">
      <formula>IF(#REF!="FICTICIO",1,0)</formula>
    </cfRule>
  </conditionalFormatting>
  <conditionalFormatting sqref="E114">
    <cfRule type="expression" dxfId="2940" priority="2993">
      <formula>IF(#REF!="FICTICIO",1,0)</formula>
    </cfRule>
  </conditionalFormatting>
  <conditionalFormatting sqref="E114">
    <cfRule type="expression" dxfId="2939" priority="2992">
      <formula>IF(#REF!="FICTICIO",1,0)</formula>
    </cfRule>
  </conditionalFormatting>
  <conditionalFormatting sqref="E114">
    <cfRule type="expression" dxfId="2938" priority="2991">
      <formula>IF(#REF!="FICTICIO",1,0)</formula>
    </cfRule>
  </conditionalFormatting>
  <conditionalFormatting sqref="E114">
    <cfRule type="expression" dxfId="2937" priority="2990">
      <formula>IF(#REF!="FICTICIO",1,0)</formula>
    </cfRule>
  </conditionalFormatting>
  <conditionalFormatting sqref="E114">
    <cfRule type="expression" dxfId="2936" priority="2989">
      <formula>IF(#REF!="FICTICIO",1,0)</formula>
    </cfRule>
  </conditionalFormatting>
  <conditionalFormatting sqref="E114">
    <cfRule type="expression" dxfId="2935" priority="2988">
      <formula>IF(#REF!="FICTICIO",1,0)</formula>
    </cfRule>
  </conditionalFormatting>
  <conditionalFormatting sqref="E114">
    <cfRule type="expression" dxfId="2934" priority="2987">
      <formula>IF(#REF!="FICTICIO",1,0)</formula>
    </cfRule>
  </conditionalFormatting>
  <conditionalFormatting sqref="E114">
    <cfRule type="expression" dxfId="2933" priority="2986">
      <formula>IF(#REF!="FICTICIO",1,0)</formula>
    </cfRule>
  </conditionalFormatting>
  <conditionalFormatting sqref="D114">
    <cfRule type="expression" dxfId="2932" priority="2984">
      <formula>IF(#REF!="FICTICIO",1,0)</formula>
    </cfRule>
  </conditionalFormatting>
  <conditionalFormatting sqref="D114">
    <cfRule type="expression" dxfId="2931" priority="2985">
      <formula>IF(#REF!="FICTICIO",1,0)</formula>
    </cfRule>
  </conditionalFormatting>
  <conditionalFormatting sqref="D114">
    <cfRule type="expression" dxfId="2930" priority="2982">
      <formula>IF(#REF!="FICTICIO",1,0)</formula>
    </cfRule>
  </conditionalFormatting>
  <conditionalFormatting sqref="D114">
    <cfRule type="expression" dxfId="2929" priority="2983">
      <formula>IF(#REF!="FICTICIO",1,0)</formula>
    </cfRule>
  </conditionalFormatting>
  <conditionalFormatting sqref="F114">
    <cfRule type="expression" dxfId="2928" priority="2981">
      <formula>IF(#REF!="FICTICIO",1,0)</formula>
    </cfRule>
  </conditionalFormatting>
  <conditionalFormatting sqref="E114">
    <cfRule type="expression" dxfId="2927" priority="2980">
      <formula>IF(#REF!="FICTICIO",1,0)</formula>
    </cfRule>
  </conditionalFormatting>
  <conditionalFormatting sqref="E114">
    <cfRule type="expression" dxfId="2926" priority="2979">
      <formula>IF(#REF!="FICTICIO",1,0)</formula>
    </cfRule>
  </conditionalFormatting>
  <conditionalFormatting sqref="E114">
    <cfRule type="expression" dxfId="2925" priority="2978">
      <formula>IF(#REF!="FICTICIO",1,0)</formula>
    </cfRule>
  </conditionalFormatting>
  <conditionalFormatting sqref="E114">
    <cfRule type="expression" dxfId="2924" priority="2977">
      <formula>IF(#REF!="FICTICIO",1,0)</formula>
    </cfRule>
  </conditionalFormatting>
  <conditionalFormatting sqref="E114">
    <cfRule type="expression" dxfId="2923" priority="2976">
      <formula>IF(#REF!="FICTICIO",1,0)</formula>
    </cfRule>
  </conditionalFormatting>
  <conditionalFormatting sqref="E114">
    <cfRule type="expression" dxfId="2922" priority="2975">
      <formula>IF(#REF!="FICTICIO",1,0)</formula>
    </cfRule>
  </conditionalFormatting>
  <conditionalFormatting sqref="D114">
    <cfRule type="expression" dxfId="2921" priority="2973">
      <formula>IF(#REF!="FICTICIO",1,0)</formula>
    </cfRule>
  </conditionalFormatting>
  <conditionalFormatting sqref="D114">
    <cfRule type="expression" dxfId="2920" priority="2974">
      <formula>IF(#REF!="FICTICIO",1,0)</formula>
    </cfRule>
  </conditionalFormatting>
  <conditionalFormatting sqref="D114">
    <cfRule type="expression" dxfId="2919" priority="2971">
      <formula>IF(#REF!="FICTICIO",1,0)</formula>
    </cfRule>
  </conditionalFormatting>
  <conditionalFormatting sqref="D114">
    <cfRule type="expression" dxfId="2918" priority="2972">
      <formula>IF(#REF!="FICTICIO",1,0)</formula>
    </cfRule>
  </conditionalFormatting>
  <conditionalFormatting sqref="D114">
    <cfRule type="expression" dxfId="2917" priority="2969">
      <formula>IF(#REF!="FICTICIO",1,0)</formula>
    </cfRule>
  </conditionalFormatting>
  <conditionalFormatting sqref="D114">
    <cfRule type="expression" dxfId="2916" priority="2970">
      <formula>IF(#REF!="FICTICIO",1,0)</formula>
    </cfRule>
  </conditionalFormatting>
  <conditionalFormatting sqref="D114">
    <cfRule type="expression" dxfId="2915" priority="2967">
      <formula>IF(#REF!="FICTICIO",1,0)</formula>
    </cfRule>
  </conditionalFormatting>
  <conditionalFormatting sqref="D114">
    <cfRule type="expression" dxfId="2914" priority="2968">
      <formula>IF(#REF!="FICTICIO",1,0)</formula>
    </cfRule>
  </conditionalFormatting>
  <conditionalFormatting sqref="E114">
    <cfRule type="expression" dxfId="2913" priority="2966">
      <formula>IF(#REF!="FICTICIO",1,0)</formula>
    </cfRule>
  </conditionalFormatting>
  <conditionalFormatting sqref="E114">
    <cfRule type="expression" dxfId="2912" priority="2965">
      <formula>IF(#REF!="FICTICIO",1,0)</formula>
    </cfRule>
  </conditionalFormatting>
  <conditionalFormatting sqref="E114">
    <cfRule type="expression" dxfId="2911" priority="2964">
      <formula>IF(#REF!="FICTICIO",1,0)</formula>
    </cfRule>
  </conditionalFormatting>
  <conditionalFormatting sqref="E114">
    <cfRule type="expression" dxfId="2910" priority="2963">
      <formula>IF(#REF!="FICTICIO",1,0)</formula>
    </cfRule>
  </conditionalFormatting>
  <conditionalFormatting sqref="E114">
    <cfRule type="expression" dxfId="2909" priority="2962">
      <formula>IF(#REF!="FICTICIO",1,0)</formula>
    </cfRule>
  </conditionalFormatting>
  <conditionalFormatting sqref="E114">
    <cfRule type="expression" dxfId="2908" priority="2961">
      <formula>IF(#REF!="FICTICIO",1,0)</formula>
    </cfRule>
  </conditionalFormatting>
  <conditionalFormatting sqref="E114">
    <cfRule type="expression" dxfId="2907" priority="2960">
      <formula>IF(#REF!="FICTICIO",1,0)</formula>
    </cfRule>
  </conditionalFormatting>
  <conditionalFormatting sqref="E114">
    <cfRule type="expression" dxfId="2906" priority="2959">
      <formula>IF(#REF!="FICTICIO",1,0)</formula>
    </cfRule>
  </conditionalFormatting>
  <conditionalFormatting sqref="E114">
    <cfRule type="expression" dxfId="2905" priority="2958">
      <formula>IF(#REF!="FICTICIO",1,0)</formula>
    </cfRule>
  </conditionalFormatting>
  <conditionalFormatting sqref="E114">
    <cfRule type="expression" dxfId="2904" priority="2957">
      <formula>IF(#REF!="FICTICIO",1,0)</formula>
    </cfRule>
  </conditionalFormatting>
  <conditionalFormatting sqref="E114">
    <cfRule type="expression" dxfId="2903" priority="2956">
      <formula>IF(#REF!="FICTICIO",1,0)</formula>
    </cfRule>
  </conditionalFormatting>
  <conditionalFormatting sqref="E114">
    <cfRule type="expression" dxfId="2902" priority="2955">
      <formula>IF(#REF!="FICTICIO",1,0)</formula>
    </cfRule>
  </conditionalFormatting>
  <conditionalFormatting sqref="E114">
    <cfRule type="expression" dxfId="2901" priority="2954">
      <formula>IF(#REF!="FICTICIO",1,0)</formula>
    </cfRule>
  </conditionalFormatting>
  <conditionalFormatting sqref="E114">
    <cfRule type="expression" dxfId="2900" priority="2953">
      <formula>IF(#REF!="FICTICIO",1,0)</formula>
    </cfRule>
  </conditionalFormatting>
  <conditionalFormatting sqref="E114">
    <cfRule type="expression" dxfId="2899" priority="2952">
      <formula>IF(#REF!="FICTICIO",1,0)</formula>
    </cfRule>
  </conditionalFormatting>
  <conditionalFormatting sqref="E114">
    <cfRule type="expression" dxfId="2898" priority="2951">
      <formula>IF(#REF!="FICTICIO",1,0)</formula>
    </cfRule>
  </conditionalFormatting>
  <conditionalFormatting sqref="E114">
    <cfRule type="expression" dxfId="2897" priority="2950">
      <formula>IF(#REF!="FICTICIO",1,0)</formula>
    </cfRule>
  </conditionalFormatting>
  <conditionalFormatting sqref="E114">
    <cfRule type="expression" dxfId="2896" priority="2949">
      <formula>IF(#REF!="FICTICIO",1,0)</formula>
    </cfRule>
  </conditionalFormatting>
  <conditionalFormatting sqref="E114">
    <cfRule type="expression" dxfId="2895" priority="2948">
      <formula>IF(#REF!="FICTICIO",1,0)</formula>
    </cfRule>
  </conditionalFormatting>
  <conditionalFormatting sqref="E114">
    <cfRule type="expression" dxfId="2894" priority="2947">
      <formula>IF(#REF!="FICTICIO",1,0)</formula>
    </cfRule>
  </conditionalFormatting>
  <conditionalFormatting sqref="E114">
    <cfRule type="expression" dxfId="2893" priority="2946">
      <formula>IF(#REF!="FICTICIO",1,0)</formula>
    </cfRule>
  </conditionalFormatting>
  <conditionalFormatting sqref="E114">
    <cfRule type="expression" dxfId="2892" priority="2945">
      <formula>IF(#REF!="FICTICIO",1,0)</formula>
    </cfRule>
  </conditionalFormatting>
  <conditionalFormatting sqref="E114">
    <cfRule type="expression" dxfId="2891" priority="2944">
      <formula>IF(#REF!="FICTICIO",1,0)</formula>
    </cfRule>
  </conditionalFormatting>
  <conditionalFormatting sqref="E114">
    <cfRule type="expression" dxfId="2890" priority="2943">
      <formula>IF(#REF!="FICTICIO",1,0)</formula>
    </cfRule>
  </conditionalFormatting>
  <conditionalFormatting sqref="E114">
    <cfRule type="expression" dxfId="2889" priority="2942">
      <formula>IF(#REF!="FICTICIO",1,0)</formula>
    </cfRule>
  </conditionalFormatting>
  <conditionalFormatting sqref="E114">
    <cfRule type="expression" dxfId="2888" priority="2941">
      <formula>IF(#REF!="FICTICIO",1,0)</formula>
    </cfRule>
  </conditionalFormatting>
  <conditionalFormatting sqref="E114">
    <cfRule type="expression" dxfId="2887" priority="2940">
      <formula>IF(#REF!="FICTICIO",1,0)</formula>
    </cfRule>
  </conditionalFormatting>
  <conditionalFormatting sqref="E114">
    <cfRule type="expression" dxfId="2886" priority="2939">
      <formula>IF(#REF!="FICTICIO",1,0)</formula>
    </cfRule>
  </conditionalFormatting>
  <conditionalFormatting sqref="E114">
    <cfRule type="expression" dxfId="2885" priority="2938">
      <formula>IF(#REF!="FICTICIO",1,0)</formula>
    </cfRule>
  </conditionalFormatting>
  <conditionalFormatting sqref="E114">
    <cfRule type="expression" dxfId="2884" priority="2937">
      <formula>IF(#REF!="FICTICIO",1,0)</formula>
    </cfRule>
  </conditionalFormatting>
  <conditionalFormatting sqref="E114">
    <cfRule type="expression" dxfId="2883" priority="2936">
      <formula>IF(#REF!="FICTICIO",1,0)</formula>
    </cfRule>
  </conditionalFormatting>
  <conditionalFormatting sqref="E114">
    <cfRule type="expression" dxfId="2882" priority="2935">
      <formula>IF(#REF!="FICTICIO",1,0)</formula>
    </cfRule>
  </conditionalFormatting>
  <conditionalFormatting sqref="E114">
    <cfRule type="expression" dxfId="2881" priority="2934">
      <formula>IF(#REF!="FICTICIO",1,0)</formula>
    </cfRule>
  </conditionalFormatting>
  <conditionalFormatting sqref="E114">
    <cfRule type="expression" dxfId="2880" priority="2933">
      <formula>IF(#REF!="FICTICIO",1,0)</formula>
    </cfRule>
  </conditionalFormatting>
  <conditionalFormatting sqref="E114">
    <cfRule type="expression" dxfId="2879" priority="2932">
      <formula>IF(#REF!="FICTICIO",1,0)</formula>
    </cfRule>
  </conditionalFormatting>
  <conditionalFormatting sqref="E114">
    <cfRule type="expression" dxfId="2878" priority="2931">
      <formula>IF(#REF!="FICTICIO",1,0)</formula>
    </cfRule>
  </conditionalFormatting>
  <conditionalFormatting sqref="E114">
    <cfRule type="expression" dxfId="2877" priority="2930">
      <formula>IF(#REF!="FICTICIO",1,0)</formula>
    </cfRule>
  </conditionalFormatting>
  <conditionalFormatting sqref="E114">
    <cfRule type="expression" dxfId="2876" priority="2929">
      <formula>IF(#REF!="FICTICIO",1,0)</formula>
    </cfRule>
  </conditionalFormatting>
  <conditionalFormatting sqref="F114">
    <cfRule type="expression" dxfId="2875" priority="2928">
      <formula>IF(#REF!="FICTICIO",1,0)</formula>
    </cfRule>
  </conditionalFormatting>
  <conditionalFormatting sqref="F114">
    <cfRule type="expression" dxfId="2874" priority="2926">
      <formula>IF(#REF!="FICTICIO",1,0)</formula>
    </cfRule>
  </conditionalFormatting>
  <conditionalFormatting sqref="F114">
    <cfRule type="expression" dxfId="2873" priority="2927">
      <formula>IF(#REF!="FICTICIO",1,0)</formula>
    </cfRule>
  </conditionalFormatting>
  <conditionalFormatting sqref="E115">
    <cfRule type="expression" dxfId="2872" priority="2925">
      <formula>IF(#REF!="FICTICIO",1,0)</formula>
    </cfRule>
  </conditionalFormatting>
  <conditionalFormatting sqref="E115">
    <cfRule type="expression" dxfId="2871" priority="2924">
      <formula>IF(#REF!="FICTICIO",1,0)</formula>
    </cfRule>
  </conditionalFormatting>
  <conditionalFormatting sqref="E115">
    <cfRule type="expression" dxfId="2870" priority="2923">
      <formula>IF(#REF!="FICTICIO",1,0)</formula>
    </cfRule>
  </conditionalFormatting>
  <conditionalFormatting sqref="E115">
    <cfRule type="expression" dxfId="2869" priority="2922">
      <formula>IF(#REF!="FICTICIO",1,0)</formula>
    </cfRule>
  </conditionalFormatting>
  <conditionalFormatting sqref="E115">
    <cfRule type="expression" dxfId="2868" priority="2921">
      <formula>IF(#REF!="FICTICIO",1,0)</formula>
    </cfRule>
  </conditionalFormatting>
  <conditionalFormatting sqref="E115">
    <cfRule type="expression" dxfId="2867" priority="2920">
      <formula>IF(#REF!="FICTICIO",1,0)</formula>
    </cfRule>
  </conditionalFormatting>
  <conditionalFormatting sqref="E115">
    <cfRule type="expression" dxfId="2866" priority="2919">
      <formula>IF(#REF!="FICTICIO",1,0)</formula>
    </cfRule>
  </conditionalFormatting>
  <conditionalFormatting sqref="E115">
    <cfRule type="expression" dxfId="2865" priority="2918">
      <formula>IF(#REF!="FICTICIO",1,0)</formula>
    </cfRule>
  </conditionalFormatting>
  <conditionalFormatting sqref="E115">
    <cfRule type="expression" dxfId="2864" priority="2917">
      <formula>IF(#REF!="FICTICIO",1,0)</formula>
    </cfRule>
  </conditionalFormatting>
  <conditionalFormatting sqref="E115">
    <cfRule type="expression" dxfId="2863" priority="2916">
      <formula>IF(#REF!="FICTICIO",1,0)</formula>
    </cfRule>
  </conditionalFormatting>
  <conditionalFormatting sqref="F115">
    <cfRule type="expression" dxfId="2862" priority="2915">
      <formula>IF(#REF!="FICTICIO",1,0)</formula>
    </cfRule>
  </conditionalFormatting>
  <conditionalFormatting sqref="E115">
    <cfRule type="expression" dxfId="2861" priority="2914">
      <formula>IF(#REF!="FICTICIO",1,0)</formula>
    </cfRule>
  </conditionalFormatting>
  <conditionalFormatting sqref="E115">
    <cfRule type="expression" dxfId="2860" priority="2913">
      <formula>IF(#REF!="FICTICIO",1,0)</formula>
    </cfRule>
  </conditionalFormatting>
  <conditionalFormatting sqref="E115">
    <cfRule type="expression" dxfId="2859" priority="2912">
      <formula>IF(#REF!="FICTICIO",1,0)</formula>
    </cfRule>
  </conditionalFormatting>
  <conditionalFormatting sqref="E115">
    <cfRule type="expression" dxfId="2858" priority="2911">
      <formula>IF(#REF!="FICTICIO",1,0)</formula>
    </cfRule>
  </conditionalFormatting>
  <conditionalFormatting sqref="E115">
    <cfRule type="expression" dxfId="2857" priority="2910">
      <formula>IF(#REF!="FICTICIO",1,0)</formula>
    </cfRule>
  </conditionalFormatting>
  <conditionalFormatting sqref="E115">
    <cfRule type="expression" dxfId="2856" priority="2909">
      <formula>IF(#REF!="FICTICIO",1,0)</formula>
    </cfRule>
  </conditionalFormatting>
  <conditionalFormatting sqref="E115">
    <cfRule type="expression" dxfId="2855" priority="2908">
      <formula>IF(#REF!="FICTICIO",1,0)</formula>
    </cfRule>
  </conditionalFormatting>
  <conditionalFormatting sqref="E115">
    <cfRule type="expression" dxfId="2854" priority="2907">
      <formula>IF(#REF!="FICTICIO",1,0)</formula>
    </cfRule>
  </conditionalFormatting>
  <conditionalFormatting sqref="E115">
    <cfRule type="expression" dxfId="2853" priority="2906">
      <formula>IF(#REF!="FICTICIO",1,0)</formula>
    </cfRule>
  </conditionalFormatting>
  <conditionalFormatting sqref="D115">
    <cfRule type="expression" dxfId="2852" priority="2904">
      <formula>IF(#REF!="FICTICIO",1,0)</formula>
    </cfRule>
  </conditionalFormatting>
  <conditionalFormatting sqref="D115">
    <cfRule type="expression" dxfId="2851" priority="2905">
      <formula>IF(#REF!="FICTICIO",1,0)</formula>
    </cfRule>
  </conditionalFormatting>
  <conditionalFormatting sqref="D115">
    <cfRule type="expression" dxfId="2850" priority="2902">
      <formula>IF(#REF!="FICTICIO",1,0)</formula>
    </cfRule>
  </conditionalFormatting>
  <conditionalFormatting sqref="D115">
    <cfRule type="expression" dxfId="2849" priority="2903">
      <formula>IF(#REF!="FICTICIO",1,0)</formula>
    </cfRule>
  </conditionalFormatting>
  <conditionalFormatting sqref="E115">
    <cfRule type="expression" dxfId="2848" priority="2901">
      <formula>IF(#REF!="FICTICIO",1,0)</formula>
    </cfRule>
  </conditionalFormatting>
  <conditionalFormatting sqref="E115">
    <cfRule type="expression" dxfId="2847" priority="2900">
      <formula>IF(#REF!="FICTICIO",1,0)</formula>
    </cfRule>
  </conditionalFormatting>
  <conditionalFormatting sqref="E115">
    <cfRule type="expression" dxfId="2846" priority="2899">
      <formula>IF(#REF!="FICTICIO",1,0)</formula>
    </cfRule>
  </conditionalFormatting>
  <conditionalFormatting sqref="E115">
    <cfRule type="expression" dxfId="2845" priority="2898">
      <formula>IF(#REF!="FICTICIO",1,0)</formula>
    </cfRule>
  </conditionalFormatting>
  <conditionalFormatting sqref="E115">
    <cfRule type="expression" dxfId="2844" priority="2897">
      <formula>IF(#REF!="FICTICIO",1,0)</formula>
    </cfRule>
  </conditionalFormatting>
  <conditionalFormatting sqref="E115">
    <cfRule type="expression" dxfId="2843" priority="2896">
      <formula>IF(#REF!="FICTICIO",1,0)</formula>
    </cfRule>
  </conditionalFormatting>
  <conditionalFormatting sqref="E115">
    <cfRule type="expression" dxfId="2842" priority="2895">
      <formula>IF(#REF!="FICTICIO",1,0)</formula>
    </cfRule>
  </conditionalFormatting>
  <conditionalFormatting sqref="E115">
    <cfRule type="expression" dxfId="2841" priority="2894">
      <formula>IF(#REF!="FICTICIO",1,0)</formula>
    </cfRule>
  </conditionalFormatting>
  <conditionalFormatting sqref="E115">
    <cfRule type="expression" dxfId="2840" priority="2893">
      <formula>IF(#REF!="FICTICIO",1,0)</formula>
    </cfRule>
  </conditionalFormatting>
  <conditionalFormatting sqref="E115">
    <cfRule type="expression" dxfId="2839" priority="2892">
      <formula>IF(#REF!="FICTICIO",1,0)</formula>
    </cfRule>
  </conditionalFormatting>
  <conditionalFormatting sqref="E115">
    <cfRule type="expression" dxfId="2838" priority="2891">
      <formula>IF(#REF!="FICTICIO",1,0)</formula>
    </cfRule>
  </conditionalFormatting>
  <conditionalFormatting sqref="E115">
    <cfRule type="expression" dxfId="2837" priority="2890">
      <formula>IF(#REF!="FICTICIO",1,0)</formula>
    </cfRule>
  </conditionalFormatting>
  <conditionalFormatting sqref="E115">
    <cfRule type="expression" dxfId="2836" priority="2889">
      <formula>IF(#REF!="FICTICIO",1,0)</formula>
    </cfRule>
  </conditionalFormatting>
  <conditionalFormatting sqref="D115">
    <cfRule type="expression" dxfId="2835" priority="2887">
      <formula>IF(#REF!="FICTICIO",1,0)</formula>
    </cfRule>
  </conditionalFormatting>
  <conditionalFormatting sqref="D115">
    <cfRule type="expression" dxfId="2834" priority="2888">
      <formula>IF(#REF!="FICTICIO",1,0)</formula>
    </cfRule>
  </conditionalFormatting>
  <conditionalFormatting sqref="D115">
    <cfRule type="expression" dxfId="2833" priority="2885">
      <formula>IF(#REF!="FICTICIO",1,0)</formula>
    </cfRule>
  </conditionalFormatting>
  <conditionalFormatting sqref="D115">
    <cfRule type="expression" dxfId="2832" priority="2886">
      <formula>IF(#REF!="FICTICIO",1,0)</formula>
    </cfRule>
  </conditionalFormatting>
  <conditionalFormatting sqref="F115">
    <cfRule type="expression" dxfId="2831" priority="2884">
      <formula>IF(#REF!="FICTICIO",1,0)</formula>
    </cfRule>
  </conditionalFormatting>
  <conditionalFormatting sqref="E115">
    <cfRule type="expression" dxfId="2830" priority="2883">
      <formula>IF(#REF!="FICTICIO",1,0)</formula>
    </cfRule>
  </conditionalFormatting>
  <conditionalFormatting sqref="E115">
    <cfRule type="expression" dxfId="2829" priority="2882">
      <formula>IF(#REF!="FICTICIO",1,0)</formula>
    </cfRule>
  </conditionalFormatting>
  <conditionalFormatting sqref="E115">
    <cfRule type="expression" dxfId="2828" priority="2881">
      <formula>IF(#REF!="FICTICIO",1,0)</formula>
    </cfRule>
  </conditionalFormatting>
  <conditionalFormatting sqref="E115">
    <cfRule type="expression" dxfId="2827" priority="2880">
      <formula>IF(#REF!="FICTICIO",1,0)</formula>
    </cfRule>
  </conditionalFormatting>
  <conditionalFormatting sqref="E115">
    <cfRule type="expression" dxfId="2826" priority="2879">
      <formula>IF(#REF!="FICTICIO",1,0)</formula>
    </cfRule>
  </conditionalFormatting>
  <conditionalFormatting sqref="E115">
    <cfRule type="expression" dxfId="2825" priority="2878">
      <formula>IF(#REF!="FICTICIO",1,0)</formula>
    </cfRule>
  </conditionalFormatting>
  <conditionalFormatting sqref="D115">
    <cfRule type="expression" dxfId="2824" priority="2876">
      <formula>IF(#REF!="FICTICIO",1,0)</formula>
    </cfRule>
  </conditionalFormatting>
  <conditionalFormatting sqref="D115">
    <cfRule type="expression" dxfId="2823" priority="2877">
      <formula>IF(#REF!="FICTICIO",1,0)</formula>
    </cfRule>
  </conditionalFormatting>
  <conditionalFormatting sqref="D115">
    <cfRule type="expression" dxfId="2822" priority="2874">
      <formula>IF(#REF!="FICTICIO",1,0)</formula>
    </cfRule>
  </conditionalFormatting>
  <conditionalFormatting sqref="D115">
    <cfRule type="expression" dxfId="2821" priority="2875">
      <formula>IF(#REF!="FICTICIO",1,0)</formula>
    </cfRule>
  </conditionalFormatting>
  <conditionalFormatting sqref="D115">
    <cfRule type="expression" dxfId="2820" priority="2872">
      <formula>IF(#REF!="FICTICIO",1,0)</formula>
    </cfRule>
  </conditionalFormatting>
  <conditionalFormatting sqref="D115">
    <cfRule type="expression" dxfId="2819" priority="2873">
      <formula>IF(#REF!="FICTICIO",1,0)</formula>
    </cfRule>
  </conditionalFormatting>
  <conditionalFormatting sqref="D115">
    <cfRule type="expression" dxfId="2818" priority="2870">
      <formula>IF(#REF!="FICTICIO",1,0)</formula>
    </cfRule>
  </conditionalFormatting>
  <conditionalFormatting sqref="D115">
    <cfRule type="expression" dxfId="2817" priority="2871">
      <formula>IF(#REF!="FICTICIO",1,0)</formula>
    </cfRule>
  </conditionalFormatting>
  <conditionalFormatting sqref="E115">
    <cfRule type="expression" dxfId="2816" priority="2869">
      <formula>IF(#REF!="FICTICIO",1,0)</formula>
    </cfRule>
  </conditionalFormatting>
  <conditionalFormatting sqref="E115">
    <cfRule type="expression" dxfId="2815" priority="2868">
      <formula>IF(#REF!="FICTICIO",1,0)</formula>
    </cfRule>
  </conditionalFormatting>
  <conditionalFormatting sqref="E115">
    <cfRule type="expression" dxfId="2814" priority="2867">
      <formula>IF(#REF!="FICTICIO",1,0)</formula>
    </cfRule>
  </conditionalFormatting>
  <conditionalFormatting sqref="E115">
    <cfRule type="expression" dxfId="2813" priority="2866">
      <formula>IF(#REF!="FICTICIO",1,0)</formula>
    </cfRule>
  </conditionalFormatting>
  <conditionalFormatting sqref="E115">
    <cfRule type="expression" dxfId="2812" priority="2865">
      <formula>IF(#REF!="FICTICIO",1,0)</formula>
    </cfRule>
  </conditionalFormatting>
  <conditionalFormatting sqref="E115">
    <cfRule type="expression" dxfId="2811" priority="2864">
      <formula>IF(#REF!="FICTICIO",1,0)</formula>
    </cfRule>
  </conditionalFormatting>
  <conditionalFormatting sqref="E115">
    <cfRule type="expression" dxfId="2810" priority="2863">
      <formula>IF(#REF!="FICTICIO",1,0)</formula>
    </cfRule>
  </conditionalFormatting>
  <conditionalFormatting sqref="E115">
    <cfRule type="expression" dxfId="2809" priority="2862">
      <formula>IF(#REF!="FICTICIO",1,0)</formula>
    </cfRule>
  </conditionalFormatting>
  <conditionalFormatting sqref="E115">
    <cfRule type="expression" dxfId="2808" priority="2861">
      <formula>IF(#REF!="FICTICIO",1,0)</formula>
    </cfRule>
  </conditionalFormatting>
  <conditionalFormatting sqref="E115">
    <cfRule type="expression" dxfId="2807" priority="2860">
      <formula>IF(#REF!="FICTICIO",1,0)</formula>
    </cfRule>
  </conditionalFormatting>
  <conditionalFormatting sqref="E115">
    <cfRule type="expression" dxfId="2806" priority="2859">
      <formula>IF(#REF!="FICTICIO",1,0)</formula>
    </cfRule>
  </conditionalFormatting>
  <conditionalFormatting sqref="E115">
    <cfRule type="expression" dxfId="2805" priority="2858">
      <formula>IF(#REF!="FICTICIO",1,0)</formula>
    </cfRule>
  </conditionalFormatting>
  <conditionalFormatting sqref="E115">
    <cfRule type="expression" dxfId="2804" priority="2857">
      <formula>IF(#REF!="FICTICIO",1,0)</formula>
    </cfRule>
  </conditionalFormatting>
  <conditionalFormatting sqref="E115">
    <cfRule type="expression" dxfId="2803" priority="2856">
      <formula>IF(#REF!="FICTICIO",1,0)</formula>
    </cfRule>
  </conditionalFormatting>
  <conditionalFormatting sqref="E115">
    <cfRule type="expression" dxfId="2802" priority="2855">
      <formula>IF(#REF!="FICTICIO",1,0)</formula>
    </cfRule>
  </conditionalFormatting>
  <conditionalFormatting sqref="E115">
    <cfRule type="expression" dxfId="2801" priority="2854">
      <formula>IF(#REF!="FICTICIO",1,0)</formula>
    </cfRule>
  </conditionalFormatting>
  <conditionalFormatting sqref="E115">
    <cfRule type="expression" dxfId="2800" priority="2853">
      <formula>IF(#REF!="FICTICIO",1,0)</formula>
    </cfRule>
  </conditionalFormatting>
  <conditionalFormatting sqref="E115">
    <cfRule type="expression" dxfId="2799" priority="2852">
      <formula>IF(#REF!="FICTICIO",1,0)</formula>
    </cfRule>
  </conditionalFormatting>
  <conditionalFormatting sqref="E115">
    <cfRule type="expression" dxfId="2798" priority="2851">
      <formula>IF(#REF!="FICTICIO",1,0)</formula>
    </cfRule>
  </conditionalFormatting>
  <conditionalFormatting sqref="E115">
    <cfRule type="expression" dxfId="2797" priority="2850">
      <formula>IF(#REF!="FICTICIO",1,0)</formula>
    </cfRule>
  </conditionalFormatting>
  <conditionalFormatting sqref="E115">
    <cfRule type="expression" dxfId="2796" priority="2849">
      <formula>IF(#REF!="FICTICIO",1,0)</formula>
    </cfRule>
  </conditionalFormatting>
  <conditionalFormatting sqref="E115">
    <cfRule type="expression" dxfId="2795" priority="2848">
      <formula>IF(#REF!="FICTICIO",1,0)</formula>
    </cfRule>
  </conditionalFormatting>
  <conditionalFormatting sqref="E115">
    <cfRule type="expression" dxfId="2794" priority="2847">
      <formula>IF(#REF!="FICTICIO",1,0)</formula>
    </cfRule>
  </conditionalFormatting>
  <conditionalFormatting sqref="E115">
    <cfRule type="expression" dxfId="2793" priority="2846">
      <formula>IF(#REF!="FICTICIO",1,0)</formula>
    </cfRule>
  </conditionalFormatting>
  <conditionalFormatting sqref="E115">
    <cfRule type="expression" dxfId="2792" priority="2845">
      <formula>IF(#REF!="FICTICIO",1,0)</formula>
    </cfRule>
  </conditionalFormatting>
  <conditionalFormatting sqref="E115">
    <cfRule type="expression" dxfId="2791" priority="2844">
      <formula>IF(#REF!="FICTICIO",1,0)</formula>
    </cfRule>
  </conditionalFormatting>
  <conditionalFormatting sqref="E115">
    <cfRule type="expression" dxfId="2790" priority="2843">
      <formula>IF(#REF!="FICTICIO",1,0)</formula>
    </cfRule>
  </conditionalFormatting>
  <conditionalFormatting sqref="E115">
    <cfRule type="expression" dxfId="2789" priority="2842">
      <formula>IF(#REF!="FICTICIO",1,0)</formula>
    </cfRule>
  </conditionalFormatting>
  <conditionalFormatting sqref="E115">
    <cfRule type="expression" dxfId="2788" priority="2841">
      <formula>IF(#REF!="FICTICIO",1,0)</formula>
    </cfRule>
  </conditionalFormatting>
  <conditionalFormatting sqref="E115">
    <cfRule type="expression" dxfId="2787" priority="2840">
      <formula>IF(#REF!="FICTICIO",1,0)</formula>
    </cfRule>
  </conditionalFormatting>
  <conditionalFormatting sqref="E115">
    <cfRule type="expression" dxfId="2786" priority="2839">
      <formula>IF(#REF!="FICTICIO",1,0)</formula>
    </cfRule>
  </conditionalFormatting>
  <conditionalFormatting sqref="E115">
    <cfRule type="expression" dxfId="2785" priority="2838">
      <formula>IF(#REF!="FICTICIO",1,0)</formula>
    </cfRule>
  </conditionalFormatting>
  <conditionalFormatting sqref="E115">
    <cfRule type="expression" dxfId="2784" priority="2837">
      <formula>IF(#REF!="FICTICIO",1,0)</formula>
    </cfRule>
  </conditionalFormatting>
  <conditionalFormatting sqref="E115">
    <cfRule type="expression" dxfId="2783" priority="2836">
      <formula>IF(#REF!="FICTICIO",1,0)</formula>
    </cfRule>
  </conditionalFormatting>
  <conditionalFormatting sqref="E115">
    <cfRule type="expression" dxfId="2782" priority="2835">
      <formula>IF(#REF!="FICTICIO",1,0)</formula>
    </cfRule>
  </conditionalFormatting>
  <conditionalFormatting sqref="E115">
    <cfRule type="expression" dxfId="2781" priority="2834">
      <formula>IF(#REF!="FICTICIO",1,0)</formula>
    </cfRule>
  </conditionalFormatting>
  <conditionalFormatting sqref="E115">
    <cfRule type="expression" dxfId="2780" priority="2833">
      <formula>IF(#REF!="FICTICIO",1,0)</formula>
    </cfRule>
  </conditionalFormatting>
  <conditionalFormatting sqref="E115">
    <cfRule type="expression" dxfId="2779" priority="2832">
      <formula>IF(#REF!="FICTICIO",1,0)</formula>
    </cfRule>
  </conditionalFormatting>
  <conditionalFormatting sqref="F115">
    <cfRule type="expression" dxfId="2778" priority="2831">
      <formula>IF(#REF!="FICTICIO",1,0)</formula>
    </cfRule>
  </conditionalFormatting>
  <conditionalFormatting sqref="F115">
    <cfRule type="expression" dxfId="2777" priority="2829">
      <formula>IF(#REF!="FICTICIO",1,0)</formula>
    </cfRule>
  </conditionalFormatting>
  <conditionalFormatting sqref="F115">
    <cfRule type="expression" dxfId="2776" priority="2830">
      <formula>IF(#REF!="FICTICIO",1,0)</formula>
    </cfRule>
  </conditionalFormatting>
  <conditionalFormatting sqref="F114">
    <cfRule type="expression" dxfId="2775" priority="2828">
      <formula>IF(#REF!="FICTICIO",1,0)</formula>
    </cfRule>
  </conditionalFormatting>
  <conditionalFormatting sqref="F114">
    <cfRule type="expression" dxfId="2774" priority="2827">
      <formula>IF(#REF!="FICTICIO",1,0)</formula>
    </cfRule>
  </conditionalFormatting>
  <conditionalFormatting sqref="F114">
    <cfRule type="expression" dxfId="2773" priority="2826">
      <formula>IF(#REF!="FICTICIO",1,0)</formula>
    </cfRule>
  </conditionalFormatting>
  <conditionalFormatting sqref="F114">
    <cfRule type="expression" dxfId="2772" priority="2824">
      <formula>IF(#REF!="FICTICIO",1,0)</formula>
    </cfRule>
  </conditionalFormatting>
  <conditionalFormatting sqref="F114">
    <cfRule type="expression" dxfId="2771" priority="2825">
      <formula>IF(#REF!="FICTICIO",1,0)</formula>
    </cfRule>
  </conditionalFormatting>
  <conditionalFormatting sqref="E115">
    <cfRule type="expression" dxfId="2770" priority="2823">
      <formula>IF(#REF!="FICTICIO",1,0)</formula>
    </cfRule>
  </conditionalFormatting>
  <conditionalFormatting sqref="E115">
    <cfRule type="expression" dxfId="2769" priority="2822">
      <formula>IF(#REF!="FICTICIO",1,0)</formula>
    </cfRule>
  </conditionalFormatting>
  <conditionalFormatting sqref="E115">
    <cfRule type="expression" dxfId="2768" priority="2821">
      <formula>IF(#REF!="FICTICIO",1,0)</formula>
    </cfRule>
  </conditionalFormatting>
  <conditionalFormatting sqref="E115">
    <cfRule type="expression" dxfId="2767" priority="2820">
      <formula>IF(#REF!="FICTICIO",1,0)</formula>
    </cfRule>
  </conditionalFormatting>
  <conditionalFormatting sqref="E115">
    <cfRule type="expression" dxfId="2766" priority="2819">
      <formula>IF(#REF!="FICTICIO",1,0)</formula>
    </cfRule>
  </conditionalFormatting>
  <conditionalFormatting sqref="E115">
    <cfRule type="expression" dxfId="2765" priority="2818">
      <formula>IF(#REF!="FICTICIO",1,0)</formula>
    </cfRule>
  </conditionalFormatting>
  <conditionalFormatting sqref="E115">
    <cfRule type="expression" dxfId="2764" priority="2817">
      <formula>IF(#REF!="FICTICIO",1,0)</formula>
    </cfRule>
  </conditionalFormatting>
  <conditionalFormatting sqref="E115">
    <cfRule type="expression" dxfId="2763" priority="2816">
      <formula>IF(#REF!="FICTICIO",1,0)</formula>
    </cfRule>
  </conditionalFormatting>
  <conditionalFormatting sqref="E115">
    <cfRule type="expression" dxfId="2762" priority="2815">
      <formula>IF(#REF!="FICTICIO",1,0)</formula>
    </cfRule>
  </conditionalFormatting>
  <conditionalFormatting sqref="E115">
    <cfRule type="expression" dxfId="2761" priority="2814">
      <formula>IF(#REF!="FICTICIO",1,0)</formula>
    </cfRule>
  </conditionalFormatting>
  <conditionalFormatting sqref="F115">
    <cfRule type="expression" dxfId="2760" priority="2813">
      <formula>IF(#REF!="FICTICIO",1,0)</formula>
    </cfRule>
  </conditionalFormatting>
  <conditionalFormatting sqref="E115">
    <cfRule type="expression" dxfId="2759" priority="2812">
      <formula>IF(#REF!="FICTICIO",1,0)</formula>
    </cfRule>
  </conditionalFormatting>
  <conditionalFormatting sqref="E115">
    <cfRule type="expression" dxfId="2758" priority="2811">
      <formula>IF(#REF!="FICTICIO",1,0)</formula>
    </cfRule>
  </conditionalFormatting>
  <conditionalFormatting sqref="E115">
    <cfRule type="expression" dxfId="2757" priority="2810">
      <formula>IF(#REF!="FICTICIO",1,0)</formula>
    </cfRule>
  </conditionalFormatting>
  <conditionalFormatting sqref="E115">
    <cfRule type="expression" dxfId="2756" priority="2809">
      <formula>IF(#REF!="FICTICIO",1,0)</formula>
    </cfRule>
  </conditionalFormatting>
  <conditionalFormatting sqref="E115">
    <cfRule type="expression" dxfId="2755" priority="2808">
      <formula>IF(#REF!="FICTICIO",1,0)</formula>
    </cfRule>
  </conditionalFormatting>
  <conditionalFormatting sqref="E115">
    <cfRule type="expression" dxfId="2754" priority="2807">
      <formula>IF(#REF!="FICTICIO",1,0)</formula>
    </cfRule>
  </conditionalFormatting>
  <conditionalFormatting sqref="E115">
    <cfRule type="expression" dxfId="2753" priority="2806">
      <formula>IF(#REF!="FICTICIO",1,0)</formula>
    </cfRule>
  </conditionalFormatting>
  <conditionalFormatting sqref="E115">
    <cfRule type="expression" dxfId="2752" priority="2805">
      <formula>IF(#REF!="FICTICIO",1,0)</formula>
    </cfRule>
  </conditionalFormatting>
  <conditionalFormatting sqref="E115">
    <cfRule type="expression" dxfId="2751" priority="2804">
      <formula>IF(#REF!="FICTICIO",1,0)</formula>
    </cfRule>
  </conditionalFormatting>
  <conditionalFormatting sqref="D115">
    <cfRule type="expression" dxfId="2750" priority="2802">
      <formula>IF(#REF!="FICTICIO",1,0)</formula>
    </cfRule>
  </conditionalFormatting>
  <conditionalFormatting sqref="D115">
    <cfRule type="expression" dxfId="2749" priority="2803">
      <formula>IF(#REF!="FICTICIO",1,0)</formula>
    </cfRule>
  </conditionalFormatting>
  <conditionalFormatting sqref="D115">
    <cfRule type="expression" dxfId="2748" priority="2800">
      <formula>IF(#REF!="FICTICIO",1,0)</formula>
    </cfRule>
  </conditionalFormatting>
  <conditionalFormatting sqref="D115">
    <cfRule type="expression" dxfId="2747" priority="2801">
      <formula>IF(#REF!="FICTICIO",1,0)</formula>
    </cfRule>
  </conditionalFormatting>
  <conditionalFormatting sqref="E115">
    <cfRule type="expression" dxfId="2746" priority="2799">
      <formula>IF(#REF!="FICTICIO",1,0)</formula>
    </cfRule>
  </conditionalFormatting>
  <conditionalFormatting sqref="E115">
    <cfRule type="expression" dxfId="2745" priority="2798">
      <formula>IF(#REF!="FICTICIO",1,0)</formula>
    </cfRule>
  </conditionalFormatting>
  <conditionalFormatting sqref="E115">
    <cfRule type="expression" dxfId="2744" priority="2797">
      <formula>IF(#REF!="FICTICIO",1,0)</formula>
    </cfRule>
  </conditionalFormatting>
  <conditionalFormatting sqref="E115">
    <cfRule type="expression" dxfId="2743" priority="2796">
      <formula>IF(#REF!="FICTICIO",1,0)</formula>
    </cfRule>
  </conditionalFormatting>
  <conditionalFormatting sqref="E115">
    <cfRule type="expression" dxfId="2742" priority="2795">
      <formula>IF(#REF!="FICTICIO",1,0)</formula>
    </cfRule>
  </conditionalFormatting>
  <conditionalFormatting sqref="E115">
    <cfRule type="expression" dxfId="2741" priority="2794">
      <formula>IF(#REF!="FICTICIO",1,0)</formula>
    </cfRule>
  </conditionalFormatting>
  <conditionalFormatting sqref="E115">
    <cfRule type="expression" dxfId="2740" priority="2793">
      <formula>IF(#REF!="FICTICIO",1,0)</formula>
    </cfRule>
  </conditionalFormatting>
  <conditionalFormatting sqref="E115">
    <cfRule type="expression" dxfId="2739" priority="2792">
      <formula>IF(#REF!="FICTICIO",1,0)</formula>
    </cfRule>
  </conditionalFormatting>
  <conditionalFormatting sqref="E115">
    <cfRule type="expression" dxfId="2738" priority="2791">
      <formula>IF(#REF!="FICTICIO",1,0)</formula>
    </cfRule>
  </conditionalFormatting>
  <conditionalFormatting sqref="E115">
    <cfRule type="expression" dxfId="2737" priority="2790">
      <formula>IF(#REF!="FICTICIO",1,0)</formula>
    </cfRule>
  </conditionalFormatting>
  <conditionalFormatting sqref="E115">
    <cfRule type="expression" dxfId="2736" priority="2789">
      <formula>IF(#REF!="FICTICIO",1,0)</formula>
    </cfRule>
  </conditionalFormatting>
  <conditionalFormatting sqref="E115">
    <cfRule type="expression" dxfId="2735" priority="2788">
      <formula>IF(#REF!="FICTICIO",1,0)</formula>
    </cfRule>
  </conditionalFormatting>
  <conditionalFormatting sqref="E115">
    <cfRule type="expression" dxfId="2734" priority="2787">
      <formula>IF(#REF!="FICTICIO",1,0)</formula>
    </cfRule>
  </conditionalFormatting>
  <conditionalFormatting sqref="D115">
    <cfRule type="expression" dxfId="2733" priority="2785">
      <formula>IF(#REF!="FICTICIO",1,0)</formula>
    </cfRule>
  </conditionalFormatting>
  <conditionalFormatting sqref="D115">
    <cfRule type="expression" dxfId="2732" priority="2786">
      <formula>IF(#REF!="FICTICIO",1,0)</formula>
    </cfRule>
  </conditionalFormatting>
  <conditionalFormatting sqref="D115">
    <cfRule type="expression" dxfId="2731" priority="2783">
      <formula>IF(#REF!="FICTICIO",1,0)</formula>
    </cfRule>
  </conditionalFormatting>
  <conditionalFormatting sqref="D115">
    <cfRule type="expression" dxfId="2730" priority="2784">
      <formula>IF(#REF!="FICTICIO",1,0)</formula>
    </cfRule>
  </conditionalFormatting>
  <conditionalFormatting sqref="F115">
    <cfRule type="expression" dxfId="2729" priority="2782">
      <formula>IF(#REF!="FICTICIO",1,0)</formula>
    </cfRule>
  </conditionalFormatting>
  <conditionalFormatting sqref="E115">
    <cfRule type="expression" dxfId="2728" priority="2781">
      <formula>IF(#REF!="FICTICIO",1,0)</formula>
    </cfRule>
  </conditionalFormatting>
  <conditionalFormatting sqref="E115">
    <cfRule type="expression" dxfId="2727" priority="2780">
      <formula>IF(#REF!="FICTICIO",1,0)</formula>
    </cfRule>
  </conditionalFormatting>
  <conditionalFormatting sqref="E115">
    <cfRule type="expression" dxfId="2726" priority="2779">
      <formula>IF(#REF!="FICTICIO",1,0)</formula>
    </cfRule>
  </conditionalFormatting>
  <conditionalFormatting sqref="E115">
    <cfRule type="expression" dxfId="2725" priority="2778">
      <formula>IF(#REF!="FICTICIO",1,0)</formula>
    </cfRule>
  </conditionalFormatting>
  <conditionalFormatting sqref="E115">
    <cfRule type="expression" dxfId="2724" priority="2777">
      <formula>IF(#REF!="FICTICIO",1,0)</formula>
    </cfRule>
  </conditionalFormatting>
  <conditionalFormatting sqref="E115">
    <cfRule type="expression" dxfId="2723" priority="2776">
      <formula>IF(#REF!="FICTICIO",1,0)</formula>
    </cfRule>
  </conditionalFormatting>
  <conditionalFormatting sqref="D115">
    <cfRule type="expression" dxfId="2722" priority="2774">
      <formula>IF(#REF!="FICTICIO",1,0)</formula>
    </cfRule>
  </conditionalFormatting>
  <conditionalFormatting sqref="D115">
    <cfRule type="expression" dxfId="2721" priority="2775">
      <formula>IF(#REF!="FICTICIO",1,0)</formula>
    </cfRule>
  </conditionalFormatting>
  <conditionalFormatting sqref="D115">
    <cfRule type="expression" dxfId="2720" priority="2772">
      <formula>IF(#REF!="FICTICIO",1,0)</formula>
    </cfRule>
  </conditionalFormatting>
  <conditionalFormatting sqref="D115">
    <cfRule type="expression" dxfId="2719" priority="2773">
      <formula>IF(#REF!="FICTICIO",1,0)</formula>
    </cfRule>
  </conditionalFormatting>
  <conditionalFormatting sqref="D115">
    <cfRule type="expression" dxfId="2718" priority="2770">
      <formula>IF(#REF!="FICTICIO",1,0)</formula>
    </cfRule>
  </conditionalFormatting>
  <conditionalFormatting sqref="D115">
    <cfRule type="expression" dxfId="2717" priority="2771">
      <formula>IF(#REF!="FICTICIO",1,0)</formula>
    </cfRule>
  </conditionalFormatting>
  <conditionalFormatting sqref="D115">
    <cfRule type="expression" dxfId="2716" priority="2768">
      <formula>IF(#REF!="FICTICIO",1,0)</formula>
    </cfRule>
  </conditionalFormatting>
  <conditionalFormatting sqref="D115">
    <cfRule type="expression" dxfId="2715" priority="2769">
      <formula>IF(#REF!="FICTICIO",1,0)</formula>
    </cfRule>
  </conditionalFormatting>
  <conditionalFormatting sqref="E115">
    <cfRule type="expression" dxfId="2714" priority="2767">
      <formula>IF(#REF!="FICTICIO",1,0)</formula>
    </cfRule>
  </conditionalFormatting>
  <conditionalFormatting sqref="E115">
    <cfRule type="expression" dxfId="2713" priority="2766">
      <formula>IF(#REF!="FICTICIO",1,0)</formula>
    </cfRule>
  </conditionalFormatting>
  <conditionalFormatting sqref="E115">
    <cfRule type="expression" dxfId="2712" priority="2765">
      <formula>IF(#REF!="FICTICIO",1,0)</formula>
    </cfRule>
  </conditionalFormatting>
  <conditionalFormatting sqref="E115">
    <cfRule type="expression" dxfId="2711" priority="2764">
      <formula>IF(#REF!="FICTICIO",1,0)</formula>
    </cfRule>
  </conditionalFormatting>
  <conditionalFormatting sqref="E115">
    <cfRule type="expression" dxfId="2710" priority="2763">
      <formula>IF(#REF!="FICTICIO",1,0)</formula>
    </cfRule>
  </conditionalFormatting>
  <conditionalFormatting sqref="E115">
    <cfRule type="expression" dxfId="2709" priority="2762">
      <formula>IF(#REF!="FICTICIO",1,0)</formula>
    </cfRule>
  </conditionalFormatting>
  <conditionalFormatting sqref="E115">
    <cfRule type="expression" dxfId="2708" priority="2761">
      <formula>IF(#REF!="FICTICIO",1,0)</formula>
    </cfRule>
  </conditionalFormatting>
  <conditionalFormatting sqref="E115">
    <cfRule type="expression" dxfId="2707" priority="2760">
      <formula>IF(#REF!="FICTICIO",1,0)</formula>
    </cfRule>
  </conditionalFormatting>
  <conditionalFormatting sqref="E115">
    <cfRule type="expression" dxfId="2706" priority="2759">
      <formula>IF(#REF!="FICTICIO",1,0)</formula>
    </cfRule>
  </conditionalFormatting>
  <conditionalFormatting sqref="E115">
    <cfRule type="expression" dxfId="2705" priority="2758">
      <formula>IF(#REF!="FICTICIO",1,0)</formula>
    </cfRule>
  </conditionalFormatting>
  <conditionalFormatting sqref="E115">
    <cfRule type="expression" dxfId="2704" priority="2757">
      <formula>IF(#REF!="FICTICIO",1,0)</formula>
    </cfRule>
  </conditionalFormatting>
  <conditionalFormatting sqref="E115">
    <cfRule type="expression" dxfId="2703" priority="2756">
      <formula>IF(#REF!="FICTICIO",1,0)</formula>
    </cfRule>
  </conditionalFormatting>
  <conditionalFormatting sqref="E115">
    <cfRule type="expression" dxfId="2702" priority="2755">
      <formula>IF(#REF!="FICTICIO",1,0)</formula>
    </cfRule>
  </conditionalFormatting>
  <conditionalFormatting sqref="E115">
    <cfRule type="expression" dxfId="2701" priority="2754">
      <formula>IF(#REF!="FICTICIO",1,0)</formula>
    </cfRule>
  </conditionalFormatting>
  <conditionalFormatting sqref="E115">
    <cfRule type="expression" dxfId="2700" priority="2753">
      <formula>IF(#REF!="FICTICIO",1,0)</formula>
    </cfRule>
  </conditionalFormatting>
  <conditionalFormatting sqref="E115">
    <cfRule type="expression" dxfId="2699" priority="2752">
      <formula>IF(#REF!="FICTICIO",1,0)</formula>
    </cfRule>
  </conditionalFormatting>
  <conditionalFormatting sqref="E115">
    <cfRule type="expression" dxfId="2698" priority="2751">
      <formula>IF(#REF!="FICTICIO",1,0)</formula>
    </cfRule>
  </conditionalFormatting>
  <conditionalFormatting sqref="E115">
    <cfRule type="expression" dxfId="2697" priority="2750">
      <formula>IF(#REF!="FICTICIO",1,0)</formula>
    </cfRule>
  </conditionalFormatting>
  <conditionalFormatting sqref="E115">
    <cfRule type="expression" dxfId="2696" priority="2749">
      <formula>IF(#REF!="FICTICIO",1,0)</formula>
    </cfRule>
  </conditionalFormatting>
  <conditionalFormatting sqref="E115">
    <cfRule type="expression" dxfId="2695" priority="2748">
      <formula>IF(#REF!="FICTICIO",1,0)</formula>
    </cfRule>
  </conditionalFormatting>
  <conditionalFormatting sqref="E115">
    <cfRule type="expression" dxfId="2694" priority="2747">
      <formula>IF(#REF!="FICTICIO",1,0)</formula>
    </cfRule>
  </conditionalFormatting>
  <conditionalFormatting sqref="E115">
    <cfRule type="expression" dxfId="2693" priority="2746">
      <formula>IF(#REF!="FICTICIO",1,0)</formula>
    </cfRule>
  </conditionalFormatting>
  <conditionalFormatting sqref="E115">
    <cfRule type="expression" dxfId="2692" priority="2745">
      <formula>IF(#REF!="FICTICIO",1,0)</formula>
    </cfRule>
  </conditionalFormatting>
  <conditionalFormatting sqref="E115">
    <cfRule type="expression" dxfId="2691" priority="2744">
      <formula>IF(#REF!="FICTICIO",1,0)</formula>
    </cfRule>
  </conditionalFormatting>
  <conditionalFormatting sqref="E115">
    <cfRule type="expression" dxfId="2690" priority="2743">
      <formula>IF(#REF!="FICTICIO",1,0)</formula>
    </cfRule>
  </conditionalFormatting>
  <conditionalFormatting sqref="E115">
    <cfRule type="expression" dxfId="2689" priority="2742">
      <formula>IF(#REF!="FICTICIO",1,0)</formula>
    </cfRule>
  </conditionalFormatting>
  <conditionalFormatting sqref="E115">
    <cfRule type="expression" dxfId="2688" priority="2741">
      <formula>IF(#REF!="FICTICIO",1,0)</formula>
    </cfRule>
  </conditionalFormatting>
  <conditionalFormatting sqref="E115">
    <cfRule type="expression" dxfId="2687" priority="2740">
      <formula>IF(#REF!="FICTICIO",1,0)</formula>
    </cfRule>
  </conditionalFormatting>
  <conditionalFormatting sqref="E115">
    <cfRule type="expression" dxfId="2686" priority="2739">
      <formula>IF(#REF!="FICTICIO",1,0)</formula>
    </cfRule>
  </conditionalFormatting>
  <conditionalFormatting sqref="E115">
    <cfRule type="expression" dxfId="2685" priority="2738">
      <formula>IF(#REF!="FICTICIO",1,0)</formula>
    </cfRule>
  </conditionalFormatting>
  <conditionalFormatting sqref="E115">
    <cfRule type="expression" dxfId="2684" priority="2737">
      <formula>IF(#REF!="FICTICIO",1,0)</formula>
    </cfRule>
  </conditionalFormatting>
  <conditionalFormatting sqref="E115">
    <cfRule type="expression" dxfId="2683" priority="2736">
      <formula>IF(#REF!="FICTICIO",1,0)</formula>
    </cfRule>
  </conditionalFormatting>
  <conditionalFormatting sqref="E115">
    <cfRule type="expression" dxfId="2682" priority="2735">
      <formula>IF(#REF!="FICTICIO",1,0)</formula>
    </cfRule>
  </conditionalFormatting>
  <conditionalFormatting sqref="E115">
    <cfRule type="expression" dxfId="2681" priority="2734">
      <formula>IF(#REF!="FICTICIO",1,0)</formula>
    </cfRule>
  </conditionalFormatting>
  <conditionalFormatting sqref="E115">
    <cfRule type="expression" dxfId="2680" priority="2733">
      <formula>IF(#REF!="FICTICIO",1,0)</formula>
    </cfRule>
  </conditionalFormatting>
  <conditionalFormatting sqref="E115">
    <cfRule type="expression" dxfId="2679" priority="2732">
      <formula>IF(#REF!="FICTICIO",1,0)</formula>
    </cfRule>
  </conditionalFormatting>
  <conditionalFormatting sqref="E115">
    <cfRule type="expression" dxfId="2678" priority="2731">
      <formula>IF(#REF!="FICTICIO",1,0)</formula>
    </cfRule>
  </conditionalFormatting>
  <conditionalFormatting sqref="E115">
    <cfRule type="expression" dxfId="2677" priority="2730">
      <formula>IF(#REF!="FICTICIO",1,0)</formula>
    </cfRule>
  </conditionalFormatting>
  <conditionalFormatting sqref="F115">
    <cfRule type="expression" dxfId="2676" priority="2729">
      <formula>IF(#REF!="FICTICIO",1,0)</formula>
    </cfRule>
  </conditionalFormatting>
  <conditionalFormatting sqref="F115">
    <cfRule type="expression" dxfId="2675" priority="2727">
      <formula>IF(#REF!="FICTICIO",1,0)</formula>
    </cfRule>
  </conditionalFormatting>
  <conditionalFormatting sqref="F115">
    <cfRule type="expression" dxfId="2674" priority="2728">
      <formula>IF(#REF!="FICTICIO",1,0)</formula>
    </cfRule>
  </conditionalFormatting>
  <conditionalFormatting sqref="E116">
    <cfRule type="expression" dxfId="2673" priority="2726">
      <formula>IF(#REF!="FICTICIO",1,0)</formula>
    </cfRule>
  </conditionalFormatting>
  <conditionalFormatting sqref="E116">
    <cfRule type="expression" dxfId="2672" priority="2725">
      <formula>IF(#REF!="FICTICIO",1,0)</formula>
    </cfRule>
  </conditionalFormatting>
  <conditionalFormatting sqref="E116">
    <cfRule type="expression" dxfId="2671" priority="2724">
      <formula>IF(#REF!="FICTICIO",1,0)</formula>
    </cfRule>
  </conditionalFormatting>
  <conditionalFormatting sqref="E116">
    <cfRule type="expression" dxfId="2670" priority="2723">
      <formula>IF(#REF!="FICTICIO",1,0)</formula>
    </cfRule>
  </conditionalFormatting>
  <conditionalFormatting sqref="E116">
    <cfRule type="expression" dxfId="2669" priority="2722">
      <formula>IF(#REF!="FICTICIO",1,0)</formula>
    </cfRule>
  </conditionalFormatting>
  <conditionalFormatting sqref="E116">
    <cfRule type="expression" dxfId="2668" priority="2721">
      <formula>IF(#REF!="FICTICIO",1,0)</formula>
    </cfRule>
  </conditionalFormatting>
  <conditionalFormatting sqref="E116">
    <cfRule type="expression" dxfId="2667" priority="2720">
      <formula>IF(#REF!="FICTICIO",1,0)</formula>
    </cfRule>
  </conditionalFormatting>
  <conditionalFormatting sqref="E116">
    <cfRule type="expression" dxfId="2666" priority="2719">
      <formula>IF(#REF!="FICTICIO",1,0)</formula>
    </cfRule>
  </conditionalFormatting>
  <conditionalFormatting sqref="E116">
    <cfRule type="expression" dxfId="2665" priority="2718">
      <formula>IF(#REF!="FICTICIO",1,0)</formula>
    </cfRule>
  </conditionalFormatting>
  <conditionalFormatting sqref="E116">
    <cfRule type="expression" dxfId="2664" priority="2717">
      <formula>IF(#REF!="FICTICIO",1,0)</formula>
    </cfRule>
  </conditionalFormatting>
  <conditionalFormatting sqref="F116">
    <cfRule type="expression" dxfId="2663" priority="2716">
      <formula>IF(#REF!="FICTICIO",1,0)</formula>
    </cfRule>
  </conditionalFormatting>
  <conditionalFormatting sqref="E116">
    <cfRule type="expression" dxfId="2662" priority="2715">
      <formula>IF(#REF!="FICTICIO",1,0)</formula>
    </cfRule>
  </conditionalFormatting>
  <conditionalFormatting sqref="E116">
    <cfRule type="expression" dxfId="2661" priority="2714">
      <formula>IF(#REF!="FICTICIO",1,0)</formula>
    </cfRule>
  </conditionalFormatting>
  <conditionalFormatting sqref="E116">
    <cfRule type="expression" dxfId="2660" priority="2713">
      <formula>IF(#REF!="FICTICIO",1,0)</formula>
    </cfRule>
  </conditionalFormatting>
  <conditionalFormatting sqref="E116">
    <cfRule type="expression" dxfId="2659" priority="2712">
      <formula>IF(#REF!="FICTICIO",1,0)</formula>
    </cfRule>
  </conditionalFormatting>
  <conditionalFormatting sqref="E116">
    <cfRule type="expression" dxfId="2658" priority="2711">
      <formula>IF(#REF!="FICTICIO",1,0)</formula>
    </cfRule>
  </conditionalFormatting>
  <conditionalFormatting sqref="E116">
    <cfRule type="expression" dxfId="2657" priority="2710">
      <formula>IF(#REF!="FICTICIO",1,0)</formula>
    </cfRule>
  </conditionalFormatting>
  <conditionalFormatting sqref="E116">
    <cfRule type="expression" dxfId="2656" priority="2709">
      <formula>IF(#REF!="FICTICIO",1,0)</formula>
    </cfRule>
  </conditionalFormatting>
  <conditionalFormatting sqref="E116">
    <cfRule type="expression" dxfId="2655" priority="2708">
      <formula>IF(#REF!="FICTICIO",1,0)</formula>
    </cfRule>
  </conditionalFormatting>
  <conditionalFormatting sqref="E116">
    <cfRule type="expression" dxfId="2654" priority="2707">
      <formula>IF(#REF!="FICTICIO",1,0)</formula>
    </cfRule>
  </conditionalFormatting>
  <conditionalFormatting sqref="D116">
    <cfRule type="expression" dxfId="2653" priority="2705">
      <formula>IF(#REF!="FICTICIO",1,0)</formula>
    </cfRule>
  </conditionalFormatting>
  <conditionalFormatting sqref="D116">
    <cfRule type="expression" dxfId="2652" priority="2706">
      <formula>IF(#REF!="FICTICIO",1,0)</formula>
    </cfRule>
  </conditionalFormatting>
  <conditionalFormatting sqref="D116">
    <cfRule type="expression" dxfId="2651" priority="2703">
      <formula>IF(#REF!="FICTICIO",1,0)</formula>
    </cfRule>
  </conditionalFormatting>
  <conditionalFormatting sqref="D116">
    <cfRule type="expression" dxfId="2650" priority="2704">
      <formula>IF(#REF!="FICTICIO",1,0)</formula>
    </cfRule>
  </conditionalFormatting>
  <conditionalFormatting sqref="E116">
    <cfRule type="expression" dxfId="2649" priority="2702">
      <formula>IF(#REF!="FICTICIO",1,0)</formula>
    </cfRule>
  </conditionalFormatting>
  <conditionalFormatting sqref="E116">
    <cfRule type="expression" dxfId="2648" priority="2701">
      <formula>IF(#REF!="FICTICIO",1,0)</formula>
    </cfRule>
  </conditionalFormatting>
  <conditionalFormatting sqref="E116">
    <cfRule type="expression" dxfId="2647" priority="2700">
      <formula>IF(#REF!="FICTICIO",1,0)</formula>
    </cfRule>
  </conditionalFormatting>
  <conditionalFormatting sqref="E116">
    <cfRule type="expression" dxfId="2646" priority="2699">
      <formula>IF(#REF!="FICTICIO",1,0)</formula>
    </cfRule>
  </conditionalFormatting>
  <conditionalFormatting sqref="E116">
    <cfRule type="expression" dxfId="2645" priority="2698">
      <formula>IF(#REF!="FICTICIO",1,0)</formula>
    </cfRule>
  </conditionalFormatting>
  <conditionalFormatting sqref="E116">
    <cfRule type="expression" dxfId="2644" priority="2697">
      <formula>IF(#REF!="FICTICIO",1,0)</formula>
    </cfRule>
  </conditionalFormatting>
  <conditionalFormatting sqref="E116">
    <cfRule type="expression" dxfId="2643" priority="2696">
      <formula>IF(#REF!="FICTICIO",1,0)</formula>
    </cfRule>
  </conditionalFormatting>
  <conditionalFormatting sqref="E116">
    <cfRule type="expression" dxfId="2642" priority="2695">
      <formula>IF(#REF!="FICTICIO",1,0)</formula>
    </cfRule>
  </conditionalFormatting>
  <conditionalFormatting sqref="E116">
    <cfRule type="expression" dxfId="2641" priority="2694">
      <formula>IF(#REF!="FICTICIO",1,0)</formula>
    </cfRule>
  </conditionalFormatting>
  <conditionalFormatting sqref="E116">
    <cfRule type="expression" dxfId="2640" priority="2693">
      <formula>IF(#REF!="FICTICIO",1,0)</formula>
    </cfRule>
  </conditionalFormatting>
  <conditionalFormatting sqref="E116">
    <cfRule type="expression" dxfId="2639" priority="2692">
      <formula>IF(#REF!="FICTICIO",1,0)</formula>
    </cfRule>
  </conditionalFormatting>
  <conditionalFormatting sqref="E116">
    <cfRule type="expression" dxfId="2638" priority="2691">
      <formula>IF(#REF!="FICTICIO",1,0)</formula>
    </cfRule>
  </conditionalFormatting>
  <conditionalFormatting sqref="E116">
    <cfRule type="expression" dxfId="2637" priority="2690">
      <formula>IF(#REF!="FICTICIO",1,0)</formula>
    </cfRule>
  </conditionalFormatting>
  <conditionalFormatting sqref="D116">
    <cfRule type="expression" dxfId="2636" priority="2688">
      <formula>IF(#REF!="FICTICIO",1,0)</formula>
    </cfRule>
  </conditionalFormatting>
  <conditionalFormatting sqref="D116">
    <cfRule type="expression" dxfId="2635" priority="2689">
      <formula>IF(#REF!="FICTICIO",1,0)</formula>
    </cfRule>
  </conditionalFormatting>
  <conditionalFormatting sqref="D116">
    <cfRule type="expression" dxfId="2634" priority="2686">
      <formula>IF(#REF!="FICTICIO",1,0)</formula>
    </cfRule>
  </conditionalFormatting>
  <conditionalFormatting sqref="D116">
    <cfRule type="expression" dxfId="2633" priority="2687">
      <formula>IF(#REF!="FICTICIO",1,0)</formula>
    </cfRule>
  </conditionalFormatting>
  <conditionalFormatting sqref="F116">
    <cfRule type="expression" dxfId="2632" priority="2685">
      <formula>IF(#REF!="FICTICIO",1,0)</formula>
    </cfRule>
  </conditionalFormatting>
  <conditionalFormatting sqref="E116">
    <cfRule type="expression" dxfId="2631" priority="2684">
      <formula>IF(#REF!="FICTICIO",1,0)</formula>
    </cfRule>
  </conditionalFormatting>
  <conditionalFormatting sqref="E116">
    <cfRule type="expression" dxfId="2630" priority="2683">
      <formula>IF(#REF!="FICTICIO",1,0)</formula>
    </cfRule>
  </conditionalFormatting>
  <conditionalFormatting sqref="E116">
    <cfRule type="expression" dxfId="2629" priority="2682">
      <formula>IF(#REF!="FICTICIO",1,0)</formula>
    </cfRule>
  </conditionalFormatting>
  <conditionalFormatting sqref="E116">
    <cfRule type="expression" dxfId="2628" priority="2681">
      <formula>IF(#REF!="FICTICIO",1,0)</formula>
    </cfRule>
  </conditionalFormatting>
  <conditionalFormatting sqref="E116">
    <cfRule type="expression" dxfId="2627" priority="2680">
      <formula>IF(#REF!="FICTICIO",1,0)</formula>
    </cfRule>
  </conditionalFormatting>
  <conditionalFormatting sqref="E116">
    <cfRule type="expression" dxfId="2626" priority="2679">
      <formula>IF(#REF!="FICTICIO",1,0)</formula>
    </cfRule>
  </conditionalFormatting>
  <conditionalFormatting sqref="D116">
    <cfRule type="expression" dxfId="2625" priority="2677">
      <formula>IF(#REF!="FICTICIO",1,0)</formula>
    </cfRule>
  </conditionalFormatting>
  <conditionalFormatting sqref="D116">
    <cfRule type="expression" dxfId="2624" priority="2678">
      <formula>IF(#REF!="FICTICIO",1,0)</formula>
    </cfRule>
  </conditionalFormatting>
  <conditionalFormatting sqref="D116">
    <cfRule type="expression" dxfId="2623" priority="2675">
      <formula>IF(#REF!="FICTICIO",1,0)</formula>
    </cfRule>
  </conditionalFormatting>
  <conditionalFormatting sqref="D116">
    <cfRule type="expression" dxfId="2622" priority="2676">
      <formula>IF(#REF!="FICTICIO",1,0)</formula>
    </cfRule>
  </conditionalFormatting>
  <conditionalFormatting sqref="D116">
    <cfRule type="expression" dxfId="2621" priority="2673">
      <formula>IF(#REF!="FICTICIO",1,0)</formula>
    </cfRule>
  </conditionalFormatting>
  <conditionalFormatting sqref="D116">
    <cfRule type="expression" dxfId="2620" priority="2674">
      <formula>IF(#REF!="FICTICIO",1,0)</formula>
    </cfRule>
  </conditionalFormatting>
  <conditionalFormatting sqref="D116">
    <cfRule type="expression" dxfId="2619" priority="2671">
      <formula>IF(#REF!="FICTICIO",1,0)</formula>
    </cfRule>
  </conditionalFormatting>
  <conditionalFormatting sqref="D116">
    <cfRule type="expression" dxfId="2618" priority="2672">
      <formula>IF(#REF!="FICTICIO",1,0)</formula>
    </cfRule>
  </conditionalFormatting>
  <conditionalFormatting sqref="E116">
    <cfRule type="expression" dxfId="2617" priority="2670">
      <formula>IF(#REF!="FICTICIO",1,0)</formula>
    </cfRule>
  </conditionalFormatting>
  <conditionalFormatting sqref="E116">
    <cfRule type="expression" dxfId="2616" priority="2669">
      <formula>IF(#REF!="FICTICIO",1,0)</formula>
    </cfRule>
  </conditionalFormatting>
  <conditionalFormatting sqref="E116">
    <cfRule type="expression" dxfId="2615" priority="2668">
      <formula>IF(#REF!="FICTICIO",1,0)</formula>
    </cfRule>
  </conditionalFormatting>
  <conditionalFormatting sqref="E116">
    <cfRule type="expression" dxfId="2614" priority="2667">
      <formula>IF(#REF!="FICTICIO",1,0)</formula>
    </cfRule>
  </conditionalFormatting>
  <conditionalFormatting sqref="E116">
    <cfRule type="expression" dxfId="2613" priority="2666">
      <formula>IF(#REF!="FICTICIO",1,0)</formula>
    </cfRule>
  </conditionalFormatting>
  <conditionalFormatting sqref="E116">
    <cfRule type="expression" dxfId="2612" priority="2665">
      <formula>IF(#REF!="FICTICIO",1,0)</formula>
    </cfRule>
  </conditionalFormatting>
  <conditionalFormatting sqref="E116">
    <cfRule type="expression" dxfId="2611" priority="2664">
      <formula>IF(#REF!="FICTICIO",1,0)</formula>
    </cfRule>
  </conditionalFormatting>
  <conditionalFormatting sqref="E116">
    <cfRule type="expression" dxfId="2610" priority="2663">
      <formula>IF(#REF!="FICTICIO",1,0)</formula>
    </cfRule>
  </conditionalFormatting>
  <conditionalFormatting sqref="E116">
    <cfRule type="expression" dxfId="2609" priority="2662">
      <formula>IF(#REF!="FICTICIO",1,0)</formula>
    </cfRule>
  </conditionalFormatting>
  <conditionalFormatting sqref="E116">
    <cfRule type="expression" dxfId="2608" priority="2661">
      <formula>IF(#REF!="FICTICIO",1,0)</formula>
    </cfRule>
  </conditionalFormatting>
  <conditionalFormatting sqref="E116">
    <cfRule type="expression" dxfId="2607" priority="2660">
      <formula>IF(#REF!="FICTICIO",1,0)</formula>
    </cfRule>
  </conditionalFormatting>
  <conditionalFormatting sqref="E116">
    <cfRule type="expression" dxfId="2606" priority="2659">
      <formula>IF(#REF!="FICTICIO",1,0)</formula>
    </cfRule>
  </conditionalFormatting>
  <conditionalFormatting sqref="E116">
    <cfRule type="expression" dxfId="2605" priority="2658">
      <formula>IF(#REF!="FICTICIO",1,0)</formula>
    </cfRule>
  </conditionalFormatting>
  <conditionalFormatting sqref="E116">
    <cfRule type="expression" dxfId="2604" priority="2657">
      <formula>IF(#REF!="FICTICIO",1,0)</formula>
    </cfRule>
  </conditionalFormatting>
  <conditionalFormatting sqref="E116">
    <cfRule type="expression" dxfId="2603" priority="2656">
      <formula>IF(#REF!="FICTICIO",1,0)</formula>
    </cfRule>
  </conditionalFormatting>
  <conditionalFormatting sqref="E116">
    <cfRule type="expression" dxfId="2602" priority="2655">
      <formula>IF(#REF!="FICTICIO",1,0)</formula>
    </cfRule>
  </conditionalFormatting>
  <conditionalFormatting sqref="E116">
    <cfRule type="expression" dxfId="2601" priority="2654">
      <formula>IF(#REF!="FICTICIO",1,0)</formula>
    </cfRule>
  </conditionalFormatting>
  <conditionalFormatting sqref="E116">
    <cfRule type="expression" dxfId="2600" priority="2653">
      <formula>IF(#REF!="FICTICIO",1,0)</formula>
    </cfRule>
  </conditionalFormatting>
  <conditionalFormatting sqref="E116">
    <cfRule type="expression" dxfId="2599" priority="2652">
      <formula>IF(#REF!="FICTICIO",1,0)</formula>
    </cfRule>
  </conditionalFormatting>
  <conditionalFormatting sqref="E116">
    <cfRule type="expression" dxfId="2598" priority="2651">
      <formula>IF(#REF!="FICTICIO",1,0)</formula>
    </cfRule>
  </conditionalFormatting>
  <conditionalFormatting sqref="E116">
    <cfRule type="expression" dxfId="2597" priority="2650">
      <formula>IF(#REF!="FICTICIO",1,0)</formula>
    </cfRule>
  </conditionalFormatting>
  <conditionalFormatting sqref="E116">
    <cfRule type="expression" dxfId="2596" priority="2649">
      <formula>IF(#REF!="FICTICIO",1,0)</formula>
    </cfRule>
  </conditionalFormatting>
  <conditionalFormatting sqref="E116">
    <cfRule type="expression" dxfId="2595" priority="2648">
      <formula>IF(#REF!="FICTICIO",1,0)</formula>
    </cfRule>
  </conditionalFormatting>
  <conditionalFormatting sqref="E116">
    <cfRule type="expression" dxfId="2594" priority="2647">
      <formula>IF(#REF!="FICTICIO",1,0)</formula>
    </cfRule>
  </conditionalFormatting>
  <conditionalFormatting sqref="E116">
    <cfRule type="expression" dxfId="2593" priority="2646">
      <formula>IF(#REF!="FICTICIO",1,0)</formula>
    </cfRule>
  </conditionalFormatting>
  <conditionalFormatting sqref="E116">
    <cfRule type="expression" dxfId="2592" priority="2645">
      <formula>IF(#REF!="FICTICIO",1,0)</formula>
    </cfRule>
  </conditionalFormatting>
  <conditionalFormatting sqref="E116">
    <cfRule type="expression" dxfId="2591" priority="2644">
      <formula>IF(#REF!="FICTICIO",1,0)</formula>
    </cfRule>
  </conditionalFormatting>
  <conditionalFormatting sqref="E116">
    <cfRule type="expression" dxfId="2590" priority="2643">
      <formula>IF(#REF!="FICTICIO",1,0)</formula>
    </cfRule>
  </conditionalFormatting>
  <conditionalFormatting sqref="E116">
    <cfRule type="expression" dxfId="2589" priority="2642">
      <formula>IF(#REF!="FICTICIO",1,0)</formula>
    </cfRule>
  </conditionalFormatting>
  <conditionalFormatting sqref="E116">
    <cfRule type="expression" dxfId="2588" priority="2641">
      <formula>IF(#REF!="FICTICIO",1,0)</formula>
    </cfRule>
  </conditionalFormatting>
  <conditionalFormatting sqref="E116">
    <cfRule type="expression" dxfId="2587" priority="2640">
      <formula>IF(#REF!="FICTICIO",1,0)</formula>
    </cfRule>
  </conditionalFormatting>
  <conditionalFormatting sqref="E116">
    <cfRule type="expression" dxfId="2586" priority="2639">
      <formula>IF(#REF!="FICTICIO",1,0)</formula>
    </cfRule>
  </conditionalFormatting>
  <conditionalFormatting sqref="E116">
    <cfRule type="expression" dxfId="2585" priority="2638">
      <formula>IF(#REF!="FICTICIO",1,0)</formula>
    </cfRule>
  </conditionalFormatting>
  <conditionalFormatting sqref="E116">
    <cfRule type="expression" dxfId="2584" priority="2637">
      <formula>IF(#REF!="FICTICIO",1,0)</formula>
    </cfRule>
  </conditionalFormatting>
  <conditionalFormatting sqref="E116">
    <cfRule type="expression" dxfId="2583" priority="2636">
      <formula>IF(#REF!="FICTICIO",1,0)</formula>
    </cfRule>
  </conditionalFormatting>
  <conditionalFormatting sqref="E116">
    <cfRule type="expression" dxfId="2582" priority="2635">
      <formula>IF(#REF!="FICTICIO",1,0)</formula>
    </cfRule>
  </conditionalFormatting>
  <conditionalFormatting sqref="E116">
    <cfRule type="expression" dxfId="2581" priority="2634">
      <formula>IF(#REF!="FICTICIO",1,0)</formula>
    </cfRule>
  </conditionalFormatting>
  <conditionalFormatting sqref="E116">
    <cfRule type="expression" dxfId="2580" priority="2633">
      <formula>IF(#REF!="FICTICIO",1,0)</formula>
    </cfRule>
  </conditionalFormatting>
  <conditionalFormatting sqref="F116">
    <cfRule type="expression" dxfId="2579" priority="2632">
      <formula>IF(#REF!="FICTICIO",1,0)</formula>
    </cfRule>
  </conditionalFormatting>
  <conditionalFormatting sqref="F116">
    <cfRule type="expression" dxfId="2578" priority="2630">
      <formula>IF(#REF!="FICTICIO",1,0)</formula>
    </cfRule>
  </conditionalFormatting>
  <conditionalFormatting sqref="F116">
    <cfRule type="expression" dxfId="2577" priority="2631">
      <formula>IF(#REF!="FICTICIO",1,0)</formula>
    </cfRule>
  </conditionalFormatting>
  <conditionalFormatting sqref="D117">
    <cfRule type="expression" dxfId="2576" priority="2628">
      <formula>IF(#REF!="FICTICIO",1,0)</formula>
    </cfRule>
  </conditionalFormatting>
  <conditionalFormatting sqref="D117">
    <cfRule type="expression" dxfId="2575" priority="2629">
      <formula>IF(#REF!="FICTICIO",1,0)</formula>
    </cfRule>
  </conditionalFormatting>
  <conditionalFormatting sqref="D117">
    <cfRule type="expression" dxfId="2574" priority="2626">
      <formula>IF(#REF!="FICTICIO",1,0)</formula>
    </cfRule>
  </conditionalFormatting>
  <conditionalFormatting sqref="D117">
    <cfRule type="expression" dxfId="2573" priority="2627">
      <formula>IF(#REF!="FICTICIO",1,0)</formula>
    </cfRule>
  </conditionalFormatting>
  <conditionalFormatting sqref="F117">
    <cfRule type="expression" dxfId="2572" priority="2624">
      <formula>IF(#REF!="FICTICIO",1,0)</formula>
    </cfRule>
  </conditionalFormatting>
  <conditionalFormatting sqref="F117">
    <cfRule type="expression" dxfId="2571" priority="2625">
      <formula>IF(#REF!="FICTICIO",1,0)</formula>
    </cfRule>
  </conditionalFormatting>
  <conditionalFormatting sqref="E117">
    <cfRule type="expression" dxfId="2570" priority="2623">
      <formula>IF(#REF!="FICTICIO",1,0)</formula>
    </cfRule>
  </conditionalFormatting>
  <conditionalFormatting sqref="E117">
    <cfRule type="expression" dxfId="2569" priority="2622">
      <formula>IF(#REF!="FICTICIO",1,0)</formula>
    </cfRule>
  </conditionalFormatting>
  <conditionalFormatting sqref="E117">
    <cfRule type="expression" dxfId="2568" priority="2621">
      <formula>IF(#REF!="FICTICIO",1,0)</formula>
    </cfRule>
  </conditionalFormatting>
  <conditionalFormatting sqref="E117">
    <cfRule type="expression" dxfId="2567" priority="2620">
      <formula>IF(#REF!="FICTICIO",1,0)</formula>
    </cfRule>
  </conditionalFormatting>
  <conditionalFormatting sqref="E117">
    <cfRule type="expression" dxfId="2566" priority="2618">
      <formula>IF(#REF!="FICTICIO",1,0)</formula>
    </cfRule>
  </conditionalFormatting>
  <conditionalFormatting sqref="E117">
    <cfRule type="expression" dxfId="2565" priority="2619">
      <formula>IF(#REF!="FICTICIO",1,0)</formula>
    </cfRule>
  </conditionalFormatting>
  <conditionalFormatting sqref="E117">
    <cfRule type="expression" dxfId="2564" priority="2617">
      <formula>IF(#REF!="FICTICIO",1,0)</formula>
    </cfRule>
  </conditionalFormatting>
  <conditionalFormatting sqref="E117">
    <cfRule type="expression" dxfId="2563" priority="2616">
      <formula>IF(#REF!="FICTICIO",1,0)</formula>
    </cfRule>
  </conditionalFormatting>
  <conditionalFormatting sqref="E117">
    <cfRule type="expression" dxfId="2562" priority="2615">
      <formula>IF(#REF!="FICTICIO",1,0)</formula>
    </cfRule>
  </conditionalFormatting>
  <conditionalFormatting sqref="E117">
    <cfRule type="expression" dxfId="2561" priority="2614">
      <formula>IF(#REF!="FICTICIO",1,0)</formula>
    </cfRule>
  </conditionalFormatting>
  <conditionalFormatting sqref="E117">
    <cfRule type="expression" dxfId="2560" priority="2613">
      <formula>IF(#REF!="FICTICIO",1,0)</formula>
    </cfRule>
  </conditionalFormatting>
  <conditionalFormatting sqref="E117">
    <cfRule type="expression" dxfId="2559" priority="2612">
      <formula>IF(#REF!="FICTICIO",1,0)</formula>
    </cfRule>
  </conditionalFormatting>
  <conditionalFormatting sqref="E117">
    <cfRule type="expression" dxfId="2558" priority="2611">
      <formula>IF(#REF!="FICTICIO",1,0)</formula>
    </cfRule>
  </conditionalFormatting>
  <conditionalFormatting sqref="E117">
    <cfRule type="expression" dxfId="2557" priority="2610">
      <formula>IF(#REF!="FICTICIO",1,0)</formula>
    </cfRule>
  </conditionalFormatting>
  <conditionalFormatting sqref="E117">
    <cfRule type="expression" dxfId="2556" priority="2609">
      <formula>IF(#REF!="FICTICIO",1,0)</formula>
    </cfRule>
  </conditionalFormatting>
  <conditionalFormatting sqref="E117">
    <cfRule type="expression" dxfId="2555" priority="2608">
      <formula>IF(#REF!="FICTICIO",1,0)</formula>
    </cfRule>
  </conditionalFormatting>
  <conditionalFormatting sqref="E117">
    <cfRule type="expression" dxfId="2554" priority="2607">
      <formula>IF(#REF!="FICTICIO",1,0)</formula>
    </cfRule>
  </conditionalFormatting>
  <conditionalFormatting sqref="E117">
    <cfRule type="expression" dxfId="2553" priority="2606">
      <formula>IF(#REF!="FICTICIO",1,0)</formula>
    </cfRule>
  </conditionalFormatting>
  <conditionalFormatting sqref="E117">
    <cfRule type="expression" dxfId="2552" priority="2605">
      <formula>IF(#REF!="FICTICIO",1,0)</formula>
    </cfRule>
  </conditionalFormatting>
  <conditionalFormatting sqref="E117">
    <cfRule type="expression" dxfId="2551" priority="2604">
      <formula>IF(#REF!="FICTICIO",1,0)</formula>
    </cfRule>
  </conditionalFormatting>
  <conditionalFormatting sqref="E117">
    <cfRule type="expression" dxfId="2550" priority="2603">
      <formula>IF(#REF!="FICTICIO",1,0)</formula>
    </cfRule>
  </conditionalFormatting>
  <conditionalFormatting sqref="E117">
    <cfRule type="expression" dxfId="2549" priority="2602">
      <formula>IF(#REF!="FICTICIO",1,0)</formula>
    </cfRule>
  </conditionalFormatting>
  <conditionalFormatting sqref="E117">
    <cfRule type="expression" dxfId="2548" priority="2601">
      <formula>IF(#REF!="FICTICIO",1,0)</formula>
    </cfRule>
  </conditionalFormatting>
  <conditionalFormatting sqref="E117">
    <cfRule type="expression" dxfId="2547" priority="2600">
      <formula>IF(#REF!="FICTICIO",1,0)</formula>
    </cfRule>
  </conditionalFormatting>
  <conditionalFormatting sqref="E117">
    <cfRule type="expression" dxfId="2546" priority="2599">
      <formula>IF(#REF!="FICTICIO",1,0)</formula>
    </cfRule>
  </conditionalFormatting>
  <conditionalFormatting sqref="E117">
    <cfRule type="expression" dxfId="2545" priority="2598">
      <formula>IF(#REF!="FICTICIO",1,0)</formula>
    </cfRule>
  </conditionalFormatting>
  <conditionalFormatting sqref="E117">
    <cfRule type="expression" dxfId="2544" priority="2597">
      <formula>IF(#REF!="FICTICIO",1,0)</formula>
    </cfRule>
  </conditionalFormatting>
  <conditionalFormatting sqref="E117">
    <cfRule type="expression" dxfId="2543" priority="2596">
      <formula>IF(#REF!="FICTICIO",1,0)</formula>
    </cfRule>
  </conditionalFormatting>
  <conditionalFormatting sqref="E117">
    <cfRule type="expression" dxfId="2542" priority="2595">
      <formula>IF(#REF!="FICTICIO",1,0)</formula>
    </cfRule>
  </conditionalFormatting>
  <conditionalFormatting sqref="E117">
    <cfRule type="expression" dxfId="2541" priority="2594">
      <formula>IF(#REF!="FICTICIO",1,0)</formula>
    </cfRule>
  </conditionalFormatting>
  <conditionalFormatting sqref="E117">
    <cfRule type="expression" dxfId="2540" priority="2593">
      <formula>IF(#REF!="FICTICIO",1,0)</formula>
    </cfRule>
  </conditionalFormatting>
  <conditionalFormatting sqref="E117">
    <cfRule type="expression" dxfId="2539" priority="2592">
      <formula>IF(#REF!="FICTICIO",1,0)</formula>
    </cfRule>
  </conditionalFormatting>
  <conditionalFormatting sqref="E117">
    <cfRule type="expression" dxfId="2538" priority="2591">
      <formula>IF(#REF!="FICTICIO",1,0)</formula>
    </cfRule>
  </conditionalFormatting>
  <conditionalFormatting sqref="E117">
    <cfRule type="expression" dxfId="2537" priority="2590">
      <formula>IF(#REF!="FICTICIO",1,0)</formula>
    </cfRule>
  </conditionalFormatting>
  <conditionalFormatting sqref="E117">
    <cfRule type="expression" dxfId="2536" priority="2589">
      <formula>IF(#REF!="FICTICIO",1,0)</formula>
    </cfRule>
  </conditionalFormatting>
  <conditionalFormatting sqref="E117">
    <cfRule type="expression" dxfId="2535" priority="2588">
      <formula>IF(#REF!="FICTICIO",1,0)</formula>
    </cfRule>
  </conditionalFormatting>
  <conditionalFormatting sqref="E117">
    <cfRule type="expression" dxfId="2534" priority="2587">
      <formula>IF(#REF!="FICTICIO",1,0)</formula>
    </cfRule>
  </conditionalFormatting>
  <conditionalFormatting sqref="E117">
    <cfRule type="expression" dxfId="2533" priority="2586">
      <formula>IF(#REF!="FICTICIO",1,0)</formula>
    </cfRule>
  </conditionalFormatting>
  <conditionalFormatting sqref="E117">
    <cfRule type="expression" dxfId="2532" priority="2584">
      <formula>IF(#REF!="FICTICIO",1,0)</formula>
    </cfRule>
  </conditionalFormatting>
  <conditionalFormatting sqref="E117">
    <cfRule type="expression" dxfId="2531" priority="2585">
      <formula>IF(#REF!="FICTICIO",1,0)</formula>
    </cfRule>
  </conditionalFormatting>
  <conditionalFormatting sqref="E117">
    <cfRule type="expression" dxfId="2530" priority="2583">
      <formula>IF(#REF!="FICTICIO",1,0)</formula>
    </cfRule>
  </conditionalFormatting>
  <conditionalFormatting sqref="E117">
    <cfRule type="expression" dxfId="2529" priority="2582">
      <formula>IF(#REF!="FICTICIO",1,0)</formula>
    </cfRule>
  </conditionalFormatting>
  <conditionalFormatting sqref="F116">
    <cfRule type="expression" dxfId="2528" priority="2581">
      <formula>IF(#REF!="FICTICIO",1,0)</formula>
    </cfRule>
  </conditionalFormatting>
  <conditionalFormatting sqref="F116">
    <cfRule type="expression" dxfId="2527" priority="2580">
      <formula>IF(#REF!="FICTICIO",1,0)</formula>
    </cfRule>
  </conditionalFormatting>
  <conditionalFormatting sqref="F116">
    <cfRule type="expression" dxfId="2526" priority="2579">
      <formula>IF(#REF!="FICTICIO",1,0)</formula>
    </cfRule>
  </conditionalFormatting>
  <conditionalFormatting sqref="F116">
    <cfRule type="expression" dxfId="2525" priority="2578">
      <formula>IF(#REF!="FICTICIO",1,0)</formula>
    </cfRule>
  </conditionalFormatting>
  <conditionalFormatting sqref="F116">
    <cfRule type="expression" dxfId="2524" priority="2577">
      <formula>IF(#REF!="FICTICIO",1,0)</formula>
    </cfRule>
  </conditionalFormatting>
  <conditionalFormatting sqref="F116">
    <cfRule type="expression" dxfId="2523" priority="2576">
      <formula>IF(#REF!="FICTICIO",1,0)</formula>
    </cfRule>
  </conditionalFormatting>
  <conditionalFormatting sqref="F116">
    <cfRule type="expression" dxfId="2522" priority="2575">
      <formula>IF(#REF!="FICTICIO",1,0)</formula>
    </cfRule>
  </conditionalFormatting>
  <conditionalFormatting sqref="F117">
    <cfRule type="expression" dxfId="2521" priority="2574">
      <formula>IF(#REF!="FICTICIO",1,0)</formula>
    </cfRule>
  </conditionalFormatting>
  <conditionalFormatting sqref="F117">
    <cfRule type="expression" dxfId="2520" priority="2573">
      <formula>IF(#REF!="FICTICIO",1,0)</formula>
    </cfRule>
  </conditionalFormatting>
  <conditionalFormatting sqref="F117">
    <cfRule type="expression" dxfId="2519" priority="2572">
      <formula>IF(#REF!="FICTICIO",1,0)</formula>
    </cfRule>
  </conditionalFormatting>
  <conditionalFormatting sqref="F117">
    <cfRule type="expression" dxfId="2518" priority="2571">
      <formula>IF(#REF!="FICTICIO",1,0)</formula>
    </cfRule>
  </conditionalFormatting>
  <conditionalFormatting sqref="E116">
    <cfRule type="expression" dxfId="2517" priority="2570">
      <formula>IF(#REF!="FICTICIO",1,0)</formula>
    </cfRule>
  </conditionalFormatting>
  <conditionalFormatting sqref="E116">
    <cfRule type="expression" dxfId="2516" priority="2569">
      <formula>IF(#REF!="FICTICIO",1,0)</formula>
    </cfRule>
  </conditionalFormatting>
  <conditionalFormatting sqref="E116">
    <cfRule type="expression" dxfId="2515" priority="2568">
      <formula>IF(#REF!="FICTICIO",1,0)</formula>
    </cfRule>
  </conditionalFormatting>
  <conditionalFormatting sqref="E116">
    <cfRule type="expression" dxfId="2514" priority="2567">
      <formula>IF(#REF!="FICTICIO",1,0)</formula>
    </cfRule>
  </conditionalFormatting>
  <conditionalFormatting sqref="E116">
    <cfRule type="expression" dxfId="2513" priority="2566">
      <formula>IF(#REF!="FICTICIO",1,0)</formula>
    </cfRule>
  </conditionalFormatting>
  <conditionalFormatting sqref="E116">
    <cfRule type="expression" dxfId="2512" priority="2565">
      <formula>IF(#REF!="FICTICIO",1,0)</formula>
    </cfRule>
  </conditionalFormatting>
  <conditionalFormatting sqref="E116">
    <cfRule type="expression" dxfId="2511" priority="2564">
      <formula>IF(#REF!="FICTICIO",1,0)</formula>
    </cfRule>
  </conditionalFormatting>
  <conditionalFormatting sqref="E116">
    <cfRule type="expression" dxfId="2510" priority="2563">
      <formula>IF(#REF!="FICTICIO",1,0)</formula>
    </cfRule>
  </conditionalFormatting>
  <conditionalFormatting sqref="E116">
    <cfRule type="expression" dxfId="2509" priority="2562">
      <formula>IF(#REF!="FICTICIO",1,0)</formula>
    </cfRule>
  </conditionalFormatting>
  <conditionalFormatting sqref="E116">
    <cfRule type="expression" dxfId="2508" priority="2561">
      <formula>IF(#REF!="FICTICIO",1,0)</formula>
    </cfRule>
  </conditionalFormatting>
  <conditionalFormatting sqref="F116">
    <cfRule type="expression" dxfId="2507" priority="2560">
      <formula>IF(#REF!="FICTICIO",1,0)</formula>
    </cfRule>
  </conditionalFormatting>
  <conditionalFormatting sqref="E116">
    <cfRule type="expression" dxfId="2506" priority="2559">
      <formula>IF(#REF!="FICTICIO",1,0)</formula>
    </cfRule>
  </conditionalFormatting>
  <conditionalFormatting sqref="E116">
    <cfRule type="expression" dxfId="2505" priority="2558">
      <formula>IF(#REF!="FICTICIO",1,0)</formula>
    </cfRule>
  </conditionalFormatting>
  <conditionalFormatting sqref="E116">
    <cfRule type="expression" dxfId="2504" priority="2557">
      <formula>IF(#REF!="FICTICIO",1,0)</formula>
    </cfRule>
  </conditionalFormatting>
  <conditionalFormatting sqref="E116">
    <cfRule type="expression" dxfId="2503" priority="2556">
      <formula>IF(#REF!="FICTICIO",1,0)</formula>
    </cfRule>
  </conditionalFormatting>
  <conditionalFormatting sqref="E116">
    <cfRule type="expression" dxfId="2502" priority="2555">
      <formula>IF(#REF!="FICTICIO",1,0)</formula>
    </cfRule>
  </conditionalFormatting>
  <conditionalFormatting sqref="E116">
    <cfRule type="expression" dxfId="2501" priority="2554">
      <formula>IF(#REF!="FICTICIO",1,0)</formula>
    </cfRule>
  </conditionalFormatting>
  <conditionalFormatting sqref="E116">
    <cfRule type="expression" dxfId="2500" priority="2553">
      <formula>IF(#REF!="FICTICIO",1,0)</formula>
    </cfRule>
  </conditionalFormatting>
  <conditionalFormatting sqref="E116">
    <cfRule type="expression" dxfId="2499" priority="2552">
      <formula>IF(#REF!="FICTICIO",1,0)</formula>
    </cfRule>
  </conditionalFormatting>
  <conditionalFormatting sqref="E116">
    <cfRule type="expression" dxfId="2498" priority="2551">
      <formula>IF(#REF!="FICTICIO",1,0)</formula>
    </cfRule>
  </conditionalFormatting>
  <conditionalFormatting sqref="D116">
    <cfRule type="expression" dxfId="2497" priority="2549">
      <formula>IF(#REF!="FICTICIO",1,0)</formula>
    </cfRule>
  </conditionalFormatting>
  <conditionalFormatting sqref="D116">
    <cfRule type="expression" dxfId="2496" priority="2550">
      <formula>IF(#REF!="FICTICIO",1,0)</formula>
    </cfRule>
  </conditionalFormatting>
  <conditionalFormatting sqref="D116">
    <cfRule type="expression" dxfId="2495" priority="2547">
      <formula>IF(#REF!="FICTICIO",1,0)</formula>
    </cfRule>
  </conditionalFormatting>
  <conditionalFormatting sqref="D116">
    <cfRule type="expression" dxfId="2494" priority="2548">
      <formula>IF(#REF!="FICTICIO",1,0)</formula>
    </cfRule>
  </conditionalFormatting>
  <conditionalFormatting sqref="E116">
    <cfRule type="expression" dxfId="2493" priority="2546">
      <formula>IF(#REF!="FICTICIO",1,0)</formula>
    </cfRule>
  </conditionalFormatting>
  <conditionalFormatting sqref="E116">
    <cfRule type="expression" dxfId="2492" priority="2545">
      <formula>IF(#REF!="FICTICIO",1,0)</formula>
    </cfRule>
  </conditionalFormatting>
  <conditionalFormatting sqref="E116">
    <cfRule type="expression" dxfId="2491" priority="2544">
      <formula>IF(#REF!="FICTICIO",1,0)</formula>
    </cfRule>
  </conditionalFormatting>
  <conditionalFormatting sqref="E116">
    <cfRule type="expression" dxfId="2490" priority="2543">
      <formula>IF(#REF!="FICTICIO",1,0)</formula>
    </cfRule>
  </conditionalFormatting>
  <conditionalFormatting sqref="E116">
    <cfRule type="expression" dxfId="2489" priority="2542">
      <formula>IF(#REF!="FICTICIO",1,0)</formula>
    </cfRule>
  </conditionalFormatting>
  <conditionalFormatting sqref="E116">
    <cfRule type="expression" dxfId="2488" priority="2541">
      <formula>IF(#REF!="FICTICIO",1,0)</formula>
    </cfRule>
  </conditionalFormatting>
  <conditionalFormatting sqref="E116">
    <cfRule type="expression" dxfId="2487" priority="2540">
      <formula>IF(#REF!="FICTICIO",1,0)</formula>
    </cfRule>
  </conditionalFormatting>
  <conditionalFormatting sqref="E116">
    <cfRule type="expression" dxfId="2486" priority="2539">
      <formula>IF(#REF!="FICTICIO",1,0)</formula>
    </cfRule>
  </conditionalFormatting>
  <conditionalFormatting sqref="E116">
    <cfRule type="expression" dxfId="2485" priority="2538">
      <formula>IF(#REF!="FICTICIO",1,0)</formula>
    </cfRule>
  </conditionalFormatting>
  <conditionalFormatting sqref="E116">
    <cfRule type="expression" dxfId="2484" priority="2537">
      <formula>IF(#REF!="FICTICIO",1,0)</formula>
    </cfRule>
  </conditionalFormatting>
  <conditionalFormatting sqref="E116">
    <cfRule type="expression" dxfId="2483" priority="2536">
      <formula>IF(#REF!="FICTICIO",1,0)</formula>
    </cfRule>
  </conditionalFormatting>
  <conditionalFormatting sqref="E116">
    <cfRule type="expression" dxfId="2482" priority="2535">
      <formula>IF(#REF!="FICTICIO",1,0)</formula>
    </cfRule>
  </conditionalFormatting>
  <conditionalFormatting sqref="E116">
    <cfRule type="expression" dxfId="2481" priority="2534">
      <formula>IF(#REF!="FICTICIO",1,0)</formula>
    </cfRule>
  </conditionalFormatting>
  <conditionalFormatting sqref="D116">
    <cfRule type="expression" dxfId="2480" priority="2532">
      <formula>IF(#REF!="FICTICIO",1,0)</formula>
    </cfRule>
  </conditionalFormatting>
  <conditionalFormatting sqref="D116">
    <cfRule type="expression" dxfId="2479" priority="2533">
      <formula>IF(#REF!="FICTICIO",1,0)</formula>
    </cfRule>
  </conditionalFormatting>
  <conditionalFormatting sqref="D116">
    <cfRule type="expression" dxfId="2478" priority="2530">
      <formula>IF(#REF!="FICTICIO",1,0)</formula>
    </cfRule>
  </conditionalFormatting>
  <conditionalFormatting sqref="D116">
    <cfRule type="expression" dxfId="2477" priority="2531">
      <formula>IF(#REF!="FICTICIO",1,0)</formula>
    </cfRule>
  </conditionalFormatting>
  <conditionalFormatting sqref="F116">
    <cfRule type="expression" dxfId="2476" priority="2529">
      <formula>IF(#REF!="FICTICIO",1,0)</formula>
    </cfRule>
  </conditionalFormatting>
  <conditionalFormatting sqref="E116">
    <cfRule type="expression" dxfId="2475" priority="2528">
      <formula>IF(#REF!="FICTICIO",1,0)</formula>
    </cfRule>
  </conditionalFormatting>
  <conditionalFormatting sqref="E116">
    <cfRule type="expression" dxfId="2474" priority="2527">
      <formula>IF(#REF!="FICTICIO",1,0)</formula>
    </cfRule>
  </conditionalFormatting>
  <conditionalFormatting sqref="E116">
    <cfRule type="expression" dxfId="2473" priority="2526">
      <formula>IF(#REF!="FICTICIO",1,0)</formula>
    </cfRule>
  </conditionalFormatting>
  <conditionalFormatting sqref="E116">
    <cfRule type="expression" dxfId="2472" priority="2525">
      <formula>IF(#REF!="FICTICIO",1,0)</formula>
    </cfRule>
  </conditionalFormatting>
  <conditionalFormatting sqref="E116">
    <cfRule type="expression" dxfId="2471" priority="2524">
      <formula>IF(#REF!="FICTICIO",1,0)</formula>
    </cfRule>
  </conditionalFormatting>
  <conditionalFormatting sqref="E116">
    <cfRule type="expression" dxfId="2470" priority="2523">
      <formula>IF(#REF!="FICTICIO",1,0)</formula>
    </cfRule>
  </conditionalFormatting>
  <conditionalFormatting sqref="D116">
    <cfRule type="expression" dxfId="2469" priority="2521">
      <formula>IF(#REF!="FICTICIO",1,0)</formula>
    </cfRule>
  </conditionalFormatting>
  <conditionalFormatting sqref="D116">
    <cfRule type="expression" dxfId="2468" priority="2522">
      <formula>IF(#REF!="FICTICIO",1,0)</formula>
    </cfRule>
  </conditionalFormatting>
  <conditionalFormatting sqref="D116">
    <cfRule type="expression" dxfId="2467" priority="2519">
      <formula>IF(#REF!="FICTICIO",1,0)</formula>
    </cfRule>
  </conditionalFormatting>
  <conditionalFormatting sqref="D116">
    <cfRule type="expression" dxfId="2466" priority="2520">
      <formula>IF(#REF!="FICTICIO",1,0)</formula>
    </cfRule>
  </conditionalFormatting>
  <conditionalFormatting sqref="D116">
    <cfRule type="expression" dxfId="2465" priority="2517">
      <formula>IF(#REF!="FICTICIO",1,0)</formula>
    </cfRule>
  </conditionalFormatting>
  <conditionalFormatting sqref="D116">
    <cfRule type="expression" dxfId="2464" priority="2518">
      <formula>IF(#REF!="FICTICIO",1,0)</formula>
    </cfRule>
  </conditionalFormatting>
  <conditionalFormatting sqref="D116">
    <cfRule type="expression" dxfId="2463" priority="2515">
      <formula>IF(#REF!="FICTICIO",1,0)</formula>
    </cfRule>
  </conditionalFormatting>
  <conditionalFormatting sqref="D116">
    <cfRule type="expression" dxfId="2462" priority="2516">
      <formula>IF(#REF!="FICTICIO",1,0)</formula>
    </cfRule>
  </conditionalFormatting>
  <conditionalFormatting sqref="E116">
    <cfRule type="expression" dxfId="2461" priority="2514">
      <formula>IF(#REF!="FICTICIO",1,0)</formula>
    </cfRule>
  </conditionalFormatting>
  <conditionalFormatting sqref="E116">
    <cfRule type="expression" dxfId="2460" priority="2513">
      <formula>IF(#REF!="FICTICIO",1,0)</formula>
    </cfRule>
  </conditionalFormatting>
  <conditionalFormatting sqref="E116">
    <cfRule type="expression" dxfId="2459" priority="2512">
      <formula>IF(#REF!="FICTICIO",1,0)</formula>
    </cfRule>
  </conditionalFormatting>
  <conditionalFormatting sqref="E116">
    <cfRule type="expression" dxfId="2458" priority="2511">
      <formula>IF(#REF!="FICTICIO",1,0)</formula>
    </cfRule>
  </conditionalFormatting>
  <conditionalFormatting sqref="E116">
    <cfRule type="expression" dxfId="2457" priority="2510">
      <formula>IF(#REF!="FICTICIO",1,0)</formula>
    </cfRule>
  </conditionalFormatting>
  <conditionalFormatting sqref="E116">
    <cfRule type="expression" dxfId="2456" priority="2509">
      <formula>IF(#REF!="FICTICIO",1,0)</formula>
    </cfRule>
  </conditionalFormatting>
  <conditionalFormatting sqref="E116">
    <cfRule type="expression" dxfId="2455" priority="2508">
      <formula>IF(#REF!="FICTICIO",1,0)</formula>
    </cfRule>
  </conditionalFormatting>
  <conditionalFormatting sqref="E116">
    <cfRule type="expression" dxfId="2454" priority="2507">
      <formula>IF(#REF!="FICTICIO",1,0)</formula>
    </cfRule>
  </conditionalFormatting>
  <conditionalFormatting sqref="E116">
    <cfRule type="expression" dxfId="2453" priority="2506">
      <formula>IF(#REF!="FICTICIO",1,0)</formula>
    </cfRule>
  </conditionalFormatting>
  <conditionalFormatting sqref="E116">
    <cfRule type="expression" dxfId="2452" priority="2505">
      <formula>IF(#REF!="FICTICIO",1,0)</formula>
    </cfRule>
  </conditionalFormatting>
  <conditionalFormatting sqref="E116">
    <cfRule type="expression" dxfId="2451" priority="2504">
      <formula>IF(#REF!="FICTICIO",1,0)</formula>
    </cfRule>
  </conditionalFormatting>
  <conditionalFormatting sqref="E116">
    <cfRule type="expression" dxfId="2450" priority="2503">
      <formula>IF(#REF!="FICTICIO",1,0)</formula>
    </cfRule>
  </conditionalFormatting>
  <conditionalFormatting sqref="E116">
    <cfRule type="expression" dxfId="2449" priority="2502">
      <formula>IF(#REF!="FICTICIO",1,0)</formula>
    </cfRule>
  </conditionalFormatting>
  <conditionalFormatting sqref="E116">
    <cfRule type="expression" dxfId="2448" priority="2501">
      <formula>IF(#REF!="FICTICIO",1,0)</formula>
    </cfRule>
  </conditionalFormatting>
  <conditionalFormatting sqref="E116">
    <cfRule type="expression" dxfId="2447" priority="2500">
      <formula>IF(#REF!="FICTICIO",1,0)</formula>
    </cfRule>
  </conditionalFormatting>
  <conditionalFormatting sqref="E116">
    <cfRule type="expression" dxfId="2446" priority="2499">
      <formula>IF(#REF!="FICTICIO",1,0)</formula>
    </cfRule>
  </conditionalFormatting>
  <conditionalFormatting sqref="E116">
    <cfRule type="expression" dxfId="2445" priority="2498">
      <formula>IF(#REF!="FICTICIO",1,0)</formula>
    </cfRule>
  </conditionalFormatting>
  <conditionalFormatting sqref="E116">
    <cfRule type="expression" dxfId="2444" priority="2497">
      <formula>IF(#REF!="FICTICIO",1,0)</formula>
    </cfRule>
  </conditionalFormatting>
  <conditionalFormatting sqref="E116">
    <cfRule type="expression" dxfId="2443" priority="2496">
      <formula>IF(#REF!="FICTICIO",1,0)</formula>
    </cfRule>
  </conditionalFormatting>
  <conditionalFormatting sqref="E116">
    <cfRule type="expression" dxfId="2442" priority="2495">
      <formula>IF(#REF!="FICTICIO",1,0)</formula>
    </cfRule>
  </conditionalFormatting>
  <conditionalFormatting sqref="E116">
    <cfRule type="expression" dxfId="2441" priority="2494">
      <formula>IF(#REF!="FICTICIO",1,0)</formula>
    </cfRule>
  </conditionalFormatting>
  <conditionalFormatting sqref="E116">
    <cfRule type="expression" dxfId="2440" priority="2493">
      <formula>IF(#REF!="FICTICIO",1,0)</formula>
    </cfRule>
  </conditionalFormatting>
  <conditionalFormatting sqref="E116">
    <cfRule type="expression" dxfId="2439" priority="2492">
      <formula>IF(#REF!="FICTICIO",1,0)</formula>
    </cfRule>
  </conditionalFormatting>
  <conditionalFormatting sqref="E116">
    <cfRule type="expression" dxfId="2438" priority="2491">
      <formula>IF(#REF!="FICTICIO",1,0)</formula>
    </cfRule>
  </conditionalFormatting>
  <conditionalFormatting sqref="E116">
    <cfRule type="expression" dxfId="2437" priority="2490">
      <formula>IF(#REF!="FICTICIO",1,0)</formula>
    </cfRule>
  </conditionalFormatting>
  <conditionalFormatting sqref="E116">
    <cfRule type="expression" dxfId="2436" priority="2489">
      <formula>IF(#REF!="FICTICIO",1,0)</formula>
    </cfRule>
  </conditionalFormatting>
  <conditionalFormatting sqref="E116">
    <cfRule type="expression" dxfId="2435" priority="2488">
      <formula>IF(#REF!="FICTICIO",1,0)</formula>
    </cfRule>
  </conditionalFormatting>
  <conditionalFormatting sqref="E116">
    <cfRule type="expression" dxfId="2434" priority="2487">
      <formula>IF(#REF!="FICTICIO",1,0)</formula>
    </cfRule>
  </conditionalFormatting>
  <conditionalFormatting sqref="E116">
    <cfRule type="expression" dxfId="2433" priority="2486">
      <formula>IF(#REF!="FICTICIO",1,0)</formula>
    </cfRule>
  </conditionalFormatting>
  <conditionalFormatting sqref="E116">
    <cfRule type="expression" dxfId="2432" priority="2485">
      <formula>IF(#REF!="FICTICIO",1,0)</formula>
    </cfRule>
  </conditionalFormatting>
  <conditionalFormatting sqref="E116">
    <cfRule type="expression" dxfId="2431" priority="2484">
      <formula>IF(#REF!="FICTICIO",1,0)</formula>
    </cfRule>
  </conditionalFormatting>
  <conditionalFormatting sqref="E116">
    <cfRule type="expression" dxfId="2430" priority="2483">
      <formula>IF(#REF!="FICTICIO",1,0)</formula>
    </cfRule>
  </conditionalFormatting>
  <conditionalFormatting sqref="E116">
    <cfRule type="expression" dxfId="2429" priority="2482">
      <formula>IF(#REF!="FICTICIO",1,0)</formula>
    </cfRule>
  </conditionalFormatting>
  <conditionalFormatting sqref="E116">
    <cfRule type="expression" dxfId="2428" priority="2481">
      <formula>IF(#REF!="FICTICIO",1,0)</formula>
    </cfRule>
  </conditionalFormatting>
  <conditionalFormatting sqref="E116">
    <cfRule type="expression" dxfId="2427" priority="2480">
      <formula>IF(#REF!="FICTICIO",1,0)</formula>
    </cfRule>
  </conditionalFormatting>
  <conditionalFormatting sqref="E116">
    <cfRule type="expression" dxfId="2426" priority="2479">
      <formula>IF(#REF!="FICTICIO",1,0)</formula>
    </cfRule>
  </conditionalFormatting>
  <conditionalFormatting sqref="E116">
    <cfRule type="expression" dxfId="2425" priority="2478">
      <formula>IF(#REF!="FICTICIO",1,0)</formula>
    </cfRule>
  </conditionalFormatting>
  <conditionalFormatting sqref="E116">
    <cfRule type="expression" dxfId="2424" priority="2477">
      <formula>IF(#REF!="FICTICIO",1,0)</formula>
    </cfRule>
  </conditionalFormatting>
  <conditionalFormatting sqref="F116">
    <cfRule type="expression" dxfId="2423" priority="2476">
      <formula>IF(#REF!="FICTICIO",1,0)</formula>
    </cfRule>
  </conditionalFormatting>
  <conditionalFormatting sqref="F116">
    <cfRule type="expression" dxfId="2422" priority="2474">
      <formula>IF(#REF!="FICTICIO",1,0)</formula>
    </cfRule>
  </conditionalFormatting>
  <conditionalFormatting sqref="F116">
    <cfRule type="expression" dxfId="2421" priority="2475">
      <formula>IF(#REF!="FICTICIO",1,0)</formula>
    </cfRule>
  </conditionalFormatting>
  <conditionalFormatting sqref="F117">
    <cfRule type="expression" dxfId="2420" priority="2473">
      <formula>IF(#REF!="FICTICIO",1,0)</formula>
    </cfRule>
  </conditionalFormatting>
  <conditionalFormatting sqref="F117">
    <cfRule type="expression" dxfId="2419" priority="2472">
      <formula>IF(#REF!="FICTICIO",1,0)</formula>
    </cfRule>
  </conditionalFormatting>
  <conditionalFormatting sqref="F117">
    <cfRule type="expression" dxfId="2418" priority="2471">
      <formula>IF(#REF!="FICTICIO",1,0)</formula>
    </cfRule>
  </conditionalFormatting>
  <conditionalFormatting sqref="F117">
    <cfRule type="expression" dxfId="2417" priority="2470">
      <formula>IF(#REF!="FICTICIO",1,0)</formula>
    </cfRule>
  </conditionalFormatting>
  <conditionalFormatting sqref="F117">
    <cfRule type="expression" dxfId="2416" priority="2469">
      <formula>IF(#REF!="FICTICIO",1,0)</formula>
    </cfRule>
  </conditionalFormatting>
  <conditionalFormatting sqref="F117">
    <cfRule type="expression" dxfId="2415" priority="2468">
      <formula>IF(#REF!="FICTICIO",1,0)</formula>
    </cfRule>
  </conditionalFormatting>
  <conditionalFormatting sqref="F117">
    <cfRule type="expression" dxfId="2414" priority="2467">
      <formula>IF(#REF!="FICTICIO",1,0)</formula>
    </cfRule>
  </conditionalFormatting>
  <conditionalFormatting sqref="E116">
    <cfRule type="expression" dxfId="2413" priority="2466">
      <formula>IF(#REF!="FICTICIO",1,0)</formula>
    </cfRule>
  </conditionalFormatting>
  <conditionalFormatting sqref="E116">
    <cfRule type="expression" dxfId="2412" priority="2465">
      <formula>IF(#REF!="FICTICIO",1,0)</formula>
    </cfRule>
  </conditionalFormatting>
  <conditionalFormatting sqref="E116">
    <cfRule type="expression" dxfId="2411" priority="2464">
      <formula>IF(#REF!="FICTICIO",1,0)</formula>
    </cfRule>
  </conditionalFormatting>
  <conditionalFormatting sqref="E116">
    <cfRule type="expression" dxfId="2410" priority="2463">
      <formula>IF(#REF!="FICTICIO",1,0)</formula>
    </cfRule>
  </conditionalFormatting>
  <conditionalFormatting sqref="E116">
    <cfRule type="expression" dxfId="2409" priority="2462">
      <formula>IF(#REF!="FICTICIO",1,0)</formula>
    </cfRule>
  </conditionalFormatting>
  <conditionalFormatting sqref="E116">
    <cfRule type="expression" dxfId="2408" priority="2461">
      <formula>IF(#REF!="FICTICIO",1,0)</formula>
    </cfRule>
  </conditionalFormatting>
  <conditionalFormatting sqref="E116">
    <cfRule type="expression" dxfId="2407" priority="2460">
      <formula>IF(#REF!="FICTICIO",1,0)</formula>
    </cfRule>
  </conditionalFormatting>
  <conditionalFormatting sqref="E116">
    <cfRule type="expression" dxfId="2406" priority="2459">
      <formula>IF(#REF!="FICTICIO",1,0)</formula>
    </cfRule>
  </conditionalFormatting>
  <conditionalFormatting sqref="E116">
    <cfRule type="expression" dxfId="2405" priority="2458">
      <formula>IF(#REF!="FICTICIO",1,0)</formula>
    </cfRule>
  </conditionalFormatting>
  <conditionalFormatting sqref="E116">
    <cfRule type="expression" dxfId="2404" priority="2457">
      <formula>IF(#REF!="FICTICIO",1,0)</formula>
    </cfRule>
  </conditionalFormatting>
  <conditionalFormatting sqref="F116">
    <cfRule type="expression" dxfId="2403" priority="2456">
      <formula>IF(#REF!="FICTICIO",1,0)</formula>
    </cfRule>
  </conditionalFormatting>
  <conditionalFormatting sqref="E116">
    <cfRule type="expression" dxfId="2402" priority="2455">
      <formula>IF(#REF!="FICTICIO",1,0)</formula>
    </cfRule>
  </conditionalFormatting>
  <conditionalFormatting sqref="E116">
    <cfRule type="expression" dxfId="2401" priority="2454">
      <formula>IF(#REF!="FICTICIO",1,0)</formula>
    </cfRule>
  </conditionalFormatting>
  <conditionalFormatting sqref="E116">
    <cfRule type="expression" dxfId="2400" priority="2453">
      <formula>IF(#REF!="FICTICIO",1,0)</formula>
    </cfRule>
  </conditionalFormatting>
  <conditionalFormatting sqref="E116">
    <cfRule type="expression" dxfId="2399" priority="2452">
      <formula>IF(#REF!="FICTICIO",1,0)</formula>
    </cfRule>
  </conditionalFormatting>
  <conditionalFormatting sqref="E116">
    <cfRule type="expression" dxfId="2398" priority="2451">
      <formula>IF(#REF!="FICTICIO",1,0)</formula>
    </cfRule>
  </conditionalFormatting>
  <conditionalFormatting sqref="E116">
    <cfRule type="expression" dxfId="2397" priority="2450">
      <formula>IF(#REF!="FICTICIO",1,0)</formula>
    </cfRule>
  </conditionalFormatting>
  <conditionalFormatting sqref="E116">
    <cfRule type="expression" dxfId="2396" priority="2449">
      <formula>IF(#REF!="FICTICIO",1,0)</formula>
    </cfRule>
  </conditionalFormatting>
  <conditionalFormatting sqref="E116">
    <cfRule type="expression" dxfId="2395" priority="2448">
      <formula>IF(#REF!="FICTICIO",1,0)</formula>
    </cfRule>
  </conditionalFormatting>
  <conditionalFormatting sqref="E116">
    <cfRule type="expression" dxfId="2394" priority="2447">
      <formula>IF(#REF!="FICTICIO",1,0)</formula>
    </cfRule>
  </conditionalFormatting>
  <conditionalFormatting sqref="D116">
    <cfRule type="expression" dxfId="2393" priority="2445">
      <formula>IF(#REF!="FICTICIO",1,0)</formula>
    </cfRule>
  </conditionalFormatting>
  <conditionalFormatting sqref="D116">
    <cfRule type="expression" dxfId="2392" priority="2446">
      <formula>IF(#REF!="FICTICIO",1,0)</formula>
    </cfRule>
  </conditionalFormatting>
  <conditionalFormatting sqref="D116">
    <cfRule type="expression" dxfId="2391" priority="2443">
      <formula>IF(#REF!="FICTICIO",1,0)</formula>
    </cfRule>
  </conditionalFormatting>
  <conditionalFormatting sqref="D116">
    <cfRule type="expression" dxfId="2390" priority="2444">
      <formula>IF(#REF!="FICTICIO",1,0)</formula>
    </cfRule>
  </conditionalFormatting>
  <conditionalFormatting sqref="E116">
    <cfRule type="expression" dxfId="2389" priority="2442">
      <formula>IF(#REF!="FICTICIO",1,0)</formula>
    </cfRule>
  </conditionalFormatting>
  <conditionalFormatting sqref="E116">
    <cfRule type="expression" dxfId="2388" priority="2441">
      <formula>IF(#REF!="FICTICIO",1,0)</formula>
    </cfRule>
  </conditionalFormatting>
  <conditionalFormatting sqref="E116">
    <cfRule type="expression" dxfId="2387" priority="2440">
      <formula>IF(#REF!="FICTICIO",1,0)</formula>
    </cfRule>
  </conditionalFormatting>
  <conditionalFormatting sqref="E116">
    <cfRule type="expression" dxfId="2386" priority="2439">
      <formula>IF(#REF!="FICTICIO",1,0)</formula>
    </cfRule>
  </conditionalFormatting>
  <conditionalFormatting sqref="E116">
    <cfRule type="expression" dxfId="2385" priority="2438">
      <formula>IF(#REF!="FICTICIO",1,0)</formula>
    </cfRule>
  </conditionalFormatting>
  <conditionalFormatting sqref="E116">
    <cfRule type="expression" dxfId="2384" priority="2437">
      <formula>IF(#REF!="FICTICIO",1,0)</formula>
    </cfRule>
  </conditionalFormatting>
  <conditionalFormatting sqref="E116">
    <cfRule type="expression" dxfId="2383" priority="2436">
      <formula>IF(#REF!="FICTICIO",1,0)</formula>
    </cfRule>
  </conditionalFormatting>
  <conditionalFormatting sqref="E116">
    <cfRule type="expression" dxfId="2382" priority="2435">
      <formula>IF(#REF!="FICTICIO",1,0)</formula>
    </cfRule>
  </conditionalFormatting>
  <conditionalFormatting sqref="E116">
    <cfRule type="expression" dxfId="2381" priority="2434">
      <formula>IF(#REF!="FICTICIO",1,0)</formula>
    </cfRule>
  </conditionalFormatting>
  <conditionalFormatting sqref="E116">
    <cfRule type="expression" dxfId="2380" priority="2433">
      <formula>IF(#REF!="FICTICIO",1,0)</formula>
    </cfRule>
  </conditionalFormatting>
  <conditionalFormatting sqref="E116">
    <cfRule type="expression" dxfId="2379" priority="2432">
      <formula>IF(#REF!="FICTICIO",1,0)</formula>
    </cfRule>
  </conditionalFormatting>
  <conditionalFormatting sqref="E116">
    <cfRule type="expression" dxfId="2378" priority="2431">
      <formula>IF(#REF!="FICTICIO",1,0)</formula>
    </cfRule>
  </conditionalFormatting>
  <conditionalFormatting sqref="E116">
    <cfRule type="expression" dxfId="2377" priority="2430">
      <formula>IF(#REF!="FICTICIO",1,0)</formula>
    </cfRule>
  </conditionalFormatting>
  <conditionalFormatting sqref="D116">
    <cfRule type="expression" dxfId="2376" priority="2428">
      <formula>IF(#REF!="FICTICIO",1,0)</formula>
    </cfRule>
  </conditionalFormatting>
  <conditionalFormatting sqref="D116">
    <cfRule type="expression" dxfId="2375" priority="2429">
      <formula>IF(#REF!="FICTICIO",1,0)</formula>
    </cfRule>
  </conditionalFormatting>
  <conditionalFormatting sqref="D116">
    <cfRule type="expression" dxfId="2374" priority="2426">
      <formula>IF(#REF!="FICTICIO",1,0)</formula>
    </cfRule>
  </conditionalFormatting>
  <conditionalFormatting sqref="D116">
    <cfRule type="expression" dxfId="2373" priority="2427">
      <formula>IF(#REF!="FICTICIO",1,0)</formula>
    </cfRule>
  </conditionalFormatting>
  <conditionalFormatting sqref="F116">
    <cfRule type="expression" dxfId="2372" priority="2425">
      <formula>IF(#REF!="FICTICIO",1,0)</formula>
    </cfRule>
  </conditionalFormatting>
  <conditionalFormatting sqref="E116">
    <cfRule type="expression" dxfId="2371" priority="2424">
      <formula>IF(#REF!="FICTICIO",1,0)</formula>
    </cfRule>
  </conditionalFormatting>
  <conditionalFormatting sqref="E116">
    <cfRule type="expression" dxfId="2370" priority="2423">
      <formula>IF(#REF!="FICTICIO",1,0)</formula>
    </cfRule>
  </conditionalFormatting>
  <conditionalFormatting sqref="E116">
    <cfRule type="expression" dxfId="2369" priority="2422">
      <formula>IF(#REF!="FICTICIO",1,0)</formula>
    </cfRule>
  </conditionalFormatting>
  <conditionalFormatting sqref="E116">
    <cfRule type="expression" dxfId="2368" priority="2421">
      <formula>IF(#REF!="FICTICIO",1,0)</formula>
    </cfRule>
  </conditionalFormatting>
  <conditionalFormatting sqref="E116">
    <cfRule type="expression" dxfId="2367" priority="2420">
      <formula>IF(#REF!="FICTICIO",1,0)</formula>
    </cfRule>
  </conditionalFormatting>
  <conditionalFormatting sqref="E116">
    <cfRule type="expression" dxfId="2366" priority="2419">
      <formula>IF(#REF!="FICTICIO",1,0)</formula>
    </cfRule>
  </conditionalFormatting>
  <conditionalFormatting sqref="D116">
    <cfRule type="expression" dxfId="2365" priority="2417">
      <formula>IF(#REF!="FICTICIO",1,0)</formula>
    </cfRule>
  </conditionalFormatting>
  <conditionalFormatting sqref="D116">
    <cfRule type="expression" dxfId="2364" priority="2418">
      <formula>IF(#REF!="FICTICIO",1,0)</formula>
    </cfRule>
  </conditionalFormatting>
  <conditionalFormatting sqref="D116">
    <cfRule type="expression" dxfId="2363" priority="2415">
      <formula>IF(#REF!="FICTICIO",1,0)</formula>
    </cfRule>
  </conditionalFormatting>
  <conditionalFormatting sqref="D116">
    <cfRule type="expression" dxfId="2362" priority="2416">
      <formula>IF(#REF!="FICTICIO",1,0)</formula>
    </cfRule>
  </conditionalFormatting>
  <conditionalFormatting sqref="D116">
    <cfRule type="expression" dxfId="2361" priority="2413">
      <formula>IF(#REF!="FICTICIO",1,0)</formula>
    </cfRule>
  </conditionalFormatting>
  <conditionalFormatting sqref="D116">
    <cfRule type="expression" dxfId="2360" priority="2414">
      <formula>IF(#REF!="FICTICIO",1,0)</formula>
    </cfRule>
  </conditionalFormatting>
  <conditionalFormatting sqref="D116">
    <cfRule type="expression" dxfId="2359" priority="2411">
      <formula>IF(#REF!="FICTICIO",1,0)</formula>
    </cfRule>
  </conditionalFormatting>
  <conditionalFormatting sqref="D116">
    <cfRule type="expression" dxfId="2358" priority="2412">
      <formula>IF(#REF!="FICTICIO",1,0)</formula>
    </cfRule>
  </conditionalFormatting>
  <conditionalFormatting sqref="E116">
    <cfRule type="expression" dxfId="2357" priority="2410">
      <formula>IF(#REF!="FICTICIO",1,0)</formula>
    </cfRule>
  </conditionalFormatting>
  <conditionalFormatting sqref="E116">
    <cfRule type="expression" dxfId="2356" priority="2409">
      <formula>IF(#REF!="FICTICIO",1,0)</formula>
    </cfRule>
  </conditionalFormatting>
  <conditionalFormatting sqref="E116">
    <cfRule type="expression" dxfId="2355" priority="2408">
      <formula>IF(#REF!="FICTICIO",1,0)</formula>
    </cfRule>
  </conditionalFormatting>
  <conditionalFormatting sqref="E116">
    <cfRule type="expression" dxfId="2354" priority="2407">
      <formula>IF(#REF!="FICTICIO",1,0)</formula>
    </cfRule>
  </conditionalFormatting>
  <conditionalFormatting sqref="E116">
    <cfRule type="expression" dxfId="2353" priority="2406">
      <formula>IF(#REF!="FICTICIO",1,0)</formula>
    </cfRule>
  </conditionalFormatting>
  <conditionalFormatting sqref="E116">
    <cfRule type="expression" dxfId="2352" priority="2405">
      <formula>IF(#REF!="FICTICIO",1,0)</formula>
    </cfRule>
  </conditionalFormatting>
  <conditionalFormatting sqref="E116">
    <cfRule type="expression" dxfId="2351" priority="2404">
      <formula>IF(#REF!="FICTICIO",1,0)</formula>
    </cfRule>
  </conditionalFormatting>
  <conditionalFormatting sqref="E116">
    <cfRule type="expression" dxfId="2350" priority="2403">
      <formula>IF(#REF!="FICTICIO",1,0)</formula>
    </cfRule>
  </conditionalFormatting>
  <conditionalFormatting sqref="E116">
    <cfRule type="expression" dxfId="2349" priority="2402">
      <formula>IF(#REF!="FICTICIO",1,0)</formula>
    </cfRule>
  </conditionalFormatting>
  <conditionalFormatting sqref="E116">
    <cfRule type="expression" dxfId="2348" priority="2401">
      <formula>IF(#REF!="FICTICIO",1,0)</formula>
    </cfRule>
  </conditionalFormatting>
  <conditionalFormatting sqref="E116">
    <cfRule type="expression" dxfId="2347" priority="2400">
      <formula>IF(#REF!="FICTICIO",1,0)</formula>
    </cfRule>
  </conditionalFormatting>
  <conditionalFormatting sqref="E116">
    <cfRule type="expression" dxfId="2346" priority="2399">
      <formula>IF(#REF!="FICTICIO",1,0)</formula>
    </cfRule>
  </conditionalFormatting>
  <conditionalFormatting sqref="E116">
    <cfRule type="expression" dxfId="2345" priority="2398">
      <formula>IF(#REF!="FICTICIO",1,0)</formula>
    </cfRule>
  </conditionalFormatting>
  <conditionalFormatting sqref="E116">
    <cfRule type="expression" dxfId="2344" priority="2397">
      <formula>IF(#REF!="FICTICIO",1,0)</formula>
    </cfRule>
  </conditionalFormatting>
  <conditionalFormatting sqref="E116">
    <cfRule type="expression" dxfId="2343" priority="2396">
      <formula>IF(#REF!="FICTICIO",1,0)</formula>
    </cfRule>
  </conditionalFormatting>
  <conditionalFormatting sqref="E116">
    <cfRule type="expression" dxfId="2342" priority="2395">
      <formula>IF(#REF!="FICTICIO",1,0)</formula>
    </cfRule>
  </conditionalFormatting>
  <conditionalFormatting sqref="E116">
    <cfRule type="expression" dxfId="2341" priority="2394">
      <formula>IF(#REF!="FICTICIO",1,0)</formula>
    </cfRule>
  </conditionalFormatting>
  <conditionalFormatting sqref="E116">
    <cfRule type="expression" dxfId="2340" priority="2393">
      <formula>IF(#REF!="FICTICIO",1,0)</formula>
    </cfRule>
  </conditionalFormatting>
  <conditionalFormatting sqref="E116">
    <cfRule type="expression" dxfId="2339" priority="2392">
      <formula>IF(#REF!="FICTICIO",1,0)</formula>
    </cfRule>
  </conditionalFormatting>
  <conditionalFormatting sqref="E116">
    <cfRule type="expression" dxfId="2338" priority="2391">
      <formula>IF(#REF!="FICTICIO",1,0)</formula>
    </cfRule>
  </conditionalFormatting>
  <conditionalFormatting sqref="E116">
    <cfRule type="expression" dxfId="2337" priority="2390">
      <formula>IF(#REF!="FICTICIO",1,0)</formula>
    </cfRule>
  </conditionalFormatting>
  <conditionalFormatting sqref="E116">
    <cfRule type="expression" dxfId="2336" priority="2389">
      <formula>IF(#REF!="FICTICIO",1,0)</formula>
    </cfRule>
  </conditionalFormatting>
  <conditionalFormatting sqref="E116">
    <cfRule type="expression" dxfId="2335" priority="2388">
      <formula>IF(#REF!="FICTICIO",1,0)</formula>
    </cfRule>
  </conditionalFormatting>
  <conditionalFormatting sqref="E116">
    <cfRule type="expression" dxfId="2334" priority="2387">
      <formula>IF(#REF!="FICTICIO",1,0)</formula>
    </cfRule>
  </conditionalFormatting>
  <conditionalFormatting sqref="E116">
    <cfRule type="expression" dxfId="2333" priority="2386">
      <formula>IF(#REF!="FICTICIO",1,0)</formula>
    </cfRule>
  </conditionalFormatting>
  <conditionalFormatting sqref="E116">
    <cfRule type="expression" dxfId="2332" priority="2385">
      <formula>IF(#REF!="FICTICIO",1,0)</formula>
    </cfRule>
  </conditionalFormatting>
  <conditionalFormatting sqref="E116">
    <cfRule type="expression" dxfId="2331" priority="2384">
      <formula>IF(#REF!="FICTICIO",1,0)</formula>
    </cfRule>
  </conditionalFormatting>
  <conditionalFormatting sqref="E116">
    <cfRule type="expression" dxfId="2330" priority="2383">
      <formula>IF(#REF!="FICTICIO",1,0)</formula>
    </cfRule>
  </conditionalFormatting>
  <conditionalFormatting sqref="E116">
    <cfRule type="expression" dxfId="2329" priority="2382">
      <formula>IF(#REF!="FICTICIO",1,0)</formula>
    </cfRule>
  </conditionalFormatting>
  <conditionalFormatting sqref="E116">
    <cfRule type="expression" dxfId="2328" priority="2381">
      <formula>IF(#REF!="FICTICIO",1,0)</formula>
    </cfRule>
  </conditionalFormatting>
  <conditionalFormatting sqref="E116">
    <cfRule type="expression" dxfId="2327" priority="2380">
      <formula>IF(#REF!="FICTICIO",1,0)</formula>
    </cfRule>
  </conditionalFormatting>
  <conditionalFormatting sqref="E116">
    <cfRule type="expression" dxfId="2326" priority="2379">
      <formula>IF(#REF!="FICTICIO",1,0)</formula>
    </cfRule>
  </conditionalFormatting>
  <conditionalFormatting sqref="E116">
    <cfRule type="expression" dxfId="2325" priority="2378">
      <formula>IF(#REF!="FICTICIO",1,0)</formula>
    </cfRule>
  </conditionalFormatting>
  <conditionalFormatting sqref="E116">
    <cfRule type="expression" dxfId="2324" priority="2377">
      <formula>IF(#REF!="FICTICIO",1,0)</formula>
    </cfRule>
  </conditionalFormatting>
  <conditionalFormatting sqref="E116">
    <cfRule type="expression" dxfId="2323" priority="2376">
      <formula>IF(#REF!="FICTICIO",1,0)</formula>
    </cfRule>
  </conditionalFormatting>
  <conditionalFormatting sqref="E116">
    <cfRule type="expression" dxfId="2322" priority="2375">
      <formula>IF(#REF!="FICTICIO",1,0)</formula>
    </cfRule>
  </conditionalFormatting>
  <conditionalFormatting sqref="E116">
    <cfRule type="expression" dxfId="2321" priority="2374">
      <formula>IF(#REF!="FICTICIO",1,0)</formula>
    </cfRule>
  </conditionalFormatting>
  <conditionalFormatting sqref="E116">
    <cfRule type="expression" dxfId="2320" priority="2373">
      <formula>IF(#REF!="FICTICIO",1,0)</formula>
    </cfRule>
  </conditionalFormatting>
  <conditionalFormatting sqref="F116">
    <cfRule type="expression" dxfId="2319" priority="2372">
      <formula>IF(#REF!="FICTICIO",1,0)</formula>
    </cfRule>
  </conditionalFormatting>
  <conditionalFormatting sqref="F116">
    <cfRule type="expression" dxfId="2318" priority="2370">
      <formula>IF(#REF!="FICTICIO",1,0)</formula>
    </cfRule>
  </conditionalFormatting>
  <conditionalFormatting sqref="F116">
    <cfRule type="expression" dxfId="2317" priority="2371">
      <formula>IF(#REF!="FICTICIO",1,0)</formula>
    </cfRule>
  </conditionalFormatting>
  <conditionalFormatting sqref="E116">
    <cfRule type="expression" dxfId="2316" priority="2369">
      <formula>IF(#REF!="FICTICIO",1,0)</formula>
    </cfRule>
  </conditionalFormatting>
  <conditionalFormatting sqref="E116">
    <cfRule type="expression" dxfId="2315" priority="2368">
      <formula>IF(#REF!="FICTICIO",1,0)</formula>
    </cfRule>
  </conditionalFormatting>
  <conditionalFormatting sqref="E116">
    <cfRule type="expression" dxfId="2314" priority="2367">
      <formula>IF(#REF!="FICTICIO",1,0)</formula>
    </cfRule>
  </conditionalFormatting>
  <conditionalFormatting sqref="E116">
    <cfRule type="expression" dxfId="2313" priority="2366">
      <formula>IF(#REF!="FICTICIO",1,0)</formula>
    </cfRule>
  </conditionalFormatting>
  <conditionalFormatting sqref="E116">
    <cfRule type="expression" dxfId="2312" priority="2365">
      <formula>IF(#REF!="FICTICIO",1,0)</formula>
    </cfRule>
  </conditionalFormatting>
  <conditionalFormatting sqref="E116">
    <cfRule type="expression" dxfId="2311" priority="2364">
      <formula>IF(#REF!="FICTICIO",1,0)</formula>
    </cfRule>
  </conditionalFormatting>
  <conditionalFormatting sqref="E116">
    <cfRule type="expression" dxfId="2310" priority="2363">
      <formula>IF(#REF!="FICTICIO",1,0)</formula>
    </cfRule>
  </conditionalFormatting>
  <conditionalFormatting sqref="E116">
    <cfRule type="expression" dxfId="2309" priority="2362">
      <formula>IF(#REF!="FICTICIO",1,0)</formula>
    </cfRule>
  </conditionalFormatting>
  <conditionalFormatting sqref="E116">
    <cfRule type="expression" dxfId="2308" priority="2361">
      <formula>IF(#REF!="FICTICIO",1,0)</formula>
    </cfRule>
  </conditionalFormatting>
  <conditionalFormatting sqref="E116">
    <cfRule type="expression" dxfId="2307" priority="2360">
      <formula>IF(#REF!="FICTICIO",1,0)</formula>
    </cfRule>
  </conditionalFormatting>
  <conditionalFormatting sqref="F116">
    <cfRule type="expression" dxfId="2306" priority="2359">
      <formula>IF(#REF!="FICTICIO",1,0)</formula>
    </cfRule>
  </conditionalFormatting>
  <conditionalFormatting sqref="E116">
    <cfRule type="expression" dxfId="2305" priority="2358">
      <formula>IF(#REF!="FICTICIO",1,0)</formula>
    </cfRule>
  </conditionalFormatting>
  <conditionalFormatting sqref="E116">
    <cfRule type="expression" dxfId="2304" priority="2357">
      <formula>IF(#REF!="FICTICIO",1,0)</formula>
    </cfRule>
  </conditionalFormatting>
  <conditionalFormatting sqref="E116">
    <cfRule type="expression" dxfId="2303" priority="2356">
      <formula>IF(#REF!="FICTICIO",1,0)</formula>
    </cfRule>
  </conditionalFormatting>
  <conditionalFormatting sqref="E116">
    <cfRule type="expression" dxfId="2302" priority="2355">
      <formula>IF(#REF!="FICTICIO",1,0)</formula>
    </cfRule>
  </conditionalFormatting>
  <conditionalFormatting sqref="E116">
    <cfRule type="expression" dxfId="2301" priority="2354">
      <formula>IF(#REF!="FICTICIO",1,0)</formula>
    </cfRule>
  </conditionalFormatting>
  <conditionalFormatting sqref="E116">
    <cfRule type="expression" dxfId="2300" priority="2353">
      <formula>IF(#REF!="FICTICIO",1,0)</formula>
    </cfRule>
  </conditionalFormatting>
  <conditionalFormatting sqref="E116">
    <cfRule type="expression" dxfId="2299" priority="2352">
      <formula>IF(#REF!="FICTICIO",1,0)</formula>
    </cfRule>
  </conditionalFormatting>
  <conditionalFormatting sqref="E116">
    <cfRule type="expression" dxfId="2298" priority="2351">
      <formula>IF(#REF!="FICTICIO",1,0)</formula>
    </cfRule>
  </conditionalFormatting>
  <conditionalFormatting sqref="E116">
    <cfRule type="expression" dxfId="2297" priority="2350">
      <formula>IF(#REF!="FICTICIO",1,0)</formula>
    </cfRule>
  </conditionalFormatting>
  <conditionalFormatting sqref="D116">
    <cfRule type="expression" dxfId="2296" priority="2348">
      <formula>IF(#REF!="FICTICIO",1,0)</formula>
    </cfRule>
  </conditionalFormatting>
  <conditionalFormatting sqref="D116">
    <cfRule type="expression" dxfId="2295" priority="2349">
      <formula>IF(#REF!="FICTICIO",1,0)</formula>
    </cfRule>
  </conditionalFormatting>
  <conditionalFormatting sqref="D116">
    <cfRule type="expression" dxfId="2294" priority="2346">
      <formula>IF(#REF!="FICTICIO",1,0)</formula>
    </cfRule>
  </conditionalFormatting>
  <conditionalFormatting sqref="D116">
    <cfRule type="expression" dxfId="2293" priority="2347">
      <formula>IF(#REF!="FICTICIO",1,0)</formula>
    </cfRule>
  </conditionalFormatting>
  <conditionalFormatting sqref="E116">
    <cfRule type="expression" dxfId="2292" priority="2345">
      <formula>IF(#REF!="FICTICIO",1,0)</formula>
    </cfRule>
  </conditionalFormatting>
  <conditionalFormatting sqref="E116">
    <cfRule type="expression" dxfId="2291" priority="2344">
      <formula>IF(#REF!="FICTICIO",1,0)</formula>
    </cfRule>
  </conditionalFormatting>
  <conditionalFormatting sqref="E116">
    <cfRule type="expression" dxfId="2290" priority="2343">
      <formula>IF(#REF!="FICTICIO",1,0)</formula>
    </cfRule>
  </conditionalFormatting>
  <conditionalFormatting sqref="E116">
    <cfRule type="expression" dxfId="2289" priority="2342">
      <formula>IF(#REF!="FICTICIO",1,0)</formula>
    </cfRule>
  </conditionalFormatting>
  <conditionalFormatting sqref="E116">
    <cfRule type="expression" dxfId="2288" priority="2341">
      <formula>IF(#REF!="FICTICIO",1,0)</formula>
    </cfRule>
  </conditionalFormatting>
  <conditionalFormatting sqref="E116">
    <cfRule type="expression" dxfId="2287" priority="2340">
      <formula>IF(#REF!="FICTICIO",1,0)</formula>
    </cfRule>
  </conditionalFormatting>
  <conditionalFormatting sqref="E116">
    <cfRule type="expression" dxfId="2286" priority="2339">
      <formula>IF(#REF!="FICTICIO",1,0)</formula>
    </cfRule>
  </conditionalFormatting>
  <conditionalFormatting sqref="E116">
    <cfRule type="expression" dxfId="2285" priority="2338">
      <formula>IF(#REF!="FICTICIO",1,0)</formula>
    </cfRule>
  </conditionalFormatting>
  <conditionalFormatting sqref="E116">
    <cfRule type="expression" dxfId="2284" priority="2337">
      <formula>IF(#REF!="FICTICIO",1,0)</formula>
    </cfRule>
  </conditionalFormatting>
  <conditionalFormatting sqref="E116">
    <cfRule type="expression" dxfId="2283" priority="2336">
      <formula>IF(#REF!="FICTICIO",1,0)</formula>
    </cfRule>
  </conditionalFormatting>
  <conditionalFormatting sqref="E116">
    <cfRule type="expression" dxfId="2282" priority="2335">
      <formula>IF(#REF!="FICTICIO",1,0)</formula>
    </cfRule>
  </conditionalFormatting>
  <conditionalFormatting sqref="E116">
    <cfRule type="expression" dxfId="2281" priority="2334">
      <formula>IF(#REF!="FICTICIO",1,0)</formula>
    </cfRule>
  </conditionalFormatting>
  <conditionalFormatting sqref="E116">
    <cfRule type="expression" dxfId="2280" priority="2333">
      <formula>IF(#REF!="FICTICIO",1,0)</formula>
    </cfRule>
  </conditionalFormatting>
  <conditionalFormatting sqref="D116">
    <cfRule type="expression" dxfId="2279" priority="2331">
      <formula>IF(#REF!="FICTICIO",1,0)</formula>
    </cfRule>
  </conditionalFormatting>
  <conditionalFormatting sqref="D116">
    <cfRule type="expression" dxfId="2278" priority="2332">
      <formula>IF(#REF!="FICTICIO",1,0)</formula>
    </cfRule>
  </conditionalFormatting>
  <conditionalFormatting sqref="D116">
    <cfRule type="expression" dxfId="2277" priority="2329">
      <formula>IF(#REF!="FICTICIO",1,0)</formula>
    </cfRule>
  </conditionalFormatting>
  <conditionalFormatting sqref="D116">
    <cfRule type="expression" dxfId="2276" priority="2330">
      <formula>IF(#REF!="FICTICIO",1,0)</formula>
    </cfRule>
  </conditionalFormatting>
  <conditionalFormatting sqref="F116">
    <cfRule type="expression" dxfId="2275" priority="2328">
      <formula>IF(#REF!="FICTICIO",1,0)</formula>
    </cfRule>
  </conditionalFormatting>
  <conditionalFormatting sqref="E116">
    <cfRule type="expression" dxfId="2274" priority="2327">
      <formula>IF(#REF!="FICTICIO",1,0)</formula>
    </cfRule>
  </conditionalFormatting>
  <conditionalFormatting sqref="E116">
    <cfRule type="expression" dxfId="2273" priority="2326">
      <formula>IF(#REF!="FICTICIO",1,0)</formula>
    </cfRule>
  </conditionalFormatting>
  <conditionalFormatting sqref="E116">
    <cfRule type="expression" dxfId="2272" priority="2325">
      <formula>IF(#REF!="FICTICIO",1,0)</formula>
    </cfRule>
  </conditionalFormatting>
  <conditionalFormatting sqref="E116">
    <cfRule type="expression" dxfId="2271" priority="2324">
      <formula>IF(#REF!="FICTICIO",1,0)</formula>
    </cfRule>
  </conditionalFormatting>
  <conditionalFormatting sqref="E116">
    <cfRule type="expression" dxfId="2270" priority="2323">
      <formula>IF(#REF!="FICTICIO",1,0)</formula>
    </cfRule>
  </conditionalFormatting>
  <conditionalFormatting sqref="E116">
    <cfRule type="expression" dxfId="2269" priority="2322">
      <formula>IF(#REF!="FICTICIO",1,0)</formula>
    </cfRule>
  </conditionalFormatting>
  <conditionalFormatting sqref="D116">
    <cfRule type="expression" dxfId="2268" priority="2320">
      <formula>IF(#REF!="FICTICIO",1,0)</formula>
    </cfRule>
  </conditionalFormatting>
  <conditionalFormatting sqref="D116">
    <cfRule type="expression" dxfId="2267" priority="2321">
      <formula>IF(#REF!="FICTICIO",1,0)</formula>
    </cfRule>
  </conditionalFormatting>
  <conditionalFormatting sqref="D116">
    <cfRule type="expression" dxfId="2266" priority="2318">
      <formula>IF(#REF!="FICTICIO",1,0)</formula>
    </cfRule>
  </conditionalFormatting>
  <conditionalFormatting sqref="D116">
    <cfRule type="expression" dxfId="2265" priority="2319">
      <formula>IF(#REF!="FICTICIO",1,0)</formula>
    </cfRule>
  </conditionalFormatting>
  <conditionalFormatting sqref="D116">
    <cfRule type="expression" dxfId="2264" priority="2316">
      <formula>IF(#REF!="FICTICIO",1,0)</formula>
    </cfRule>
  </conditionalFormatting>
  <conditionalFormatting sqref="D116">
    <cfRule type="expression" dxfId="2263" priority="2317">
      <formula>IF(#REF!="FICTICIO",1,0)</formula>
    </cfRule>
  </conditionalFormatting>
  <conditionalFormatting sqref="D116">
    <cfRule type="expression" dxfId="2262" priority="2314">
      <formula>IF(#REF!="FICTICIO",1,0)</formula>
    </cfRule>
  </conditionalFormatting>
  <conditionalFormatting sqref="D116">
    <cfRule type="expression" dxfId="2261" priority="2315">
      <formula>IF(#REF!="FICTICIO",1,0)</formula>
    </cfRule>
  </conditionalFormatting>
  <conditionalFormatting sqref="E116">
    <cfRule type="expression" dxfId="2260" priority="2313">
      <formula>IF(#REF!="FICTICIO",1,0)</formula>
    </cfRule>
  </conditionalFormatting>
  <conditionalFormatting sqref="E116">
    <cfRule type="expression" dxfId="2259" priority="2312">
      <formula>IF(#REF!="FICTICIO",1,0)</formula>
    </cfRule>
  </conditionalFormatting>
  <conditionalFormatting sqref="E116">
    <cfRule type="expression" dxfId="2258" priority="2311">
      <formula>IF(#REF!="FICTICIO",1,0)</formula>
    </cfRule>
  </conditionalFormatting>
  <conditionalFormatting sqref="E116">
    <cfRule type="expression" dxfId="2257" priority="2310">
      <formula>IF(#REF!="FICTICIO",1,0)</formula>
    </cfRule>
  </conditionalFormatting>
  <conditionalFormatting sqref="E116">
    <cfRule type="expression" dxfId="2256" priority="2309">
      <formula>IF(#REF!="FICTICIO",1,0)</formula>
    </cfRule>
  </conditionalFormatting>
  <conditionalFormatting sqref="E116">
    <cfRule type="expression" dxfId="2255" priority="2308">
      <formula>IF(#REF!="FICTICIO",1,0)</formula>
    </cfRule>
  </conditionalFormatting>
  <conditionalFormatting sqref="E116">
    <cfRule type="expression" dxfId="2254" priority="2307">
      <formula>IF(#REF!="FICTICIO",1,0)</formula>
    </cfRule>
  </conditionalFormatting>
  <conditionalFormatting sqref="E116">
    <cfRule type="expression" dxfId="2253" priority="2306">
      <formula>IF(#REF!="FICTICIO",1,0)</formula>
    </cfRule>
  </conditionalFormatting>
  <conditionalFormatting sqref="E116">
    <cfRule type="expression" dxfId="2252" priority="2305">
      <formula>IF(#REF!="FICTICIO",1,0)</formula>
    </cfRule>
  </conditionalFormatting>
  <conditionalFormatting sqref="E116">
    <cfRule type="expression" dxfId="2251" priority="2304">
      <formula>IF(#REF!="FICTICIO",1,0)</formula>
    </cfRule>
  </conditionalFormatting>
  <conditionalFormatting sqref="E116">
    <cfRule type="expression" dxfId="2250" priority="2303">
      <formula>IF(#REF!="FICTICIO",1,0)</formula>
    </cfRule>
  </conditionalFormatting>
  <conditionalFormatting sqref="E116">
    <cfRule type="expression" dxfId="2249" priority="2302">
      <formula>IF(#REF!="FICTICIO",1,0)</formula>
    </cfRule>
  </conditionalFormatting>
  <conditionalFormatting sqref="E116">
    <cfRule type="expression" dxfId="2248" priority="2301">
      <formula>IF(#REF!="FICTICIO",1,0)</formula>
    </cfRule>
  </conditionalFormatting>
  <conditionalFormatting sqref="E116">
    <cfRule type="expression" dxfId="2247" priority="2300">
      <formula>IF(#REF!="FICTICIO",1,0)</formula>
    </cfRule>
  </conditionalFormatting>
  <conditionalFormatting sqref="E116">
    <cfRule type="expression" dxfId="2246" priority="2299">
      <formula>IF(#REF!="FICTICIO",1,0)</formula>
    </cfRule>
  </conditionalFormatting>
  <conditionalFormatting sqref="E116">
    <cfRule type="expression" dxfId="2245" priority="2298">
      <formula>IF(#REF!="FICTICIO",1,0)</formula>
    </cfRule>
  </conditionalFormatting>
  <conditionalFormatting sqref="E116">
    <cfRule type="expression" dxfId="2244" priority="2297">
      <formula>IF(#REF!="FICTICIO",1,0)</formula>
    </cfRule>
  </conditionalFormatting>
  <conditionalFormatting sqref="E116">
    <cfRule type="expression" dxfId="2243" priority="2296">
      <formula>IF(#REF!="FICTICIO",1,0)</formula>
    </cfRule>
  </conditionalFormatting>
  <conditionalFormatting sqref="E116">
    <cfRule type="expression" dxfId="2242" priority="2295">
      <formula>IF(#REF!="FICTICIO",1,0)</formula>
    </cfRule>
  </conditionalFormatting>
  <conditionalFormatting sqref="E116">
    <cfRule type="expression" dxfId="2241" priority="2294">
      <formula>IF(#REF!="FICTICIO",1,0)</formula>
    </cfRule>
  </conditionalFormatting>
  <conditionalFormatting sqref="E116">
    <cfRule type="expression" dxfId="2240" priority="2293">
      <formula>IF(#REF!="FICTICIO",1,0)</formula>
    </cfRule>
  </conditionalFormatting>
  <conditionalFormatting sqref="E116">
    <cfRule type="expression" dxfId="2239" priority="2292">
      <formula>IF(#REF!="FICTICIO",1,0)</formula>
    </cfRule>
  </conditionalFormatting>
  <conditionalFormatting sqref="E116">
    <cfRule type="expression" dxfId="2238" priority="2291">
      <formula>IF(#REF!="FICTICIO",1,0)</formula>
    </cfRule>
  </conditionalFormatting>
  <conditionalFormatting sqref="E116">
    <cfRule type="expression" dxfId="2237" priority="2290">
      <formula>IF(#REF!="FICTICIO",1,0)</formula>
    </cfRule>
  </conditionalFormatting>
  <conditionalFormatting sqref="E116">
    <cfRule type="expression" dxfId="2236" priority="2289">
      <formula>IF(#REF!="FICTICIO",1,0)</formula>
    </cfRule>
  </conditionalFormatting>
  <conditionalFormatting sqref="E116">
    <cfRule type="expression" dxfId="2235" priority="2288">
      <formula>IF(#REF!="FICTICIO",1,0)</formula>
    </cfRule>
  </conditionalFormatting>
  <conditionalFormatting sqref="E116">
    <cfRule type="expression" dxfId="2234" priority="2287">
      <formula>IF(#REF!="FICTICIO",1,0)</formula>
    </cfRule>
  </conditionalFormatting>
  <conditionalFormatting sqref="E116">
    <cfRule type="expression" dxfId="2233" priority="2286">
      <formula>IF(#REF!="FICTICIO",1,0)</formula>
    </cfRule>
  </conditionalFormatting>
  <conditionalFormatting sqref="E116">
    <cfRule type="expression" dxfId="2232" priority="2285">
      <formula>IF(#REF!="FICTICIO",1,0)</formula>
    </cfRule>
  </conditionalFormatting>
  <conditionalFormatting sqref="E116">
    <cfRule type="expression" dxfId="2231" priority="2284">
      <formula>IF(#REF!="FICTICIO",1,0)</formula>
    </cfRule>
  </conditionalFormatting>
  <conditionalFormatting sqref="E116">
    <cfRule type="expression" dxfId="2230" priority="2283">
      <formula>IF(#REF!="FICTICIO",1,0)</formula>
    </cfRule>
  </conditionalFormatting>
  <conditionalFormatting sqref="E116">
    <cfRule type="expression" dxfId="2229" priority="2282">
      <formula>IF(#REF!="FICTICIO",1,0)</formula>
    </cfRule>
  </conditionalFormatting>
  <conditionalFormatting sqref="E116">
    <cfRule type="expression" dxfId="2228" priority="2281">
      <formula>IF(#REF!="FICTICIO",1,0)</formula>
    </cfRule>
  </conditionalFormatting>
  <conditionalFormatting sqref="E116">
    <cfRule type="expression" dxfId="2227" priority="2280">
      <formula>IF(#REF!="FICTICIO",1,0)</formula>
    </cfRule>
  </conditionalFormatting>
  <conditionalFormatting sqref="E116">
    <cfRule type="expression" dxfId="2226" priority="2279">
      <formula>IF(#REF!="FICTICIO",1,0)</formula>
    </cfRule>
  </conditionalFormatting>
  <conditionalFormatting sqref="E116">
    <cfRule type="expression" dxfId="2225" priority="2278">
      <formula>IF(#REF!="FICTICIO",1,0)</formula>
    </cfRule>
  </conditionalFormatting>
  <conditionalFormatting sqref="E116">
    <cfRule type="expression" dxfId="2224" priority="2277">
      <formula>IF(#REF!="FICTICIO",1,0)</formula>
    </cfRule>
  </conditionalFormatting>
  <conditionalFormatting sqref="E116">
    <cfRule type="expression" dxfId="2223" priority="2276">
      <formula>IF(#REF!="FICTICIO",1,0)</formula>
    </cfRule>
  </conditionalFormatting>
  <conditionalFormatting sqref="F116">
    <cfRule type="expression" dxfId="2222" priority="2275">
      <formula>IF(#REF!="FICTICIO",1,0)</formula>
    </cfRule>
  </conditionalFormatting>
  <conditionalFormatting sqref="F116">
    <cfRule type="expression" dxfId="2221" priority="2273">
      <formula>IF(#REF!="FICTICIO",1,0)</formula>
    </cfRule>
  </conditionalFormatting>
  <conditionalFormatting sqref="F116">
    <cfRule type="expression" dxfId="2220" priority="2274">
      <formula>IF(#REF!="FICTICIO",1,0)</formula>
    </cfRule>
  </conditionalFormatting>
  <conditionalFormatting sqref="E117">
    <cfRule type="expression" dxfId="2219" priority="2272">
      <formula>IF(#REF!="FICTICIO",1,0)</formula>
    </cfRule>
  </conditionalFormatting>
  <conditionalFormatting sqref="E117">
    <cfRule type="expression" dxfId="2218" priority="2271">
      <formula>IF(#REF!="FICTICIO",1,0)</formula>
    </cfRule>
  </conditionalFormatting>
  <conditionalFormatting sqref="E117">
    <cfRule type="expression" dxfId="2217" priority="2270">
      <formula>IF(#REF!="FICTICIO",1,0)</formula>
    </cfRule>
  </conditionalFormatting>
  <conditionalFormatting sqref="E117">
    <cfRule type="expression" dxfId="2216" priority="2269">
      <formula>IF(#REF!="FICTICIO",1,0)</formula>
    </cfRule>
  </conditionalFormatting>
  <conditionalFormatting sqref="E117">
    <cfRule type="expression" dxfId="2215" priority="2268">
      <formula>IF(#REF!="FICTICIO",1,0)</formula>
    </cfRule>
  </conditionalFormatting>
  <conditionalFormatting sqref="E117">
    <cfRule type="expression" dxfId="2214" priority="2267">
      <formula>IF(#REF!="FICTICIO",1,0)</formula>
    </cfRule>
  </conditionalFormatting>
  <conditionalFormatting sqref="E117">
    <cfRule type="expression" dxfId="2213" priority="2266">
      <formula>IF(#REF!="FICTICIO",1,0)</formula>
    </cfRule>
  </conditionalFormatting>
  <conditionalFormatting sqref="E117">
    <cfRule type="expression" dxfId="2212" priority="2265">
      <formula>IF(#REF!="FICTICIO",1,0)</formula>
    </cfRule>
  </conditionalFormatting>
  <conditionalFormatting sqref="E117">
    <cfRule type="expression" dxfId="2211" priority="2264">
      <formula>IF(#REF!="FICTICIO",1,0)</formula>
    </cfRule>
  </conditionalFormatting>
  <conditionalFormatting sqref="E117">
    <cfRule type="expression" dxfId="2210" priority="2263">
      <formula>IF(#REF!="FICTICIO",1,0)</formula>
    </cfRule>
  </conditionalFormatting>
  <conditionalFormatting sqref="F117">
    <cfRule type="expression" dxfId="2209" priority="2262">
      <formula>IF(#REF!="FICTICIO",1,0)</formula>
    </cfRule>
  </conditionalFormatting>
  <conditionalFormatting sqref="E117">
    <cfRule type="expression" dxfId="2208" priority="2261">
      <formula>IF(#REF!="FICTICIO",1,0)</formula>
    </cfRule>
  </conditionalFormatting>
  <conditionalFormatting sqref="E117">
    <cfRule type="expression" dxfId="2207" priority="2260">
      <formula>IF(#REF!="FICTICIO",1,0)</formula>
    </cfRule>
  </conditionalFormatting>
  <conditionalFormatting sqref="E117">
    <cfRule type="expression" dxfId="2206" priority="2259">
      <formula>IF(#REF!="FICTICIO",1,0)</formula>
    </cfRule>
  </conditionalFormatting>
  <conditionalFormatting sqref="E117">
    <cfRule type="expression" dxfId="2205" priority="2258">
      <formula>IF(#REF!="FICTICIO",1,0)</formula>
    </cfRule>
  </conditionalFormatting>
  <conditionalFormatting sqref="E117">
    <cfRule type="expression" dxfId="2204" priority="2257">
      <formula>IF(#REF!="FICTICIO",1,0)</formula>
    </cfRule>
  </conditionalFormatting>
  <conditionalFormatting sqref="E117">
    <cfRule type="expression" dxfId="2203" priority="2256">
      <formula>IF(#REF!="FICTICIO",1,0)</formula>
    </cfRule>
  </conditionalFormatting>
  <conditionalFormatting sqref="E117">
    <cfRule type="expression" dxfId="2202" priority="2255">
      <formula>IF(#REF!="FICTICIO",1,0)</formula>
    </cfRule>
  </conditionalFormatting>
  <conditionalFormatting sqref="E117">
    <cfRule type="expression" dxfId="2201" priority="2254">
      <formula>IF(#REF!="FICTICIO",1,0)</formula>
    </cfRule>
  </conditionalFormatting>
  <conditionalFormatting sqref="E117">
    <cfRule type="expression" dxfId="2200" priority="2253">
      <formula>IF(#REF!="FICTICIO",1,0)</formula>
    </cfRule>
  </conditionalFormatting>
  <conditionalFormatting sqref="D117">
    <cfRule type="expression" dxfId="2199" priority="2251">
      <formula>IF(#REF!="FICTICIO",1,0)</formula>
    </cfRule>
  </conditionalFormatting>
  <conditionalFormatting sqref="D117">
    <cfRule type="expression" dxfId="2198" priority="2252">
      <formula>IF(#REF!="FICTICIO",1,0)</formula>
    </cfRule>
  </conditionalFormatting>
  <conditionalFormatting sqref="D117">
    <cfRule type="expression" dxfId="2197" priority="2249">
      <formula>IF(#REF!="FICTICIO",1,0)</formula>
    </cfRule>
  </conditionalFormatting>
  <conditionalFormatting sqref="D117">
    <cfRule type="expression" dxfId="2196" priority="2250">
      <formula>IF(#REF!="FICTICIO",1,0)</formula>
    </cfRule>
  </conditionalFormatting>
  <conditionalFormatting sqref="E117">
    <cfRule type="expression" dxfId="2195" priority="2248">
      <formula>IF(#REF!="FICTICIO",1,0)</formula>
    </cfRule>
  </conditionalFormatting>
  <conditionalFormatting sqref="E117">
    <cfRule type="expression" dxfId="2194" priority="2247">
      <formula>IF(#REF!="FICTICIO",1,0)</formula>
    </cfRule>
  </conditionalFormatting>
  <conditionalFormatting sqref="E117">
    <cfRule type="expression" dxfId="2193" priority="2246">
      <formula>IF(#REF!="FICTICIO",1,0)</formula>
    </cfRule>
  </conditionalFormatting>
  <conditionalFormatting sqref="E117">
    <cfRule type="expression" dxfId="2192" priority="2245">
      <formula>IF(#REF!="FICTICIO",1,0)</formula>
    </cfRule>
  </conditionalFormatting>
  <conditionalFormatting sqref="E117">
    <cfRule type="expression" dxfId="2191" priority="2244">
      <formula>IF(#REF!="FICTICIO",1,0)</formula>
    </cfRule>
  </conditionalFormatting>
  <conditionalFormatting sqref="E117">
    <cfRule type="expression" dxfId="2190" priority="2243">
      <formula>IF(#REF!="FICTICIO",1,0)</formula>
    </cfRule>
  </conditionalFormatting>
  <conditionalFormatting sqref="E117">
    <cfRule type="expression" dxfId="2189" priority="2242">
      <formula>IF(#REF!="FICTICIO",1,0)</formula>
    </cfRule>
  </conditionalFormatting>
  <conditionalFormatting sqref="E117">
    <cfRule type="expression" dxfId="2188" priority="2241">
      <formula>IF(#REF!="FICTICIO",1,0)</formula>
    </cfRule>
  </conditionalFormatting>
  <conditionalFormatting sqref="E117">
    <cfRule type="expression" dxfId="2187" priority="2240">
      <formula>IF(#REF!="FICTICIO",1,0)</formula>
    </cfRule>
  </conditionalFormatting>
  <conditionalFormatting sqref="E117">
    <cfRule type="expression" dxfId="2186" priority="2239">
      <formula>IF(#REF!="FICTICIO",1,0)</formula>
    </cfRule>
  </conditionalFormatting>
  <conditionalFormatting sqref="E117">
    <cfRule type="expression" dxfId="2185" priority="2238">
      <formula>IF(#REF!="FICTICIO",1,0)</formula>
    </cfRule>
  </conditionalFormatting>
  <conditionalFormatting sqref="E117">
    <cfRule type="expression" dxfId="2184" priority="2237">
      <formula>IF(#REF!="FICTICIO",1,0)</formula>
    </cfRule>
  </conditionalFormatting>
  <conditionalFormatting sqref="E117">
    <cfRule type="expression" dxfId="2183" priority="2236">
      <formula>IF(#REF!="FICTICIO",1,0)</formula>
    </cfRule>
  </conditionalFormatting>
  <conditionalFormatting sqref="D117">
    <cfRule type="expression" dxfId="2182" priority="2234">
      <formula>IF(#REF!="FICTICIO",1,0)</formula>
    </cfRule>
  </conditionalFormatting>
  <conditionalFormatting sqref="D117">
    <cfRule type="expression" dxfId="2181" priority="2235">
      <formula>IF(#REF!="FICTICIO",1,0)</formula>
    </cfRule>
  </conditionalFormatting>
  <conditionalFormatting sqref="D117">
    <cfRule type="expression" dxfId="2180" priority="2232">
      <formula>IF(#REF!="FICTICIO",1,0)</formula>
    </cfRule>
  </conditionalFormatting>
  <conditionalFormatting sqref="D117">
    <cfRule type="expression" dxfId="2179" priority="2233">
      <formula>IF(#REF!="FICTICIO",1,0)</formula>
    </cfRule>
  </conditionalFormatting>
  <conditionalFormatting sqref="F117">
    <cfRule type="expression" dxfId="2178" priority="2231">
      <formula>IF(#REF!="FICTICIO",1,0)</formula>
    </cfRule>
  </conditionalFormatting>
  <conditionalFormatting sqref="E117">
    <cfRule type="expression" dxfId="2177" priority="2230">
      <formula>IF(#REF!="FICTICIO",1,0)</formula>
    </cfRule>
  </conditionalFormatting>
  <conditionalFormatting sqref="E117">
    <cfRule type="expression" dxfId="2176" priority="2229">
      <formula>IF(#REF!="FICTICIO",1,0)</formula>
    </cfRule>
  </conditionalFormatting>
  <conditionalFormatting sqref="E117">
    <cfRule type="expression" dxfId="2175" priority="2228">
      <formula>IF(#REF!="FICTICIO",1,0)</formula>
    </cfRule>
  </conditionalFormatting>
  <conditionalFormatting sqref="E117">
    <cfRule type="expression" dxfId="2174" priority="2227">
      <formula>IF(#REF!="FICTICIO",1,0)</formula>
    </cfRule>
  </conditionalFormatting>
  <conditionalFormatting sqref="E117">
    <cfRule type="expression" dxfId="2173" priority="2226">
      <formula>IF(#REF!="FICTICIO",1,0)</formula>
    </cfRule>
  </conditionalFormatting>
  <conditionalFormatting sqref="E117">
    <cfRule type="expression" dxfId="2172" priority="2225">
      <formula>IF(#REF!="FICTICIO",1,0)</formula>
    </cfRule>
  </conditionalFormatting>
  <conditionalFormatting sqref="D117">
    <cfRule type="expression" dxfId="2171" priority="2223">
      <formula>IF(#REF!="FICTICIO",1,0)</formula>
    </cfRule>
  </conditionalFormatting>
  <conditionalFormatting sqref="D117">
    <cfRule type="expression" dxfId="2170" priority="2224">
      <formula>IF(#REF!="FICTICIO",1,0)</formula>
    </cfRule>
  </conditionalFormatting>
  <conditionalFormatting sqref="D117">
    <cfRule type="expression" dxfId="2169" priority="2221">
      <formula>IF(#REF!="FICTICIO",1,0)</formula>
    </cfRule>
  </conditionalFormatting>
  <conditionalFormatting sqref="D117">
    <cfRule type="expression" dxfId="2168" priority="2222">
      <formula>IF(#REF!="FICTICIO",1,0)</formula>
    </cfRule>
  </conditionalFormatting>
  <conditionalFormatting sqref="D117">
    <cfRule type="expression" dxfId="2167" priority="2219">
      <formula>IF(#REF!="FICTICIO",1,0)</formula>
    </cfRule>
  </conditionalFormatting>
  <conditionalFormatting sqref="D117">
    <cfRule type="expression" dxfId="2166" priority="2220">
      <formula>IF(#REF!="FICTICIO",1,0)</formula>
    </cfRule>
  </conditionalFormatting>
  <conditionalFormatting sqref="D117">
    <cfRule type="expression" dxfId="2165" priority="2217">
      <formula>IF(#REF!="FICTICIO",1,0)</formula>
    </cfRule>
  </conditionalFormatting>
  <conditionalFormatting sqref="D117">
    <cfRule type="expression" dxfId="2164" priority="2218">
      <formula>IF(#REF!="FICTICIO",1,0)</formula>
    </cfRule>
  </conditionalFormatting>
  <conditionalFormatting sqref="E117">
    <cfRule type="expression" dxfId="2163" priority="2216">
      <formula>IF(#REF!="FICTICIO",1,0)</formula>
    </cfRule>
  </conditionalFormatting>
  <conditionalFormatting sqref="E117">
    <cfRule type="expression" dxfId="2162" priority="2215">
      <formula>IF(#REF!="FICTICIO",1,0)</formula>
    </cfRule>
  </conditionalFormatting>
  <conditionalFormatting sqref="E117">
    <cfRule type="expression" dxfId="2161" priority="2214">
      <formula>IF(#REF!="FICTICIO",1,0)</formula>
    </cfRule>
  </conditionalFormatting>
  <conditionalFormatting sqref="E117">
    <cfRule type="expression" dxfId="2160" priority="2213">
      <formula>IF(#REF!="FICTICIO",1,0)</formula>
    </cfRule>
  </conditionalFormatting>
  <conditionalFormatting sqref="E117">
    <cfRule type="expression" dxfId="2159" priority="2212">
      <formula>IF(#REF!="FICTICIO",1,0)</formula>
    </cfRule>
  </conditionalFormatting>
  <conditionalFormatting sqref="E117">
    <cfRule type="expression" dxfId="2158" priority="2211">
      <formula>IF(#REF!="FICTICIO",1,0)</formula>
    </cfRule>
  </conditionalFormatting>
  <conditionalFormatting sqref="E117">
    <cfRule type="expression" dxfId="2157" priority="2210">
      <formula>IF(#REF!="FICTICIO",1,0)</formula>
    </cfRule>
  </conditionalFormatting>
  <conditionalFormatting sqref="E117">
    <cfRule type="expression" dxfId="2156" priority="2209">
      <formula>IF(#REF!="FICTICIO",1,0)</formula>
    </cfRule>
  </conditionalFormatting>
  <conditionalFormatting sqref="E117">
    <cfRule type="expression" dxfId="2155" priority="2208">
      <formula>IF(#REF!="FICTICIO",1,0)</formula>
    </cfRule>
  </conditionalFormatting>
  <conditionalFormatting sqref="E117">
    <cfRule type="expression" dxfId="2154" priority="2207">
      <formula>IF(#REF!="FICTICIO",1,0)</formula>
    </cfRule>
  </conditionalFormatting>
  <conditionalFormatting sqref="E117">
    <cfRule type="expression" dxfId="2153" priority="2206">
      <formula>IF(#REF!="FICTICIO",1,0)</formula>
    </cfRule>
  </conditionalFormatting>
  <conditionalFormatting sqref="E117">
    <cfRule type="expression" dxfId="2152" priority="2205">
      <formula>IF(#REF!="FICTICIO",1,0)</formula>
    </cfRule>
  </conditionalFormatting>
  <conditionalFormatting sqref="E117">
    <cfRule type="expression" dxfId="2151" priority="2204">
      <formula>IF(#REF!="FICTICIO",1,0)</formula>
    </cfRule>
  </conditionalFormatting>
  <conditionalFormatting sqref="E117">
    <cfRule type="expression" dxfId="2150" priority="2203">
      <formula>IF(#REF!="FICTICIO",1,0)</formula>
    </cfRule>
  </conditionalFormatting>
  <conditionalFormatting sqref="E117">
    <cfRule type="expression" dxfId="2149" priority="2202">
      <formula>IF(#REF!="FICTICIO",1,0)</formula>
    </cfRule>
  </conditionalFormatting>
  <conditionalFormatting sqref="E117">
    <cfRule type="expression" dxfId="2148" priority="2201">
      <formula>IF(#REF!="FICTICIO",1,0)</formula>
    </cfRule>
  </conditionalFormatting>
  <conditionalFormatting sqref="E117">
    <cfRule type="expression" dxfId="2147" priority="2200">
      <formula>IF(#REF!="FICTICIO",1,0)</formula>
    </cfRule>
  </conditionalFormatting>
  <conditionalFormatting sqref="E117">
    <cfRule type="expression" dxfId="2146" priority="2199">
      <formula>IF(#REF!="FICTICIO",1,0)</formula>
    </cfRule>
  </conditionalFormatting>
  <conditionalFormatting sqref="E117">
    <cfRule type="expression" dxfId="2145" priority="2198">
      <formula>IF(#REF!="FICTICIO",1,0)</formula>
    </cfRule>
  </conditionalFormatting>
  <conditionalFormatting sqref="E117">
    <cfRule type="expression" dxfId="2144" priority="2197">
      <formula>IF(#REF!="FICTICIO",1,0)</formula>
    </cfRule>
  </conditionalFormatting>
  <conditionalFormatting sqref="E117">
    <cfRule type="expression" dxfId="2143" priority="2196">
      <formula>IF(#REF!="FICTICIO",1,0)</formula>
    </cfRule>
  </conditionalFormatting>
  <conditionalFormatting sqref="E117">
    <cfRule type="expression" dxfId="2142" priority="2195">
      <formula>IF(#REF!="FICTICIO",1,0)</formula>
    </cfRule>
  </conditionalFormatting>
  <conditionalFormatting sqref="E117">
    <cfRule type="expression" dxfId="2141" priority="2194">
      <formula>IF(#REF!="FICTICIO",1,0)</formula>
    </cfRule>
  </conditionalFormatting>
  <conditionalFormatting sqref="E117">
    <cfRule type="expression" dxfId="2140" priority="2193">
      <formula>IF(#REF!="FICTICIO",1,0)</formula>
    </cfRule>
  </conditionalFormatting>
  <conditionalFormatting sqref="E117">
    <cfRule type="expression" dxfId="2139" priority="2192">
      <formula>IF(#REF!="FICTICIO",1,0)</formula>
    </cfRule>
  </conditionalFormatting>
  <conditionalFormatting sqref="E117">
    <cfRule type="expression" dxfId="2138" priority="2191">
      <formula>IF(#REF!="FICTICIO",1,0)</formula>
    </cfRule>
  </conditionalFormatting>
  <conditionalFormatting sqref="E117">
    <cfRule type="expression" dxfId="2137" priority="2190">
      <formula>IF(#REF!="FICTICIO",1,0)</formula>
    </cfRule>
  </conditionalFormatting>
  <conditionalFormatting sqref="E117">
    <cfRule type="expression" dxfId="2136" priority="2189">
      <formula>IF(#REF!="FICTICIO",1,0)</formula>
    </cfRule>
  </conditionalFormatting>
  <conditionalFormatting sqref="E117">
    <cfRule type="expression" dxfId="2135" priority="2188">
      <formula>IF(#REF!="FICTICIO",1,0)</formula>
    </cfRule>
  </conditionalFormatting>
  <conditionalFormatting sqref="E117">
    <cfRule type="expression" dxfId="2134" priority="2187">
      <formula>IF(#REF!="FICTICIO",1,0)</formula>
    </cfRule>
  </conditionalFormatting>
  <conditionalFormatting sqref="E117">
    <cfRule type="expression" dxfId="2133" priority="2186">
      <formula>IF(#REF!="FICTICIO",1,0)</formula>
    </cfRule>
  </conditionalFormatting>
  <conditionalFormatting sqref="E117">
    <cfRule type="expression" dxfId="2132" priority="2185">
      <formula>IF(#REF!="FICTICIO",1,0)</formula>
    </cfRule>
  </conditionalFormatting>
  <conditionalFormatting sqref="E117">
    <cfRule type="expression" dxfId="2131" priority="2184">
      <formula>IF(#REF!="FICTICIO",1,0)</formula>
    </cfRule>
  </conditionalFormatting>
  <conditionalFormatting sqref="E117">
    <cfRule type="expression" dxfId="2130" priority="2183">
      <formula>IF(#REF!="FICTICIO",1,0)</formula>
    </cfRule>
  </conditionalFormatting>
  <conditionalFormatting sqref="E117">
    <cfRule type="expression" dxfId="2129" priority="2182">
      <formula>IF(#REF!="FICTICIO",1,0)</formula>
    </cfRule>
  </conditionalFormatting>
  <conditionalFormatting sqref="E117">
    <cfRule type="expression" dxfId="2128" priority="2181">
      <formula>IF(#REF!="FICTICIO",1,0)</formula>
    </cfRule>
  </conditionalFormatting>
  <conditionalFormatting sqref="E117">
    <cfRule type="expression" dxfId="2127" priority="2180">
      <formula>IF(#REF!="FICTICIO",1,0)</formula>
    </cfRule>
  </conditionalFormatting>
  <conditionalFormatting sqref="E117">
    <cfRule type="expression" dxfId="2126" priority="2179">
      <formula>IF(#REF!="FICTICIO",1,0)</formula>
    </cfRule>
  </conditionalFormatting>
  <conditionalFormatting sqref="F117">
    <cfRule type="expression" dxfId="2125" priority="2178">
      <formula>IF(#REF!="FICTICIO",1,0)</formula>
    </cfRule>
  </conditionalFormatting>
  <conditionalFormatting sqref="F117">
    <cfRule type="expression" dxfId="2124" priority="2176">
      <formula>IF(#REF!="FICTICIO",1,0)</formula>
    </cfRule>
  </conditionalFormatting>
  <conditionalFormatting sqref="F117">
    <cfRule type="expression" dxfId="2123" priority="2177">
      <formula>IF(#REF!="FICTICIO",1,0)</formula>
    </cfRule>
  </conditionalFormatting>
  <conditionalFormatting sqref="E118">
    <cfRule type="expression" dxfId="2122" priority="2175">
      <formula>IF(#REF!="FICTICIO",1,0)</formula>
    </cfRule>
  </conditionalFormatting>
  <conditionalFormatting sqref="E118">
    <cfRule type="expression" dxfId="2121" priority="2174">
      <formula>IF(#REF!="FICTICIO",1,0)</formula>
    </cfRule>
  </conditionalFormatting>
  <conditionalFormatting sqref="E118">
    <cfRule type="expression" dxfId="2120" priority="2173">
      <formula>IF(#REF!="FICTICIO",1,0)</formula>
    </cfRule>
  </conditionalFormatting>
  <conditionalFormatting sqref="E118">
    <cfRule type="expression" dxfId="2119" priority="2172">
      <formula>IF(#REF!="FICTICIO",1,0)</formula>
    </cfRule>
  </conditionalFormatting>
  <conditionalFormatting sqref="E118">
    <cfRule type="expression" dxfId="2118" priority="2171">
      <formula>IF(#REF!="FICTICIO",1,0)</formula>
    </cfRule>
  </conditionalFormatting>
  <conditionalFormatting sqref="E118">
    <cfRule type="expression" dxfId="2117" priority="2170">
      <formula>IF(#REF!="FICTICIO",1,0)</formula>
    </cfRule>
  </conditionalFormatting>
  <conditionalFormatting sqref="E118">
    <cfRule type="expression" dxfId="2116" priority="2169">
      <formula>IF(#REF!="FICTICIO",1,0)</formula>
    </cfRule>
  </conditionalFormatting>
  <conditionalFormatting sqref="E118">
    <cfRule type="expression" dxfId="2115" priority="2168">
      <formula>IF(#REF!="FICTICIO",1,0)</formula>
    </cfRule>
  </conditionalFormatting>
  <conditionalFormatting sqref="E118">
    <cfRule type="expression" dxfId="2114" priority="2167">
      <formula>IF(#REF!="FICTICIO",1,0)</formula>
    </cfRule>
  </conditionalFormatting>
  <conditionalFormatting sqref="E118">
    <cfRule type="expression" dxfId="2113" priority="2166">
      <formula>IF(#REF!="FICTICIO",1,0)</formula>
    </cfRule>
  </conditionalFormatting>
  <conditionalFormatting sqref="E118">
    <cfRule type="expression" dxfId="2112" priority="2165">
      <formula>IF(#REF!="FICTICIO",1,0)</formula>
    </cfRule>
  </conditionalFormatting>
  <conditionalFormatting sqref="E118">
    <cfRule type="expression" dxfId="2111" priority="2164">
      <formula>IF(#REF!="FICTICIO",1,0)</formula>
    </cfRule>
  </conditionalFormatting>
  <conditionalFormatting sqref="E118">
    <cfRule type="expression" dxfId="2110" priority="2163">
      <formula>IF(#REF!="FICTICIO",1,0)</formula>
    </cfRule>
  </conditionalFormatting>
  <conditionalFormatting sqref="E118">
    <cfRule type="expression" dxfId="2109" priority="2162">
      <formula>IF(#REF!="FICTICIO",1,0)</formula>
    </cfRule>
  </conditionalFormatting>
  <conditionalFormatting sqref="E118">
    <cfRule type="expression" dxfId="2108" priority="2161">
      <formula>IF(#REF!="FICTICIO",1,0)</formula>
    </cfRule>
  </conditionalFormatting>
  <conditionalFormatting sqref="E118">
    <cfRule type="expression" dxfId="2107" priority="2160">
      <formula>IF(#REF!="FICTICIO",1,0)</formula>
    </cfRule>
  </conditionalFormatting>
  <conditionalFormatting sqref="E118">
    <cfRule type="expression" dxfId="2106" priority="2159">
      <formula>IF(#REF!="FICTICIO",1,0)</formula>
    </cfRule>
  </conditionalFormatting>
  <conditionalFormatting sqref="E118">
    <cfRule type="expression" dxfId="2105" priority="2158">
      <formula>IF(#REF!="FICTICIO",1,0)</formula>
    </cfRule>
  </conditionalFormatting>
  <conditionalFormatting sqref="E118">
    <cfRule type="expression" dxfId="2104" priority="2157">
      <formula>IF(#REF!="FICTICIO",1,0)</formula>
    </cfRule>
  </conditionalFormatting>
  <conditionalFormatting sqref="D118">
    <cfRule type="expression" dxfId="2103" priority="2155">
      <formula>IF(#REF!="FICTICIO",1,0)</formula>
    </cfRule>
  </conditionalFormatting>
  <conditionalFormatting sqref="D118">
    <cfRule type="expression" dxfId="2102" priority="2156">
      <formula>IF(#REF!="FICTICIO",1,0)</formula>
    </cfRule>
  </conditionalFormatting>
  <conditionalFormatting sqref="D118">
    <cfRule type="expression" dxfId="2101" priority="2153">
      <formula>IF(#REF!="FICTICIO",1,0)</formula>
    </cfRule>
  </conditionalFormatting>
  <conditionalFormatting sqref="D118">
    <cfRule type="expression" dxfId="2100" priority="2154">
      <formula>IF(#REF!="FICTICIO",1,0)</formula>
    </cfRule>
  </conditionalFormatting>
  <conditionalFormatting sqref="E118">
    <cfRule type="expression" dxfId="2099" priority="2152">
      <formula>IF(#REF!="FICTICIO",1,0)</formula>
    </cfRule>
  </conditionalFormatting>
  <conditionalFormatting sqref="E118">
    <cfRule type="expression" dxfId="2098" priority="2151">
      <formula>IF(#REF!="FICTICIO",1,0)</formula>
    </cfRule>
  </conditionalFormatting>
  <conditionalFormatting sqref="E118">
    <cfRule type="expression" dxfId="2097" priority="2150">
      <formula>IF(#REF!="FICTICIO",1,0)</formula>
    </cfRule>
  </conditionalFormatting>
  <conditionalFormatting sqref="E118">
    <cfRule type="expression" dxfId="2096" priority="2149">
      <formula>IF(#REF!="FICTICIO",1,0)</formula>
    </cfRule>
  </conditionalFormatting>
  <conditionalFormatting sqref="E118">
    <cfRule type="expression" dxfId="2095" priority="2148">
      <formula>IF(#REF!="FICTICIO",1,0)</formula>
    </cfRule>
  </conditionalFormatting>
  <conditionalFormatting sqref="E118">
    <cfRule type="expression" dxfId="2094" priority="2147">
      <formula>IF(#REF!="FICTICIO",1,0)</formula>
    </cfRule>
  </conditionalFormatting>
  <conditionalFormatting sqref="E118">
    <cfRule type="expression" dxfId="2093" priority="2146">
      <formula>IF(#REF!="FICTICIO",1,0)</formula>
    </cfRule>
  </conditionalFormatting>
  <conditionalFormatting sqref="E118">
    <cfRule type="expression" dxfId="2092" priority="2145">
      <formula>IF(#REF!="FICTICIO",1,0)</formula>
    </cfRule>
  </conditionalFormatting>
  <conditionalFormatting sqref="E118">
    <cfRule type="expression" dxfId="2091" priority="2144">
      <formula>IF(#REF!="FICTICIO",1,0)</formula>
    </cfRule>
  </conditionalFormatting>
  <conditionalFormatting sqref="E118">
    <cfRule type="expression" dxfId="2090" priority="2143">
      <formula>IF(#REF!="FICTICIO",1,0)</formula>
    </cfRule>
  </conditionalFormatting>
  <conditionalFormatting sqref="E118">
    <cfRule type="expression" dxfId="2089" priority="2142">
      <formula>IF(#REF!="FICTICIO",1,0)</formula>
    </cfRule>
  </conditionalFormatting>
  <conditionalFormatting sqref="E118">
    <cfRule type="expression" dxfId="2088" priority="2141">
      <formula>IF(#REF!="FICTICIO",1,0)</formula>
    </cfRule>
  </conditionalFormatting>
  <conditionalFormatting sqref="E118">
    <cfRule type="expression" dxfId="2087" priority="2140">
      <formula>IF(#REF!="FICTICIO",1,0)</formula>
    </cfRule>
  </conditionalFormatting>
  <conditionalFormatting sqref="D118">
    <cfRule type="expression" dxfId="2086" priority="2138">
      <formula>IF(#REF!="FICTICIO",1,0)</formula>
    </cfRule>
  </conditionalFormatting>
  <conditionalFormatting sqref="D118">
    <cfRule type="expression" dxfId="2085" priority="2139">
      <formula>IF(#REF!="FICTICIO",1,0)</formula>
    </cfRule>
  </conditionalFormatting>
  <conditionalFormatting sqref="D118">
    <cfRule type="expression" dxfId="2084" priority="2136">
      <formula>IF(#REF!="FICTICIO",1,0)</formula>
    </cfRule>
  </conditionalFormatting>
  <conditionalFormatting sqref="D118">
    <cfRule type="expression" dxfId="2083" priority="2137">
      <formula>IF(#REF!="FICTICIO",1,0)</formula>
    </cfRule>
  </conditionalFormatting>
  <conditionalFormatting sqref="E118">
    <cfRule type="expression" dxfId="2082" priority="2135">
      <formula>IF(#REF!="FICTICIO",1,0)</formula>
    </cfRule>
  </conditionalFormatting>
  <conditionalFormatting sqref="E118">
    <cfRule type="expression" dxfId="2081" priority="2134">
      <formula>IF(#REF!="FICTICIO",1,0)</formula>
    </cfRule>
  </conditionalFormatting>
  <conditionalFormatting sqref="E118">
    <cfRule type="expression" dxfId="2080" priority="2133">
      <formula>IF(#REF!="FICTICIO",1,0)</formula>
    </cfRule>
  </conditionalFormatting>
  <conditionalFormatting sqref="E118">
    <cfRule type="expression" dxfId="2079" priority="2132">
      <formula>IF(#REF!="FICTICIO",1,0)</formula>
    </cfRule>
  </conditionalFormatting>
  <conditionalFormatting sqref="E118">
    <cfRule type="expression" dxfId="2078" priority="2131">
      <formula>IF(#REF!="FICTICIO",1,0)</formula>
    </cfRule>
  </conditionalFormatting>
  <conditionalFormatting sqref="E118">
    <cfRule type="expression" dxfId="2077" priority="2130">
      <formula>IF(#REF!="FICTICIO",1,0)</formula>
    </cfRule>
  </conditionalFormatting>
  <conditionalFormatting sqref="D118">
    <cfRule type="expression" dxfId="2076" priority="2128">
      <formula>IF(#REF!="FICTICIO",1,0)</formula>
    </cfRule>
  </conditionalFormatting>
  <conditionalFormatting sqref="D118">
    <cfRule type="expression" dxfId="2075" priority="2129">
      <formula>IF(#REF!="FICTICIO",1,0)</formula>
    </cfRule>
  </conditionalFormatting>
  <conditionalFormatting sqref="D118">
    <cfRule type="expression" dxfId="2074" priority="2126">
      <formula>IF(#REF!="FICTICIO",1,0)</formula>
    </cfRule>
  </conditionalFormatting>
  <conditionalFormatting sqref="D118">
    <cfRule type="expression" dxfId="2073" priority="2127">
      <formula>IF(#REF!="FICTICIO",1,0)</formula>
    </cfRule>
  </conditionalFormatting>
  <conditionalFormatting sqref="D118">
    <cfRule type="expression" dxfId="2072" priority="2124">
      <formula>IF(#REF!="FICTICIO",1,0)</formula>
    </cfRule>
  </conditionalFormatting>
  <conditionalFormatting sqref="D118">
    <cfRule type="expression" dxfId="2071" priority="2125">
      <formula>IF(#REF!="FICTICIO",1,0)</formula>
    </cfRule>
  </conditionalFormatting>
  <conditionalFormatting sqref="D118">
    <cfRule type="expression" dxfId="2070" priority="2122">
      <formula>IF(#REF!="FICTICIO",1,0)</formula>
    </cfRule>
  </conditionalFormatting>
  <conditionalFormatting sqref="D118">
    <cfRule type="expression" dxfId="2069" priority="2123">
      <formula>IF(#REF!="FICTICIO",1,0)</formula>
    </cfRule>
  </conditionalFormatting>
  <conditionalFormatting sqref="E118">
    <cfRule type="expression" dxfId="2068" priority="2121">
      <formula>IF(#REF!="FICTICIO",1,0)</formula>
    </cfRule>
  </conditionalFormatting>
  <conditionalFormatting sqref="E118">
    <cfRule type="expression" dxfId="2067" priority="2120">
      <formula>IF(#REF!="FICTICIO",1,0)</formula>
    </cfRule>
  </conditionalFormatting>
  <conditionalFormatting sqref="E118">
    <cfRule type="expression" dxfId="2066" priority="2119">
      <formula>IF(#REF!="FICTICIO",1,0)</formula>
    </cfRule>
  </conditionalFormatting>
  <conditionalFormatting sqref="E118">
    <cfRule type="expression" dxfId="2065" priority="2118">
      <formula>IF(#REF!="FICTICIO",1,0)</formula>
    </cfRule>
  </conditionalFormatting>
  <conditionalFormatting sqref="E118">
    <cfRule type="expression" dxfId="2064" priority="2117">
      <formula>IF(#REF!="FICTICIO",1,0)</formula>
    </cfRule>
  </conditionalFormatting>
  <conditionalFormatting sqref="E118">
    <cfRule type="expression" dxfId="2063" priority="2116">
      <formula>IF(#REF!="FICTICIO",1,0)</formula>
    </cfRule>
  </conditionalFormatting>
  <conditionalFormatting sqref="E118">
    <cfRule type="expression" dxfId="2062" priority="2115">
      <formula>IF(#REF!="FICTICIO",1,0)</formula>
    </cfRule>
  </conditionalFormatting>
  <conditionalFormatting sqref="E118">
    <cfRule type="expression" dxfId="2061" priority="2114">
      <formula>IF(#REF!="FICTICIO",1,0)</formula>
    </cfRule>
  </conditionalFormatting>
  <conditionalFormatting sqref="E118">
    <cfRule type="expression" dxfId="2060" priority="2113">
      <formula>IF(#REF!="FICTICIO",1,0)</formula>
    </cfRule>
  </conditionalFormatting>
  <conditionalFormatting sqref="E118">
    <cfRule type="expression" dxfId="2059" priority="2112">
      <formula>IF(#REF!="FICTICIO",1,0)</formula>
    </cfRule>
  </conditionalFormatting>
  <conditionalFormatting sqref="E118">
    <cfRule type="expression" dxfId="2058" priority="2111">
      <formula>IF(#REF!="FICTICIO",1,0)</formula>
    </cfRule>
  </conditionalFormatting>
  <conditionalFormatting sqref="E118">
    <cfRule type="expression" dxfId="2057" priority="2110">
      <formula>IF(#REF!="FICTICIO",1,0)</formula>
    </cfRule>
  </conditionalFormatting>
  <conditionalFormatting sqref="E118">
    <cfRule type="expression" dxfId="2056" priority="2109">
      <formula>IF(#REF!="FICTICIO",1,0)</formula>
    </cfRule>
  </conditionalFormatting>
  <conditionalFormatting sqref="E118">
    <cfRule type="expression" dxfId="2055" priority="2108">
      <formula>IF(#REF!="FICTICIO",1,0)</formula>
    </cfRule>
  </conditionalFormatting>
  <conditionalFormatting sqref="E118">
    <cfRule type="expression" dxfId="2054" priority="2107">
      <formula>IF(#REF!="FICTICIO",1,0)</formula>
    </cfRule>
  </conditionalFormatting>
  <conditionalFormatting sqref="E118">
    <cfRule type="expression" dxfId="2053" priority="2106">
      <formula>IF(#REF!="FICTICIO",1,0)</formula>
    </cfRule>
  </conditionalFormatting>
  <conditionalFormatting sqref="E118">
    <cfRule type="expression" dxfId="2052" priority="2105">
      <formula>IF(#REF!="FICTICIO",1,0)</formula>
    </cfRule>
  </conditionalFormatting>
  <conditionalFormatting sqref="E118">
    <cfRule type="expression" dxfId="2051" priority="2104">
      <formula>IF(#REF!="FICTICIO",1,0)</formula>
    </cfRule>
  </conditionalFormatting>
  <conditionalFormatting sqref="E118">
    <cfRule type="expression" dxfId="2050" priority="2103">
      <formula>IF(#REF!="FICTICIO",1,0)</formula>
    </cfRule>
  </conditionalFormatting>
  <conditionalFormatting sqref="E118">
    <cfRule type="expression" dxfId="2049" priority="2102">
      <formula>IF(#REF!="FICTICIO",1,0)</formula>
    </cfRule>
  </conditionalFormatting>
  <conditionalFormatting sqref="E118">
    <cfRule type="expression" dxfId="2048" priority="2101">
      <formula>IF(#REF!="FICTICIO",1,0)</formula>
    </cfRule>
  </conditionalFormatting>
  <conditionalFormatting sqref="E118">
    <cfRule type="expression" dxfId="2047" priority="2100">
      <formula>IF(#REF!="FICTICIO",1,0)</formula>
    </cfRule>
  </conditionalFormatting>
  <conditionalFormatting sqref="E118">
    <cfRule type="expression" dxfId="2046" priority="2099">
      <formula>IF(#REF!="FICTICIO",1,0)</formula>
    </cfRule>
  </conditionalFormatting>
  <conditionalFormatting sqref="E118">
    <cfRule type="expression" dxfId="2045" priority="2098">
      <formula>IF(#REF!="FICTICIO",1,0)</formula>
    </cfRule>
  </conditionalFormatting>
  <conditionalFormatting sqref="E118">
    <cfRule type="expression" dxfId="2044" priority="2097">
      <formula>IF(#REF!="FICTICIO",1,0)</formula>
    </cfRule>
  </conditionalFormatting>
  <conditionalFormatting sqref="E118">
    <cfRule type="expression" dxfId="2043" priority="2096">
      <formula>IF(#REF!="FICTICIO",1,0)</formula>
    </cfRule>
  </conditionalFormatting>
  <conditionalFormatting sqref="E118">
    <cfRule type="expression" dxfId="2042" priority="2095">
      <formula>IF(#REF!="FICTICIO",1,0)</formula>
    </cfRule>
  </conditionalFormatting>
  <conditionalFormatting sqref="E118">
    <cfRule type="expression" dxfId="2041" priority="2094">
      <formula>IF(#REF!="FICTICIO",1,0)</formula>
    </cfRule>
  </conditionalFormatting>
  <conditionalFormatting sqref="E118">
    <cfRule type="expression" dxfId="2040" priority="2093">
      <formula>IF(#REF!="FICTICIO",1,0)</formula>
    </cfRule>
  </conditionalFormatting>
  <conditionalFormatting sqref="E118">
    <cfRule type="expression" dxfId="2039" priority="2092">
      <formula>IF(#REF!="FICTICIO",1,0)</formula>
    </cfRule>
  </conditionalFormatting>
  <conditionalFormatting sqref="E118">
    <cfRule type="expression" dxfId="2038" priority="2091">
      <formula>IF(#REF!="FICTICIO",1,0)</formula>
    </cfRule>
  </conditionalFormatting>
  <conditionalFormatting sqref="E118">
    <cfRule type="expression" dxfId="2037" priority="2090">
      <formula>IF(#REF!="FICTICIO",1,0)</formula>
    </cfRule>
  </conditionalFormatting>
  <conditionalFormatting sqref="E118">
    <cfRule type="expression" dxfId="2036" priority="2089">
      <formula>IF(#REF!="FICTICIO",1,0)</formula>
    </cfRule>
  </conditionalFormatting>
  <conditionalFormatting sqref="E118">
    <cfRule type="expression" dxfId="2035" priority="2088">
      <formula>IF(#REF!="FICTICIO",1,0)</formula>
    </cfRule>
  </conditionalFormatting>
  <conditionalFormatting sqref="E118">
    <cfRule type="expression" dxfId="2034" priority="2087">
      <formula>IF(#REF!="FICTICIO",1,0)</formula>
    </cfRule>
  </conditionalFormatting>
  <conditionalFormatting sqref="E118">
    <cfRule type="expression" dxfId="2033" priority="2086">
      <formula>IF(#REF!="FICTICIO",1,0)</formula>
    </cfRule>
  </conditionalFormatting>
  <conditionalFormatting sqref="E118">
    <cfRule type="expression" dxfId="2032" priority="2085">
      <formula>IF(#REF!="FICTICIO",1,0)</formula>
    </cfRule>
  </conditionalFormatting>
  <conditionalFormatting sqref="E118">
    <cfRule type="expression" dxfId="2031" priority="2084">
      <formula>IF(#REF!="FICTICIO",1,0)</formula>
    </cfRule>
  </conditionalFormatting>
  <conditionalFormatting sqref="E118">
    <cfRule type="expression" dxfId="2030" priority="2083">
      <formula>IF(#REF!="FICTICIO",1,0)</formula>
    </cfRule>
  </conditionalFormatting>
  <conditionalFormatting sqref="E118">
    <cfRule type="expression" dxfId="2029" priority="2082">
      <formula>IF(#REF!="FICTICIO",1,0)</formula>
    </cfRule>
  </conditionalFormatting>
  <conditionalFormatting sqref="E118">
    <cfRule type="expression" dxfId="2028" priority="2081">
      <formula>IF(#REF!="FICTICIO",1,0)</formula>
    </cfRule>
  </conditionalFormatting>
  <conditionalFormatting sqref="E118">
    <cfRule type="expression" dxfId="2027" priority="2080">
      <formula>IF(#REF!="FICTICIO",1,0)</formula>
    </cfRule>
  </conditionalFormatting>
  <conditionalFormatting sqref="E118">
    <cfRule type="expression" dxfId="2026" priority="2079">
      <formula>IF(#REF!="FICTICIO",1,0)</formula>
    </cfRule>
  </conditionalFormatting>
  <conditionalFormatting sqref="E118">
    <cfRule type="expression" dxfId="2025" priority="2078">
      <formula>IF(#REF!="FICTICIO",1,0)</formula>
    </cfRule>
  </conditionalFormatting>
  <conditionalFormatting sqref="E118">
    <cfRule type="expression" dxfId="2024" priority="2077">
      <formula>IF(#REF!="FICTICIO",1,0)</formula>
    </cfRule>
  </conditionalFormatting>
  <conditionalFormatting sqref="E118">
    <cfRule type="expression" dxfId="2023" priority="2076">
      <formula>IF(#REF!="FICTICIO",1,0)</formula>
    </cfRule>
  </conditionalFormatting>
  <conditionalFormatting sqref="E118">
    <cfRule type="expression" dxfId="2022" priority="2075">
      <formula>IF(#REF!="FICTICIO",1,0)</formula>
    </cfRule>
  </conditionalFormatting>
  <conditionalFormatting sqref="E118">
    <cfRule type="expression" dxfId="2021" priority="2074">
      <formula>IF(#REF!="FICTICIO",1,0)</formula>
    </cfRule>
  </conditionalFormatting>
  <conditionalFormatting sqref="F118">
    <cfRule type="expression" dxfId="2020" priority="2073">
      <formula>IF(#REF!="FICTICIO",1,0)</formula>
    </cfRule>
  </conditionalFormatting>
  <conditionalFormatting sqref="E118">
    <cfRule type="expression" dxfId="2019" priority="2072">
      <formula>IF(#REF!="FICTICIO",1,0)</formula>
    </cfRule>
  </conditionalFormatting>
  <conditionalFormatting sqref="E118">
    <cfRule type="expression" dxfId="2018" priority="2071">
      <formula>IF(#REF!="FICTICIO",1,0)</formula>
    </cfRule>
  </conditionalFormatting>
  <conditionalFormatting sqref="E118">
    <cfRule type="expression" dxfId="2017" priority="2070">
      <formula>IF(#REF!="FICTICIO",1,0)</formula>
    </cfRule>
  </conditionalFormatting>
  <conditionalFormatting sqref="E118">
    <cfRule type="expression" dxfId="2016" priority="2069">
      <formula>IF(#REF!="FICTICIO",1,0)</formula>
    </cfRule>
  </conditionalFormatting>
  <conditionalFormatting sqref="E118">
    <cfRule type="expression" dxfId="2015" priority="2068">
      <formula>IF(#REF!="FICTICIO",1,0)</formula>
    </cfRule>
  </conditionalFormatting>
  <conditionalFormatting sqref="E118">
    <cfRule type="expression" dxfId="2014" priority="2067">
      <formula>IF(#REF!="FICTICIO",1,0)</formula>
    </cfRule>
  </conditionalFormatting>
  <conditionalFormatting sqref="E118">
    <cfRule type="expression" dxfId="2013" priority="2066">
      <formula>IF(#REF!="FICTICIO",1,0)</formula>
    </cfRule>
  </conditionalFormatting>
  <conditionalFormatting sqref="E118">
    <cfRule type="expression" dxfId="2012" priority="2065">
      <formula>IF(#REF!="FICTICIO",1,0)</formula>
    </cfRule>
  </conditionalFormatting>
  <conditionalFormatting sqref="E118">
    <cfRule type="expression" dxfId="2011" priority="2064">
      <formula>IF(#REF!="FICTICIO",1,0)</formula>
    </cfRule>
  </conditionalFormatting>
  <conditionalFormatting sqref="D118">
    <cfRule type="expression" dxfId="2010" priority="2062">
      <formula>IF(#REF!="FICTICIO",1,0)</formula>
    </cfRule>
  </conditionalFormatting>
  <conditionalFormatting sqref="D118">
    <cfRule type="expression" dxfId="2009" priority="2063">
      <formula>IF(#REF!="FICTICIO",1,0)</formula>
    </cfRule>
  </conditionalFormatting>
  <conditionalFormatting sqref="D118">
    <cfRule type="expression" dxfId="2008" priority="2060">
      <formula>IF(#REF!="FICTICIO",1,0)</formula>
    </cfRule>
  </conditionalFormatting>
  <conditionalFormatting sqref="D118">
    <cfRule type="expression" dxfId="2007" priority="2061">
      <formula>IF(#REF!="FICTICIO",1,0)</formula>
    </cfRule>
  </conditionalFormatting>
  <conditionalFormatting sqref="E118">
    <cfRule type="expression" dxfId="2006" priority="2059">
      <formula>IF(#REF!="FICTICIO",1,0)</formula>
    </cfRule>
  </conditionalFormatting>
  <conditionalFormatting sqref="E118">
    <cfRule type="expression" dxfId="2005" priority="2058">
      <formula>IF(#REF!="FICTICIO",1,0)</formula>
    </cfRule>
  </conditionalFormatting>
  <conditionalFormatting sqref="E118">
    <cfRule type="expression" dxfId="2004" priority="2057">
      <formula>IF(#REF!="FICTICIO",1,0)</formula>
    </cfRule>
  </conditionalFormatting>
  <conditionalFormatting sqref="E118">
    <cfRule type="expression" dxfId="2003" priority="2056">
      <formula>IF(#REF!="FICTICIO",1,0)</formula>
    </cfRule>
  </conditionalFormatting>
  <conditionalFormatting sqref="E118">
    <cfRule type="expression" dxfId="2002" priority="2055">
      <formula>IF(#REF!="FICTICIO",1,0)</formula>
    </cfRule>
  </conditionalFormatting>
  <conditionalFormatting sqref="E118">
    <cfRule type="expression" dxfId="2001" priority="2054">
      <formula>IF(#REF!="FICTICIO",1,0)</formula>
    </cfRule>
  </conditionalFormatting>
  <conditionalFormatting sqref="E118">
    <cfRule type="expression" dxfId="2000" priority="2053">
      <formula>IF(#REF!="FICTICIO",1,0)</formula>
    </cfRule>
  </conditionalFormatting>
  <conditionalFormatting sqref="E118">
    <cfRule type="expression" dxfId="1999" priority="2052">
      <formula>IF(#REF!="FICTICIO",1,0)</formula>
    </cfRule>
  </conditionalFormatting>
  <conditionalFormatting sqref="E118">
    <cfRule type="expression" dxfId="1998" priority="2051">
      <formula>IF(#REF!="FICTICIO",1,0)</formula>
    </cfRule>
  </conditionalFormatting>
  <conditionalFormatting sqref="E118">
    <cfRule type="expression" dxfId="1997" priority="2050">
      <formula>IF(#REF!="FICTICIO",1,0)</formula>
    </cfRule>
  </conditionalFormatting>
  <conditionalFormatting sqref="E118">
    <cfRule type="expression" dxfId="1996" priority="2049">
      <formula>IF(#REF!="FICTICIO",1,0)</formula>
    </cfRule>
  </conditionalFormatting>
  <conditionalFormatting sqref="E118">
    <cfRule type="expression" dxfId="1995" priority="2048">
      <formula>IF(#REF!="FICTICIO",1,0)</formula>
    </cfRule>
  </conditionalFormatting>
  <conditionalFormatting sqref="E118">
    <cfRule type="expression" dxfId="1994" priority="2047">
      <formula>IF(#REF!="FICTICIO",1,0)</formula>
    </cfRule>
  </conditionalFormatting>
  <conditionalFormatting sqref="D118">
    <cfRule type="expression" dxfId="1993" priority="2045">
      <formula>IF(#REF!="FICTICIO",1,0)</formula>
    </cfRule>
  </conditionalFormatting>
  <conditionalFormatting sqref="D118">
    <cfRule type="expression" dxfId="1992" priority="2046">
      <formula>IF(#REF!="FICTICIO",1,0)</formula>
    </cfRule>
  </conditionalFormatting>
  <conditionalFormatting sqref="D118">
    <cfRule type="expression" dxfId="1991" priority="2043">
      <formula>IF(#REF!="FICTICIO",1,0)</formula>
    </cfRule>
  </conditionalFormatting>
  <conditionalFormatting sqref="D118">
    <cfRule type="expression" dxfId="1990" priority="2044">
      <formula>IF(#REF!="FICTICIO",1,0)</formula>
    </cfRule>
  </conditionalFormatting>
  <conditionalFormatting sqref="E118">
    <cfRule type="expression" dxfId="1989" priority="2042">
      <formula>IF(#REF!="FICTICIO",1,0)</formula>
    </cfRule>
  </conditionalFormatting>
  <conditionalFormatting sqref="E118">
    <cfRule type="expression" dxfId="1988" priority="2041">
      <formula>IF(#REF!="FICTICIO",1,0)</formula>
    </cfRule>
  </conditionalFormatting>
  <conditionalFormatting sqref="E118">
    <cfRule type="expression" dxfId="1987" priority="2040">
      <formula>IF(#REF!="FICTICIO",1,0)</formula>
    </cfRule>
  </conditionalFormatting>
  <conditionalFormatting sqref="F118">
    <cfRule type="expression" dxfId="1986" priority="2038">
      <formula>IF(#REF!="FICTICIO",1,0)</formula>
    </cfRule>
  </conditionalFormatting>
  <conditionalFormatting sqref="F118">
    <cfRule type="expression" dxfId="1985" priority="2039">
      <formula>IF(#REF!="FICTICIO",1,0)</formula>
    </cfRule>
  </conditionalFormatting>
  <conditionalFormatting sqref="E118">
    <cfRule type="expression" dxfId="1984" priority="2037">
      <formula>IF(#REF!="FICTICIO",1,0)</formula>
    </cfRule>
  </conditionalFormatting>
  <conditionalFormatting sqref="E118">
    <cfRule type="expression" dxfId="1983" priority="2036">
      <formula>IF(#REF!="FICTICIO",1,0)</formula>
    </cfRule>
  </conditionalFormatting>
  <conditionalFormatting sqref="E118">
    <cfRule type="expression" dxfId="1982" priority="2035">
      <formula>IF(#REF!="FICTICIO",1,0)</formula>
    </cfRule>
  </conditionalFormatting>
  <conditionalFormatting sqref="D118">
    <cfRule type="expression" dxfId="1981" priority="2033">
      <formula>IF(#REF!="FICTICIO",1,0)</formula>
    </cfRule>
  </conditionalFormatting>
  <conditionalFormatting sqref="D118">
    <cfRule type="expression" dxfId="1980" priority="2034">
      <formula>IF(#REF!="FICTICIO",1,0)</formula>
    </cfRule>
  </conditionalFormatting>
  <conditionalFormatting sqref="D118">
    <cfRule type="expression" dxfId="1979" priority="2031">
      <formula>IF(#REF!="FICTICIO",1,0)</formula>
    </cfRule>
  </conditionalFormatting>
  <conditionalFormatting sqref="D118">
    <cfRule type="expression" dxfId="1978" priority="2032">
      <formula>IF(#REF!="FICTICIO",1,0)</formula>
    </cfRule>
  </conditionalFormatting>
  <conditionalFormatting sqref="D118">
    <cfRule type="expression" dxfId="1977" priority="2029">
      <formula>IF(#REF!="FICTICIO",1,0)</formula>
    </cfRule>
  </conditionalFormatting>
  <conditionalFormatting sqref="D118">
    <cfRule type="expression" dxfId="1976" priority="2030">
      <formula>IF(#REF!="FICTICIO",1,0)</formula>
    </cfRule>
  </conditionalFormatting>
  <conditionalFormatting sqref="D118">
    <cfRule type="expression" dxfId="1975" priority="2027">
      <formula>IF(#REF!="FICTICIO",1,0)</formula>
    </cfRule>
  </conditionalFormatting>
  <conditionalFormatting sqref="D118">
    <cfRule type="expression" dxfId="1974" priority="2028">
      <formula>IF(#REF!="FICTICIO",1,0)</formula>
    </cfRule>
  </conditionalFormatting>
  <conditionalFormatting sqref="E118">
    <cfRule type="expression" dxfId="1973" priority="2026">
      <formula>IF(#REF!="FICTICIO",1,0)</formula>
    </cfRule>
  </conditionalFormatting>
  <conditionalFormatting sqref="E118">
    <cfRule type="expression" dxfId="1972" priority="2025">
      <formula>IF(#REF!="FICTICIO",1,0)</formula>
    </cfRule>
  </conditionalFormatting>
  <conditionalFormatting sqref="E118">
    <cfRule type="expression" dxfId="1971" priority="2024">
      <formula>IF(#REF!="FICTICIO",1,0)</formula>
    </cfRule>
  </conditionalFormatting>
  <conditionalFormatting sqref="E118">
    <cfRule type="expression" dxfId="1970" priority="2023">
      <formula>IF(#REF!="FICTICIO",1,0)</formula>
    </cfRule>
  </conditionalFormatting>
  <conditionalFormatting sqref="E118">
    <cfRule type="expression" dxfId="1969" priority="2022">
      <formula>IF(#REF!="FICTICIO",1,0)</formula>
    </cfRule>
  </conditionalFormatting>
  <conditionalFormatting sqref="E118">
    <cfRule type="expression" dxfId="1968" priority="2021">
      <formula>IF(#REF!="FICTICIO",1,0)</formula>
    </cfRule>
  </conditionalFormatting>
  <conditionalFormatting sqref="E118">
    <cfRule type="expression" dxfId="1967" priority="2020">
      <formula>IF(#REF!="FICTICIO",1,0)</formula>
    </cfRule>
  </conditionalFormatting>
  <conditionalFormatting sqref="E118">
    <cfRule type="expression" dxfId="1966" priority="2019">
      <formula>IF(#REF!="FICTICIO",1,0)</formula>
    </cfRule>
  </conditionalFormatting>
  <conditionalFormatting sqref="E118">
    <cfRule type="expression" dxfId="1965" priority="2018">
      <formula>IF(#REF!="FICTICIO",1,0)</formula>
    </cfRule>
  </conditionalFormatting>
  <conditionalFormatting sqref="E118">
    <cfRule type="expression" dxfId="1964" priority="2017">
      <formula>IF(#REF!="FICTICIO",1,0)</formula>
    </cfRule>
  </conditionalFormatting>
  <conditionalFormatting sqref="E118">
    <cfRule type="expression" dxfId="1963" priority="2016">
      <formula>IF(#REF!="FICTICIO",1,0)</formula>
    </cfRule>
  </conditionalFormatting>
  <conditionalFormatting sqref="E118">
    <cfRule type="expression" dxfId="1962" priority="2015">
      <formula>IF(#REF!="FICTICIO",1,0)</formula>
    </cfRule>
  </conditionalFormatting>
  <conditionalFormatting sqref="E118">
    <cfRule type="expression" dxfId="1961" priority="2014">
      <formula>IF(#REF!="FICTICIO",1,0)</formula>
    </cfRule>
  </conditionalFormatting>
  <conditionalFormatting sqref="E118">
    <cfRule type="expression" dxfId="1960" priority="2013">
      <formula>IF(#REF!="FICTICIO",1,0)</formula>
    </cfRule>
  </conditionalFormatting>
  <conditionalFormatting sqref="E118">
    <cfRule type="expression" dxfId="1959" priority="2012">
      <formula>IF(#REF!="FICTICIO",1,0)</formula>
    </cfRule>
  </conditionalFormatting>
  <conditionalFormatting sqref="E118">
    <cfRule type="expression" dxfId="1958" priority="2011">
      <formula>IF(#REF!="FICTICIO",1,0)</formula>
    </cfRule>
  </conditionalFormatting>
  <conditionalFormatting sqref="E118">
    <cfRule type="expression" dxfId="1957" priority="2010">
      <formula>IF(#REF!="FICTICIO",1,0)</formula>
    </cfRule>
  </conditionalFormatting>
  <conditionalFormatting sqref="E118">
    <cfRule type="expression" dxfId="1956" priority="2009">
      <formula>IF(#REF!="FICTICIO",1,0)</formula>
    </cfRule>
  </conditionalFormatting>
  <conditionalFormatting sqref="E118">
    <cfRule type="expression" dxfId="1955" priority="2008">
      <formula>IF(#REF!="FICTICIO",1,0)</formula>
    </cfRule>
  </conditionalFormatting>
  <conditionalFormatting sqref="E118">
    <cfRule type="expression" dxfId="1954" priority="2007">
      <formula>IF(#REF!="FICTICIO",1,0)</formula>
    </cfRule>
  </conditionalFormatting>
  <conditionalFormatting sqref="E118">
    <cfRule type="expression" dxfId="1953" priority="2006">
      <formula>IF(#REF!="FICTICIO",1,0)</formula>
    </cfRule>
  </conditionalFormatting>
  <conditionalFormatting sqref="E118">
    <cfRule type="expression" dxfId="1952" priority="2005">
      <formula>IF(#REF!="FICTICIO",1,0)</formula>
    </cfRule>
  </conditionalFormatting>
  <conditionalFormatting sqref="E118">
    <cfRule type="expression" dxfId="1951" priority="2004">
      <formula>IF(#REF!="FICTICIO",1,0)</formula>
    </cfRule>
  </conditionalFormatting>
  <conditionalFormatting sqref="E118">
    <cfRule type="expression" dxfId="1950" priority="2003">
      <formula>IF(#REF!="FICTICIO",1,0)</formula>
    </cfRule>
  </conditionalFormatting>
  <conditionalFormatting sqref="E118">
    <cfRule type="expression" dxfId="1949" priority="2002">
      <formula>IF(#REF!="FICTICIO",1,0)</formula>
    </cfRule>
  </conditionalFormatting>
  <conditionalFormatting sqref="E118">
    <cfRule type="expression" dxfId="1948" priority="2001">
      <formula>IF(#REF!="FICTICIO",1,0)</formula>
    </cfRule>
  </conditionalFormatting>
  <conditionalFormatting sqref="E118">
    <cfRule type="expression" dxfId="1947" priority="2000">
      <formula>IF(#REF!="FICTICIO",1,0)</formula>
    </cfRule>
  </conditionalFormatting>
  <conditionalFormatting sqref="E118">
    <cfRule type="expression" dxfId="1946" priority="1999">
      <formula>IF(#REF!="FICTICIO",1,0)</formula>
    </cfRule>
  </conditionalFormatting>
  <conditionalFormatting sqref="E118">
    <cfRule type="expression" dxfId="1945" priority="1998">
      <formula>IF(#REF!="FICTICIO",1,0)</formula>
    </cfRule>
  </conditionalFormatting>
  <conditionalFormatting sqref="E118">
    <cfRule type="expression" dxfId="1944" priority="1997">
      <formula>IF(#REF!="FICTICIO",1,0)</formula>
    </cfRule>
  </conditionalFormatting>
  <conditionalFormatting sqref="E118">
    <cfRule type="expression" dxfId="1943" priority="1996">
      <formula>IF(#REF!="FICTICIO",1,0)</formula>
    </cfRule>
  </conditionalFormatting>
  <conditionalFormatting sqref="E118">
    <cfRule type="expression" dxfId="1942" priority="1995">
      <formula>IF(#REF!="FICTICIO",1,0)</formula>
    </cfRule>
  </conditionalFormatting>
  <conditionalFormatting sqref="E118">
    <cfRule type="expression" dxfId="1941" priority="1994">
      <formula>IF(#REF!="FICTICIO",1,0)</formula>
    </cfRule>
  </conditionalFormatting>
  <conditionalFormatting sqref="E118">
    <cfRule type="expression" dxfId="1940" priority="1993">
      <formula>IF(#REF!="FICTICIO",1,0)</formula>
    </cfRule>
  </conditionalFormatting>
  <conditionalFormatting sqref="E118">
    <cfRule type="expression" dxfId="1939" priority="1992">
      <formula>IF(#REF!="FICTICIO",1,0)</formula>
    </cfRule>
  </conditionalFormatting>
  <conditionalFormatting sqref="E118">
    <cfRule type="expression" dxfId="1938" priority="1991">
      <formula>IF(#REF!="FICTICIO",1,0)</formula>
    </cfRule>
  </conditionalFormatting>
  <conditionalFormatting sqref="E118">
    <cfRule type="expression" dxfId="1937" priority="1990">
      <formula>IF(#REF!="FICTICIO",1,0)</formula>
    </cfRule>
  </conditionalFormatting>
  <conditionalFormatting sqref="E118">
    <cfRule type="expression" dxfId="1936" priority="1989">
      <formula>IF(#REF!="FICTICIO",1,0)</formula>
    </cfRule>
  </conditionalFormatting>
  <conditionalFormatting sqref="D118">
    <cfRule type="expression" dxfId="1935" priority="1987">
      <formula>IF(#REF!="FICTICIO",1,0)</formula>
    </cfRule>
  </conditionalFormatting>
  <conditionalFormatting sqref="D118">
    <cfRule type="expression" dxfId="1934" priority="1988">
      <formula>IF(#REF!="FICTICIO",1,0)</formula>
    </cfRule>
  </conditionalFormatting>
  <conditionalFormatting sqref="D118">
    <cfRule type="expression" dxfId="1933" priority="1985">
      <formula>IF(#REF!="FICTICIO",1,0)</formula>
    </cfRule>
  </conditionalFormatting>
  <conditionalFormatting sqref="D118">
    <cfRule type="expression" dxfId="1932" priority="1986">
      <formula>IF(#REF!="FICTICIO",1,0)</formula>
    </cfRule>
  </conditionalFormatting>
  <conditionalFormatting sqref="F118">
    <cfRule type="expression" dxfId="1931" priority="1983">
      <formula>IF(#REF!="FICTICIO",1,0)</formula>
    </cfRule>
  </conditionalFormatting>
  <conditionalFormatting sqref="F118">
    <cfRule type="expression" dxfId="1930" priority="1984">
      <formula>IF(#REF!="FICTICIO",1,0)</formula>
    </cfRule>
  </conditionalFormatting>
  <conditionalFormatting sqref="E118">
    <cfRule type="expression" dxfId="1929" priority="1982">
      <formula>IF(#REF!="FICTICIO",1,0)</formula>
    </cfRule>
  </conditionalFormatting>
  <conditionalFormatting sqref="E118">
    <cfRule type="expression" dxfId="1928" priority="1981">
      <formula>IF(#REF!="FICTICIO",1,0)</formula>
    </cfRule>
  </conditionalFormatting>
  <conditionalFormatting sqref="E118">
    <cfRule type="expression" dxfId="1927" priority="1980">
      <formula>IF(#REF!="FICTICIO",1,0)</formula>
    </cfRule>
  </conditionalFormatting>
  <conditionalFormatting sqref="E118">
    <cfRule type="expression" dxfId="1926" priority="1979">
      <formula>IF(#REF!="FICTICIO",1,0)</formula>
    </cfRule>
  </conditionalFormatting>
  <conditionalFormatting sqref="E118">
    <cfRule type="expression" dxfId="1925" priority="1977">
      <formula>IF(#REF!="FICTICIO",1,0)</formula>
    </cfRule>
  </conditionalFormatting>
  <conditionalFormatting sqref="E118">
    <cfRule type="expression" dxfId="1924" priority="1978">
      <formula>IF(#REF!="FICTICIO",1,0)</formula>
    </cfRule>
  </conditionalFormatting>
  <conditionalFormatting sqref="E118">
    <cfRule type="expression" dxfId="1923" priority="1976">
      <formula>IF(#REF!="FICTICIO",1,0)</formula>
    </cfRule>
  </conditionalFormatting>
  <conditionalFormatting sqref="E118">
    <cfRule type="expression" dxfId="1922" priority="1975">
      <formula>IF(#REF!="FICTICIO",1,0)</formula>
    </cfRule>
  </conditionalFormatting>
  <conditionalFormatting sqref="E118">
    <cfRule type="expression" dxfId="1921" priority="1974">
      <formula>IF(#REF!="FICTICIO",1,0)</formula>
    </cfRule>
  </conditionalFormatting>
  <conditionalFormatting sqref="E118">
    <cfRule type="expression" dxfId="1920" priority="1973">
      <formula>IF(#REF!="FICTICIO",1,0)</formula>
    </cfRule>
  </conditionalFormatting>
  <conditionalFormatting sqref="E118">
    <cfRule type="expression" dxfId="1919" priority="1972">
      <formula>IF(#REF!="FICTICIO",1,0)</formula>
    </cfRule>
  </conditionalFormatting>
  <conditionalFormatting sqref="E118">
    <cfRule type="expression" dxfId="1918" priority="1971">
      <formula>IF(#REF!="FICTICIO",1,0)</formula>
    </cfRule>
  </conditionalFormatting>
  <conditionalFormatting sqref="E118">
    <cfRule type="expression" dxfId="1917" priority="1970">
      <formula>IF(#REF!="FICTICIO",1,0)</formula>
    </cfRule>
  </conditionalFormatting>
  <conditionalFormatting sqref="E118">
    <cfRule type="expression" dxfId="1916" priority="1969">
      <formula>IF(#REF!="FICTICIO",1,0)</formula>
    </cfRule>
  </conditionalFormatting>
  <conditionalFormatting sqref="E118">
    <cfRule type="expression" dxfId="1915" priority="1968">
      <formula>IF(#REF!="FICTICIO",1,0)</formula>
    </cfRule>
  </conditionalFormatting>
  <conditionalFormatting sqref="E118">
    <cfRule type="expression" dxfId="1914" priority="1967">
      <formula>IF(#REF!="FICTICIO",1,0)</formula>
    </cfRule>
  </conditionalFormatting>
  <conditionalFormatting sqref="E118">
    <cfRule type="expression" dxfId="1913" priority="1966">
      <formula>IF(#REF!="FICTICIO",1,0)</formula>
    </cfRule>
  </conditionalFormatting>
  <conditionalFormatting sqref="E118">
    <cfRule type="expression" dxfId="1912" priority="1965">
      <formula>IF(#REF!="FICTICIO",1,0)</formula>
    </cfRule>
  </conditionalFormatting>
  <conditionalFormatting sqref="E118">
    <cfRule type="expression" dxfId="1911" priority="1964">
      <formula>IF(#REF!="FICTICIO",1,0)</formula>
    </cfRule>
  </conditionalFormatting>
  <conditionalFormatting sqref="E118">
    <cfRule type="expression" dxfId="1910" priority="1963">
      <formula>IF(#REF!="FICTICIO",1,0)</formula>
    </cfRule>
  </conditionalFormatting>
  <conditionalFormatting sqref="E118">
    <cfRule type="expression" dxfId="1909" priority="1962">
      <formula>IF(#REF!="FICTICIO",1,0)</formula>
    </cfRule>
  </conditionalFormatting>
  <conditionalFormatting sqref="E118">
    <cfRule type="expression" dxfId="1908" priority="1961">
      <formula>IF(#REF!="FICTICIO",1,0)</formula>
    </cfRule>
  </conditionalFormatting>
  <conditionalFormatting sqref="E118">
    <cfRule type="expression" dxfId="1907" priority="1960">
      <formula>IF(#REF!="FICTICIO",1,0)</formula>
    </cfRule>
  </conditionalFormatting>
  <conditionalFormatting sqref="E118">
    <cfRule type="expression" dxfId="1906" priority="1959">
      <formula>IF(#REF!="FICTICIO",1,0)</formula>
    </cfRule>
  </conditionalFormatting>
  <conditionalFormatting sqref="E118">
    <cfRule type="expression" dxfId="1905" priority="1958">
      <formula>IF(#REF!="FICTICIO",1,0)</formula>
    </cfRule>
  </conditionalFormatting>
  <conditionalFormatting sqref="E118">
    <cfRule type="expression" dxfId="1904" priority="1957">
      <formula>IF(#REF!="FICTICIO",1,0)</formula>
    </cfRule>
  </conditionalFormatting>
  <conditionalFormatting sqref="E118">
    <cfRule type="expression" dxfId="1903" priority="1956">
      <formula>IF(#REF!="FICTICIO",1,0)</formula>
    </cfRule>
  </conditionalFormatting>
  <conditionalFormatting sqref="E118">
    <cfRule type="expression" dxfId="1902" priority="1955">
      <formula>IF(#REF!="FICTICIO",1,0)</formula>
    </cfRule>
  </conditionalFormatting>
  <conditionalFormatting sqref="E118">
    <cfRule type="expression" dxfId="1901" priority="1954">
      <formula>IF(#REF!="FICTICIO",1,0)</formula>
    </cfRule>
  </conditionalFormatting>
  <conditionalFormatting sqref="E118">
    <cfRule type="expression" dxfId="1900" priority="1953">
      <formula>IF(#REF!="FICTICIO",1,0)</formula>
    </cfRule>
  </conditionalFormatting>
  <conditionalFormatting sqref="E118">
    <cfRule type="expression" dxfId="1899" priority="1952">
      <formula>IF(#REF!="FICTICIO",1,0)</formula>
    </cfRule>
  </conditionalFormatting>
  <conditionalFormatting sqref="E118">
    <cfRule type="expression" dxfId="1898" priority="1951">
      <formula>IF(#REF!="FICTICIO",1,0)</formula>
    </cfRule>
  </conditionalFormatting>
  <conditionalFormatting sqref="E118">
    <cfRule type="expression" dxfId="1897" priority="1950">
      <formula>IF(#REF!="FICTICIO",1,0)</formula>
    </cfRule>
  </conditionalFormatting>
  <conditionalFormatting sqref="E118">
    <cfRule type="expression" dxfId="1896" priority="1949">
      <formula>IF(#REF!="FICTICIO",1,0)</formula>
    </cfRule>
  </conditionalFormatting>
  <conditionalFormatting sqref="E118">
    <cfRule type="expression" dxfId="1895" priority="1948">
      <formula>IF(#REF!="FICTICIO",1,0)</formula>
    </cfRule>
  </conditionalFormatting>
  <conditionalFormatting sqref="E118">
    <cfRule type="expression" dxfId="1894" priority="1947">
      <formula>IF(#REF!="FICTICIO",1,0)</formula>
    </cfRule>
  </conditionalFormatting>
  <conditionalFormatting sqref="E118">
    <cfRule type="expression" dxfId="1893" priority="1946">
      <formula>IF(#REF!="FICTICIO",1,0)</formula>
    </cfRule>
  </conditionalFormatting>
  <conditionalFormatting sqref="E118">
    <cfRule type="expression" dxfId="1892" priority="1945">
      <formula>IF(#REF!="FICTICIO",1,0)</formula>
    </cfRule>
  </conditionalFormatting>
  <conditionalFormatting sqref="E118">
    <cfRule type="expression" dxfId="1891" priority="1943">
      <formula>IF(#REF!="FICTICIO",1,0)</formula>
    </cfRule>
  </conditionalFormatting>
  <conditionalFormatting sqref="E118">
    <cfRule type="expression" dxfId="1890" priority="1944">
      <formula>IF(#REF!="FICTICIO",1,0)</formula>
    </cfRule>
  </conditionalFormatting>
  <conditionalFormatting sqref="E118">
    <cfRule type="expression" dxfId="1889" priority="1942">
      <formula>IF(#REF!="FICTICIO",1,0)</formula>
    </cfRule>
  </conditionalFormatting>
  <conditionalFormatting sqref="E118">
    <cfRule type="expression" dxfId="1888" priority="1941">
      <formula>IF(#REF!="FICTICIO",1,0)</formula>
    </cfRule>
  </conditionalFormatting>
  <conditionalFormatting sqref="F118">
    <cfRule type="expression" dxfId="1887" priority="1940">
      <formula>IF(#REF!="FICTICIO",1,0)</formula>
    </cfRule>
  </conditionalFormatting>
  <conditionalFormatting sqref="F118">
    <cfRule type="expression" dxfId="1886" priority="1939">
      <formula>IF(#REF!="FICTICIO",1,0)</formula>
    </cfRule>
  </conditionalFormatting>
  <conditionalFormatting sqref="F118">
    <cfRule type="expression" dxfId="1885" priority="1938">
      <formula>IF(#REF!="FICTICIO",1,0)</formula>
    </cfRule>
  </conditionalFormatting>
  <conditionalFormatting sqref="F118">
    <cfRule type="expression" dxfId="1884" priority="1937">
      <formula>IF(#REF!="FICTICIO",1,0)</formula>
    </cfRule>
  </conditionalFormatting>
  <conditionalFormatting sqref="F118">
    <cfRule type="expression" dxfId="1883" priority="1936">
      <formula>IF(#REF!="FICTICIO",1,0)</formula>
    </cfRule>
  </conditionalFormatting>
  <conditionalFormatting sqref="F118">
    <cfRule type="expression" dxfId="1882" priority="1935">
      <formula>IF(#REF!="FICTICIO",1,0)</formula>
    </cfRule>
  </conditionalFormatting>
  <conditionalFormatting sqref="F118">
    <cfRule type="expression" dxfId="1881" priority="1934">
      <formula>IF(#REF!="FICTICIO",1,0)</formula>
    </cfRule>
  </conditionalFormatting>
  <conditionalFormatting sqref="F118">
    <cfRule type="expression" dxfId="1880" priority="1933">
      <formula>IF(#REF!="FICTICIO",1,0)</formula>
    </cfRule>
  </conditionalFormatting>
  <conditionalFormatting sqref="F118">
    <cfRule type="expression" dxfId="1879" priority="1932">
      <formula>IF(#REF!="FICTICIO",1,0)</formula>
    </cfRule>
  </conditionalFormatting>
  <conditionalFormatting sqref="F118">
    <cfRule type="expression" dxfId="1878" priority="1931">
      <formula>IF(#REF!="FICTICIO",1,0)</formula>
    </cfRule>
  </conditionalFormatting>
  <conditionalFormatting sqref="F118">
    <cfRule type="expression" dxfId="1877" priority="1930">
      <formula>IF(#REF!="FICTICIO",1,0)</formula>
    </cfRule>
  </conditionalFormatting>
  <conditionalFormatting sqref="E118">
    <cfRule type="expression" dxfId="1876" priority="1929">
      <formula>IF(#REF!="FICTICIO",1,0)</formula>
    </cfRule>
  </conditionalFormatting>
  <conditionalFormatting sqref="E118">
    <cfRule type="expression" dxfId="1875" priority="1928">
      <formula>IF(#REF!="FICTICIO",1,0)</formula>
    </cfRule>
  </conditionalFormatting>
  <conditionalFormatting sqref="E118">
    <cfRule type="expression" dxfId="1874" priority="1927">
      <formula>IF(#REF!="FICTICIO",1,0)</formula>
    </cfRule>
  </conditionalFormatting>
  <conditionalFormatting sqref="E118">
    <cfRule type="expression" dxfId="1873" priority="1926">
      <formula>IF(#REF!="FICTICIO",1,0)</formula>
    </cfRule>
  </conditionalFormatting>
  <conditionalFormatting sqref="E118">
    <cfRule type="expression" dxfId="1872" priority="1925">
      <formula>IF(#REF!="FICTICIO",1,0)</formula>
    </cfRule>
  </conditionalFormatting>
  <conditionalFormatting sqref="E118">
    <cfRule type="expression" dxfId="1871" priority="1924">
      <formula>IF(#REF!="FICTICIO",1,0)</formula>
    </cfRule>
  </conditionalFormatting>
  <conditionalFormatting sqref="E118">
    <cfRule type="expression" dxfId="1870" priority="1923">
      <formula>IF(#REF!="FICTICIO",1,0)</formula>
    </cfRule>
  </conditionalFormatting>
  <conditionalFormatting sqref="E118">
    <cfRule type="expression" dxfId="1869" priority="1922">
      <formula>IF(#REF!="FICTICIO",1,0)</formula>
    </cfRule>
  </conditionalFormatting>
  <conditionalFormatting sqref="E118">
    <cfRule type="expression" dxfId="1868" priority="1921">
      <formula>IF(#REF!="FICTICIO",1,0)</formula>
    </cfRule>
  </conditionalFormatting>
  <conditionalFormatting sqref="E118">
    <cfRule type="expression" dxfId="1867" priority="1920">
      <formula>IF(#REF!="FICTICIO",1,0)</formula>
    </cfRule>
  </conditionalFormatting>
  <conditionalFormatting sqref="F118">
    <cfRule type="expression" dxfId="1866" priority="1919">
      <formula>IF(#REF!="FICTICIO",1,0)</formula>
    </cfRule>
  </conditionalFormatting>
  <conditionalFormatting sqref="E118">
    <cfRule type="expression" dxfId="1865" priority="1918">
      <formula>IF(#REF!="FICTICIO",1,0)</formula>
    </cfRule>
  </conditionalFormatting>
  <conditionalFormatting sqref="E118">
    <cfRule type="expression" dxfId="1864" priority="1917">
      <formula>IF(#REF!="FICTICIO",1,0)</formula>
    </cfRule>
  </conditionalFormatting>
  <conditionalFormatting sqref="E118">
    <cfRule type="expression" dxfId="1863" priority="1916">
      <formula>IF(#REF!="FICTICIO",1,0)</formula>
    </cfRule>
  </conditionalFormatting>
  <conditionalFormatting sqref="E118">
    <cfRule type="expression" dxfId="1862" priority="1915">
      <formula>IF(#REF!="FICTICIO",1,0)</formula>
    </cfRule>
  </conditionalFormatting>
  <conditionalFormatting sqref="E118">
    <cfRule type="expression" dxfId="1861" priority="1914">
      <formula>IF(#REF!="FICTICIO",1,0)</formula>
    </cfRule>
  </conditionalFormatting>
  <conditionalFormatting sqref="E118">
    <cfRule type="expression" dxfId="1860" priority="1913">
      <formula>IF(#REF!="FICTICIO",1,0)</formula>
    </cfRule>
  </conditionalFormatting>
  <conditionalFormatting sqref="E118">
    <cfRule type="expression" dxfId="1859" priority="1912">
      <formula>IF(#REF!="FICTICIO",1,0)</formula>
    </cfRule>
  </conditionalFormatting>
  <conditionalFormatting sqref="E118">
    <cfRule type="expression" dxfId="1858" priority="1911">
      <formula>IF(#REF!="FICTICIO",1,0)</formula>
    </cfRule>
  </conditionalFormatting>
  <conditionalFormatting sqref="E118">
    <cfRule type="expression" dxfId="1857" priority="1910">
      <formula>IF(#REF!="FICTICIO",1,0)</formula>
    </cfRule>
  </conditionalFormatting>
  <conditionalFormatting sqref="D118">
    <cfRule type="expression" dxfId="1856" priority="1908">
      <formula>IF(#REF!="FICTICIO",1,0)</formula>
    </cfRule>
  </conditionalFormatting>
  <conditionalFormatting sqref="D118">
    <cfRule type="expression" dxfId="1855" priority="1909">
      <formula>IF(#REF!="FICTICIO",1,0)</formula>
    </cfRule>
  </conditionalFormatting>
  <conditionalFormatting sqref="D118">
    <cfRule type="expression" dxfId="1854" priority="1906">
      <formula>IF(#REF!="FICTICIO",1,0)</formula>
    </cfRule>
  </conditionalFormatting>
  <conditionalFormatting sqref="D118">
    <cfRule type="expression" dxfId="1853" priority="1907">
      <formula>IF(#REF!="FICTICIO",1,0)</formula>
    </cfRule>
  </conditionalFormatting>
  <conditionalFormatting sqref="E118">
    <cfRule type="expression" dxfId="1852" priority="1905">
      <formula>IF(#REF!="FICTICIO",1,0)</formula>
    </cfRule>
  </conditionalFormatting>
  <conditionalFormatting sqref="E118">
    <cfRule type="expression" dxfId="1851" priority="1904">
      <formula>IF(#REF!="FICTICIO",1,0)</formula>
    </cfRule>
  </conditionalFormatting>
  <conditionalFormatting sqref="E118">
    <cfRule type="expression" dxfId="1850" priority="1903">
      <formula>IF(#REF!="FICTICIO",1,0)</formula>
    </cfRule>
  </conditionalFormatting>
  <conditionalFormatting sqref="E118">
    <cfRule type="expression" dxfId="1849" priority="1902">
      <formula>IF(#REF!="FICTICIO",1,0)</formula>
    </cfRule>
  </conditionalFormatting>
  <conditionalFormatting sqref="E118">
    <cfRule type="expression" dxfId="1848" priority="1901">
      <formula>IF(#REF!="FICTICIO",1,0)</formula>
    </cfRule>
  </conditionalFormatting>
  <conditionalFormatting sqref="E118">
    <cfRule type="expression" dxfId="1847" priority="1900">
      <formula>IF(#REF!="FICTICIO",1,0)</formula>
    </cfRule>
  </conditionalFormatting>
  <conditionalFormatting sqref="E118">
    <cfRule type="expression" dxfId="1846" priority="1899">
      <formula>IF(#REF!="FICTICIO",1,0)</formula>
    </cfRule>
  </conditionalFormatting>
  <conditionalFormatting sqref="E118">
    <cfRule type="expression" dxfId="1845" priority="1898">
      <formula>IF(#REF!="FICTICIO",1,0)</formula>
    </cfRule>
  </conditionalFormatting>
  <conditionalFormatting sqref="E118">
    <cfRule type="expression" dxfId="1844" priority="1897">
      <formula>IF(#REF!="FICTICIO",1,0)</formula>
    </cfRule>
  </conditionalFormatting>
  <conditionalFormatting sqref="E118">
    <cfRule type="expression" dxfId="1843" priority="1896">
      <formula>IF(#REF!="FICTICIO",1,0)</formula>
    </cfRule>
  </conditionalFormatting>
  <conditionalFormatting sqref="E118">
    <cfRule type="expression" dxfId="1842" priority="1895">
      <formula>IF(#REF!="FICTICIO",1,0)</formula>
    </cfRule>
  </conditionalFormatting>
  <conditionalFormatting sqref="E118">
    <cfRule type="expression" dxfId="1841" priority="1894">
      <formula>IF(#REF!="FICTICIO",1,0)</formula>
    </cfRule>
  </conditionalFormatting>
  <conditionalFormatting sqref="E118">
    <cfRule type="expression" dxfId="1840" priority="1893">
      <formula>IF(#REF!="FICTICIO",1,0)</formula>
    </cfRule>
  </conditionalFormatting>
  <conditionalFormatting sqref="D118">
    <cfRule type="expression" dxfId="1839" priority="1891">
      <formula>IF(#REF!="FICTICIO",1,0)</formula>
    </cfRule>
  </conditionalFormatting>
  <conditionalFormatting sqref="D118">
    <cfRule type="expression" dxfId="1838" priority="1892">
      <formula>IF(#REF!="FICTICIO",1,0)</formula>
    </cfRule>
  </conditionalFormatting>
  <conditionalFormatting sqref="D118">
    <cfRule type="expression" dxfId="1837" priority="1889">
      <formula>IF(#REF!="FICTICIO",1,0)</formula>
    </cfRule>
  </conditionalFormatting>
  <conditionalFormatting sqref="D118">
    <cfRule type="expression" dxfId="1836" priority="1890">
      <formula>IF(#REF!="FICTICIO",1,0)</formula>
    </cfRule>
  </conditionalFormatting>
  <conditionalFormatting sqref="F118">
    <cfRule type="expression" dxfId="1835" priority="1888">
      <formula>IF(#REF!="FICTICIO",1,0)</formula>
    </cfRule>
  </conditionalFormatting>
  <conditionalFormatting sqref="E118">
    <cfRule type="expression" dxfId="1834" priority="1887">
      <formula>IF(#REF!="FICTICIO",1,0)</formula>
    </cfRule>
  </conditionalFormatting>
  <conditionalFormatting sqref="E118">
    <cfRule type="expression" dxfId="1833" priority="1886">
      <formula>IF(#REF!="FICTICIO",1,0)</formula>
    </cfRule>
  </conditionalFormatting>
  <conditionalFormatting sqref="E118">
    <cfRule type="expression" dxfId="1832" priority="1885">
      <formula>IF(#REF!="FICTICIO",1,0)</formula>
    </cfRule>
  </conditionalFormatting>
  <conditionalFormatting sqref="E118">
    <cfRule type="expression" dxfId="1831" priority="1884">
      <formula>IF(#REF!="FICTICIO",1,0)</formula>
    </cfRule>
  </conditionalFormatting>
  <conditionalFormatting sqref="E118">
    <cfRule type="expression" dxfId="1830" priority="1883">
      <formula>IF(#REF!="FICTICIO",1,0)</formula>
    </cfRule>
  </conditionalFormatting>
  <conditionalFormatting sqref="E118">
    <cfRule type="expression" dxfId="1829" priority="1882">
      <formula>IF(#REF!="FICTICIO",1,0)</formula>
    </cfRule>
  </conditionalFormatting>
  <conditionalFormatting sqref="D118">
    <cfRule type="expression" dxfId="1828" priority="1880">
      <formula>IF(#REF!="FICTICIO",1,0)</formula>
    </cfRule>
  </conditionalFormatting>
  <conditionalFormatting sqref="D118">
    <cfRule type="expression" dxfId="1827" priority="1881">
      <formula>IF(#REF!="FICTICIO",1,0)</formula>
    </cfRule>
  </conditionalFormatting>
  <conditionalFormatting sqref="D118">
    <cfRule type="expression" dxfId="1826" priority="1878">
      <formula>IF(#REF!="FICTICIO",1,0)</formula>
    </cfRule>
  </conditionalFormatting>
  <conditionalFormatting sqref="D118">
    <cfRule type="expression" dxfId="1825" priority="1879">
      <formula>IF(#REF!="FICTICIO",1,0)</formula>
    </cfRule>
  </conditionalFormatting>
  <conditionalFormatting sqref="D118">
    <cfRule type="expression" dxfId="1824" priority="1876">
      <formula>IF(#REF!="FICTICIO",1,0)</formula>
    </cfRule>
  </conditionalFormatting>
  <conditionalFormatting sqref="D118">
    <cfRule type="expression" dxfId="1823" priority="1877">
      <formula>IF(#REF!="FICTICIO",1,0)</formula>
    </cfRule>
  </conditionalFormatting>
  <conditionalFormatting sqref="D118">
    <cfRule type="expression" dxfId="1822" priority="1874">
      <formula>IF(#REF!="FICTICIO",1,0)</formula>
    </cfRule>
  </conditionalFormatting>
  <conditionalFormatting sqref="D118">
    <cfRule type="expression" dxfId="1821" priority="1875">
      <formula>IF(#REF!="FICTICIO",1,0)</formula>
    </cfRule>
  </conditionalFormatting>
  <conditionalFormatting sqref="E118">
    <cfRule type="expression" dxfId="1820" priority="1873">
      <formula>IF(#REF!="FICTICIO",1,0)</formula>
    </cfRule>
  </conditionalFormatting>
  <conditionalFormatting sqref="E118">
    <cfRule type="expression" dxfId="1819" priority="1872">
      <formula>IF(#REF!="FICTICIO",1,0)</formula>
    </cfRule>
  </conditionalFormatting>
  <conditionalFormatting sqref="E118">
    <cfRule type="expression" dxfId="1818" priority="1871">
      <formula>IF(#REF!="FICTICIO",1,0)</formula>
    </cfRule>
  </conditionalFormatting>
  <conditionalFormatting sqref="E118">
    <cfRule type="expression" dxfId="1817" priority="1870">
      <formula>IF(#REF!="FICTICIO",1,0)</formula>
    </cfRule>
  </conditionalFormatting>
  <conditionalFormatting sqref="E118">
    <cfRule type="expression" dxfId="1816" priority="1869">
      <formula>IF(#REF!="FICTICIO",1,0)</formula>
    </cfRule>
  </conditionalFormatting>
  <conditionalFormatting sqref="E118">
    <cfRule type="expression" dxfId="1815" priority="1868">
      <formula>IF(#REF!="FICTICIO",1,0)</formula>
    </cfRule>
  </conditionalFormatting>
  <conditionalFormatting sqref="E118">
    <cfRule type="expression" dxfId="1814" priority="1867">
      <formula>IF(#REF!="FICTICIO",1,0)</formula>
    </cfRule>
  </conditionalFormatting>
  <conditionalFormatting sqref="E118">
    <cfRule type="expression" dxfId="1813" priority="1866">
      <formula>IF(#REF!="FICTICIO",1,0)</formula>
    </cfRule>
  </conditionalFormatting>
  <conditionalFormatting sqref="E118">
    <cfRule type="expression" dxfId="1812" priority="1865">
      <formula>IF(#REF!="FICTICIO",1,0)</formula>
    </cfRule>
  </conditionalFormatting>
  <conditionalFormatting sqref="E118">
    <cfRule type="expression" dxfId="1811" priority="1864">
      <formula>IF(#REF!="FICTICIO",1,0)</formula>
    </cfRule>
  </conditionalFormatting>
  <conditionalFormatting sqref="E118">
    <cfRule type="expression" dxfId="1810" priority="1863">
      <formula>IF(#REF!="FICTICIO",1,0)</formula>
    </cfRule>
  </conditionalFormatting>
  <conditionalFormatting sqref="E118">
    <cfRule type="expression" dxfId="1809" priority="1862">
      <formula>IF(#REF!="FICTICIO",1,0)</formula>
    </cfRule>
  </conditionalFormatting>
  <conditionalFormatting sqref="E118">
    <cfRule type="expression" dxfId="1808" priority="1861">
      <formula>IF(#REF!="FICTICIO",1,0)</formula>
    </cfRule>
  </conditionalFormatting>
  <conditionalFormatting sqref="E118">
    <cfRule type="expression" dxfId="1807" priority="1860">
      <formula>IF(#REF!="FICTICIO",1,0)</formula>
    </cfRule>
  </conditionalFormatting>
  <conditionalFormatting sqref="E118">
    <cfRule type="expression" dxfId="1806" priority="1859">
      <formula>IF(#REF!="FICTICIO",1,0)</formula>
    </cfRule>
  </conditionalFormatting>
  <conditionalFormatting sqref="E118">
    <cfRule type="expression" dxfId="1805" priority="1858">
      <formula>IF(#REF!="FICTICIO",1,0)</formula>
    </cfRule>
  </conditionalFormatting>
  <conditionalFormatting sqref="E118">
    <cfRule type="expression" dxfId="1804" priority="1857">
      <formula>IF(#REF!="FICTICIO",1,0)</formula>
    </cfRule>
  </conditionalFormatting>
  <conditionalFormatting sqref="E118">
    <cfRule type="expression" dxfId="1803" priority="1856">
      <formula>IF(#REF!="FICTICIO",1,0)</formula>
    </cfRule>
  </conditionalFormatting>
  <conditionalFormatting sqref="E118">
    <cfRule type="expression" dxfId="1802" priority="1855">
      <formula>IF(#REF!="FICTICIO",1,0)</formula>
    </cfRule>
  </conditionalFormatting>
  <conditionalFormatting sqref="E118">
    <cfRule type="expression" dxfId="1801" priority="1854">
      <formula>IF(#REF!="FICTICIO",1,0)</formula>
    </cfRule>
  </conditionalFormatting>
  <conditionalFormatting sqref="E118">
    <cfRule type="expression" dxfId="1800" priority="1853">
      <formula>IF(#REF!="FICTICIO",1,0)</formula>
    </cfRule>
  </conditionalFormatting>
  <conditionalFormatting sqref="E118">
    <cfRule type="expression" dxfId="1799" priority="1852">
      <formula>IF(#REF!="FICTICIO",1,0)</formula>
    </cfRule>
  </conditionalFormatting>
  <conditionalFormatting sqref="E118">
    <cfRule type="expression" dxfId="1798" priority="1851">
      <formula>IF(#REF!="FICTICIO",1,0)</formula>
    </cfRule>
  </conditionalFormatting>
  <conditionalFormatting sqref="E118">
    <cfRule type="expression" dxfId="1797" priority="1850">
      <formula>IF(#REF!="FICTICIO",1,0)</formula>
    </cfRule>
  </conditionalFormatting>
  <conditionalFormatting sqref="E118">
    <cfRule type="expression" dxfId="1796" priority="1849">
      <formula>IF(#REF!="FICTICIO",1,0)</formula>
    </cfRule>
  </conditionalFormatting>
  <conditionalFormatting sqref="E118">
    <cfRule type="expression" dxfId="1795" priority="1848">
      <formula>IF(#REF!="FICTICIO",1,0)</formula>
    </cfRule>
  </conditionalFormatting>
  <conditionalFormatting sqref="E118">
    <cfRule type="expression" dxfId="1794" priority="1847">
      <formula>IF(#REF!="FICTICIO",1,0)</formula>
    </cfRule>
  </conditionalFormatting>
  <conditionalFormatting sqref="E118">
    <cfRule type="expression" dxfId="1793" priority="1846">
      <formula>IF(#REF!="FICTICIO",1,0)</formula>
    </cfRule>
  </conditionalFormatting>
  <conditionalFormatting sqref="E118">
    <cfRule type="expression" dxfId="1792" priority="1845">
      <formula>IF(#REF!="FICTICIO",1,0)</formula>
    </cfRule>
  </conditionalFormatting>
  <conditionalFormatting sqref="E118">
    <cfRule type="expression" dxfId="1791" priority="1844">
      <formula>IF(#REF!="FICTICIO",1,0)</formula>
    </cfRule>
  </conditionalFormatting>
  <conditionalFormatting sqref="E118">
    <cfRule type="expression" dxfId="1790" priority="1843">
      <formula>IF(#REF!="FICTICIO",1,0)</formula>
    </cfRule>
  </conditionalFormatting>
  <conditionalFormatting sqref="E118">
    <cfRule type="expression" dxfId="1789" priority="1842">
      <formula>IF(#REF!="FICTICIO",1,0)</formula>
    </cfRule>
  </conditionalFormatting>
  <conditionalFormatting sqref="E118">
    <cfRule type="expression" dxfId="1788" priority="1841">
      <formula>IF(#REF!="FICTICIO",1,0)</formula>
    </cfRule>
  </conditionalFormatting>
  <conditionalFormatting sqref="E118">
    <cfRule type="expression" dxfId="1787" priority="1840">
      <formula>IF(#REF!="FICTICIO",1,0)</formula>
    </cfRule>
  </conditionalFormatting>
  <conditionalFormatting sqref="E118">
    <cfRule type="expression" dxfId="1786" priority="1839">
      <formula>IF(#REF!="FICTICIO",1,0)</formula>
    </cfRule>
  </conditionalFormatting>
  <conditionalFormatting sqref="E118">
    <cfRule type="expression" dxfId="1785" priority="1838">
      <formula>IF(#REF!="FICTICIO",1,0)</formula>
    </cfRule>
  </conditionalFormatting>
  <conditionalFormatting sqref="E118">
    <cfRule type="expression" dxfId="1784" priority="1837">
      <formula>IF(#REF!="FICTICIO",1,0)</formula>
    </cfRule>
  </conditionalFormatting>
  <conditionalFormatting sqref="E118">
    <cfRule type="expression" dxfId="1783" priority="1836">
      <formula>IF(#REF!="FICTICIO",1,0)</formula>
    </cfRule>
  </conditionalFormatting>
  <conditionalFormatting sqref="F118">
    <cfRule type="expression" dxfId="1782" priority="1835">
      <formula>IF(#REF!="FICTICIO",1,0)</formula>
    </cfRule>
  </conditionalFormatting>
  <conditionalFormatting sqref="F118">
    <cfRule type="expression" dxfId="1781" priority="1833">
      <formula>IF(#REF!="FICTICIO",1,0)</formula>
    </cfRule>
  </conditionalFormatting>
  <conditionalFormatting sqref="F118">
    <cfRule type="expression" dxfId="1780" priority="1834">
      <formula>IF(#REF!="FICTICIO",1,0)</formula>
    </cfRule>
  </conditionalFormatting>
  <conditionalFormatting sqref="E119">
    <cfRule type="expression" dxfId="1779" priority="1832">
      <formula>IF(#REF!="FICTICIO",1,0)</formula>
    </cfRule>
  </conditionalFormatting>
  <conditionalFormatting sqref="E119">
    <cfRule type="expression" dxfId="1778" priority="1831">
      <formula>IF(#REF!="FICTICIO",1,0)</formula>
    </cfRule>
  </conditionalFormatting>
  <conditionalFormatting sqref="E119">
    <cfRule type="expression" dxfId="1777" priority="1830">
      <formula>IF(#REF!="FICTICIO",1,0)</formula>
    </cfRule>
  </conditionalFormatting>
  <conditionalFormatting sqref="E119">
    <cfRule type="expression" dxfId="1776" priority="1829">
      <formula>IF(#REF!="FICTICIO",1,0)</formula>
    </cfRule>
  </conditionalFormatting>
  <conditionalFormatting sqref="E119">
    <cfRule type="expression" dxfId="1775" priority="1828">
      <formula>IF(#REF!="FICTICIO",1,0)</formula>
    </cfRule>
  </conditionalFormatting>
  <conditionalFormatting sqref="E119">
    <cfRule type="expression" dxfId="1774" priority="1827">
      <formula>IF(#REF!="FICTICIO",1,0)</formula>
    </cfRule>
  </conditionalFormatting>
  <conditionalFormatting sqref="E119">
    <cfRule type="expression" dxfId="1773" priority="1826">
      <formula>IF(#REF!="FICTICIO",1,0)</formula>
    </cfRule>
  </conditionalFormatting>
  <conditionalFormatting sqref="E119">
    <cfRule type="expression" dxfId="1772" priority="1825">
      <formula>IF(#REF!="FICTICIO",1,0)</formula>
    </cfRule>
  </conditionalFormatting>
  <conditionalFormatting sqref="E119">
    <cfRule type="expression" dxfId="1771" priority="1824">
      <formula>IF(#REF!="FICTICIO",1,0)</formula>
    </cfRule>
  </conditionalFormatting>
  <conditionalFormatting sqref="E119">
    <cfRule type="expression" dxfId="1770" priority="1823">
      <formula>IF(#REF!="FICTICIO",1,0)</formula>
    </cfRule>
  </conditionalFormatting>
  <conditionalFormatting sqref="E119">
    <cfRule type="expression" dxfId="1769" priority="1822">
      <formula>IF(#REF!="FICTICIO",1,0)</formula>
    </cfRule>
  </conditionalFormatting>
  <conditionalFormatting sqref="E119">
    <cfRule type="expression" dxfId="1768" priority="1821">
      <formula>IF(#REF!="FICTICIO",1,0)</formula>
    </cfRule>
  </conditionalFormatting>
  <conditionalFormatting sqref="E119">
    <cfRule type="expression" dxfId="1767" priority="1820">
      <formula>IF(#REF!="FICTICIO",1,0)</formula>
    </cfRule>
  </conditionalFormatting>
  <conditionalFormatting sqref="E119">
    <cfRule type="expression" dxfId="1766" priority="1819">
      <formula>IF(#REF!="FICTICIO",1,0)</formula>
    </cfRule>
  </conditionalFormatting>
  <conditionalFormatting sqref="E119">
    <cfRule type="expression" dxfId="1765" priority="1818">
      <formula>IF(#REF!="FICTICIO",1,0)</formula>
    </cfRule>
  </conditionalFormatting>
  <conditionalFormatting sqref="E119">
    <cfRule type="expression" dxfId="1764" priority="1817">
      <formula>IF(#REF!="FICTICIO",1,0)</formula>
    </cfRule>
  </conditionalFormatting>
  <conditionalFormatting sqref="E119">
    <cfRule type="expression" dxfId="1763" priority="1816">
      <formula>IF(#REF!="FICTICIO",1,0)</formula>
    </cfRule>
  </conditionalFormatting>
  <conditionalFormatting sqref="E119">
    <cfRule type="expression" dxfId="1762" priority="1815">
      <formula>IF(#REF!="FICTICIO",1,0)</formula>
    </cfRule>
  </conditionalFormatting>
  <conditionalFormatting sqref="E119">
    <cfRule type="expression" dxfId="1761" priority="1814">
      <formula>IF(#REF!="FICTICIO",1,0)</formula>
    </cfRule>
  </conditionalFormatting>
  <conditionalFormatting sqref="E119">
    <cfRule type="expression" dxfId="1760" priority="1809">
      <formula>IF(#REF!="FICTICIO",1,0)</formula>
    </cfRule>
  </conditionalFormatting>
  <conditionalFormatting sqref="E119">
    <cfRule type="expression" dxfId="1759" priority="1808">
      <formula>IF(#REF!="FICTICIO",1,0)</formula>
    </cfRule>
  </conditionalFormatting>
  <conditionalFormatting sqref="E119">
    <cfRule type="expression" dxfId="1758" priority="1807">
      <formula>IF(#REF!="FICTICIO",1,0)</formula>
    </cfRule>
  </conditionalFormatting>
  <conditionalFormatting sqref="E119">
    <cfRule type="expression" dxfId="1757" priority="1806">
      <formula>IF(#REF!="FICTICIO",1,0)</formula>
    </cfRule>
  </conditionalFormatting>
  <conditionalFormatting sqref="E119">
    <cfRule type="expression" dxfId="1756" priority="1805">
      <formula>IF(#REF!="FICTICIO",1,0)</formula>
    </cfRule>
  </conditionalFormatting>
  <conditionalFormatting sqref="E119">
    <cfRule type="expression" dxfId="1755" priority="1804">
      <formula>IF(#REF!="FICTICIO",1,0)</formula>
    </cfRule>
  </conditionalFormatting>
  <conditionalFormatting sqref="E119">
    <cfRule type="expression" dxfId="1754" priority="1803">
      <formula>IF(#REF!="FICTICIO",1,0)</formula>
    </cfRule>
  </conditionalFormatting>
  <conditionalFormatting sqref="E119">
    <cfRule type="expression" dxfId="1753" priority="1802">
      <formula>IF(#REF!="FICTICIO",1,0)</formula>
    </cfRule>
  </conditionalFormatting>
  <conditionalFormatting sqref="E119">
    <cfRule type="expression" dxfId="1752" priority="1801">
      <formula>IF(#REF!="FICTICIO",1,0)</formula>
    </cfRule>
  </conditionalFormatting>
  <conditionalFormatting sqref="E119">
    <cfRule type="expression" dxfId="1751" priority="1800">
      <formula>IF(#REF!="FICTICIO",1,0)</formula>
    </cfRule>
  </conditionalFormatting>
  <conditionalFormatting sqref="E119">
    <cfRule type="expression" dxfId="1750" priority="1799">
      <formula>IF(#REF!="FICTICIO",1,0)</formula>
    </cfRule>
  </conditionalFormatting>
  <conditionalFormatting sqref="E119">
    <cfRule type="expression" dxfId="1749" priority="1798">
      <formula>IF(#REF!="FICTICIO",1,0)</formula>
    </cfRule>
  </conditionalFormatting>
  <conditionalFormatting sqref="E119">
    <cfRule type="expression" dxfId="1748" priority="1797">
      <formula>IF(#REF!="FICTICIO",1,0)</formula>
    </cfRule>
  </conditionalFormatting>
  <conditionalFormatting sqref="E119">
    <cfRule type="expression" dxfId="1747" priority="1792">
      <formula>IF(#REF!="FICTICIO",1,0)</formula>
    </cfRule>
  </conditionalFormatting>
  <conditionalFormatting sqref="E119">
    <cfRule type="expression" dxfId="1746" priority="1791">
      <formula>IF(#REF!="FICTICIO",1,0)</formula>
    </cfRule>
  </conditionalFormatting>
  <conditionalFormatting sqref="E119">
    <cfRule type="expression" dxfId="1745" priority="1790">
      <formula>IF(#REF!="FICTICIO",1,0)</formula>
    </cfRule>
  </conditionalFormatting>
  <conditionalFormatting sqref="E119">
    <cfRule type="expression" dxfId="1744" priority="1789">
      <formula>IF(#REF!="FICTICIO",1,0)</formula>
    </cfRule>
  </conditionalFormatting>
  <conditionalFormatting sqref="E119">
    <cfRule type="expression" dxfId="1743" priority="1788">
      <formula>IF(#REF!="FICTICIO",1,0)</formula>
    </cfRule>
  </conditionalFormatting>
  <conditionalFormatting sqref="E119">
    <cfRule type="expression" dxfId="1742" priority="1787">
      <formula>IF(#REF!="FICTICIO",1,0)</formula>
    </cfRule>
  </conditionalFormatting>
  <conditionalFormatting sqref="E119">
    <cfRule type="expression" dxfId="1741" priority="1778">
      <formula>IF(#REF!="FICTICIO",1,0)</formula>
    </cfRule>
  </conditionalFormatting>
  <conditionalFormatting sqref="E119">
    <cfRule type="expression" dxfId="1740" priority="1777">
      <formula>IF(#REF!="FICTICIO",1,0)</formula>
    </cfRule>
  </conditionalFormatting>
  <conditionalFormatting sqref="E119">
    <cfRule type="expression" dxfId="1739" priority="1776">
      <formula>IF(#REF!="FICTICIO",1,0)</formula>
    </cfRule>
  </conditionalFormatting>
  <conditionalFormatting sqref="E119">
    <cfRule type="expression" dxfId="1738" priority="1775">
      <formula>IF(#REF!="FICTICIO",1,0)</formula>
    </cfRule>
  </conditionalFormatting>
  <conditionalFormatting sqref="E119">
    <cfRule type="expression" dxfId="1737" priority="1774">
      <formula>IF(#REF!="FICTICIO",1,0)</formula>
    </cfRule>
  </conditionalFormatting>
  <conditionalFormatting sqref="E119">
    <cfRule type="expression" dxfId="1736" priority="1773">
      <formula>IF(#REF!="FICTICIO",1,0)</formula>
    </cfRule>
  </conditionalFormatting>
  <conditionalFormatting sqref="E119">
    <cfRule type="expression" dxfId="1735" priority="1772">
      <formula>IF(#REF!="FICTICIO",1,0)</formula>
    </cfRule>
  </conditionalFormatting>
  <conditionalFormatting sqref="E119">
    <cfRule type="expression" dxfId="1734" priority="1771">
      <formula>IF(#REF!="FICTICIO",1,0)</formula>
    </cfRule>
  </conditionalFormatting>
  <conditionalFormatting sqref="E119">
    <cfRule type="expression" dxfId="1733" priority="1770">
      <formula>IF(#REF!="FICTICIO",1,0)</formula>
    </cfRule>
  </conditionalFormatting>
  <conditionalFormatting sqref="E119">
    <cfRule type="expression" dxfId="1732" priority="1769">
      <formula>IF(#REF!="FICTICIO",1,0)</formula>
    </cfRule>
  </conditionalFormatting>
  <conditionalFormatting sqref="E119">
    <cfRule type="expression" dxfId="1731" priority="1768">
      <formula>IF(#REF!="FICTICIO",1,0)</formula>
    </cfRule>
  </conditionalFormatting>
  <conditionalFormatting sqref="E119">
    <cfRule type="expression" dxfId="1730" priority="1767">
      <formula>IF(#REF!="FICTICIO",1,0)</formula>
    </cfRule>
  </conditionalFormatting>
  <conditionalFormatting sqref="E119">
    <cfRule type="expression" dxfId="1729" priority="1766">
      <formula>IF(#REF!="FICTICIO",1,0)</formula>
    </cfRule>
  </conditionalFormatting>
  <conditionalFormatting sqref="E119">
    <cfRule type="expression" dxfId="1728" priority="1765">
      <formula>IF(#REF!="FICTICIO",1,0)</formula>
    </cfRule>
  </conditionalFormatting>
  <conditionalFormatting sqref="E119">
    <cfRule type="expression" dxfId="1727" priority="1764">
      <formula>IF(#REF!="FICTICIO",1,0)</formula>
    </cfRule>
  </conditionalFormatting>
  <conditionalFormatting sqref="E119">
    <cfRule type="expression" dxfId="1726" priority="1763">
      <formula>IF(#REF!="FICTICIO",1,0)</formula>
    </cfRule>
  </conditionalFormatting>
  <conditionalFormatting sqref="E119">
    <cfRule type="expression" dxfId="1725" priority="1762">
      <formula>IF(#REF!="FICTICIO",1,0)</formula>
    </cfRule>
  </conditionalFormatting>
  <conditionalFormatting sqref="E119">
    <cfRule type="expression" dxfId="1724" priority="1761">
      <formula>IF(#REF!="FICTICIO",1,0)</formula>
    </cfRule>
  </conditionalFormatting>
  <conditionalFormatting sqref="E119">
    <cfRule type="expression" dxfId="1723" priority="1760">
      <formula>IF(#REF!="FICTICIO",1,0)</formula>
    </cfRule>
  </conditionalFormatting>
  <conditionalFormatting sqref="E119">
    <cfRule type="expression" dxfId="1722" priority="1759">
      <formula>IF(#REF!="FICTICIO",1,0)</formula>
    </cfRule>
  </conditionalFormatting>
  <conditionalFormatting sqref="E119">
    <cfRule type="expression" dxfId="1721" priority="1758">
      <formula>IF(#REF!="FICTICIO",1,0)</formula>
    </cfRule>
  </conditionalFormatting>
  <conditionalFormatting sqref="E119">
    <cfRule type="expression" dxfId="1720" priority="1757">
      <formula>IF(#REF!="FICTICIO",1,0)</formula>
    </cfRule>
  </conditionalFormatting>
  <conditionalFormatting sqref="E119">
    <cfRule type="expression" dxfId="1719" priority="1756">
      <formula>IF(#REF!="FICTICIO",1,0)</formula>
    </cfRule>
  </conditionalFormatting>
  <conditionalFormatting sqref="E119">
    <cfRule type="expression" dxfId="1718" priority="1755">
      <formula>IF(#REF!="FICTICIO",1,0)</formula>
    </cfRule>
  </conditionalFormatting>
  <conditionalFormatting sqref="E119">
    <cfRule type="expression" dxfId="1717" priority="1754">
      <formula>IF(#REF!="FICTICIO",1,0)</formula>
    </cfRule>
  </conditionalFormatting>
  <conditionalFormatting sqref="E119">
    <cfRule type="expression" dxfId="1716" priority="1753">
      <formula>IF(#REF!="FICTICIO",1,0)</formula>
    </cfRule>
  </conditionalFormatting>
  <conditionalFormatting sqref="E119">
    <cfRule type="expression" dxfId="1715" priority="1752">
      <formula>IF(#REF!="FICTICIO",1,0)</formula>
    </cfRule>
  </conditionalFormatting>
  <conditionalFormatting sqref="E119">
    <cfRule type="expression" dxfId="1714" priority="1751">
      <formula>IF(#REF!="FICTICIO",1,0)</formula>
    </cfRule>
  </conditionalFormatting>
  <conditionalFormatting sqref="E119">
    <cfRule type="expression" dxfId="1713" priority="1750">
      <formula>IF(#REF!="FICTICIO",1,0)</formula>
    </cfRule>
  </conditionalFormatting>
  <conditionalFormatting sqref="E119">
    <cfRule type="expression" dxfId="1712" priority="1749">
      <formula>IF(#REF!="FICTICIO",1,0)</formula>
    </cfRule>
  </conditionalFormatting>
  <conditionalFormatting sqref="E119">
    <cfRule type="expression" dxfId="1711" priority="1748">
      <formula>IF(#REF!="FICTICIO",1,0)</formula>
    </cfRule>
  </conditionalFormatting>
  <conditionalFormatting sqref="E119">
    <cfRule type="expression" dxfId="1710" priority="1747">
      <formula>IF(#REF!="FICTICIO",1,0)</formula>
    </cfRule>
  </conditionalFormatting>
  <conditionalFormatting sqref="E119">
    <cfRule type="expression" dxfId="1709" priority="1746">
      <formula>IF(#REF!="FICTICIO",1,0)</formula>
    </cfRule>
  </conditionalFormatting>
  <conditionalFormatting sqref="E119">
    <cfRule type="expression" dxfId="1708" priority="1745">
      <formula>IF(#REF!="FICTICIO",1,0)</formula>
    </cfRule>
  </conditionalFormatting>
  <conditionalFormatting sqref="E119">
    <cfRule type="expression" dxfId="1707" priority="1744">
      <formula>IF(#REF!="FICTICIO",1,0)</formula>
    </cfRule>
  </conditionalFormatting>
  <conditionalFormatting sqref="E119">
    <cfRule type="expression" dxfId="1706" priority="1743">
      <formula>IF(#REF!="FICTICIO",1,0)</formula>
    </cfRule>
  </conditionalFormatting>
  <conditionalFormatting sqref="E119">
    <cfRule type="expression" dxfId="1705" priority="1742">
      <formula>IF(#REF!="FICTICIO",1,0)</formula>
    </cfRule>
  </conditionalFormatting>
  <conditionalFormatting sqref="E119">
    <cfRule type="expression" dxfId="1704" priority="1741">
      <formula>IF(#REF!="FICTICIO",1,0)</formula>
    </cfRule>
  </conditionalFormatting>
  <conditionalFormatting sqref="E119">
    <cfRule type="expression" dxfId="1703" priority="1740">
      <formula>IF(#REF!="FICTICIO",1,0)</formula>
    </cfRule>
  </conditionalFormatting>
  <conditionalFormatting sqref="E119">
    <cfRule type="expression" dxfId="1702" priority="1739">
      <formula>IF(#REF!="FICTICIO",1,0)</formula>
    </cfRule>
  </conditionalFormatting>
  <conditionalFormatting sqref="E119">
    <cfRule type="expression" dxfId="1701" priority="1738">
      <formula>IF(#REF!="FICTICIO",1,0)</formula>
    </cfRule>
  </conditionalFormatting>
  <conditionalFormatting sqref="E119">
    <cfRule type="expression" dxfId="1700" priority="1737">
      <formula>IF(#REF!="FICTICIO",1,0)</formula>
    </cfRule>
  </conditionalFormatting>
  <conditionalFormatting sqref="E119">
    <cfRule type="expression" dxfId="1699" priority="1736">
      <formula>IF(#REF!="FICTICIO",1,0)</formula>
    </cfRule>
  </conditionalFormatting>
  <conditionalFormatting sqref="E119">
    <cfRule type="expression" dxfId="1698" priority="1735">
      <formula>IF(#REF!="FICTICIO",1,0)</formula>
    </cfRule>
  </conditionalFormatting>
  <conditionalFormatting sqref="E119">
    <cfRule type="expression" dxfId="1697" priority="1734">
      <formula>IF(#REF!="FICTICIO",1,0)</formula>
    </cfRule>
  </conditionalFormatting>
  <conditionalFormatting sqref="E119">
    <cfRule type="expression" dxfId="1696" priority="1733">
      <formula>IF(#REF!="FICTICIO",1,0)</formula>
    </cfRule>
  </conditionalFormatting>
  <conditionalFormatting sqref="E119">
    <cfRule type="expression" dxfId="1695" priority="1732">
      <formula>IF(#REF!="FICTICIO",1,0)</formula>
    </cfRule>
  </conditionalFormatting>
  <conditionalFormatting sqref="E119">
    <cfRule type="expression" dxfId="1694" priority="1731">
      <formula>IF(#REF!="FICTICIO",1,0)</formula>
    </cfRule>
  </conditionalFormatting>
  <conditionalFormatting sqref="F119">
    <cfRule type="expression" dxfId="1693" priority="1730">
      <formula>IF(#REF!="FICTICIO",1,0)</formula>
    </cfRule>
  </conditionalFormatting>
  <conditionalFormatting sqref="E119">
    <cfRule type="expression" dxfId="1692" priority="1729">
      <formula>IF(#REF!="FICTICIO",1,0)</formula>
    </cfRule>
  </conditionalFormatting>
  <conditionalFormatting sqref="E119">
    <cfRule type="expression" dxfId="1691" priority="1728">
      <formula>IF(#REF!="FICTICIO",1,0)</formula>
    </cfRule>
  </conditionalFormatting>
  <conditionalFormatting sqref="E119">
    <cfRule type="expression" dxfId="1690" priority="1727">
      <formula>IF(#REF!="FICTICIO",1,0)</formula>
    </cfRule>
  </conditionalFormatting>
  <conditionalFormatting sqref="E119">
    <cfRule type="expression" dxfId="1689" priority="1726">
      <formula>IF(#REF!="FICTICIO",1,0)</formula>
    </cfRule>
  </conditionalFormatting>
  <conditionalFormatting sqref="E119">
    <cfRule type="expression" dxfId="1688" priority="1725">
      <formula>IF(#REF!="FICTICIO",1,0)</formula>
    </cfRule>
  </conditionalFormatting>
  <conditionalFormatting sqref="E119">
    <cfRule type="expression" dxfId="1687" priority="1724">
      <formula>IF(#REF!="FICTICIO",1,0)</formula>
    </cfRule>
  </conditionalFormatting>
  <conditionalFormatting sqref="E119">
    <cfRule type="expression" dxfId="1686" priority="1723">
      <formula>IF(#REF!="FICTICIO",1,0)</formula>
    </cfRule>
  </conditionalFormatting>
  <conditionalFormatting sqref="E119">
    <cfRule type="expression" dxfId="1685" priority="1722">
      <formula>IF(#REF!="FICTICIO",1,0)</formula>
    </cfRule>
  </conditionalFormatting>
  <conditionalFormatting sqref="E119">
    <cfRule type="expression" dxfId="1684" priority="1721">
      <formula>IF(#REF!="FICTICIO",1,0)</formula>
    </cfRule>
  </conditionalFormatting>
  <conditionalFormatting sqref="E119">
    <cfRule type="expression" dxfId="1683" priority="1716">
      <formula>IF(#REF!="FICTICIO",1,0)</formula>
    </cfRule>
  </conditionalFormatting>
  <conditionalFormatting sqref="E119">
    <cfRule type="expression" dxfId="1682" priority="1715">
      <formula>IF(#REF!="FICTICIO",1,0)</formula>
    </cfRule>
  </conditionalFormatting>
  <conditionalFormatting sqref="E119">
    <cfRule type="expression" dxfId="1681" priority="1714">
      <formula>IF(#REF!="FICTICIO",1,0)</formula>
    </cfRule>
  </conditionalFormatting>
  <conditionalFormatting sqref="E119">
    <cfRule type="expression" dxfId="1680" priority="1713">
      <formula>IF(#REF!="FICTICIO",1,0)</formula>
    </cfRule>
  </conditionalFormatting>
  <conditionalFormatting sqref="E119">
    <cfRule type="expression" dxfId="1679" priority="1712">
      <formula>IF(#REF!="FICTICIO",1,0)</formula>
    </cfRule>
  </conditionalFormatting>
  <conditionalFormatting sqref="E119">
    <cfRule type="expression" dxfId="1678" priority="1711">
      <formula>IF(#REF!="FICTICIO",1,0)</formula>
    </cfRule>
  </conditionalFormatting>
  <conditionalFormatting sqref="E119">
    <cfRule type="expression" dxfId="1677" priority="1710">
      <formula>IF(#REF!="FICTICIO",1,0)</formula>
    </cfRule>
  </conditionalFormatting>
  <conditionalFormatting sqref="E119">
    <cfRule type="expression" dxfId="1676" priority="1709">
      <formula>IF(#REF!="FICTICIO",1,0)</formula>
    </cfRule>
  </conditionalFormatting>
  <conditionalFormatting sqref="E119">
    <cfRule type="expression" dxfId="1675" priority="1708">
      <formula>IF(#REF!="FICTICIO",1,0)</formula>
    </cfRule>
  </conditionalFormatting>
  <conditionalFormatting sqref="E119">
    <cfRule type="expression" dxfId="1674" priority="1707">
      <formula>IF(#REF!="FICTICIO",1,0)</formula>
    </cfRule>
  </conditionalFormatting>
  <conditionalFormatting sqref="E119">
    <cfRule type="expression" dxfId="1673" priority="1706">
      <formula>IF(#REF!="FICTICIO",1,0)</formula>
    </cfRule>
  </conditionalFormatting>
  <conditionalFormatting sqref="E119">
    <cfRule type="expression" dxfId="1672" priority="1705">
      <formula>IF(#REF!="FICTICIO",1,0)</formula>
    </cfRule>
  </conditionalFormatting>
  <conditionalFormatting sqref="E119">
    <cfRule type="expression" dxfId="1671" priority="1704">
      <formula>IF(#REF!="FICTICIO",1,0)</formula>
    </cfRule>
  </conditionalFormatting>
  <conditionalFormatting sqref="E119">
    <cfRule type="expression" dxfId="1670" priority="1699">
      <formula>IF(#REF!="FICTICIO",1,0)</formula>
    </cfRule>
  </conditionalFormatting>
  <conditionalFormatting sqref="E119">
    <cfRule type="expression" dxfId="1669" priority="1698">
      <formula>IF(#REF!="FICTICIO",1,0)</formula>
    </cfRule>
  </conditionalFormatting>
  <conditionalFormatting sqref="E119">
    <cfRule type="expression" dxfId="1668" priority="1697">
      <formula>IF(#REF!="FICTICIO",1,0)</formula>
    </cfRule>
  </conditionalFormatting>
  <conditionalFormatting sqref="F119">
    <cfRule type="expression" dxfId="1667" priority="1695">
      <formula>IF(#REF!="FICTICIO",1,0)</formula>
    </cfRule>
  </conditionalFormatting>
  <conditionalFormatting sqref="F119">
    <cfRule type="expression" dxfId="1666" priority="1696">
      <formula>IF(#REF!="FICTICIO",1,0)</formula>
    </cfRule>
  </conditionalFormatting>
  <conditionalFormatting sqref="E119">
    <cfRule type="expression" dxfId="1665" priority="1694">
      <formula>IF(#REF!="FICTICIO",1,0)</formula>
    </cfRule>
  </conditionalFormatting>
  <conditionalFormatting sqref="E119">
    <cfRule type="expression" dxfId="1664" priority="1693">
      <formula>IF(#REF!="FICTICIO",1,0)</formula>
    </cfRule>
  </conditionalFormatting>
  <conditionalFormatting sqref="E119">
    <cfRule type="expression" dxfId="1663" priority="1692">
      <formula>IF(#REF!="FICTICIO",1,0)</formula>
    </cfRule>
  </conditionalFormatting>
  <conditionalFormatting sqref="E119">
    <cfRule type="expression" dxfId="1662" priority="1683">
      <formula>IF(#REF!="FICTICIO",1,0)</formula>
    </cfRule>
  </conditionalFormatting>
  <conditionalFormatting sqref="E119">
    <cfRule type="expression" dxfId="1661" priority="1682">
      <formula>IF(#REF!="FICTICIO",1,0)</formula>
    </cfRule>
  </conditionalFormatting>
  <conditionalFormatting sqref="E119">
    <cfRule type="expression" dxfId="1660" priority="1681">
      <formula>IF(#REF!="FICTICIO",1,0)</formula>
    </cfRule>
  </conditionalFormatting>
  <conditionalFormatting sqref="E119">
    <cfRule type="expression" dxfId="1659" priority="1680">
      <formula>IF(#REF!="FICTICIO",1,0)</formula>
    </cfRule>
  </conditionalFormatting>
  <conditionalFormatting sqref="E119">
    <cfRule type="expression" dxfId="1658" priority="1679">
      <formula>IF(#REF!="FICTICIO",1,0)</formula>
    </cfRule>
  </conditionalFormatting>
  <conditionalFormatting sqref="E119">
    <cfRule type="expression" dxfId="1657" priority="1678">
      <formula>IF(#REF!="FICTICIO",1,0)</formula>
    </cfRule>
  </conditionalFormatting>
  <conditionalFormatting sqref="E119">
    <cfRule type="expression" dxfId="1656" priority="1677">
      <formula>IF(#REF!="FICTICIO",1,0)</formula>
    </cfRule>
  </conditionalFormatting>
  <conditionalFormatting sqref="E119">
    <cfRule type="expression" dxfId="1655" priority="1676">
      <formula>IF(#REF!="FICTICIO",1,0)</formula>
    </cfRule>
  </conditionalFormatting>
  <conditionalFormatting sqref="E119">
    <cfRule type="expression" dxfId="1654" priority="1675">
      <formula>IF(#REF!="FICTICIO",1,0)</formula>
    </cfRule>
  </conditionalFormatting>
  <conditionalFormatting sqref="E119">
    <cfRule type="expression" dxfId="1653" priority="1674">
      <formula>IF(#REF!="FICTICIO",1,0)</formula>
    </cfRule>
  </conditionalFormatting>
  <conditionalFormatting sqref="E119">
    <cfRule type="expression" dxfId="1652" priority="1673">
      <formula>IF(#REF!="FICTICIO",1,0)</formula>
    </cfRule>
  </conditionalFormatting>
  <conditionalFormatting sqref="E119">
    <cfRule type="expression" dxfId="1651" priority="1672">
      <formula>IF(#REF!="FICTICIO",1,0)</formula>
    </cfRule>
  </conditionalFormatting>
  <conditionalFormatting sqref="E119">
    <cfRule type="expression" dxfId="1650" priority="1671">
      <formula>IF(#REF!="FICTICIO",1,0)</formula>
    </cfRule>
  </conditionalFormatting>
  <conditionalFormatting sqref="E119">
    <cfRule type="expression" dxfId="1649" priority="1670">
      <formula>IF(#REF!="FICTICIO",1,0)</formula>
    </cfRule>
  </conditionalFormatting>
  <conditionalFormatting sqref="E119">
    <cfRule type="expression" dxfId="1648" priority="1669">
      <formula>IF(#REF!="FICTICIO",1,0)</formula>
    </cfRule>
  </conditionalFormatting>
  <conditionalFormatting sqref="E119">
    <cfRule type="expression" dxfId="1647" priority="1668">
      <formula>IF(#REF!="FICTICIO",1,0)</formula>
    </cfRule>
  </conditionalFormatting>
  <conditionalFormatting sqref="E119">
    <cfRule type="expression" dxfId="1646" priority="1667">
      <formula>IF(#REF!="FICTICIO",1,0)</formula>
    </cfRule>
  </conditionalFormatting>
  <conditionalFormatting sqref="E119">
    <cfRule type="expression" dxfId="1645" priority="1666">
      <formula>IF(#REF!="FICTICIO",1,0)</formula>
    </cfRule>
  </conditionalFormatting>
  <conditionalFormatting sqref="E119">
    <cfRule type="expression" dxfId="1644" priority="1665">
      <formula>IF(#REF!="FICTICIO",1,0)</formula>
    </cfRule>
  </conditionalFormatting>
  <conditionalFormatting sqref="E119">
    <cfRule type="expression" dxfId="1643" priority="1664">
      <formula>IF(#REF!="FICTICIO",1,0)</formula>
    </cfRule>
  </conditionalFormatting>
  <conditionalFormatting sqref="E119">
    <cfRule type="expression" dxfId="1642" priority="1663">
      <formula>IF(#REF!="FICTICIO",1,0)</formula>
    </cfRule>
  </conditionalFormatting>
  <conditionalFormatting sqref="E119">
    <cfRule type="expression" dxfId="1641" priority="1662">
      <formula>IF(#REF!="FICTICIO",1,0)</formula>
    </cfRule>
  </conditionalFormatting>
  <conditionalFormatting sqref="E119">
    <cfRule type="expression" dxfId="1640" priority="1661">
      <formula>IF(#REF!="FICTICIO",1,0)</formula>
    </cfRule>
  </conditionalFormatting>
  <conditionalFormatting sqref="E119">
    <cfRule type="expression" dxfId="1639" priority="1660">
      <formula>IF(#REF!="FICTICIO",1,0)</formula>
    </cfRule>
  </conditionalFormatting>
  <conditionalFormatting sqref="E119">
    <cfRule type="expression" dxfId="1638" priority="1659">
      <formula>IF(#REF!="FICTICIO",1,0)</formula>
    </cfRule>
  </conditionalFormatting>
  <conditionalFormatting sqref="E119">
    <cfRule type="expression" dxfId="1637" priority="1658">
      <formula>IF(#REF!="FICTICIO",1,0)</formula>
    </cfRule>
  </conditionalFormatting>
  <conditionalFormatting sqref="E119">
    <cfRule type="expression" dxfId="1636" priority="1657">
      <formula>IF(#REF!="FICTICIO",1,0)</formula>
    </cfRule>
  </conditionalFormatting>
  <conditionalFormatting sqref="E119">
    <cfRule type="expression" dxfId="1635" priority="1656">
      <formula>IF(#REF!="FICTICIO",1,0)</formula>
    </cfRule>
  </conditionalFormatting>
  <conditionalFormatting sqref="E119">
    <cfRule type="expression" dxfId="1634" priority="1655">
      <formula>IF(#REF!="FICTICIO",1,0)</formula>
    </cfRule>
  </conditionalFormatting>
  <conditionalFormatting sqref="E119">
    <cfRule type="expression" dxfId="1633" priority="1654">
      <formula>IF(#REF!="FICTICIO",1,0)</formula>
    </cfRule>
  </conditionalFormatting>
  <conditionalFormatting sqref="E119">
    <cfRule type="expression" dxfId="1632" priority="1653">
      <formula>IF(#REF!="FICTICIO",1,0)</formula>
    </cfRule>
  </conditionalFormatting>
  <conditionalFormatting sqref="E119">
    <cfRule type="expression" dxfId="1631" priority="1652">
      <formula>IF(#REF!="FICTICIO",1,0)</formula>
    </cfRule>
  </conditionalFormatting>
  <conditionalFormatting sqref="E119">
    <cfRule type="expression" dxfId="1630" priority="1651">
      <formula>IF(#REF!="FICTICIO",1,0)</formula>
    </cfRule>
  </conditionalFormatting>
  <conditionalFormatting sqref="E119">
    <cfRule type="expression" dxfId="1629" priority="1650">
      <formula>IF(#REF!="FICTICIO",1,0)</formula>
    </cfRule>
  </conditionalFormatting>
  <conditionalFormatting sqref="E119">
    <cfRule type="expression" dxfId="1628" priority="1649">
      <formula>IF(#REF!="FICTICIO",1,0)</formula>
    </cfRule>
  </conditionalFormatting>
  <conditionalFormatting sqref="E119">
    <cfRule type="expression" dxfId="1627" priority="1648">
      <formula>IF(#REF!="FICTICIO",1,0)</formula>
    </cfRule>
  </conditionalFormatting>
  <conditionalFormatting sqref="E119">
    <cfRule type="expression" dxfId="1626" priority="1647">
      <formula>IF(#REF!="FICTICIO",1,0)</formula>
    </cfRule>
  </conditionalFormatting>
  <conditionalFormatting sqref="E119">
    <cfRule type="expression" dxfId="1625" priority="1646">
      <formula>IF(#REF!="FICTICIO",1,0)</formula>
    </cfRule>
  </conditionalFormatting>
  <conditionalFormatting sqref="F119">
    <cfRule type="expression" dxfId="1624" priority="1640">
      <formula>IF(#REF!="FICTICIO",1,0)</formula>
    </cfRule>
  </conditionalFormatting>
  <conditionalFormatting sqref="F119">
    <cfRule type="expression" dxfId="1623" priority="1641">
      <formula>IF(#REF!="FICTICIO",1,0)</formula>
    </cfRule>
  </conditionalFormatting>
  <conditionalFormatting sqref="E119">
    <cfRule type="expression" dxfId="1622" priority="1639">
      <formula>IF(#REF!="FICTICIO",1,0)</formula>
    </cfRule>
  </conditionalFormatting>
  <conditionalFormatting sqref="E119">
    <cfRule type="expression" dxfId="1621" priority="1638">
      <formula>IF(#REF!="FICTICIO",1,0)</formula>
    </cfRule>
  </conditionalFormatting>
  <conditionalFormatting sqref="E119">
    <cfRule type="expression" dxfId="1620" priority="1637">
      <formula>IF(#REF!="FICTICIO",1,0)</formula>
    </cfRule>
  </conditionalFormatting>
  <conditionalFormatting sqref="E119">
    <cfRule type="expression" dxfId="1619" priority="1636">
      <formula>IF(#REF!="FICTICIO",1,0)</formula>
    </cfRule>
  </conditionalFormatting>
  <conditionalFormatting sqref="E119">
    <cfRule type="expression" dxfId="1618" priority="1634">
      <formula>IF(#REF!="FICTICIO",1,0)</formula>
    </cfRule>
  </conditionalFormatting>
  <conditionalFormatting sqref="E119">
    <cfRule type="expression" dxfId="1617" priority="1635">
      <formula>IF(#REF!="FICTICIO",1,0)</formula>
    </cfRule>
  </conditionalFormatting>
  <conditionalFormatting sqref="E119">
    <cfRule type="expression" dxfId="1616" priority="1633">
      <formula>IF(#REF!="FICTICIO",1,0)</formula>
    </cfRule>
  </conditionalFormatting>
  <conditionalFormatting sqref="E119">
    <cfRule type="expression" dxfId="1615" priority="1632">
      <formula>IF(#REF!="FICTICIO",1,0)</formula>
    </cfRule>
  </conditionalFormatting>
  <conditionalFormatting sqref="E119">
    <cfRule type="expression" dxfId="1614" priority="1631">
      <formula>IF(#REF!="FICTICIO",1,0)</formula>
    </cfRule>
  </conditionalFormatting>
  <conditionalFormatting sqref="E119">
    <cfRule type="expression" dxfId="1613" priority="1630">
      <formula>IF(#REF!="FICTICIO",1,0)</formula>
    </cfRule>
  </conditionalFormatting>
  <conditionalFormatting sqref="E119">
    <cfRule type="expression" dxfId="1612" priority="1629">
      <formula>IF(#REF!="FICTICIO",1,0)</formula>
    </cfRule>
  </conditionalFormatting>
  <conditionalFormatting sqref="E119">
    <cfRule type="expression" dxfId="1611" priority="1628">
      <formula>IF(#REF!="FICTICIO",1,0)</formula>
    </cfRule>
  </conditionalFormatting>
  <conditionalFormatting sqref="E119">
    <cfRule type="expression" dxfId="1610" priority="1627">
      <formula>IF(#REF!="FICTICIO",1,0)</formula>
    </cfRule>
  </conditionalFormatting>
  <conditionalFormatting sqref="E119">
    <cfRule type="expression" dxfId="1609" priority="1626">
      <formula>IF(#REF!="FICTICIO",1,0)</formula>
    </cfRule>
  </conditionalFormatting>
  <conditionalFormatting sqref="E119">
    <cfRule type="expression" dxfId="1608" priority="1625">
      <formula>IF(#REF!="FICTICIO",1,0)</formula>
    </cfRule>
  </conditionalFormatting>
  <conditionalFormatting sqref="E119">
    <cfRule type="expression" dxfId="1607" priority="1624">
      <formula>IF(#REF!="FICTICIO",1,0)</formula>
    </cfRule>
  </conditionalFormatting>
  <conditionalFormatting sqref="E119">
    <cfRule type="expression" dxfId="1606" priority="1623">
      <formula>IF(#REF!="FICTICIO",1,0)</formula>
    </cfRule>
  </conditionalFormatting>
  <conditionalFormatting sqref="E119">
    <cfRule type="expression" dxfId="1605" priority="1622">
      <formula>IF(#REF!="FICTICIO",1,0)</formula>
    </cfRule>
  </conditionalFormatting>
  <conditionalFormatting sqref="E119">
    <cfRule type="expression" dxfId="1604" priority="1621">
      <formula>IF(#REF!="FICTICIO",1,0)</formula>
    </cfRule>
  </conditionalFormatting>
  <conditionalFormatting sqref="E119">
    <cfRule type="expression" dxfId="1603" priority="1620">
      <formula>IF(#REF!="FICTICIO",1,0)</formula>
    </cfRule>
  </conditionalFormatting>
  <conditionalFormatting sqref="E119">
    <cfRule type="expression" dxfId="1602" priority="1619">
      <formula>IF(#REF!="FICTICIO",1,0)</formula>
    </cfRule>
  </conditionalFormatting>
  <conditionalFormatting sqref="E119">
    <cfRule type="expression" dxfId="1601" priority="1618">
      <formula>IF(#REF!="FICTICIO",1,0)</formula>
    </cfRule>
  </conditionalFormatting>
  <conditionalFormatting sqref="E119">
    <cfRule type="expression" dxfId="1600" priority="1617">
      <formula>IF(#REF!="FICTICIO",1,0)</formula>
    </cfRule>
  </conditionalFormatting>
  <conditionalFormatting sqref="E119">
    <cfRule type="expression" dxfId="1599" priority="1616">
      <formula>IF(#REF!="FICTICIO",1,0)</formula>
    </cfRule>
  </conditionalFormatting>
  <conditionalFormatting sqref="E119">
    <cfRule type="expression" dxfId="1598" priority="1615">
      <formula>IF(#REF!="FICTICIO",1,0)</formula>
    </cfRule>
  </conditionalFormatting>
  <conditionalFormatting sqref="E119">
    <cfRule type="expression" dxfId="1597" priority="1614">
      <formula>IF(#REF!="FICTICIO",1,0)</formula>
    </cfRule>
  </conditionalFormatting>
  <conditionalFormatting sqref="E119">
    <cfRule type="expression" dxfId="1596" priority="1613">
      <formula>IF(#REF!="FICTICIO",1,0)</formula>
    </cfRule>
  </conditionalFormatting>
  <conditionalFormatting sqref="E119">
    <cfRule type="expression" dxfId="1595" priority="1612">
      <formula>IF(#REF!="FICTICIO",1,0)</formula>
    </cfRule>
  </conditionalFormatting>
  <conditionalFormatting sqref="E119">
    <cfRule type="expression" dxfId="1594" priority="1611">
      <formula>IF(#REF!="FICTICIO",1,0)</formula>
    </cfRule>
  </conditionalFormatting>
  <conditionalFormatting sqref="E119">
    <cfRule type="expression" dxfId="1593" priority="1610">
      <formula>IF(#REF!="FICTICIO",1,0)</formula>
    </cfRule>
  </conditionalFormatting>
  <conditionalFormatting sqref="E119">
    <cfRule type="expression" dxfId="1592" priority="1609">
      <formula>IF(#REF!="FICTICIO",1,0)</formula>
    </cfRule>
  </conditionalFormatting>
  <conditionalFormatting sqref="E119">
    <cfRule type="expression" dxfId="1591" priority="1608">
      <formula>IF(#REF!="FICTICIO",1,0)</formula>
    </cfRule>
  </conditionalFormatting>
  <conditionalFormatting sqref="E119">
    <cfRule type="expression" dxfId="1590" priority="1607">
      <formula>IF(#REF!="FICTICIO",1,0)</formula>
    </cfRule>
  </conditionalFormatting>
  <conditionalFormatting sqref="E119">
    <cfRule type="expression" dxfId="1589" priority="1606">
      <formula>IF(#REF!="FICTICIO",1,0)</formula>
    </cfRule>
  </conditionalFormatting>
  <conditionalFormatting sqref="E119">
    <cfRule type="expression" dxfId="1588" priority="1605">
      <formula>IF(#REF!="FICTICIO",1,0)</formula>
    </cfRule>
  </conditionalFormatting>
  <conditionalFormatting sqref="E119">
    <cfRule type="expression" dxfId="1587" priority="1604">
      <formula>IF(#REF!="FICTICIO",1,0)</formula>
    </cfRule>
  </conditionalFormatting>
  <conditionalFormatting sqref="E119">
    <cfRule type="expression" dxfId="1586" priority="1603">
      <formula>IF(#REF!="FICTICIO",1,0)</formula>
    </cfRule>
  </conditionalFormatting>
  <conditionalFormatting sqref="E119">
    <cfRule type="expression" dxfId="1585" priority="1602">
      <formula>IF(#REF!="FICTICIO",1,0)</formula>
    </cfRule>
  </conditionalFormatting>
  <conditionalFormatting sqref="E119">
    <cfRule type="expression" dxfId="1584" priority="1600">
      <formula>IF(#REF!="FICTICIO",1,0)</formula>
    </cfRule>
  </conditionalFormatting>
  <conditionalFormatting sqref="E119">
    <cfRule type="expression" dxfId="1583" priority="1601">
      <formula>IF(#REF!="FICTICIO",1,0)</formula>
    </cfRule>
  </conditionalFormatting>
  <conditionalFormatting sqref="E119">
    <cfRule type="expression" dxfId="1582" priority="1599">
      <formula>IF(#REF!="FICTICIO",1,0)</formula>
    </cfRule>
  </conditionalFormatting>
  <conditionalFormatting sqref="E119">
    <cfRule type="expression" dxfId="1581" priority="1598">
      <formula>IF(#REF!="FICTICIO",1,0)</formula>
    </cfRule>
  </conditionalFormatting>
  <conditionalFormatting sqref="F119">
    <cfRule type="expression" dxfId="1580" priority="1597">
      <formula>IF(#REF!="FICTICIO",1,0)</formula>
    </cfRule>
  </conditionalFormatting>
  <conditionalFormatting sqref="F119">
    <cfRule type="expression" dxfId="1579" priority="1596">
      <formula>IF(#REF!="FICTICIO",1,0)</formula>
    </cfRule>
  </conditionalFormatting>
  <conditionalFormatting sqref="F119">
    <cfRule type="expression" dxfId="1578" priority="1595">
      <formula>IF(#REF!="FICTICIO",1,0)</formula>
    </cfRule>
  </conditionalFormatting>
  <conditionalFormatting sqref="F119">
    <cfRule type="expression" dxfId="1577" priority="1594">
      <formula>IF(#REF!="FICTICIO",1,0)</formula>
    </cfRule>
  </conditionalFormatting>
  <conditionalFormatting sqref="F119">
    <cfRule type="expression" dxfId="1576" priority="1593">
      <formula>IF(#REF!="FICTICIO",1,0)</formula>
    </cfRule>
  </conditionalFormatting>
  <conditionalFormatting sqref="F119">
    <cfRule type="expression" dxfId="1575" priority="1592">
      <formula>IF(#REF!="FICTICIO",1,0)</formula>
    </cfRule>
  </conditionalFormatting>
  <conditionalFormatting sqref="F119">
    <cfRule type="expression" dxfId="1574" priority="1591">
      <formula>IF(#REF!="FICTICIO",1,0)</formula>
    </cfRule>
  </conditionalFormatting>
  <conditionalFormatting sqref="F119">
    <cfRule type="expression" dxfId="1573" priority="1590">
      <formula>IF(#REF!="FICTICIO",1,0)</formula>
    </cfRule>
  </conditionalFormatting>
  <conditionalFormatting sqref="F119">
    <cfRule type="expression" dxfId="1572" priority="1589">
      <formula>IF(#REF!="FICTICIO",1,0)</formula>
    </cfRule>
  </conditionalFormatting>
  <conditionalFormatting sqref="F119">
    <cfRule type="expression" dxfId="1571" priority="1588">
      <formula>IF(#REF!="FICTICIO",1,0)</formula>
    </cfRule>
  </conditionalFormatting>
  <conditionalFormatting sqref="F119">
    <cfRule type="expression" dxfId="1570" priority="1587">
      <formula>IF(#REF!="FICTICIO",1,0)</formula>
    </cfRule>
  </conditionalFormatting>
  <conditionalFormatting sqref="E119">
    <cfRule type="expression" dxfId="1569" priority="1586">
      <formula>IF(#REF!="FICTICIO",1,0)</formula>
    </cfRule>
  </conditionalFormatting>
  <conditionalFormatting sqref="E119">
    <cfRule type="expression" dxfId="1568" priority="1585">
      <formula>IF(#REF!="FICTICIO",1,0)</formula>
    </cfRule>
  </conditionalFormatting>
  <conditionalFormatting sqref="E119">
    <cfRule type="expression" dxfId="1567" priority="1584">
      <formula>IF(#REF!="FICTICIO",1,0)</formula>
    </cfRule>
  </conditionalFormatting>
  <conditionalFormatting sqref="E119">
    <cfRule type="expression" dxfId="1566" priority="1583">
      <formula>IF(#REF!="FICTICIO",1,0)</formula>
    </cfRule>
  </conditionalFormatting>
  <conditionalFormatting sqref="E119">
    <cfRule type="expression" dxfId="1565" priority="1582">
      <formula>IF(#REF!="FICTICIO",1,0)</formula>
    </cfRule>
  </conditionalFormatting>
  <conditionalFormatting sqref="E119">
    <cfRule type="expression" dxfId="1564" priority="1581">
      <formula>IF(#REF!="FICTICIO",1,0)</formula>
    </cfRule>
  </conditionalFormatting>
  <conditionalFormatting sqref="E119">
    <cfRule type="expression" dxfId="1563" priority="1580">
      <formula>IF(#REF!="FICTICIO",1,0)</formula>
    </cfRule>
  </conditionalFormatting>
  <conditionalFormatting sqref="E119">
    <cfRule type="expression" dxfId="1562" priority="1579">
      <formula>IF(#REF!="FICTICIO",1,0)</formula>
    </cfRule>
  </conditionalFormatting>
  <conditionalFormatting sqref="E119">
    <cfRule type="expression" dxfId="1561" priority="1578">
      <formula>IF(#REF!="FICTICIO",1,0)</formula>
    </cfRule>
  </conditionalFormatting>
  <conditionalFormatting sqref="E119">
    <cfRule type="expression" dxfId="1560" priority="1577">
      <formula>IF(#REF!="FICTICIO",1,0)</formula>
    </cfRule>
  </conditionalFormatting>
  <conditionalFormatting sqref="F119">
    <cfRule type="expression" dxfId="1559" priority="1576">
      <formula>IF(#REF!="FICTICIO",1,0)</formula>
    </cfRule>
  </conditionalFormatting>
  <conditionalFormatting sqref="E119">
    <cfRule type="expression" dxfId="1558" priority="1575">
      <formula>IF(#REF!="FICTICIO",1,0)</formula>
    </cfRule>
  </conditionalFormatting>
  <conditionalFormatting sqref="E119">
    <cfRule type="expression" dxfId="1557" priority="1574">
      <formula>IF(#REF!="FICTICIO",1,0)</formula>
    </cfRule>
  </conditionalFormatting>
  <conditionalFormatting sqref="E119">
    <cfRule type="expression" dxfId="1556" priority="1573">
      <formula>IF(#REF!="FICTICIO",1,0)</formula>
    </cfRule>
  </conditionalFormatting>
  <conditionalFormatting sqref="E119">
    <cfRule type="expression" dxfId="1555" priority="1572">
      <formula>IF(#REF!="FICTICIO",1,0)</formula>
    </cfRule>
  </conditionalFormatting>
  <conditionalFormatting sqref="E119">
    <cfRule type="expression" dxfId="1554" priority="1571">
      <formula>IF(#REF!="FICTICIO",1,0)</formula>
    </cfRule>
  </conditionalFormatting>
  <conditionalFormatting sqref="E119">
    <cfRule type="expression" dxfId="1553" priority="1570">
      <formula>IF(#REF!="FICTICIO",1,0)</formula>
    </cfRule>
  </conditionalFormatting>
  <conditionalFormatting sqref="E119">
    <cfRule type="expression" dxfId="1552" priority="1569">
      <formula>IF(#REF!="FICTICIO",1,0)</formula>
    </cfRule>
  </conditionalFormatting>
  <conditionalFormatting sqref="E119">
    <cfRule type="expression" dxfId="1551" priority="1568">
      <formula>IF(#REF!="FICTICIO",1,0)</formula>
    </cfRule>
  </conditionalFormatting>
  <conditionalFormatting sqref="E119">
    <cfRule type="expression" dxfId="1550" priority="1567">
      <formula>IF(#REF!="FICTICIO",1,0)</formula>
    </cfRule>
  </conditionalFormatting>
  <conditionalFormatting sqref="E119">
    <cfRule type="expression" dxfId="1549" priority="1562">
      <formula>IF(#REF!="FICTICIO",1,0)</formula>
    </cfRule>
  </conditionalFormatting>
  <conditionalFormatting sqref="E119">
    <cfRule type="expression" dxfId="1548" priority="1561">
      <formula>IF(#REF!="FICTICIO",1,0)</formula>
    </cfRule>
  </conditionalFormatting>
  <conditionalFormatting sqref="E119">
    <cfRule type="expression" dxfId="1547" priority="1560">
      <formula>IF(#REF!="FICTICIO",1,0)</formula>
    </cfRule>
  </conditionalFormatting>
  <conditionalFormatting sqref="E119">
    <cfRule type="expression" dxfId="1546" priority="1559">
      <formula>IF(#REF!="FICTICIO",1,0)</formula>
    </cfRule>
  </conditionalFormatting>
  <conditionalFormatting sqref="E119">
    <cfRule type="expression" dxfId="1545" priority="1558">
      <formula>IF(#REF!="FICTICIO",1,0)</formula>
    </cfRule>
  </conditionalFormatting>
  <conditionalFormatting sqref="E119">
    <cfRule type="expression" dxfId="1544" priority="1557">
      <formula>IF(#REF!="FICTICIO",1,0)</formula>
    </cfRule>
  </conditionalFormatting>
  <conditionalFormatting sqref="E119">
    <cfRule type="expression" dxfId="1543" priority="1556">
      <formula>IF(#REF!="FICTICIO",1,0)</formula>
    </cfRule>
  </conditionalFormatting>
  <conditionalFormatting sqref="E119">
    <cfRule type="expression" dxfId="1542" priority="1555">
      <formula>IF(#REF!="FICTICIO",1,0)</formula>
    </cfRule>
  </conditionalFormatting>
  <conditionalFormatting sqref="E119">
    <cfRule type="expression" dxfId="1541" priority="1554">
      <formula>IF(#REF!="FICTICIO",1,0)</formula>
    </cfRule>
  </conditionalFormatting>
  <conditionalFormatting sqref="E119">
    <cfRule type="expression" dxfId="1540" priority="1553">
      <formula>IF(#REF!="FICTICIO",1,0)</formula>
    </cfRule>
  </conditionalFormatting>
  <conditionalFormatting sqref="E119">
    <cfRule type="expression" dxfId="1539" priority="1552">
      <formula>IF(#REF!="FICTICIO",1,0)</formula>
    </cfRule>
  </conditionalFormatting>
  <conditionalFormatting sqref="E119">
    <cfRule type="expression" dxfId="1538" priority="1551">
      <formula>IF(#REF!="FICTICIO",1,0)</formula>
    </cfRule>
  </conditionalFormatting>
  <conditionalFormatting sqref="E119">
    <cfRule type="expression" dxfId="1537" priority="1550">
      <formula>IF(#REF!="FICTICIO",1,0)</formula>
    </cfRule>
  </conditionalFormatting>
  <conditionalFormatting sqref="F119">
    <cfRule type="expression" dxfId="1536" priority="1545">
      <formula>IF(#REF!="FICTICIO",1,0)</formula>
    </cfRule>
  </conditionalFormatting>
  <conditionalFormatting sqref="E119">
    <cfRule type="expression" dxfId="1535" priority="1544">
      <formula>IF(#REF!="FICTICIO",1,0)</formula>
    </cfRule>
  </conditionalFormatting>
  <conditionalFormatting sqref="E119">
    <cfRule type="expression" dxfId="1534" priority="1543">
      <formula>IF(#REF!="FICTICIO",1,0)</formula>
    </cfRule>
  </conditionalFormatting>
  <conditionalFormatting sqref="E119">
    <cfRule type="expression" dxfId="1533" priority="1542">
      <formula>IF(#REF!="FICTICIO",1,0)</formula>
    </cfRule>
  </conditionalFormatting>
  <conditionalFormatting sqref="E119">
    <cfRule type="expression" dxfId="1532" priority="1541">
      <formula>IF(#REF!="FICTICIO",1,0)</formula>
    </cfRule>
  </conditionalFormatting>
  <conditionalFormatting sqref="E119">
    <cfRule type="expression" dxfId="1531" priority="1540">
      <formula>IF(#REF!="FICTICIO",1,0)</formula>
    </cfRule>
  </conditionalFormatting>
  <conditionalFormatting sqref="E119">
    <cfRule type="expression" dxfId="1530" priority="1539">
      <formula>IF(#REF!="FICTICIO",1,0)</formula>
    </cfRule>
  </conditionalFormatting>
  <conditionalFormatting sqref="E119">
    <cfRule type="expression" dxfId="1529" priority="1530">
      <formula>IF(#REF!="FICTICIO",1,0)</formula>
    </cfRule>
  </conditionalFormatting>
  <conditionalFormatting sqref="E119">
    <cfRule type="expression" dxfId="1528" priority="1529">
      <formula>IF(#REF!="FICTICIO",1,0)</formula>
    </cfRule>
  </conditionalFormatting>
  <conditionalFormatting sqref="E119">
    <cfRule type="expression" dxfId="1527" priority="1528">
      <formula>IF(#REF!="FICTICIO",1,0)</formula>
    </cfRule>
  </conditionalFormatting>
  <conditionalFormatting sqref="E119">
    <cfRule type="expression" dxfId="1526" priority="1527">
      <formula>IF(#REF!="FICTICIO",1,0)</formula>
    </cfRule>
  </conditionalFormatting>
  <conditionalFormatting sqref="E119">
    <cfRule type="expression" dxfId="1525" priority="1526">
      <formula>IF(#REF!="FICTICIO",1,0)</formula>
    </cfRule>
  </conditionalFormatting>
  <conditionalFormatting sqref="E119">
    <cfRule type="expression" dxfId="1524" priority="1525">
      <formula>IF(#REF!="FICTICIO",1,0)</formula>
    </cfRule>
  </conditionalFormatting>
  <conditionalFormatting sqref="E119">
    <cfRule type="expression" dxfId="1523" priority="1524">
      <formula>IF(#REF!="FICTICIO",1,0)</formula>
    </cfRule>
  </conditionalFormatting>
  <conditionalFormatting sqref="E119">
    <cfRule type="expression" dxfId="1522" priority="1523">
      <formula>IF(#REF!="FICTICIO",1,0)</formula>
    </cfRule>
  </conditionalFormatting>
  <conditionalFormatting sqref="E119">
    <cfRule type="expression" dxfId="1521" priority="1522">
      <formula>IF(#REF!="FICTICIO",1,0)</formula>
    </cfRule>
  </conditionalFormatting>
  <conditionalFormatting sqref="E119">
    <cfRule type="expression" dxfId="1520" priority="1521">
      <formula>IF(#REF!="FICTICIO",1,0)</formula>
    </cfRule>
  </conditionalFormatting>
  <conditionalFormatting sqref="E119">
    <cfRule type="expression" dxfId="1519" priority="1520">
      <formula>IF(#REF!="FICTICIO",1,0)</formula>
    </cfRule>
  </conditionalFormatting>
  <conditionalFormatting sqref="E119">
    <cfRule type="expression" dxfId="1518" priority="1519">
      <formula>IF(#REF!="FICTICIO",1,0)</formula>
    </cfRule>
  </conditionalFormatting>
  <conditionalFormatting sqref="E119">
    <cfRule type="expression" dxfId="1517" priority="1518">
      <formula>IF(#REF!="FICTICIO",1,0)</formula>
    </cfRule>
  </conditionalFormatting>
  <conditionalFormatting sqref="E119">
    <cfRule type="expression" dxfId="1516" priority="1517">
      <formula>IF(#REF!="FICTICIO",1,0)</formula>
    </cfRule>
  </conditionalFormatting>
  <conditionalFormatting sqref="E119">
    <cfRule type="expression" dxfId="1515" priority="1516">
      <formula>IF(#REF!="FICTICIO",1,0)</formula>
    </cfRule>
  </conditionalFormatting>
  <conditionalFormatting sqref="E119">
    <cfRule type="expression" dxfId="1514" priority="1515">
      <formula>IF(#REF!="FICTICIO",1,0)</formula>
    </cfRule>
  </conditionalFormatting>
  <conditionalFormatting sqref="E119">
    <cfRule type="expression" dxfId="1513" priority="1514">
      <formula>IF(#REF!="FICTICIO",1,0)</formula>
    </cfRule>
  </conditionalFormatting>
  <conditionalFormatting sqref="E119">
    <cfRule type="expression" dxfId="1512" priority="1513">
      <formula>IF(#REF!="FICTICIO",1,0)</formula>
    </cfRule>
  </conditionalFormatting>
  <conditionalFormatting sqref="E119">
    <cfRule type="expression" dxfId="1511" priority="1512">
      <formula>IF(#REF!="FICTICIO",1,0)</formula>
    </cfRule>
  </conditionalFormatting>
  <conditionalFormatting sqref="E119">
    <cfRule type="expression" dxfId="1510" priority="1511">
      <formula>IF(#REF!="FICTICIO",1,0)</formula>
    </cfRule>
  </conditionalFormatting>
  <conditionalFormatting sqref="E119">
    <cfRule type="expression" dxfId="1509" priority="1510">
      <formula>IF(#REF!="FICTICIO",1,0)</formula>
    </cfRule>
  </conditionalFormatting>
  <conditionalFormatting sqref="E119">
    <cfRule type="expression" dxfId="1508" priority="1509">
      <formula>IF(#REF!="FICTICIO",1,0)</formula>
    </cfRule>
  </conditionalFormatting>
  <conditionalFormatting sqref="E119">
    <cfRule type="expression" dxfId="1507" priority="1508">
      <formula>IF(#REF!="FICTICIO",1,0)</formula>
    </cfRule>
  </conditionalFormatting>
  <conditionalFormatting sqref="E119">
    <cfRule type="expression" dxfId="1506" priority="1507">
      <formula>IF(#REF!="FICTICIO",1,0)</formula>
    </cfRule>
  </conditionalFormatting>
  <conditionalFormatting sqref="E119">
    <cfRule type="expression" dxfId="1505" priority="1506">
      <formula>IF(#REF!="FICTICIO",1,0)</formula>
    </cfRule>
  </conditionalFormatting>
  <conditionalFormatting sqref="E119">
    <cfRule type="expression" dxfId="1504" priority="1505">
      <formula>IF(#REF!="FICTICIO",1,0)</formula>
    </cfRule>
  </conditionalFormatting>
  <conditionalFormatting sqref="E119">
    <cfRule type="expression" dxfId="1503" priority="1504">
      <formula>IF(#REF!="FICTICIO",1,0)</formula>
    </cfRule>
  </conditionalFormatting>
  <conditionalFormatting sqref="E119">
    <cfRule type="expression" dxfId="1502" priority="1503">
      <formula>IF(#REF!="FICTICIO",1,0)</formula>
    </cfRule>
  </conditionalFormatting>
  <conditionalFormatting sqref="E119">
    <cfRule type="expression" dxfId="1501" priority="1502">
      <formula>IF(#REF!="FICTICIO",1,0)</formula>
    </cfRule>
  </conditionalFormatting>
  <conditionalFormatting sqref="E119">
    <cfRule type="expression" dxfId="1500" priority="1501">
      <formula>IF(#REF!="FICTICIO",1,0)</formula>
    </cfRule>
  </conditionalFormatting>
  <conditionalFormatting sqref="E119">
    <cfRule type="expression" dxfId="1499" priority="1500">
      <formula>IF(#REF!="FICTICIO",1,0)</formula>
    </cfRule>
  </conditionalFormatting>
  <conditionalFormatting sqref="E119">
    <cfRule type="expression" dxfId="1498" priority="1499">
      <formula>IF(#REF!="FICTICIO",1,0)</formula>
    </cfRule>
  </conditionalFormatting>
  <conditionalFormatting sqref="E119">
    <cfRule type="expression" dxfId="1497" priority="1498">
      <formula>IF(#REF!="FICTICIO",1,0)</formula>
    </cfRule>
  </conditionalFormatting>
  <conditionalFormatting sqref="E119">
    <cfRule type="expression" dxfId="1496" priority="1497">
      <formula>IF(#REF!="FICTICIO",1,0)</formula>
    </cfRule>
  </conditionalFormatting>
  <conditionalFormatting sqref="E119">
    <cfRule type="expression" dxfId="1495" priority="1496">
      <formula>IF(#REF!="FICTICIO",1,0)</formula>
    </cfRule>
  </conditionalFormatting>
  <conditionalFormatting sqref="E119">
    <cfRule type="expression" dxfId="1494" priority="1495">
      <formula>IF(#REF!="FICTICIO",1,0)</formula>
    </cfRule>
  </conditionalFormatting>
  <conditionalFormatting sqref="E119">
    <cfRule type="expression" dxfId="1493" priority="1494">
      <formula>IF(#REF!="FICTICIO",1,0)</formula>
    </cfRule>
  </conditionalFormatting>
  <conditionalFormatting sqref="E119">
    <cfRule type="expression" dxfId="1492" priority="1493">
      <formula>IF(#REF!="FICTICIO",1,0)</formula>
    </cfRule>
  </conditionalFormatting>
  <conditionalFormatting sqref="F119">
    <cfRule type="expression" dxfId="1491" priority="1492">
      <formula>IF(#REF!="FICTICIO",1,0)</formula>
    </cfRule>
  </conditionalFormatting>
  <conditionalFormatting sqref="F119">
    <cfRule type="expression" dxfId="1490" priority="1490">
      <formula>IF(#REF!="FICTICIO",1,0)</formula>
    </cfRule>
  </conditionalFormatting>
  <conditionalFormatting sqref="F119">
    <cfRule type="expression" dxfId="1489" priority="1491">
      <formula>IF(#REF!="FICTICIO",1,0)</formula>
    </cfRule>
  </conditionalFormatting>
  <conditionalFormatting sqref="D119">
    <cfRule type="expression" dxfId="1488" priority="1488">
      <formula>IF(#REF!="FICTICIO",1,0)</formula>
    </cfRule>
  </conditionalFormatting>
  <conditionalFormatting sqref="D119">
    <cfRule type="expression" dxfId="1487" priority="1489">
      <formula>IF(#REF!="FICTICIO",1,0)</formula>
    </cfRule>
  </conditionalFormatting>
  <conditionalFormatting sqref="D119">
    <cfRule type="expression" dxfId="1486" priority="1486">
      <formula>IF(#REF!="FICTICIO",1,0)</formula>
    </cfRule>
  </conditionalFormatting>
  <conditionalFormatting sqref="D119">
    <cfRule type="expression" dxfId="1485" priority="1487">
      <formula>IF(#REF!="FICTICIO",1,0)</formula>
    </cfRule>
  </conditionalFormatting>
  <conditionalFormatting sqref="D119">
    <cfRule type="expression" dxfId="1484" priority="1484">
      <formula>IF(#REF!="FICTICIO",1,0)</formula>
    </cfRule>
  </conditionalFormatting>
  <conditionalFormatting sqref="D119">
    <cfRule type="expression" dxfId="1483" priority="1485">
      <formula>IF(#REF!="FICTICIO",1,0)</formula>
    </cfRule>
  </conditionalFormatting>
  <conditionalFormatting sqref="D119">
    <cfRule type="expression" dxfId="1482" priority="1482">
      <formula>IF(#REF!="FICTICIO",1,0)</formula>
    </cfRule>
  </conditionalFormatting>
  <conditionalFormatting sqref="D119">
    <cfRule type="expression" dxfId="1481" priority="1483">
      <formula>IF(#REF!="FICTICIO",1,0)</formula>
    </cfRule>
  </conditionalFormatting>
  <conditionalFormatting sqref="D119">
    <cfRule type="expression" dxfId="1480" priority="1480">
      <formula>IF(#REF!="FICTICIO",1,0)</formula>
    </cfRule>
  </conditionalFormatting>
  <conditionalFormatting sqref="D119">
    <cfRule type="expression" dxfId="1479" priority="1481">
      <formula>IF(#REF!="FICTICIO",1,0)</formula>
    </cfRule>
  </conditionalFormatting>
  <conditionalFormatting sqref="D119">
    <cfRule type="expression" dxfId="1478" priority="1478">
      <formula>IF(#REF!="FICTICIO",1,0)</formula>
    </cfRule>
  </conditionalFormatting>
  <conditionalFormatting sqref="D119">
    <cfRule type="expression" dxfId="1477" priority="1479">
      <formula>IF(#REF!="FICTICIO",1,0)</formula>
    </cfRule>
  </conditionalFormatting>
  <conditionalFormatting sqref="D119">
    <cfRule type="expression" dxfId="1476" priority="1476">
      <formula>IF(#REF!="FICTICIO",1,0)</formula>
    </cfRule>
  </conditionalFormatting>
  <conditionalFormatting sqref="D119">
    <cfRule type="expression" dxfId="1475" priority="1477">
      <formula>IF(#REF!="FICTICIO",1,0)</formula>
    </cfRule>
  </conditionalFormatting>
  <conditionalFormatting sqref="D119">
    <cfRule type="expression" dxfId="1474" priority="1474">
      <formula>IF(#REF!="FICTICIO",1,0)</formula>
    </cfRule>
  </conditionalFormatting>
  <conditionalFormatting sqref="D119">
    <cfRule type="expression" dxfId="1473" priority="1475">
      <formula>IF(#REF!="FICTICIO",1,0)</formula>
    </cfRule>
  </conditionalFormatting>
  <conditionalFormatting sqref="D119">
    <cfRule type="expression" dxfId="1472" priority="1472">
      <formula>IF(#REF!="FICTICIO",1,0)</formula>
    </cfRule>
  </conditionalFormatting>
  <conditionalFormatting sqref="D119">
    <cfRule type="expression" dxfId="1471" priority="1473">
      <formula>IF(#REF!="FICTICIO",1,0)</formula>
    </cfRule>
  </conditionalFormatting>
  <conditionalFormatting sqref="D119">
    <cfRule type="expression" dxfId="1470" priority="1470">
      <formula>IF(#REF!="FICTICIO",1,0)</formula>
    </cfRule>
  </conditionalFormatting>
  <conditionalFormatting sqref="D119">
    <cfRule type="expression" dxfId="1469" priority="1471">
      <formula>IF(#REF!="FICTICIO",1,0)</formula>
    </cfRule>
  </conditionalFormatting>
  <conditionalFormatting sqref="D119">
    <cfRule type="expression" dxfId="1468" priority="1468">
      <formula>IF(#REF!="FICTICIO",1,0)</formula>
    </cfRule>
  </conditionalFormatting>
  <conditionalFormatting sqref="D119">
    <cfRule type="expression" dxfId="1467" priority="1469">
      <formula>IF(#REF!="FICTICIO",1,0)</formula>
    </cfRule>
  </conditionalFormatting>
  <conditionalFormatting sqref="D119">
    <cfRule type="expression" dxfId="1466" priority="1466">
      <formula>IF(#REF!="FICTICIO",1,0)</formula>
    </cfRule>
  </conditionalFormatting>
  <conditionalFormatting sqref="D119">
    <cfRule type="expression" dxfId="1465" priority="1467">
      <formula>IF(#REF!="FICTICIO",1,0)</formula>
    </cfRule>
  </conditionalFormatting>
  <conditionalFormatting sqref="D119">
    <cfRule type="expression" dxfId="1464" priority="1464">
      <formula>IF(#REF!="FICTICIO",1,0)</formula>
    </cfRule>
  </conditionalFormatting>
  <conditionalFormatting sqref="D119">
    <cfRule type="expression" dxfId="1463" priority="1465">
      <formula>IF(#REF!="FICTICIO",1,0)</formula>
    </cfRule>
  </conditionalFormatting>
  <conditionalFormatting sqref="D119">
    <cfRule type="expression" dxfId="1462" priority="1462">
      <formula>IF(#REF!="FICTICIO",1,0)</formula>
    </cfRule>
  </conditionalFormatting>
  <conditionalFormatting sqref="D119">
    <cfRule type="expression" dxfId="1461" priority="1463">
      <formula>IF(#REF!="FICTICIO",1,0)</formula>
    </cfRule>
  </conditionalFormatting>
  <conditionalFormatting sqref="D119">
    <cfRule type="expression" dxfId="1460" priority="1460">
      <formula>IF(#REF!="FICTICIO",1,0)</formula>
    </cfRule>
  </conditionalFormatting>
  <conditionalFormatting sqref="D119">
    <cfRule type="expression" dxfId="1459" priority="1461">
      <formula>IF(#REF!="FICTICIO",1,0)</formula>
    </cfRule>
  </conditionalFormatting>
  <conditionalFormatting sqref="D119">
    <cfRule type="expression" dxfId="1458" priority="1458">
      <formula>IF(#REF!="FICTICIO",1,0)</formula>
    </cfRule>
  </conditionalFormatting>
  <conditionalFormatting sqref="D119">
    <cfRule type="expression" dxfId="1457" priority="1459">
      <formula>IF(#REF!="FICTICIO",1,0)</formula>
    </cfRule>
  </conditionalFormatting>
  <conditionalFormatting sqref="E120">
    <cfRule type="expression" dxfId="1456" priority="1457">
      <formula>IF(#REF!="FICTICIO",1,0)</formula>
    </cfRule>
  </conditionalFormatting>
  <conditionalFormatting sqref="E120">
    <cfRule type="expression" dxfId="1455" priority="1456">
      <formula>IF(#REF!="FICTICIO",1,0)</formula>
    </cfRule>
  </conditionalFormatting>
  <conditionalFormatting sqref="E120">
    <cfRule type="expression" dxfId="1454" priority="1455">
      <formula>IF(#REF!="FICTICIO",1,0)</formula>
    </cfRule>
  </conditionalFormatting>
  <conditionalFormatting sqref="E120">
    <cfRule type="expression" dxfId="1453" priority="1454">
      <formula>IF(#REF!="FICTICIO",1,0)</formula>
    </cfRule>
  </conditionalFormatting>
  <conditionalFormatting sqref="E120">
    <cfRule type="expression" dxfId="1452" priority="1453">
      <formula>IF(#REF!="FICTICIO",1,0)</formula>
    </cfRule>
  </conditionalFormatting>
  <conditionalFormatting sqref="E120">
    <cfRule type="expression" dxfId="1451" priority="1452">
      <formula>IF(#REF!="FICTICIO",1,0)</formula>
    </cfRule>
  </conditionalFormatting>
  <conditionalFormatting sqref="E120">
    <cfRule type="expression" dxfId="1450" priority="1451">
      <formula>IF(#REF!="FICTICIO",1,0)</formula>
    </cfRule>
  </conditionalFormatting>
  <conditionalFormatting sqref="E120">
    <cfRule type="expression" dxfId="1449" priority="1450">
      <formula>IF(#REF!="FICTICIO",1,0)</formula>
    </cfRule>
  </conditionalFormatting>
  <conditionalFormatting sqref="E120">
    <cfRule type="expression" dxfId="1448" priority="1449">
      <formula>IF(#REF!="FICTICIO",1,0)</formula>
    </cfRule>
  </conditionalFormatting>
  <conditionalFormatting sqref="E120">
    <cfRule type="expression" dxfId="1447" priority="1448">
      <formula>IF(#REF!="FICTICIO",1,0)</formula>
    </cfRule>
  </conditionalFormatting>
  <conditionalFormatting sqref="E120">
    <cfRule type="expression" dxfId="1446" priority="1447">
      <formula>IF(#REF!="FICTICIO",1,0)</formula>
    </cfRule>
  </conditionalFormatting>
  <conditionalFormatting sqref="E120">
    <cfRule type="expression" dxfId="1445" priority="1446">
      <formula>IF(#REF!="FICTICIO",1,0)</formula>
    </cfRule>
  </conditionalFormatting>
  <conditionalFormatting sqref="E120">
    <cfRule type="expression" dxfId="1444" priority="1445">
      <formula>IF(#REF!="FICTICIO",1,0)</formula>
    </cfRule>
  </conditionalFormatting>
  <conditionalFormatting sqref="E120">
    <cfRule type="expression" dxfId="1443" priority="1444">
      <formula>IF(#REF!="FICTICIO",1,0)</formula>
    </cfRule>
  </conditionalFormatting>
  <conditionalFormatting sqref="E120">
    <cfRule type="expression" dxfId="1442" priority="1443">
      <formula>IF(#REF!="FICTICIO",1,0)</formula>
    </cfRule>
  </conditionalFormatting>
  <conditionalFormatting sqref="E120">
    <cfRule type="expression" dxfId="1441" priority="1442">
      <formula>IF(#REF!="FICTICIO",1,0)</formula>
    </cfRule>
  </conditionalFormatting>
  <conditionalFormatting sqref="E120">
    <cfRule type="expression" dxfId="1440" priority="1441">
      <formula>IF(#REF!="FICTICIO",1,0)</formula>
    </cfRule>
  </conditionalFormatting>
  <conditionalFormatting sqref="E120">
    <cfRule type="expression" dxfId="1439" priority="1440">
      <formula>IF(#REF!="FICTICIO",1,0)</formula>
    </cfRule>
  </conditionalFormatting>
  <conditionalFormatting sqref="E120">
    <cfRule type="expression" dxfId="1438" priority="1439">
      <formula>IF(#REF!="FICTICIO",1,0)</formula>
    </cfRule>
  </conditionalFormatting>
  <conditionalFormatting sqref="E120">
    <cfRule type="expression" dxfId="1437" priority="1438">
      <formula>IF(#REF!="FICTICIO",1,0)</formula>
    </cfRule>
  </conditionalFormatting>
  <conditionalFormatting sqref="E120">
    <cfRule type="expression" dxfId="1436" priority="1437">
      <formula>IF(#REF!="FICTICIO",1,0)</formula>
    </cfRule>
  </conditionalFormatting>
  <conditionalFormatting sqref="E120">
    <cfRule type="expression" dxfId="1435" priority="1436">
      <formula>IF(#REF!="FICTICIO",1,0)</formula>
    </cfRule>
  </conditionalFormatting>
  <conditionalFormatting sqref="E120">
    <cfRule type="expression" dxfId="1434" priority="1435">
      <formula>IF(#REF!="FICTICIO",1,0)</formula>
    </cfRule>
  </conditionalFormatting>
  <conditionalFormatting sqref="E120">
    <cfRule type="expression" dxfId="1433" priority="1434">
      <formula>IF(#REF!="FICTICIO",1,0)</formula>
    </cfRule>
  </conditionalFormatting>
  <conditionalFormatting sqref="E120">
    <cfRule type="expression" dxfId="1432" priority="1433">
      <formula>IF(#REF!="FICTICIO",1,0)</formula>
    </cfRule>
  </conditionalFormatting>
  <conditionalFormatting sqref="E120">
    <cfRule type="expression" dxfId="1431" priority="1432">
      <formula>IF(#REF!="FICTICIO",1,0)</formula>
    </cfRule>
  </conditionalFormatting>
  <conditionalFormatting sqref="E120">
    <cfRule type="expression" dxfId="1430" priority="1431">
      <formula>IF(#REF!="FICTICIO",1,0)</formula>
    </cfRule>
  </conditionalFormatting>
  <conditionalFormatting sqref="E120">
    <cfRule type="expression" dxfId="1429" priority="1430">
      <formula>IF(#REF!="FICTICIO",1,0)</formula>
    </cfRule>
  </conditionalFormatting>
  <conditionalFormatting sqref="E120">
    <cfRule type="expression" dxfId="1428" priority="1429">
      <formula>IF(#REF!="FICTICIO",1,0)</formula>
    </cfRule>
  </conditionalFormatting>
  <conditionalFormatting sqref="E120">
    <cfRule type="expression" dxfId="1427" priority="1428">
      <formula>IF(#REF!="FICTICIO",1,0)</formula>
    </cfRule>
  </conditionalFormatting>
  <conditionalFormatting sqref="E120">
    <cfRule type="expression" dxfId="1426" priority="1427">
      <formula>IF(#REF!="FICTICIO",1,0)</formula>
    </cfRule>
  </conditionalFormatting>
  <conditionalFormatting sqref="E120">
    <cfRule type="expression" dxfId="1425" priority="1426">
      <formula>IF(#REF!="FICTICIO",1,0)</formula>
    </cfRule>
  </conditionalFormatting>
  <conditionalFormatting sqref="E120">
    <cfRule type="expression" dxfId="1424" priority="1425">
      <formula>IF(#REF!="FICTICIO",1,0)</formula>
    </cfRule>
  </conditionalFormatting>
  <conditionalFormatting sqref="E120">
    <cfRule type="expression" dxfId="1423" priority="1424">
      <formula>IF(#REF!="FICTICIO",1,0)</formula>
    </cfRule>
  </conditionalFormatting>
  <conditionalFormatting sqref="E120">
    <cfRule type="expression" dxfId="1422" priority="1423">
      <formula>IF(#REF!="FICTICIO",1,0)</formula>
    </cfRule>
  </conditionalFormatting>
  <conditionalFormatting sqref="E120">
    <cfRule type="expression" dxfId="1421" priority="1422">
      <formula>IF(#REF!="FICTICIO",1,0)</formula>
    </cfRule>
  </conditionalFormatting>
  <conditionalFormatting sqref="E120">
    <cfRule type="expression" dxfId="1420" priority="1421">
      <formula>IF(#REF!="FICTICIO",1,0)</formula>
    </cfRule>
  </conditionalFormatting>
  <conditionalFormatting sqref="E120">
    <cfRule type="expression" dxfId="1419" priority="1420">
      <formula>IF(#REF!="FICTICIO",1,0)</formula>
    </cfRule>
  </conditionalFormatting>
  <conditionalFormatting sqref="E120">
    <cfRule type="expression" dxfId="1418" priority="1419">
      <formula>IF(#REF!="FICTICIO",1,0)</formula>
    </cfRule>
  </conditionalFormatting>
  <conditionalFormatting sqref="E120">
    <cfRule type="expression" dxfId="1417" priority="1418">
      <formula>IF(#REF!="FICTICIO",1,0)</formula>
    </cfRule>
  </conditionalFormatting>
  <conditionalFormatting sqref="E120">
    <cfRule type="expression" dxfId="1416" priority="1417">
      <formula>IF(#REF!="FICTICIO",1,0)</formula>
    </cfRule>
  </conditionalFormatting>
  <conditionalFormatting sqref="E120">
    <cfRule type="expression" dxfId="1415" priority="1416">
      <formula>IF(#REF!="FICTICIO",1,0)</formula>
    </cfRule>
  </conditionalFormatting>
  <conditionalFormatting sqref="E120">
    <cfRule type="expression" dxfId="1414" priority="1415">
      <formula>IF(#REF!="FICTICIO",1,0)</formula>
    </cfRule>
  </conditionalFormatting>
  <conditionalFormatting sqref="E120">
    <cfRule type="expression" dxfId="1413" priority="1414">
      <formula>IF(#REF!="FICTICIO",1,0)</formula>
    </cfRule>
  </conditionalFormatting>
  <conditionalFormatting sqref="E120">
    <cfRule type="expression" dxfId="1412" priority="1413">
      <formula>IF(#REF!="FICTICIO",1,0)</formula>
    </cfRule>
  </conditionalFormatting>
  <conditionalFormatting sqref="E120">
    <cfRule type="expression" dxfId="1411" priority="1412">
      <formula>IF(#REF!="FICTICIO",1,0)</formula>
    </cfRule>
  </conditionalFormatting>
  <conditionalFormatting sqref="E120">
    <cfRule type="expression" dxfId="1410" priority="1411">
      <formula>IF(#REF!="FICTICIO",1,0)</formula>
    </cfRule>
  </conditionalFormatting>
  <conditionalFormatting sqref="E120">
    <cfRule type="expression" dxfId="1409" priority="1410">
      <formula>IF(#REF!="FICTICIO",1,0)</formula>
    </cfRule>
  </conditionalFormatting>
  <conditionalFormatting sqref="E120">
    <cfRule type="expression" dxfId="1408" priority="1409">
      <formula>IF(#REF!="FICTICIO",1,0)</formula>
    </cfRule>
  </conditionalFormatting>
  <conditionalFormatting sqref="E120">
    <cfRule type="expression" dxfId="1407" priority="1408">
      <formula>IF(#REF!="FICTICIO",1,0)</formula>
    </cfRule>
  </conditionalFormatting>
  <conditionalFormatting sqref="E120">
    <cfRule type="expression" dxfId="1406" priority="1407">
      <formula>IF(#REF!="FICTICIO",1,0)</formula>
    </cfRule>
  </conditionalFormatting>
  <conditionalFormatting sqref="E120">
    <cfRule type="expression" dxfId="1405" priority="1406">
      <formula>IF(#REF!="FICTICIO",1,0)</formula>
    </cfRule>
  </conditionalFormatting>
  <conditionalFormatting sqref="E120">
    <cfRule type="expression" dxfId="1404" priority="1405">
      <formula>IF(#REF!="FICTICIO",1,0)</formula>
    </cfRule>
  </conditionalFormatting>
  <conditionalFormatting sqref="E120">
    <cfRule type="expression" dxfId="1403" priority="1404">
      <formula>IF(#REF!="FICTICIO",1,0)</formula>
    </cfRule>
  </conditionalFormatting>
  <conditionalFormatting sqref="E120">
    <cfRule type="expression" dxfId="1402" priority="1403">
      <formula>IF(#REF!="FICTICIO",1,0)</formula>
    </cfRule>
  </conditionalFormatting>
  <conditionalFormatting sqref="E120">
    <cfRule type="expression" dxfId="1401" priority="1402">
      <formula>IF(#REF!="FICTICIO",1,0)</formula>
    </cfRule>
  </conditionalFormatting>
  <conditionalFormatting sqref="E120">
    <cfRule type="expression" dxfId="1400" priority="1401">
      <formula>IF(#REF!="FICTICIO",1,0)</formula>
    </cfRule>
  </conditionalFormatting>
  <conditionalFormatting sqref="E120">
    <cfRule type="expression" dxfId="1399" priority="1400">
      <formula>IF(#REF!="FICTICIO",1,0)</formula>
    </cfRule>
  </conditionalFormatting>
  <conditionalFormatting sqref="E120">
    <cfRule type="expression" dxfId="1398" priority="1399">
      <formula>IF(#REF!="FICTICIO",1,0)</formula>
    </cfRule>
  </conditionalFormatting>
  <conditionalFormatting sqref="E120">
    <cfRule type="expression" dxfId="1397" priority="1398">
      <formula>IF(#REF!="FICTICIO",1,0)</formula>
    </cfRule>
  </conditionalFormatting>
  <conditionalFormatting sqref="E120">
    <cfRule type="expression" dxfId="1396" priority="1397">
      <formula>IF(#REF!="FICTICIO",1,0)</formula>
    </cfRule>
  </conditionalFormatting>
  <conditionalFormatting sqref="E120">
    <cfRule type="expression" dxfId="1395" priority="1396">
      <formula>IF(#REF!="FICTICIO",1,0)</formula>
    </cfRule>
  </conditionalFormatting>
  <conditionalFormatting sqref="E120">
    <cfRule type="expression" dxfId="1394" priority="1395">
      <formula>IF(#REF!="FICTICIO",1,0)</formula>
    </cfRule>
  </conditionalFormatting>
  <conditionalFormatting sqref="E120">
    <cfRule type="expression" dxfId="1393" priority="1394">
      <formula>IF(#REF!="FICTICIO",1,0)</formula>
    </cfRule>
  </conditionalFormatting>
  <conditionalFormatting sqref="E120">
    <cfRule type="expression" dxfId="1392" priority="1393">
      <formula>IF(#REF!="FICTICIO",1,0)</formula>
    </cfRule>
  </conditionalFormatting>
  <conditionalFormatting sqref="E120">
    <cfRule type="expression" dxfId="1391" priority="1392">
      <formula>IF(#REF!="FICTICIO",1,0)</formula>
    </cfRule>
  </conditionalFormatting>
  <conditionalFormatting sqref="E120">
    <cfRule type="expression" dxfId="1390" priority="1391">
      <formula>IF(#REF!="FICTICIO",1,0)</formula>
    </cfRule>
  </conditionalFormatting>
  <conditionalFormatting sqref="E120">
    <cfRule type="expression" dxfId="1389" priority="1390">
      <formula>IF(#REF!="FICTICIO",1,0)</formula>
    </cfRule>
  </conditionalFormatting>
  <conditionalFormatting sqref="E120">
    <cfRule type="expression" dxfId="1388" priority="1389">
      <formula>IF(#REF!="FICTICIO",1,0)</formula>
    </cfRule>
  </conditionalFormatting>
  <conditionalFormatting sqref="E120">
    <cfRule type="expression" dxfId="1387" priority="1388">
      <formula>IF(#REF!="FICTICIO",1,0)</formula>
    </cfRule>
  </conditionalFormatting>
  <conditionalFormatting sqref="E120">
    <cfRule type="expression" dxfId="1386" priority="1387">
      <formula>IF(#REF!="FICTICIO",1,0)</formula>
    </cfRule>
  </conditionalFormatting>
  <conditionalFormatting sqref="E120">
    <cfRule type="expression" dxfId="1385" priority="1386">
      <formula>IF(#REF!="FICTICIO",1,0)</formula>
    </cfRule>
  </conditionalFormatting>
  <conditionalFormatting sqref="E120">
    <cfRule type="expression" dxfId="1384" priority="1385">
      <formula>IF(#REF!="FICTICIO",1,0)</formula>
    </cfRule>
  </conditionalFormatting>
  <conditionalFormatting sqref="E120">
    <cfRule type="expression" dxfId="1383" priority="1384">
      <formula>IF(#REF!="FICTICIO",1,0)</formula>
    </cfRule>
  </conditionalFormatting>
  <conditionalFormatting sqref="E120">
    <cfRule type="expression" dxfId="1382" priority="1383">
      <formula>IF(#REF!="FICTICIO",1,0)</formula>
    </cfRule>
  </conditionalFormatting>
  <conditionalFormatting sqref="E120">
    <cfRule type="expression" dxfId="1381" priority="1382">
      <formula>IF(#REF!="FICTICIO",1,0)</formula>
    </cfRule>
  </conditionalFormatting>
  <conditionalFormatting sqref="E120">
    <cfRule type="expression" dxfId="1380" priority="1381">
      <formula>IF(#REF!="FICTICIO",1,0)</formula>
    </cfRule>
  </conditionalFormatting>
  <conditionalFormatting sqref="E120">
    <cfRule type="expression" dxfId="1379" priority="1380">
      <formula>IF(#REF!="FICTICIO",1,0)</formula>
    </cfRule>
  </conditionalFormatting>
  <conditionalFormatting sqref="E120">
    <cfRule type="expression" dxfId="1378" priority="1379">
      <formula>IF(#REF!="FICTICIO",1,0)</formula>
    </cfRule>
  </conditionalFormatting>
  <conditionalFormatting sqref="E120">
    <cfRule type="expression" dxfId="1377" priority="1378">
      <formula>IF(#REF!="FICTICIO",1,0)</formula>
    </cfRule>
  </conditionalFormatting>
  <conditionalFormatting sqref="E120">
    <cfRule type="expression" dxfId="1376" priority="1377">
      <formula>IF(#REF!="FICTICIO",1,0)</formula>
    </cfRule>
  </conditionalFormatting>
  <conditionalFormatting sqref="E120">
    <cfRule type="expression" dxfId="1375" priority="1376">
      <formula>IF(#REF!="FICTICIO",1,0)</formula>
    </cfRule>
  </conditionalFormatting>
  <conditionalFormatting sqref="E120">
    <cfRule type="expression" dxfId="1374" priority="1375">
      <formula>IF(#REF!="FICTICIO",1,0)</formula>
    </cfRule>
  </conditionalFormatting>
  <conditionalFormatting sqref="E120">
    <cfRule type="expression" dxfId="1373" priority="1374">
      <formula>IF(#REF!="FICTICIO",1,0)</formula>
    </cfRule>
  </conditionalFormatting>
  <conditionalFormatting sqref="E120">
    <cfRule type="expression" dxfId="1372" priority="1373">
      <formula>IF(#REF!="FICTICIO",1,0)</formula>
    </cfRule>
  </conditionalFormatting>
  <conditionalFormatting sqref="E120">
    <cfRule type="expression" dxfId="1371" priority="1372">
      <formula>IF(#REF!="FICTICIO",1,0)</formula>
    </cfRule>
  </conditionalFormatting>
  <conditionalFormatting sqref="F120">
    <cfRule type="expression" dxfId="1370" priority="1371">
      <formula>IF(#REF!="FICTICIO",1,0)</formula>
    </cfRule>
  </conditionalFormatting>
  <conditionalFormatting sqref="E120">
    <cfRule type="expression" dxfId="1369" priority="1370">
      <formula>IF(#REF!="FICTICIO",1,0)</formula>
    </cfRule>
  </conditionalFormatting>
  <conditionalFormatting sqref="E120">
    <cfRule type="expression" dxfId="1368" priority="1369">
      <formula>IF(#REF!="FICTICIO",1,0)</formula>
    </cfRule>
  </conditionalFormatting>
  <conditionalFormatting sqref="E120">
    <cfRule type="expression" dxfId="1367" priority="1368">
      <formula>IF(#REF!="FICTICIO",1,0)</formula>
    </cfRule>
  </conditionalFormatting>
  <conditionalFormatting sqref="E120">
    <cfRule type="expression" dxfId="1366" priority="1367">
      <formula>IF(#REF!="FICTICIO",1,0)</formula>
    </cfRule>
  </conditionalFormatting>
  <conditionalFormatting sqref="E120">
    <cfRule type="expression" dxfId="1365" priority="1366">
      <formula>IF(#REF!="FICTICIO",1,0)</formula>
    </cfRule>
  </conditionalFormatting>
  <conditionalFormatting sqref="E120">
    <cfRule type="expression" dxfId="1364" priority="1365">
      <formula>IF(#REF!="FICTICIO",1,0)</formula>
    </cfRule>
  </conditionalFormatting>
  <conditionalFormatting sqref="E120">
    <cfRule type="expression" dxfId="1363" priority="1364">
      <formula>IF(#REF!="FICTICIO",1,0)</formula>
    </cfRule>
  </conditionalFormatting>
  <conditionalFormatting sqref="E120">
    <cfRule type="expression" dxfId="1362" priority="1363">
      <formula>IF(#REF!="FICTICIO",1,0)</formula>
    </cfRule>
  </conditionalFormatting>
  <conditionalFormatting sqref="E120">
    <cfRule type="expression" dxfId="1361" priority="1362">
      <formula>IF(#REF!="FICTICIO",1,0)</formula>
    </cfRule>
  </conditionalFormatting>
  <conditionalFormatting sqref="E120">
    <cfRule type="expression" dxfId="1360" priority="1361">
      <formula>IF(#REF!="FICTICIO",1,0)</formula>
    </cfRule>
  </conditionalFormatting>
  <conditionalFormatting sqref="E120">
    <cfRule type="expression" dxfId="1359" priority="1360">
      <formula>IF(#REF!="FICTICIO",1,0)</formula>
    </cfRule>
  </conditionalFormatting>
  <conditionalFormatting sqref="E120">
    <cfRule type="expression" dxfId="1358" priority="1359">
      <formula>IF(#REF!="FICTICIO",1,0)</formula>
    </cfRule>
  </conditionalFormatting>
  <conditionalFormatting sqref="E120">
    <cfRule type="expression" dxfId="1357" priority="1358">
      <formula>IF(#REF!="FICTICIO",1,0)</formula>
    </cfRule>
  </conditionalFormatting>
  <conditionalFormatting sqref="E120">
    <cfRule type="expression" dxfId="1356" priority="1357">
      <formula>IF(#REF!="FICTICIO",1,0)</formula>
    </cfRule>
  </conditionalFormatting>
  <conditionalFormatting sqref="E120">
    <cfRule type="expression" dxfId="1355" priority="1356">
      <formula>IF(#REF!="FICTICIO",1,0)</formula>
    </cfRule>
  </conditionalFormatting>
  <conditionalFormatting sqref="E120">
    <cfRule type="expression" dxfId="1354" priority="1355">
      <formula>IF(#REF!="FICTICIO",1,0)</formula>
    </cfRule>
  </conditionalFormatting>
  <conditionalFormatting sqref="E120">
    <cfRule type="expression" dxfId="1353" priority="1354">
      <formula>IF(#REF!="FICTICIO",1,0)</formula>
    </cfRule>
  </conditionalFormatting>
  <conditionalFormatting sqref="E120">
    <cfRule type="expression" dxfId="1352" priority="1353">
      <formula>IF(#REF!="FICTICIO",1,0)</formula>
    </cfRule>
  </conditionalFormatting>
  <conditionalFormatting sqref="E120">
    <cfRule type="expression" dxfId="1351" priority="1352">
      <formula>IF(#REF!="FICTICIO",1,0)</formula>
    </cfRule>
  </conditionalFormatting>
  <conditionalFormatting sqref="E120">
    <cfRule type="expression" dxfId="1350" priority="1351">
      <formula>IF(#REF!="FICTICIO",1,0)</formula>
    </cfRule>
  </conditionalFormatting>
  <conditionalFormatting sqref="E120">
    <cfRule type="expression" dxfId="1349" priority="1350">
      <formula>IF(#REF!="FICTICIO",1,0)</formula>
    </cfRule>
  </conditionalFormatting>
  <conditionalFormatting sqref="E120">
    <cfRule type="expression" dxfId="1348" priority="1349">
      <formula>IF(#REF!="FICTICIO",1,0)</formula>
    </cfRule>
  </conditionalFormatting>
  <conditionalFormatting sqref="E120">
    <cfRule type="expression" dxfId="1347" priority="1348">
      <formula>IF(#REF!="FICTICIO",1,0)</formula>
    </cfRule>
  </conditionalFormatting>
  <conditionalFormatting sqref="E120">
    <cfRule type="expression" dxfId="1346" priority="1347">
      <formula>IF(#REF!="FICTICIO",1,0)</formula>
    </cfRule>
  </conditionalFormatting>
  <conditionalFormatting sqref="E120">
    <cfRule type="expression" dxfId="1345" priority="1346">
      <formula>IF(#REF!="FICTICIO",1,0)</formula>
    </cfRule>
  </conditionalFormatting>
  <conditionalFormatting sqref="F120">
    <cfRule type="expression" dxfId="1344" priority="1344">
      <formula>IF(#REF!="FICTICIO",1,0)</formula>
    </cfRule>
  </conditionalFormatting>
  <conditionalFormatting sqref="F120">
    <cfRule type="expression" dxfId="1343" priority="1345">
      <formula>IF(#REF!="FICTICIO",1,0)</formula>
    </cfRule>
  </conditionalFormatting>
  <conditionalFormatting sqref="E120">
    <cfRule type="expression" dxfId="1342" priority="1343">
      <formula>IF(#REF!="FICTICIO",1,0)</formula>
    </cfRule>
  </conditionalFormatting>
  <conditionalFormatting sqref="E120">
    <cfRule type="expression" dxfId="1341" priority="1342">
      <formula>IF(#REF!="FICTICIO",1,0)</formula>
    </cfRule>
  </conditionalFormatting>
  <conditionalFormatting sqref="E120">
    <cfRule type="expression" dxfId="1340" priority="1341">
      <formula>IF(#REF!="FICTICIO",1,0)</formula>
    </cfRule>
  </conditionalFormatting>
  <conditionalFormatting sqref="E120">
    <cfRule type="expression" dxfId="1339" priority="1340">
      <formula>IF(#REF!="FICTICIO",1,0)</formula>
    </cfRule>
  </conditionalFormatting>
  <conditionalFormatting sqref="E120">
    <cfRule type="expression" dxfId="1338" priority="1339">
      <formula>IF(#REF!="FICTICIO",1,0)</formula>
    </cfRule>
  </conditionalFormatting>
  <conditionalFormatting sqref="E120">
    <cfRule type="expression" dxfId="1337" priority="1338">
      <formula>IF(#REF!="FICTICIO",1,0)</formula>
    </cfRule>
  </conditionalFormatting>
  <conditionalFormatting sqref="E120">
    <cfRule type="expression" dxfId="1336" priority="1337">
      <formula>IF(#REF!="FICTICIO",1,0)</formula>
    </cfRule>
  </conditionalFormatting>
  <conditionalFormatting sqref="E120">
    <cfRule type="expression" dxfId="1335" priority="1336">
      <formula>IF(#REF!="FICTICIO",1,0)</formula>
    </cfRule>
  </conditionalFormatting>
  <conditionalFormatting sqref="E120">
    <cfRule type="expression" dxfId="1334" priority="1335">
      <formula>IF(#REF!="FICTICIO",1,0)</formula>
    </cfRule>
  </conditionalFormatting>
  <conditionalFormatting sqref="E120">
    <cfRule type="expression" dxfId="1333" priority="1334">
      <formula>IF(#REF!="FICTICIO",1,0)</formula>
    </cfRule>
  </conditionalFormatting>
  <conditionalFormatting sqref="E120">
    <cfRule type="expression" dxfId="1332" priority="1333">
      <formula>IF(#REF!="FICTICIO",1,0)</formula>
    </cfRule>
  </conditionalFormatting>
  <conditionalFormatting sqref="E120">
    <cfRule type="expression" dxfId="1331" priority="1332">
      <formula>IF(#REF!="FICTICIO",1,0)</formula>
    </cfRule>
  </conditionalFormatting>
  <conditionalFormatting sqref="E120">
    <cfRule type="expression" dxfId="1330" priority="1331">
      <formula>IF(#REF!="FICTICIO",1,0)</formula>
    </cfRule>
  </conditionalFormatting>
  <conditionalFormatting sqref="E120">
    <cfRule type="expression" dxfId="1329" priority="1330">
      <formula>IF(#REF!="FICTICIO",1,0)</formula>
    </cfRule>
  </conditionalFormatting>
  <conditionalFormatting sqref="E120">
    <cfRule type="expression" dxfId="1328" priority="1329">
      <formula>IF(#REF!="FICTICIO",1,0)</formula>
    </cfRule>
  </conditionalFormatting>
  <conditionalFormatting sqref="E120">
    <cfRule type="expression" dxfId="1327" priority="1328">
      <formula>IF(#REF!="FICTICIO",1,0)</formula>
    </cfRule>
  </conditionalFormatting>
  <conditionalFormatting sqref="E120">
    <cfRule type="expression" dxfId="1326" priority="1327">
      <formula>IF(#REF!="FICTICIO",1,0)</formula>
    </cfRule>
  </conditionalFormatting>
  <conditionalFormatting sqref="E120">
    <cfRule type="expression" dxfId="1325" priority="1326">
      <formula>IF(#REF!="FICTICIO",1,0)</formula>
    </cfRule>
  </conditionalFormatting>
  <conditionalFormatting sqref="E120">
    <cfRule type="expression" dxfId="1324" priority="1325">
      <formula>IF(#REF!="FICTICIO",1,0)</formula>
    </cfRule>
  </conditionalFormatting>
  <conditionalFormatting sqref="E120">
    <cfRule type="expression" dxfId="1323" priority="1324">
      <formula>IF(#REF!="FICTICIO",1,0)</formula>
    </cfRule>
  </conditionalFormatting>
  <conditionalFormatting sqref="E120">
    <cfRule type="expression" dxfId="1322" priority="1323">
      <formula>IF(#REF!="FICTICIO",1,0)</formula>
    </cfRule>
  </conditionalFormatting>
  <conditionalFormatting sqref="E120">
    <cfRule type="expression" dxfId="1321" priority="1322">
      <formula>IF(#REF!="FICTICIO",1,0)</formula>
    </cfRule>
  </conditionalFormatting>
  <conditionalFormatting sqref="E120">
    <cfRule type="expression" dxfId="1320" priority="1321">
      <formula>IF(#REF!="FICTICIO",1,0)</formula>
    </cfRule>
  </conditionalFormatting>
  <conditionalFormatting sqref="E120">
    <cfRule type="expression" dxfId="1319" priority="1320">
      <formula>IF(#REF!="FICTICIO",1,0)</formula>
    </cfRule>
  </conditionalFormatting>
  <conditionalFormatting sqref="E120">
    <cfRule type="expression" dxfId="1318" priority="1319">
      <formula>IF(#REF!="FICTICIO",1,0)</formula>
    </cfRule>
  </conditionalFormatting>
  <conditionalFormatting sqref="E120">
    <cfRule type="expression" dxfId="1317" priority="1318">
      <formula>IF(#REF!="FICTICIO",1,0)</formula>
    </cfRule>
  </conditionalFormatting>
  <conditionalFormatting sqref="E120">
    <cfRule type="expression" dxfId="1316" priority="1317">
      <formula>IF(#REF!="FICTICIO",1,0)</formula>
    </cfRule>
  </conditionalFormatting>
  <conditionalFormatting sqref="E120">
    <cfRule type="expression" dxfId="1315" priority="1316">
      <formula>IF(#REF!="FICTICIO",1,0)</formula>
    </cfRule>
  </conditionalFormatting>
  <conditionalFormatting sqref="E120">
    <cfRule type="expression" dxfId="1314" priority="1315">
      <formula>IF(#REF!="FICTICIO",1,0)</formula>
    </cfRule>
  </conditionalFormatting>
  <conditionalFormatting sqref="E120">
    <cfRule type="expression" dxfId="1313" priority="1314">
      <formula>IF(#REF!="FICTICIO",1,0)</formula>
    </cfRule>
  </conditionalFormatting>
  <conditionalFormatting sqref="E120">
    <cfRule type="expression" dxfId="1312" priority="1313">
      <formula>IF(#REF!="FICTICIO",1,0)</formula>
    </cfRule>
  </conditionalFormatting>
  <conditionalFormatting sqref="E120">
    <cfRule type="expression" dxfId="1311" priority="1312">
      <formula>IF(#REF!="FICTICIO",1,0)</formula>
    </cfRule>
  </conditionalFormatting>
  <conditionalFormatting sqref="E120">
    <cfRule type="expression" dxfId="1310" priority="1311">
      <formula>IF(#REF!="FICTICIO",1,0)</formula>
    </cfRule>
  </conditionalFormatting>
  <conditionalFormatting sqref="E120">
    <cfRule type="expression" dxfId="1309" priority="1310">
      <formula>IF(#REF!="FICTICIO",1,0)</formula>
    </cfRule>
  </conditionalFormatting>
  <conditionalFormatting sqref="E120">
    <cfRule type="expression" dxfId="1308" priority="1309">
      <formula>IF(#REF!="FICTICIO",1,0)</formula>
    </cfRule>
  </conditionalFormatting>
  <conditionalFormatting sqref="E120">
    <cfRule type="expression" dxfId="1307" priority="1308">
      <formula>IF(#REF!="FICTICIO",1,0)</formula>
    </cfRule>
  </conditionalFormatting>
  <conditionalFormatting sqref="E120">
    <cfRule type="expression" dxfId="1306" priority="1307">
      <formula>IF(#REF!="FICTICIO",1,0)</formula>
    </cfRule>
  </conditionalFormatting>
  <conditionalFormatting sqref="E120">
    <cfRule type="expression" dxfId="1305" priority="1306">
      <formula>IF(#REF!="FICTICIO",1,0)</formula>
    </cfRule>
  </conditionalFormatting>
  <conditionalFormatting sqref="E120">
    <cfRule type="expression" dxfId="1304" priority="1305">
      <formula>IF(#REF!="FICTICIO",1,0)</formula>
    </cfRule>
  </conditionalFormatting>
  <conditionalFormatting sqref="E120">
    <cfRule type="expression" dxfId="1303" priority="1304">
      <formula>IF(#REF!="FICTICIO",1,0)</formula>
    </cfRule>
  </conditionalFormatting>
  <conditionalFormatting sqref="E120">
    <cfRule type="expression" dxfId="1302" priority="1303">
      <formula>IF(#REF!="FICTICIO",1,0)</formula>
    </cfRule>
  </conditionalFormatting>
  <conditionalFormatting sqref="F120">
    <cfRule type="expression" dxfId="1301" priority="1301">
      <formula>IF(#REF!="FICTICIO",1,0)</formula>
    </cfRule>
  </conditionalFormatting>
  <conditionalFormatting sqref="F120">
    <cfRule type="expression" dxfId="1300" priority="1302">
      <formula>IF(#REF!="FICTICIO",1,0)</formula>
    </cfRule>
  </conditionalFormatting>
  <conditionalFormatting sqref="E120">
    <cfRule type="expression" dxfId="1299" priority="1300">
      <formula>IF(#REF!="FICTICIO",1,0)</formula>
    </cfRule>
  </conditionalFormatting>
  <conditionalFormatting sqref="E120">
    <cfRule type="expression" dxfId="1298" priority="1299">
      <formula>IF(#REF!="FICTICIO",1,0)</formula>
    </cfRule>
  </conditionalFormatting>
  <conditionalFormatting sqref="E120">
    <cfRule type="expression" dxfId="1297" priority="1298">
      <formula>IF(#REF!="FICTICIO",1,0)</formula>
    </cfRule>
  </conditionalFormatting>
  <conditionalFormatting sqref="E120">
    <cfRule type="expression" dxfId="1296" priority="1297">
      <formula>IF(#REF!="FICTICIO",1,0)</formula>
    </cfRule>
  </conditionalFormatting>
  <conditionalFormatting sqref="E120">
    <cfRule type="expression" dxfId="1295" priority="1295">
      <formula>IF(#REF!="FICTICIO",1,0)</formula>
    </cfRule>
  </conditionalFormatting>
  <conditionalFormatting sqref="E120">
    <cfRule type="expression" dxfId="1294" priority="1296">
      <formula>IF(#REF!="FICTICIO",1,0)</formula>
    </cfRule>
  </conditionalFormatting>
  <conditionalFormatting sqref="E120">
    <cfRule type="expression" dxfId="1293" priority="1294">
      <formula>IF(#REF!="FICTICIO",1,0)</formula>
    </cfRule>
  </conditionalFormatting>
  <conditionalFormatting sqref="E120">
    <cfRule type="expression" dxfId="1292" priority="1293">
      <formula>IF(#REF!="FICTICIO",1,0)</formula>
    </cfRule>
  </conditionalFormatting>
  <conditionalFormatting sqref="E120">
    <cfRule type="expression" dxfId="1291" priority="1292">
      <formula>IF(#REF!="FICTICIO",1,0)</formula>
    </cfRule>
  </conditionalFormatting>
  <conditionalFormatting sqref="E120">
    <cfRule type="expression" dxfId="1290" priority="1291">
      <formula>IF(#REF!="FICTICIO",1,0)</formula>
    </cfRule>
  </conditionalFormatting>
  <conditionalFormatting sqref="E120">
    <cfRule type="expression" dxfId="1289" priority="1290">
      <formula>IF(#REF!="FICTICIO",1,0)</formula>
    </cfRule>
  </conditionalFormatting>
  <conditionalFormatting sqref="E120">
    <cfRule type="expression" dxfId="1288" priority="1289">
      <formula>IF(#REF!="FICTICIO",1,0)</formula>
    </cfRule>
  </conditionalFormatting>
  <conditionalFormatting sqref="E120">
    <cfRule type="expression" dxfId="1287" priority="1288">
      <formula>IF(#REF!="FICTICIO",1,0)</formula>
    </cfRule>
  </conditionalFormatting>
  <conditionalFormatting sqref="E120">
    <cfRule type="expression" dxfId="1286" priority="1287">
      <formula>IF(#REF!="FICTICIO",1,0)</formula>
    </cfRule>
  </conditionalFormatting>
  <conditionalFormatting sqref="E120">
    <cfRule type="expression" dxfId="1285" priority="1286">
      <formula>IF(#REF!="FICTICIO",1,0)</formula>
    </cfRule>
  </conditionalFormatting>
  <conditionalFormatting sqref="E120">
    <cfRule type="expression" dxfId="1284" priority="1285">
      <formula>IF(#REF!="FICTICIO",1,0)</formula>
    </cfRule>
  </conditionalFormatting>
  <conditionalFormatting sqref="E120">
    <cfRule type="expression" dxfId="1283" priority="1284">
      <formula>IF(#REF!="FICTICIO",1,0)</formula>
    </cfRule>
  </conditionalFormatting>
  <conditionalFormatting sqref="E120">
    <cfRule type="expression" dxfId="1282" priority="1283">
      <formula>IF(#REF!="FICTICIO",1,0)</formula>
    </cfRule>
  </conditionalFormatting>
  <conditionalFormatting sqref="E120">
    <cfRule type="expression" dxfId="1281" priority="1282">
      <formula>IF(#REF!="FICTICIO",1,0)</formula>
    </cfRule>
  </conditionalFormatting>
  <conditionalFormatting sqref="E120">
    <cfRule type="expression" dxfId="1280" priority="1281">
      <formula>IF(#REF!="FICTICIO",1,0)</formula>
    </cfRule>
  </conditionalFormatting>
  <conditionalFormatting sqref="E120">
    <cfRule type="expression" dxfId="1279" priority="1280">
      <formula>IF(#REF!="FICTICIO",1,0)</formula>
    </cfRule>
  </conditionalFormatting>
  <conditionalFormatting sqref="E120">
    <cfRule type="expression" dxfId="1278" priority="1279">
      <formula>IF(#REF!="FICTICIO",1,0)</formula>
    </cfRule>
  </conditionalFormatting>
  <conditionalFormatting sqref="E120">
    <cfRule type="expression" dxfId="1277" priority="1278">
      <formula>IF(#REF!="FICTICIO",1,0)</formula>
    </cfRule>
  </conditionalFormatting>
  <conditionalFormatting sqref="E120">
    <cfRule type="expression" dxfId="1276" priority="1277">
      <formula>IF(#REF!="FICTICIO",1,0)</formula>
    </cfRule>
  </conditionalFormatting>
  <conditionalFormatting sqref="E120">
    <cfRule type="expression" dxfId="1275" priority="1276">
      <formula>IF(#REF!="FICTICIO",1,0)</formula>
    </cfRule>
  </conditionalFormatting>
  <conditionalFormatting sqref="E120">
    <cfRule type="expression" dxfId="1274" priority="1275">
      <formula>IF(#REF!="FICTICIO",1,0)</formula>
    </cfRule>
  </conditionalFormatting>
  <conditionalFormatting sqref="E120">
    <cfRule type="expression" dxfId="1273" priority="1274">
      <formula>IF(#REF!="FICTICIO",1,0)</formula>
    </cfRule>
  </conditionalFormatting>
  <conditionalFormatting sqref="E120">
    <cfRule type="expression" dxfId="1272" priority="1273">
      <formula>IF(#REF!="FICTICIO",1,0)</formula>
    </cfRule>
  </conditionalFormatting>
  <conditionalFormatting sqref="E120">
    <cfRule type="expression" dxfId="1271" priority="1272">
      <formula>IF(#REF!="FICTICIO",1,0)</formula>
    </cfRule>
  </conditionalFormatting>
  <conditionalFormatting sqref="E120">
    <cfRule type="expression" dxfId="1270" priority="1271">
      <formula>IF(#REF!="FICTICIO",1,0)</formula>
    </cfRule>
  </conditionalFormatting>
  <conditionalFormatting sqref="E120">
    <cfRule type="expression" dxfId="1269" priority="1270">
      <formula>IF(#REF!="FICTICIO",1,0)</formula>
    </cfRule>
  </conditionalFormatting>
  <conditionalFormatting sqref="E120">
    <cfRule type="expression" dxfId="1268" priority="1269">
      <formula>IF(#REF!="FICTICIO",1,0)</formula>
    </cfRule>
  </conditionalFormatting>
  <conditionalFormatting sqref="E120">
    <cfRule type="expression" dxfId="1267" priority="1268">
      <formula>IF(#REF!="FICTICIO",1,0)</formula>
    </cfRule>
  </conditionalFormatting>
  <conditionalFormatting sqref="E120">
    <cfRule type="expression" dxfId="1266" priority="1267">
      <formula>IF(#REF!="FICTICIO",1,0)</formula>
    </cfRule>
  </conditionalFormatting>
  <conditionalFormatting sqref="E120">
    <cfRule type="expression" dxfId="1265" priority="1266">
      <formula>IF(#REF!="FICTICIO",1,0)</formula>
    </cfRule>
  </conditionalFormatting>
  <conditionalFormatting sqref="E120">
    <cfRule type="expression" dxfId="1264" priority="1265">
      <formula>IF(#REF!="FICTICIO",1,0)</formula>
    </cfRule>
  </conditionalFormatting>
  <conditionalFormatting sqref="E120">
    <cfRule type="expression" dxfId="1263" priority="1264">
      <formula>IF(#REF!="FICTICIO",1,0)</formula>
    </cfRule>
  </conditionalFormatting>
  <conditionalFormatting sqref="E120">
    <cfRule type="expression" dxfId="1262" priority="1263">
      <formula>IF(#REF!="FICTICIO",1,0)</formula>
    </cfRule>
  </conditionalFormatting>
  <conditionalFormatting sqref="E120">
    <cfRule type="expression" dxfId="1261" priority="1261">
      <formula>IF(#REF!="FICTICIO",1,0)</formula>
    </cfRule>
  </conditionalFormatting>
  <conditionalFormatting sqref="E120">
    <cfRule type="expression" dxfId="1260" priority="1262">
      <formula>IF(#REF!="FICTICIO",1,0)</formula>
    </cfRule>
  </conditionalFormatting>
  <conditionalFormatting sqref="E120">
    <cfRule type="expression" dxfId="1259" priority="1260">
      <formula>IF(#REF!="FICTICIO",1,0)</formula>
    </cfRule>
  </conditionalFormatting>
  <conditionalFormatting sqref="E120">
    <cfRule type="expression" dxfId="1258" priority="1259">
      <formula>IF(#REF!="FICTICIO",1,0)</formula>
    </cfRule>
  </conditionalFormatting>
  <conditionalFormatting sqref="F120">
    <cfRule type="expression" dxfId="1257" priority="1258">
      <formula>IF(#REF!="FICTICIO",1,0)</formula>
    </cfRule>
  </conditionalFormatting>
  <conditionalFormatting sqref="F120">
    <cfRule type="expression" dxfId="1256" priority="1257">
      <formula>IF(#REF!="FICTICIO",1,0)</formula>
    </cfRule>
  </conditionalFormatting>
  <conditionalFormatting sqref="F120">
    <cfRule type="expression" dxfId="1255" priority="1256">
      <formula>IF(#REF!="FICTICIO",1,0)</formula>
    </cfRule>
  </conditionalFormatting>
  <conditionalFormatting sqref="F120">
    <cfRule type="expression" dxfId="1254" priority="1255">
      <formula>IF(#REF!="FICTICIO",1,0)</formula>
    </cfRule>
  </conditionalFormatting>
  <conditionalFormatting sqref="F120">
    <cfRule type="expression" dxfId="1253" priority="1254">
      <formula>IF(#REF!="FICTICIO",1,0)</formula>
    </cfRule>
  </conditionalFormatting>
  <conditionalFormatting sqref="F120">
    <cfRule type="expression" dxfId="1252" priority="1253">
      <formula>IF(#REF!="FICTICIO",1,0)</formula>
    </cfRule>
  </conditionalFormatting>
  <conditionalFormatting sqref="F120">
    <cfRule type="expression" dxfId="1251" priority="1252">
      <formula>IF(#REF!="FICTICIO",1,0)</formula>
    </cfRule>
  </conditionalFormatting>
  <conditionalFormatting sqref="F120">
    <cfRule type="expression" dxfId="1250" priority="1251">
      <formula>IF(#REF!="FICTICIO",1,0)</formula>
    </cfRule>
  </conditionalFormatting>
  <conditionalFormatting sqref="F120">
    <cfRule type="expression" dxfId="1249" priority="1250">
      <formula>IF(#REF!="FICTICIO",1,0)</formula>
    </cfRule>
  </conditionalFormatting>
  <conditionalFormatting sqref="F120">
    <cfRule type="expression" dxfId="1248" priority="1249">
      <formula>IF(#REF!="FICTICIO",1,0)</formula>
    </cfRule>
  </conditionalFormatting>
  <conditionalFormatting sqref="F120">
    <cfRule type="expression" dxfId="1247" priority="1248">
      <formula>IF(#REF!="FICTICIO",1,0)</formula>
    </cfRule>
  </conditionalFormatting>
  <conditionalFormatting sqref="E120">
    <cfRule type="expression" dxfId="1246" priority="1247">
      <formula>IF(#REF!="FICTICIO",1,0)</formula>
    </cfRule>
  </conditionalFormatting>
  <conditionalFormatting sqref="E120">
    <cfRule type="expression" dxfId="1245" priority="1246">
      <formula>IF(#REF!="FICTICIO",1,0)</formula>
    </cfRule>
  </conditionalFormatting>
  <conditionalFormatting sqref="E120">
    <cfRule type="expression" dxfId="1244" priority="1245">
      <formula>IF(#REF!="FICTICIO",1,0)</formula>
    </cfRule>
  </conditionalFormatting>
  <conditionalFormatting sqref="E120">
    <cfRule type="expression" dxfId="1243" priority="1244">
      <formula>IF(#REF!="FICTICIO",1,0)</formula>
    </cfRule>
  </conditionalFormatting>
  <conditionalFormatting sqref="E120">
    <cfRule type="expression" dxfId="1242" priority="1243">
      <formula>IF(#REF!="FICTICIO",1,0)</formula>
    </cfRule>
  </conditionalFormatting>
  <conditionalFormatting sqref="E120">
    <cfRule type="expression" dxfId="1241" priority="1242">
      <formula>IF(#REF!="FICTICIO",1,0)</formula>
    </cfRule>
  </conditionalFormatting>
  <conditionalFormatting sqref="E120">
    <cfRule type="expression" dxfId="1240" priority="1241">
      <formula>IF(#REF!="FICTICIO",1,0)</formula>
    </cfRule>
  </conditionalFormatting>
  <conditionalFormatting sqref="E120">
    <cfRule type="expression" dxfId="1239" priority="1240">
      <formula>IF(#REF!="FICTICIO",1,0)</formula>
    </cfRule>
  </conditionalFormatting>
  <conditionalFormatting sqref="E120">
    <cfRule type="expression" dxfId="1238" priority="1239">
      <formula>IF(#REF!="FICTICIO",1,0)</formula>
    </cfRule>
  </conditionalFormatting>
  <conditionalFormatting sqref="E120">
    <cfRule type="expression" dxfId="1237" priority="1238">
      <formula>IF(#REF!="FICTICIO",1,0)</formula>
    </cfRule>
  </conditionalFormatting>
  <conditionalFormatting sqref="F120">
    <cfRule type="expression" dxfId="1236" priority="1237">
      <formula>IF(#REF!="FICTICIO",1,0)</formula>
    </cfRule>
  </conditionalFormatting>
  <conditionalFormatting sqref="E120">
    <cfRule type="expression" dxfId="1235" priority="1236">
      <formula>IF(#REF!="FICTICIO",1,0)</formula>
    </cfRule>
  </conditionalFormatting>
  <conditionalFormatting sqref="E120">
    <cfRule type="expression" dxfId="1234" priority="1235">
      <formula>IF(#REF!="FICTICIO",1,0)</formula>
    </cfRule>
  </conditionalFormatting>
  <conditionalFormatting sqref="E120">
    <cfRule type="expression" dxfId="1233" priority="1234">
      <formula>IF(#REF!="FICTICIO",1,0)</formula>
    </cfRule>
  </conditionalFormatting>
  <conditionalFormatting sqref="E120">
    <cfRule type="expression" dxfId="1232" priority="1233">
      <formula>IF(#REF!="FICTICIO",1,0)</formula>
    </cfRule>
  </conditionalFormatting>
  <conditionalFormatting sqref="E120">
    <cfRule type="expression" dxfId="1231" priority="1232">
      <formula>IF(#REF!="FICTICIO",1,0)</formula>
    </cfRule>
  </conditionalFormatting>
  <conditionalFormatting sqref="E120">
    <cfRule type="expression" dxfId="1230" priority="1231">
      <formula>IF(#REF!="FICTICIO",1,0)</formula>
    </cfRule>
  </conditionalFormatting>
  <conditionalFormatting sqref="E120">
    <cfRule type="expression" dxfId="1229" priority="1230">
      <formula>IF(#REF!="FICTICIO",1,0)</formula>
    </cfRule>
  </conditionalFormatting>
  <conditionalFormatting sqref="E120">
    <cfRule type="expression" dxfId="1228" priority="1229">
      <formula>IF(#REF!="FICTICIO",1,0)</formula>
    </cfRule>
  </conditionalFormatting>
  <conditionalFormatting sqref="E120">
    <cfRule type="expression" dxfId="1227" priority="1228">
      <formula>IF(#REF!="FICTICIO",1,0)</formula>
    </cfRule>
  </conditionalFormatting>
  <conditionalFormatting sqref="E120">
    <cfRule type="expression" dxfId="1226" priority="1227">
      <formula>IF(#REF!="FICTICIO",1,0)</formula>
    </cfRule>
  </conditionalFormatting>
  <conditionalFormatting sqref="E120">
    <cfRule type="expression" dxfId="1225" priority="1226">
      <formula>IF(#REF!="FICTICIO",1,0)</formula>
    </cfRule>
  </conditionalFormatting>
  <conditionalFormatting sqref="E120">
    <cfRule type="expression" dxfId="1224" priority="1225">
      <formula>IF(#REF!="FICTICIO",1,0)</formula>
    </cfRule>
  </conditionalFormatting>
  <conditionalFormatting sqref="E120">
    <cfRule type="expression" dxfId="1223" priority="1224">
      <formula>IF(#REF!="FICTICIO",1,0)</formula>
    </cfRule>
  </conditionalFormatting>
  <conditionalFormatting sqref="E120">
    <cfRule type="expression" dxfId="1222" priority="1223">
      <formula>IF(#REF!="FICTICIO",1,0)</formula>
    </cfRule>
  </conditionalFormatting>
  <conditionalFormatting sqref="E120">
    <cfRule type="expression" dxfId="1221" priority="1222">
      <formula>IF(#REF!="FICTICIO",1,0)</formula>
    </cfRule>
  </conditionalFormatting>
  <conditionalFormatting sqref="E120">
    <cfRule type="expression" dxfId="1220" priority="1221">
      <formula>IF(#REF!="FICTICIO",1,0)</formula>
    </cfRule>
  </conditionalFormatting>
  <conditionalFormatting sqref="E120">
    <cfRule type="expression" dxfId="1219" priority="1220">
      <formula>IF(#REF!="FICTICIO",1,0)</formula>
    </cfRule>
  </conditionalFormatting>
  <conditionalFormatting sqref="E120">
    <cfRule type="expression" dxfId="1218" priority="1219">
      <formula>IF(#REF!="FICTICIO",1,0)</formula>
    </cfRule>
  </conditionalFormatting>
  <conditionalFormatting sqref="E120">
    <cfRule type="expression" dxfId="1217" priority="1218">
      <formula>IF(#REF!="FICTICIO",1,0)</formula>
    </cfRule>
  </conditionalFormatting>
  <conditionalFormatting sqref="E120">
    <cfRule type="expression" dxfId="1216" priority="1217">
      <formula>IF(#REF!="FICTICIO",1,0)</formula>
    </cfRule>
  </conditionalFormatting>
  <conditionalFormatting sqref="E120">
    <cfRule type="expression" dxfId="1215" priority="1216">
      <formula>IF(#REF!="FICTICIO",1,0)</formula>
    </cfRule>
  </conditionalFormatting>
  <conditionalFormatting sqref="E120">
    <cfRule type="expression" dxfId="1214" priority="1215">
      <formula>IF(#REF!="FICTICIO",1,0)</formula>
    </cfRule>
  </conditionalFormatting>
  <conditionalFormatting sqref="F120">
    <cfRule type="expression" dxfId="1213" priority="1214">
      <formula>IF(#REF!="FICTICIO",1,0)</formula>
    </cfRule>
  </conditionalFormatting>
  <conditionalFormatting sqref="E120">
    <cfRule type="expression" dxfId="1212" priority="1213">
      <formula>IF(#REF!="FICTICIO",1,0)</formula>
    </cfRule>
  </conditionalFormatting>
  <conditionalFormatting sqref="E120">
    <cfRule type="expression" dxfId="1211" priority="1212">
      <formula>IF(#REF!="FICTICIO",1,0)</formula>
    </cfRule>
  </conditionalFormatting>
  <conditionalFormatting sqref="E120">
    <cfRule type="expression" dxfId="1210" priority="1211">
      <formula>IF(#REF!="FICTICIO",1,0)</formula>
    </cfRule>
  </conditionalFormatting>
  <conditionalFormatting sqref="E120">
    <cfRule type="expression" dxfId="1209" priority="1210">
      <formula>IF(#REF!="FICTICIO",1,0)</formula>
    </cfRule>
  </conditionalFormatting>
  <conditionalFormatting sqref="E120">
    <cfRule type="expression" dxfId="1208" priority="1209">
      <formula>IF(#REF!="FICTICIO",1,0)</formula>
    </cfRule>
  </conditionalFormatting>
  <conditionalFormatting sqref="E120">
    <cfRule type="expression" dxfId="1207" priority="1208">
      <formula>IF(#REF!="FICTICIO",1,0)</formula>
    </cfRule>
  </conditionalFormatting>
  <conditionalFormatting sqref="E120">
    <cfRule type="expression" dxfId="1206" priority="1207">
      <formula>IF(#REF!="FICTICIO",1,0)</formula>
    </cfRule>
  </conditionalFormatting>
  <conditionalFormatting sqref="E120">
    <cfRule type="expression" dxfId="1205" priority="1206">
      <formula>IF(#REF!="FICTICIO",1,0)</formula>
    </cfRule>
  </conditionalFormatting>
  <conditionalFormatting sqref="E120">
    <cfRule type="expression" dxfId="1204" priority="1205">
      <formula>IF(#REF!="FICTICIO",1,0)</formula>
    </cfRule>
  </conditionalFormatting>
  <conditionalFormatting sqref="E120">
    <cfRule type="expression" dxfId="1203" priority="1204">
      <formula>IF(#REF!="FICTICIO",1,0)</formula>
    </cfRule>
  </conditionalFormatting>
  <conditionalFormatting sqref="E120">
    <cfRule type="expression" dxfId="1202" priority="1203">
      <formula>IF(#REF!="FICTICIO",1,0)</formula>
    </cfRule>
  </conditionalFormatting>
  <conditionalFormatting sqref="E120">
    <cfRule type="expression" dxfId="1201" priority="1202">
      <formula>IF(#REF!="FICTICIO",1,0)</formula>
    </cfRule>
  </conditionalFormatting>
  <conditionalFormatting sqref="E120">
    <cfRule type="expression" dxfId="1200" priority="1201">
      <formula>IF(#REF!="FICTICIO",1,0)</formula>
    </cfRule>
  </conditionalFormatting>
  <conditionalFormatting sqref="E120">
    <cfRule type="expression" dxfId="1199" priority="1200">
      <formula>IF(#REF!="FICTICIO",1,0)</formula>
    </cfRule>
  </conditionalFormatting>
  <conditionalFormatting sqref="E120">
    <cfRule type="expression" dxfId="1198" priority="1199">
      <formula>IF(#REF!="FICTICIO",1,0)</formula>
    </cfRule>
  </conditionalFormatting>
  <conditionalFormatting sqref="E120">
    <cfRule type="expression" dxfId="1197" priority="1198">
      <formula>IF(#REF!="FICTICIO",1,0)</formula>
    </cfRule>
  </conditionalFormatting>
  <conditionalFormatting sqref="E120">
    <cfRule type="expression" dxfId="1196" priority="1197">
      <formula>IF(#REF!="FICTICIO",1,0)</formula>
    </cfRule>
  </conditionalFormatting>
  <conditionalFormatting sqref="E120">
    <cfRule type="expression" dxfId="1195" priority="1196">
      <formula>IF(#REF!="FICTICIO",1,0)</formula>
    </cfRule>
  </conditionalFormatting>
  <conditionalFormatting sqref="E120">
    <cfRule type="expression" dxfId="1194" priority="1195">
      <formula>IF(#REF!="FICTICIO",1,0)</formula>
    </cfRule>
  </conditionalFormatting>
  <conditionalFormatting sqref="E120">
    <cfRule type="expression" dxfId="1193" priority="1194">
      <formula>IF(#REF!="FICTICIO",1,0)</formula>
    </cfRule>
  </conditionalFormatting>
  <conditionalFormatting sqref="E120">
    <cfRule type="expression" dxfId="1192" priority="1193">
      <formula>IF(#REF!="FICTICIO",1,0)</formula>
    </cfRule>
  </conditionalFormatting>
  <conditionalFormatting sqref="E120">
    <cfRule type="expression" dxfId="1191" priority="1192">
      <formula>IF(#REF!="FICTICIO",1,0)</formula>
    </cfRule>
  </conditionalFormatting>
  <conditionalFormatting sqref="E120">
    <cfRule type="expression" dxfId="1190" priority="1191">
      <formula>IF(#REF!="FICTICIO",1,0)</formula>
    </cfRule>
  </conditionalFormatting>
  <conditionalFormatting sqref="E120">
    <cfRule type="expression" dxfId="1189" priority="1190">
      <formula>IF(#REF!="FICTICIO",1,0)</formula>
    </cfRule>
  </conditionalFormatting>
  <conditionalFormatting sqref="E120">
    <cfRule type="expression" dxfId="1188" priority="1189">
      <formula>IF(#REF!="FICTICIO",1,0)</formula>
    </cfRule>
  </conditionalFormatting>
  <conditionalFormatting sqref="E120">
    <cfRule type="expression" dxfId="1187" priority="1188">
      <formula>IF(#REF!="FICTICIO",1,0)</formula>
    </cfRule>
  </conditionalFormatting>
  <conditionalFormatting sqref="E120">
    <cfRule type="expression" dxfId="1186" priority="1187">
      <formula>IF(#REF!="FICTICIO",1,0)</formula>
    </cfRule>
  </conditionalFormatting>
  <conditionalFormatting sqref="E120">
    <cfRule type="expression" dxfId="1185" priority="1186">
      <formula>IF(#REF!="FICTICIO",1,0)</formula>
    </cfRule>
  </conditionalFormatting>
  <conditionalFormatting sqref="E120">
    <cfRule type="expression" dxfId="1184" priority="1185">
      <formula>IF(#REF!="FICTICIO",1,0)</formula>
    </cfRule>
  </conditionalFormatting>
  <conditionalFormatting sqref="E120">
    <cfRule type="expression" dxfId="1183" priority="1184">
      <formula>IF(#REF!="FICTICIO",1,0)</formula>
    </cfRule>
  </conditionalFormatting>
  <conditionalFormatting sqref="E120">
    <cfRule type="expression" dxfId="1182" priority="1183">
      <formula>IF(#REF!="FICTICIO",1,0)</formula>
    </cfRule>
  </conditionalFormatting>
  <conditionalFormatting sqref="E120">
    <cfRule type="expression" dxfId="1181" priority="1182">
      <formula>IF(#REF!="FICTICIO",1,0)</formula>
    </cfRule>
  </conditionalFormatting>
  <conditionalFormatting sqref="E120">
    <cfRule type="expression" dxfId="1180" priority="1181">
      <formula>IF(#REF!="FICTICIO",1,0)</formula>
    </cfRule>
  </conditionalFormatting>
  <conditionalFormatting sqref="E120">
    <cfRule type="expression" dxfId="1179" priority="1180">
      <formula>IF(#REF!="FICTICIO",1,0)</formula>
    </cfRule>
  </conditionalFormatting>
  <conditionalFormatting sqref="E120">
    <cfRule type="expression" dxfId="1178" priority="1179">
      <formula>IF(#REF!="FICTICIO",1,0)</formula>
    </cfRule>
  </conditionalFormatting>
  <conditionalFormatting sqref="E120">
    <cfRule type="expression" dxfId="1177" priority="1178">
      <formula>IF(#REF!="FICTICIO",1,0)</formula>
    </cfRule>
  </conditionalFormatting>
  <conditionalFormatting sqref="E120">
    <cfRule type="expression" dxfId="1176" priority="1177">
      <formula>IF(#REF!="FICTICIO",1,0)</formula>
    </cfRule>
  </conditionalFormatting>
  <conditionalFormatting sqref="E120">
    <cfRule type="expression" dxfId="1175" priority="1176">
      <formula>IF(#REF!="FICTICIO",1,0)</formula>
    </cfRule>
  </conditionalFormatting>
  <conditionalFormatting sqref="E120">
    <cfRule type="expression" dxfId="1174" priority="1175">
      <formula>IF(#REF!="FICTICIO",1,0)</formula>
    </cfRule>
  </conditionalFormatting>
  <conditionalFormatting sqref="E120">
    <cfRule type="expression" dxfId="1173" priority="1174">
      <formula>IF(#REF!="FICTICIO",1,0)</formula>
    </cfRule>
  </conditionalFormatting>
  <conditionalFormatting sqref="E120">
    <cfRule type="expression" dxfId="1172" priority="1173">
      <formula>IF(#REF!="FICTICIO",1,0)</formula>
    </cfRule>
  </conditionalFormatting>
  <conditionalFormatting sqref="E120">
    <cfRule type="expression" dxfId="1171" priority="1172">
      <formula>IF(#REF!="FICTICIO",1,0)</formula>
    </cfRule>
  </conditionalFormatting>
  <conditionalFormatting sqref="E120">
    <cfRule type="expression" dxfId="1170" priority="1171">
      <formula>IF(#REF!="FICTICIO",1,0)</formula>
    </cfRule>
  </conditionalFormatting>
  <conditionalFormatting sqref="E120">
    <cfRule type="expression" dxfId="1169" priority="1170">
      <formula>IF(#REF!="FICTICIO",1,0)</formula>
    </cfRule>
  </conditionalFormatting>
  <conditionalFormatting sqref="F120">
    <cfRule type="expression" dxfId="1168" priority="1169">
      <formula>IF(#REF!="FICTICIO",1,0)</formula>
    </cfRule>
  </conditionalFormatting>
  <conditionalFormatting sqref="F120">
    <cfRule type="expression" dxfId="1167" priority="1167">
      <formula>IF(#REF!="FICTICIO",1,0)</formula>
    </cfRule>
  </conditionalFormatting>
  <conditionalFormatting sqref="F120">
    <cfRule type="expression" dxfId="1166" priority="1168">
      <formula>IF(#REF!="FICTICIO",1,0)</formula>
    </cfRule>
  </conditionalFormatting>
  <conditionalFormatting sqref="D120">
    <cfRule type="expression" dxfId="1165" priority="1165">
      <formula>IF(#REF!="FICTICIO",1,0)</formula>
    </cfRule>
  </conditionalFormatting>
  <conditionalFormatting sqref="D120">
    <cfRule type="expression" dxfId="1164" priority="1166">
      <formula>IF(#REF!="FICTICIO",1,0)</formula>
    </cfRule>
  </conditionalFormatting>
  <conditionalFormatting sqref="D120">
    <cfRule type="expression" dxfId="1163" priority="1163">
      <formula>IF(#REF!="FICTICIO",1,0)</formula>
    </cfRule>
  </conditionalFormatting>
  <conditionalFormatting sqref="D120">
    <cfRule type="expression" dxfId="1162" priority="1164">
      <formula>IF(#REF!="FICTICIO",1,0)</formula>
    </cfRule>
  </conditionalFormatting>
  <conditionalFormatting sqref="D120">
    <cfRule type="expression" dxfId="1161" priority="1161">
      <formula>IF(#REF!="FICTICIO",1,0)</formula>
    </cfRule>
  </conditionalFormatting>
  <conditionalFormatting sqref="D120">
    <cfRule type="expression" dxfId="1160" priority="1162">
      <formula>IF(#REF!="FICTICIO",1,0)</formula>
    </cfRule>
  </conditionalFormatting>
  <conditionalFormatting sqref="D120">
    <cfRule type="expression" dxfId="1159" priority="1159">
      <formula>IF(#REF!="FICTICIO",1,0)</formula>
    </cfRule>
  </conditionalFormatting>
  <conditionalFormatting sqref="D120">
    <cfRule type="expression" dxfId="1158" priority="1160">
      <formula>IF(#REF!="FICTICIO",1,0)</formula>
    </cfRule>
  </conditionalFormatting>
  <conditionalFormatting sqref="D120">
    <cfRule type="expression" dxfId="1157" priority="1157">
      <formula>IF(#REF!="FICTICIO",1,0)</formula>
    </cfRule>
  </conditionalFormatting>
  <conditionalFormatting sqref="D120">
    <cfRule type="expression" dxfId="1156" priority="1158">
      <formula>IF(#REF!="FICTICIO",1,0)</formula>
    </cfRule>
  </conditionalFormatting>
  <conditionalFormatting sqref="D120">
    <cfRule type="expression" dxfId="1155" priority="1155">
      <formula>IF(#REF!="FICTICIO",1,0)</formula>
    </cfRule>
  </conditionalFormatting>
  <conditionalFormatting sqref="D120">
    <cfRule type="expression" dxfId="1154" priority="1156">
      <formula>IF(#REF!="FICTICIO",1,0)</formula>
    </cfRule>
  </conditionalFormatting>
  <conditionalFormatting sqref="D120">
    <cfRule type="expression" dxfId="1153" priority="1153">
      <formula>IF(#REF!="FICTICIO",1,0)</formula>
    </cfRule>
  </conditionalFormatting>
  <conditionalFormatting sqref="D120">
    <cfRule type="expression" dxfId="1152" priority="1154">
      <formula>IF(#REF!="FICTICIO",1,0)</formula>
    </cfRule>
  </conditionalFormatting>
  <conditionalFormatting sqref="D120">
    <cfRule type="expression" dxfId="1151" priority="1151">
      <formula>IF(#REF!="FICTICIO",1,0)</formula>
    </cfRule>
  </conditionalFormatting>
  <conditionalFormatting sqref="D120">
    <cfRule type="expression" dxfId="1150" priority="1152">
      <formula>IF(#REF!="FICTICIO",1,0)</formula>
    </cfRule>
  </conditionalFormatting>
  <conditionalFormatting sqref="D120">
    <cfRule type="expression" dxfId="1149" priority="1149">
      <formula>IF(#REF!="FICTICIO",1,0)</formula>
    </cfRule>
  </conditionalFormatting>
  <conditionalFormatting sqref="D120">
    <cfRule type="expression" dxfId="1148" priority="1150">
      <formula>IF(#REF!="FICTICIO",1,0)</formula>
    </cfRule>
  </conditionalFormatting>
  <conditionalFormatting sqref="D120">
    <cfRule type="expression" dxfId="1147" priority="1147">
      <formula>IF(#REF!="FICTICIO",1,0)</formula>
    </cfRule>
  </conditionalFormatting>
  <conditionalFormatting sqref="D120">
    <cfRule type="expression" dxfId="1146" priority="1148">
      <formula>IF(#REF!="FICTICIO",1,0)</formula>
    </cfRule>
  </conditionalFormatting>
  <conditionalFormatting sqref="D120">
    <cfRule type="expression" dxfId="1145" priority="1145">
      <formula>IF(#REF!="FICTICIO",1,0)</formula>
    </cfRule>
  </conditionalFormatting>
  <conditionalFormatting sqref="D120">
    <cfRule type="expression" dxfId="1144" priority="1146">
      <formula>IF(#REF!="FICTICIO",1,0)</formula>
    </cfRule>
  </conditionalFormatting>
  <conditionalFormatting sqref="D120">
    <cfRule type="expression" dxfId="1143" priority="1143">
      <formula>IF(#REF!="FICTICIO",1,0)</formula>
    </cfRule>
  </conditionalFormatting>
  <conditionalFormatting sqref="D120">
    <cfRule type="expression" dxfId="1142" priority="1144">
      <formula>IF(#REF!="FICTICIO",1,0)</formula>
    </cfRule>
  </conditionalFormatting>
  <conditionalFormatting sqref="D120">
    <cfRule type="expression" dxfId="1141" priority="1141">
      <formula>IF(#REF!="FICTICIO",1,0)</formula>
    </cfRule>
  </conditionalFormatting>
  <conditionalFormatting sqref="D120">
    <cfRule type="expression" dxfId="1140" priority="1142">
      <formula>IF(#REF!="FICTICIO",1,0)</formula>
    </cfRule>
  </conditionalFormatting>
  <conditionalFormatting sqref="D120">
    <cfRule type="expression" dxfId="1139" priority="1139">
      <formula>IF(#REF!="FICTICIO",1,0)</formula>
    </cfRule>
  </conditionalFormatting>
  <conditionalFormatting sqref="D120">
    <cfRule type="expression" dxfId="1138" priority="1140">
      <formula>IF(#REF!="FICTICIO",1,0)</formula>
    </cfRule>
  </conditionalFormatting>
  <conditionalFormatting sqref="D120">
    <cfRule type="expression" dxfId="1137" priority="1137">
      <formula>IF(#REF!="FICTICIO",1,0)</formula>
    </cfRule>
  </conditionalFormatting>
  <conditionalFormatting sqref="D120">
    <cfRule type="expression" dxfId="1136" priority="1138">
      <formula>IF(#REF!="FICTICIO",1,0)</formula>
    </cfRule>
  </conditionalFormatting>
  <conditionalFormatting sqref="D120">
    <cfRule type="expression" dxfId="1135" priority="1135">
      <formula>IF(#REF!="FICTICIO",1,0)</formula>
    </cfRule>
  </conditionalFormatting>
  <conditionalFormatting sqref="D120">
    <cfRule type="expression" dxfId="1134" priority="1136">
      <formula>IF(#REF!="FICTICIO",1,0)</formula>
    </cfRule>
  </conditionalFormatting>
  <conditionalFormatting sqref="E121">
    <cfRule type="expression" dxfId="1133" priority="1134">
      <formula>IF(#REF!="FICTICIO",1,0)</formula>
    </cfRule>
  </conditionalFormatting>
  <conditionalFormatting sqref="E121">
    <cfRule type="expression" dxfId="1132" priority="1133">
      <formula>IF(#REF!="FICTICIO",1,0)</formula>
    </cfRule>
  </conditionalFormatting>
  <conditionalFormatting sqref="E121">
    <cfRule type="expression" dxfId="1131" priority="1132">
      <formula>IF(#REF!="FICTICIO",1,0)</formula>
    </cfRule>
  </conditionalFormatting>
  <conditionalFormatting sqref="E121">
    <cfRule type="expression" dxfId="1130" priority="1131">
      <formula>IF(#REF!="FICTICIO",1,0)</formula>
    </cfRule>
  </conditionalFormatting>
  <conditionalFormatting sqref="E121">
    <cfRule type="expression" dxfId="1129" priority="1130">
      <formula>IF(#REF!="FICTICIO",1,0)</formula>
    </cfRule>
  </conditionalFormatting>
  <conditionalFormatting sqref="E121">
    <cfRule type="expression" dxfId="1128" priority="1129">
      <formula>IF(#REF!="FICTICIO",1,0)</formula>
    </cfRule>
  </conditionalFormatting>
  <conditionalFormatting sqref="E121">
    <cfRule type="expression" dxfId="1127" priority="1128">
      <formula>IF(#REF!="FICTICIO",1,0)</formula>
    </cfRule>
  </conditionalFormatting>
  <conditionalFormatting sqref="E121">
    <cfRule type="expression" dxfId="1126" priority="1127">
      <formula>IF(#REF!="FICTICIO",1,0)</formula>
    </cfRule>
  </conditionalFormatting>
  <conditionalFormatting sqref="E121">
    <cfRule type="expression" dxfId="1125" priority="1126">
      <formula>IF(#REF!="FICTICIO",1,0)</formula>
    </cfRule>
  </conditionalFormatting>
  <conditionalFormatting sqref="E121">
    <cfRule type="expression" dxfId="1124" priority="1125">
      <formula>IF(#REF!="FICTICIO",1,0)</formula>
    </cfRule>
  </conditionalFormatting>
  <conditionalFormatting sqref="E121">
    <cfRule type="expression" dxfId="1123" priority="1124">
      <formula>IF(#REF!="FICTICIO",1,0)</formula>
    </cfRule>
  </conditionalFormatting>
  <conditionalFormatting sqref="E121">
    <cfRule type="expression" dxfId="1122" priority="1123">
      <formula>IF(#REF!="FICTICIO",1,0)</formula>
    </cfRule>
  </conditionalFormatting>
  <conditionalFormatting sqref="E121">
    <cfRule type="expression" dxfId="1121" priority="1122">
      <formula>IF(#REF!="FICTICIO",1,0)</formula>
    </cfRule>
  </conditionalFormatting>
  <conditionalFormatting sqref="E121">
    <cfRule type="expression" dxfId="1120" priority="1121">
      <formula>IF(#REF!="FICTICIO",1,0)</formula>
    </cfRule>
  </conditionalFormatting>
  <conditionalFormatting sqref="E121">
    <cfRule type="expression" dxfId="1119" priority="1120">
      <formula>IF(#REF!="FICTICIO",1,0)</formula>
    </cfRule>
  </conditionalFormatting>
  <conditionalFormatting sqref="E121">
    <cfRule type="expression" dxfId="1118" priority="1119">
      <formula>IF(#REF!="FICTICIO",1,0)</formula>
    </cfRule>
  </conditionalFormatting>
  <conditionalFormatting sqref="E121">
    <cfRule type="expression" dxfId="1117" priority="1118">
      <formula>IF(#REF!="FICTICIO",1,0)</formula>
    </cfRule>
  </conditionalFormatting>
  <conditionalFormatting sqref="E121">
    <cfRule type="expression" dxfId="1116" priority="1117">
      <formula>IF(#REF!="FICTICIO",1,0)</formula>
    </cfRule>
  </conditionalFormatting>
  <conditionalFormatting sqref="E121">
    <cfRule type="expression" dxfId="1115" priority="1116">
      <formula>IF(#REF!="FICTICIO",1,0)</formula>
    </cfRule>
  </conditionalFormatting>
  <conditionalFormatting sqref="E121">
    <cfRule type="expression" dxfId="1114" priority="1115">
      <formula>IF(#REF!="FICTICIO",1,0)</formula>
    </cfRule>
  </conditionalFormatting>
  <conditionalFormatting sqref="E121">
    <cfRule type="expression" dxfId="1113" priority="1114">
      <formula>IF(#REF!="FICTICIO",1,0)</formula>
    </cfRule>
  </conditionalFormatting>
  <conditionalFormatting sqref="E121">
    <cfRule type="expression" dxfId="1112" priority="1113">
      <formula>IF(#REF!="FICTICIO",1,0)</formula>
    </cfRule>
  </conditionalFormatting>
  <conditionalFormatting sqref="E121">
    <cfRule type="expression" dxfId="1111" priority="1112">
      <formula>IF(#REF!="FICTICIO",1,0)</formula>
    </cfRule>
  </conditionalFormatting>
  <conditionalFormatting sqref="E121">
    <cfRule type="expression" dxfId="1110" priority="1111">
      <formula>IF(#REF!="FICTICIO",1,0)</formula>
    </cfRule>
  </conditionalFormatting>
  <conditionalFormatting sqref="E121">
    <cfRule type="expression" dxfId="1109" priority="1110">
      <formula>IF(#REF!="FICTICIO",1,0)</formula>
    </cfRule>
  </conditionalFormatting>
  <conditionalFormatting sqref="E121">
    <cfRule type="expression" dxfId="1108" priority="1109">
      <formula>IF(#REF!="FICTICIO",1,0)</formula>
    </cfRule>
  </conditionalFormatting>
  <conditionalFormatting sqref="E121">
    <cfRule type="expression" dxfId="1107" priority="1108">
      <formula>IF(#REF!="FICTICIO",1,0)</formula>
    </cfRule>
  </conditionalFormatting>
  <conditionalFormatting sqref="E121">
    <cfRule type="expression" dxfId="1106" priority="1107">
      <formula>IF(#REF!="FICTICIO",1,0)</formula>
    </cfRule>
  </conditionalFormatting>
  <conditionalFormatting sqref="E121">
    <cfRule type="expression" dxfId="1105" priority="1106">
      <formula>IF(#REF!="FICTICIO",1,0)</formula>
    </cfRule>
  </conditionalFormatting>
  <conditionalFormatting sqref="E121">
    <cfRule type="expression" dxfId="1104" priority="1105">
      <formula>IF(#REF!="FICTICIO",1,0)</formula>
    </cfRule>
  </conditionalFormatting>
  <conditionalFormatting sqref="E121">
    <cfRule type="expression" dxfId="1103" priority="1104">
      <formula>IF(#REF!="FICTICIO",1,0)</formula>
    </cfRule>
  </conditionalFormatting>
  <conditionalFormatting sqref="E121">
    <cfRule type="expression" dxfId="1102" priority="1103">
      <formula>IF(#REF!="FICTICIO",1,0)</formula>
    </cfRule>
  </conditionalFormatting>
  <conditionalFormatting sqref="E121">
    <cfRule type="expression" dxfId="1101" priority="1102">
      <formula>IF(#REF!="FICTICIO",1,0)</formula>
    </cfRule>
  </conditionalFormatting>
  <conditionalFormatting sqref="E121">
    <cfRule type="expression" dxfId="1100" priority="1101">
      <formula>IF(#REF!="FICTICIO",1,0)</formula>
    </cfRule>
  </conditionalFormatting>
  <conditionalFormatting sqref="E121">
    <cfRule type="expression" dxfId="1099" priority="1100">
      <formula>IF(#REF!="FICTICIO",1,0)</formula>
    </cfRule>
  </conditionalFormatting>
  <conditionalFormatting sqref="E121">
    <cfRule type="expression" dxfId="1098" priority="1099">
      <formula>IF(#REF!="FICTICIO",1,0)</formula>
    </cfRule>
  </conditionalFormatting>
  <conditionalFormatting sqref="E121">
    <cfRule type="expression" dxfId="1097" priority="1098">
      <formula>IF(#REF!="FICTICIO",1,0)</formula>
    </cfRule>
  </conditionalFormatting>
  <conditionalFormatting sqref="E121">
    <cfRule type="expression" dxfId="1096" priority="1097">
      <formula>IF(#REF!="FICTICIO",1,0)</formula>
    </cfRule>
  </conditionalFormatting>
  <conditionalFormatting sqref="E121">
    <cfRule type="expression" dxfId="1095" priority="1096">
      <formula>IF(#REF!="FICTICIO",1,0)</formula>
    </cfRule>
  </conditionalFormatting>
  <conditionalFormatting sqref="E121">
    <cfRule type="expression" dxfId="1094" priority="1095">
      <formula>IF(#REF!="FICTICIO",1,0)</formula>
    </cfRule>
  </conditionalFormatting>
  <conditionalFormatting sqref="E121">
    <cfRule type="expression" dxfId="1093" priority="1094">
      <formula>IF(#REF!="FICTICIO",1,0)</formula>
    </cfRule>
  </conditionalFormatting>
  <conditionalFormatting sqref="E121">
    <cfRule type="expression" dxfId="1092" priority="1093">
      <formula>IF(#REF!="FICTICIO",1,0)</formula>
    </cfRule>
  </conditionalFormatting>
  <conditionalFormatting sqref="E121">
    <cfRule type="expression" dxfId="1091" priority="1092">
      <formula>IF(#REF!="FICTICIO",1,0)</formula>
    </cfRule>
  </conditionalFormatting>
  <conditionalFormatting sqref="E121">
    <cfRule type="expression" dxfId="1090" priority="1091">
      <formula>IF(#REF!="FICTICIO",1,0)</formula>
    </cfRule>
  </conditionalFormatting>
  <conditionalFormatting sqref="E121">
    <cfRule type="expression" dxfId="1089" priority="1090">
      <formula>IF(#REF!="FICTICIO",1,0)</formula>
    </cfRule>
  </conditionalFormatting>
  <conditionalFormatting sqref="E121">
    <cfRule type="expression" dxfId="1088" priority="1089">
      <formula>IF(#REF!="FICTICIO",1,0)</formula>
    </cfRule>
  </conditionalFormatting>
  <conditionalFormatting sqref="E121">
    <cfRule type="expression" dxfId="1087" priority="1088">
      <formula>IF(#REF!="FICTICIO",1,0)</formula>
    </cfRule>
  </conditionalFormatting>
  <conditionalFormatting sqref="E121">
    <cfRule type="expression" dxfId="1086" priority="1087">
      <formula>IF(#REF!="FICTICIO",1,0)</formula>
    </cfRule>
  </conditionalFormatting>
  <conditionalFormatting sqref="E121">
    <cfRule type="expression" dxfId="1085" priority="1086">
      <formula>IF(#REF!="FICTICIO",1,0)</formula>
    </cfRule>
  </conditionalFormatting>
  <conditionalFormatting sqref="E121">
    <cfRule type="expression" dxfId="1084" priority="1085">
      <formula>IF(#REF!="FICTICIO",1,0)</formula>
    </cfRule>
  </conditionalFormatting>
  <conditionalFormatting sqref="E121">
    <cfRule type="expression" dxfId="1083" priority="1084">
      <formula>IF(#REF!="FICTICIO",1,0)</formula>
    </cfRule>
  </conditionalFormatting>
  <conditionalFormatting sqref="E121">
    <cfRule type="expression" dxfId="1082" priority="1083">
      <formula>IF(#REF!="FICTICIO",1,0)</formula>
    </cfRule>
  </conditionalFormatting>
  <conditionalFormatting sqref="E121">
    <cfRule type="expression" dxfId="1081" priority="1082">
      <formula>IF(#REF!="FICTICIO",1,0)</formula>
    </cfRule>
  </conditionalFormatting>
  <conditionalFormatting sqref="E121">
    <cfRule type="expression" dxfId="1080" priority="1081">
      <formula>IF(#REF!="FICTICIO",1,0)</formula>
    </cfRule>
  </conditionalFormatting>
  <conditionalFormatting sqref="E121">
    <cfRule type="expression" dxfId="1079" priority="1080">
      <formula>IF(#REF!="FICTICIO",1,0)</formula>
    </cfRule>
  </conditionalFormatting>
  <conditionalFormatting sqref="E121">
    <cfRule type="expression" dxfId="1078" priority="1079">
      <formula>IF(#REF!="FICTICIO",1,0)</formula>
    </cfRule>
  </conditionalFormatting>
  <conditionalFormatting sqref="E121">
    <cfRule type="expression" dxfId="1077" priority="1078">
      <formula>IF(#REF!="FICTICIO",1,0)</formula>
    </cfRule>
  </conditionalFormatting>
  <conditionalFormatting sqref="E121">
    <cfRule type="expression" dxfId="1076" priority="1077">
      <formula>IF(#REF!="FICTICIO",1,0)</formula>
    </cfRule>
  </conditionalFormatting>
  <conditionalFormatting sqref="E121">
    <cfRule type="expression" dxfId="1075" priority="1076">
      <formula>IF(#REF!="FICTICIO",1,0)</formula>
    </cfRule>
  </conditionalFormatting>
  <conditionalFormatting sqref="E121">
    <cfRule type="expression" dxfId="1074" priority="1075">
      <formula>IF(#REF!="FICTICIO",1,0)</formula>
    </cfRule>
  </conditionalFormatting>
  <conditionalFormatting sqref="E121">
    <cfRule type="expression" dxfId="1073" priority="1074">
      <formula>IF(#REF!="FICTICIO",1,0)</formula>
    </cfRule>
  </conditionalFormatting>
  <conditionalFormatting sqref="E121">
    <cfRule type="expression" dxfId="1072" priority="1073">
      <formula>IF(#REF!="FICTICIO",1,0)</formula>
    </cfRule>
  </conditionalFormatting>
  <conditionalFormatting sqref="E121">
    <cfRule type="expression" dxfId="1071" priority="1072">
      <formula>IF(#REF!="FICTICIO",1,0)</formula>
    </cfRule>
  </conditionalFormatting>
  <conditionalFormatting sqref="E121">
    <cfRule type="expression" dxfId="1070" priority="1071">
      <formula>IF(#REF!="FICTICIO",1,0)</formula>
    </cfRule>
  </conditionalFormatting>
  <conditionalFormatting sqref="E121">
    <cfRule type="expression" dxfId="1069" priority="1070">
      <formula>IF(#REF!="FICTICIO",1,0)</formula>
    </cfRule>
  </conditionalFormatting>
  <conditionalFormatting sqref="E121">
    <cfRule type="expression" dxfId="1068" priority="1069">
      <formula>IF(#REF!="FICTICIO",1,0)</formula>
    </cfRule>
  </conditionalFormatting>
  <conditionalFormatting sqref="E121">
    <cfRule type="expression" dxfId="1067" priority="1068">
      <formula>IF(#REF!="FICTICIO",1,0)</formula>
    </cfRule>
  </conditionalFormatting>
  <conditionalFormatting sqref="E121">
    <cfRule type="expression" dxfId="1066" priority="1067">
      <formula>IF(#REF!="FICTICIO",1,0)</formula>
    </cfRule>
  </conditionalFormatting>
  <conditionalFormatting sqref="E121">
    <cfRule type="expression" dxfId="1065" priority="1066">
      <formula>IF(#REF!="FICTICIO",1,0)</formula>
    </cfRule>
  </conditionalFormatting>
  <conditionalFormatting sqref="E121">
    <cfRule type="expression" dxfId="1064" priority="1065">
      <formula>IF(#REF!="FICTICIO",1,0)</formula>
    </cfRule>
  </conditionalFormatting>
  <conditionalFormatting sqref="E121">
    <cfRule type="expression" dxfId="1063" priority="1064">
      <formula>IF(#REF!="FICTICIO",1,0)</formula>
    </cfRule>
  </conditionalFormatting>
  <conditionalFormatting sqref="E121">
    <cfRule type="expression" dxfId="1062" priority="1063">
      <formula>IF(#REF!="FICTICIO",1,0)</formula>
    </cfRule>
  </conditionalFormatting>
  <conditionalFormatting sqref="E121">
    <cfRule type="expression" dxfId="1061" priority="1062">
      <formula>IF(#REF!="FICTICIO",1,0)</formula>
    </cfRule>
  </conditionalFormatting>
  <conditionalFormatting sqref="E121">
    <cfRule type="expression" dxfId="1060" priority="1061">
      <formula>IF(#REF!="FICTICIO",1,0)</formula>
    </cfRule>
  </conditionalFormatting>
  <conditionalFormatting sqref="E121">
    <cfRule type="expression" dxfId="1059" priority="1060">
      <formula>IF(#REF!="FICTICIO",1,0)</formula>
    </cfRule>
  </conditionalFormatting>
  <conditionalFormatting sqref="E121">
    <cfRule type="expression" dxfId="1058" priority="1059">
      <formula>IF(#REF!="FICTICIO",1,0)</formula>
    </cfRule>
  </conditionalFormatting>
  <conditionalFormatting sqref="E121">
    <cfRule type="expression" dxfId="1057" priority="1058">
      <formula>IF(#REF!="FICTICIO",1,0)</formula>
    </cfRule>
  </conditionalFormatting>
  <conditionalFormatting sqref="E121">
    <cfRule type="expression" dxfId="1056" priority="1057">
      <formula>IF(#REF!="FICTICIO",1,0)</formula>
    </cfRule>
  </conditionalFormatting>
  <conditionalFormatting sqref="E121">
    <cfRule type="expression" dxfId="1055" priority="1056">
      <formula>IF(#REF!="FICTICIO",1,0)</formula>
    </cfRule>
  </conditionalFormatting>
  <conditionalFormatting sqref="E121">
    <cfRule type="expression" dxfId="1054" priority="1055">
      <formula>IF(#REF!="FICTICIO",1,0)</formula>
    </cfRule>
  </conditionalFormatting>
  <conditionalFormatting sqref="E121">
    <cfRule type="expression" dxfId="1053" priority="1054">
      <formula>IF(#REF!="FICTICIO",1,0)</formula>
    </cfRule>
  </conditionalFormatting>
  <conditionalFormatting sqref="E121">
    <cfRule type="expression" dxfId="1052" priority="1053">
      <formula>IF(#REF!="FICTICIO",1,0)</formula>
    </cfRule>
  </conditionalFormatting>
  <conditionalFormatting sqref="E121">
    <cfRule type="expression" dxfId="1051" priority="1052">
      <formula>IF(#REF!="FICTICIO",1,0)</formula>
    </cfRule>
  </conditionalFormatting>
  <conditionalFormatting sqref="E121">
    <cfRule type="expression" dxfId="1050" priority="1051">
      <formula>IF(#REF!="FICTICIO",1,0)</formula>
    </cfRule>
  </conditionalFormatting>
  <conditionalFormatting sqref="E121">
    <cfRule type="expression" dxfId="1049" priority="1050">
      <formula>IF(#REF!="FICTICIO",1,0)</formula>
    </cfRule>
  </conditionalFormatting>
  <conditionalFormatting sqref="E121">
    <cfRule type="expression" dxfId="1048" priority="1049">
      <formula>IF(#REF!="FICTICIO",1,0)</formula>
    </cfRule>
  </conditionalFormatting>
  <conditionalFormatting sqref="F121">
    <cfRule type="expression" dxfId="1047" priority="1048">
      <formula>IF(#REF!="FICTICIO",1,0)</formula>
    </cfRule>
  </conditionalFormatting>
  <conditionalFormatting sqref="E121">
    <cfRule type="expression" dxfId="1046" priority="1047">
      <formula>IF(#REF!="FICTICIO",1,0)</formula>
    </cfRule>
  </conditionalFormatting>
  <conditionalFormatting sqref="E121">
    <cfRule type="expression" dxfId="1045" priority="1046">
      <formula>IF(#REF!="FICTICIO",1,0)</formula>
    </cfRule>
  </conditionalFormatting>
  <conditionalFormatting sqref="E121">
    <cfRule type="expression" dxfId="1044" priority="1045">
      <formula>IF(#REF!="FICTICIO",1,0)</formula>
    </cfRule>
  </conditionalFormatting>
  <conditionalFormatting sqref="E121">
    <cfRule type="expression" dxfId="1043" priority="1044">
      <formula>IF(#REF!="FICTICIO",1,0)</formula>
    </cfRule>
  </conditionalFormatting>
  <conditionalFormatting sqref="E121">
    <cfRule type="expression" dxfId="1042" priority="1043">
      <formula>IF(#REF!="FICTICIO",1,0)</formula>
    </cfRule>
  </conditionalFormatting>
  <conditionalFormatting sqref="E121">
    <cfRule type="expression" dxfId="1041" priority="1042">
      <formula>IF(#REF!="FICTICIO",1,0)</formula>
    </cfRule>
  </conditionalFormatting>
  <conditionalFormatting sqref="E121">
    <cfRule type="expression" dxfId="1040" priority="1041">
      <formula>IF(#REF!="FICTICIO",1,0)</formula>
    </cfRule>
  </conditionalFormatting>
  <conditionalFormatting sqref="E121">
    <cfRule type="expression" dxfId="1039" priority="1040">
      <formula>IF(#REF!="FICTICIO",1,0)</formula>
    </cfRule>
  </conditionalFormatting>
  <conditionalFormatting sqref="E121">
    <cfRule type="expression" dxfId="1038" priority="1039">
      <formula>IF(#REF!="FICTICIO",1,0)</formula>
    </cfRule>
  </conditionalFormatting>
  <conditionalFormatting sqref="E121">
    <cfRule type="expression" dxfId="1037" priority="1038">
      <formula>IF(#REF!="FICTICIO",1,0)</formula>
    </cfRule>
  </conditionalFormatting>
  <conditionalFormatting sqref="E121">
    <cfRule type="expression" dxfId="1036" priority="1037">
      <formula>IF(#REF!="FICTICIO",1,0)</formula>
    </cfRule>
  </conditionalFormatting>
  <conditionalFormatting sqref="E121">
    <cfRule type="expression" dxfId="1035" priority="1036">
      <formula>IF(#REF!="FICTICIO",1,0)</formula>
    </cfRule>
  </conditionalFormatting>
  <conditionalFormatting sqref="E121">
    <cfRule type="expression" dxfId="1034" priority="1035">
      <formula>IF(#REF!="FICTICIO",1,0)</formula>
    </cfRule>
  </conditionalFormatting>
  <conditionalFormatting sqref="E121">
    <cfRule type="expression" dxfId="1033" priority="1034">
      <formula>IF(#REF!="FICTICIO",1,0)</formula>
    </cfRule>
  </conditionalFormatting>
  <conditionalFormatting sqref="E121">
    <cfRule type="expression" dxfId="1032" priority="1033">
      <formula>IF(#REF!="FICTICIO",1,0)</formula>
    </cfRule>
  </conditionalFormatting>
  <conditionalFormatting sqref="E121">
    <cfRule type="expression" dxfId="1031" priority="1032">
      <formula>IF(#REF!="FICTICIO",1,0)</formula>
    </cfRule>
  </conditionalFormatting>
  <conditionalFormatting sqref="E121">
    <cfRule type="expression" dxfId="1030" priority="1031">
      <formula>IF(#REF!="FICTICIO",1,0)</formula>
    </cfRule>
  </conditionalFormatting>
  <conditionalFormatting sqref="E121">
    <cfRule type="expression" dxfId="1029" priority="1030">
      <formula>IF(#REF!="FICTICIO",1,0)</formula>
    </cfRule>
  </conditionalFormatting>
  <conditionalFormatting sqref="E121">
    <cfRule type="expression" dxfId="1028" priority="1029">
      <formula>IF(#REF!="FICTICIO",1,0)</formula>
    </cfRule>
  </conditionalFormatting>
  <conditionalFormatting sqref="E121">
    <cfRule type="expression" dxfId="1027" priority="1028">
      <formula>IF(#REF!="FICTICIO",1,0)</formula>
    </cfRule>
  </conditionalFormatting>
  <conditionalFormatting sqref="E121">
    <cfRule type="expression" dxfId="1026" priority="1027">
      <formula>IF(#REF!="FICTICIO",1,0)</formula>
    </cfRule>
  </conditionalFormatting>
  <conditionalFormatting sqref="E121">
    <cfRule type="expression" dxfId="1025" priority="1026">
      <formula>IF(#REF!="FICTICIO",1,0)</formula>
    </cfRule>
  </conditionalFormatting>
  <conditionalFormatting sqref="E121">
    <cfRule type="expression" dxfId="1024" priority="1025">
      <formula>IF(#REF!="FICTICIO",1,0)</formula>
    </cfRule>
  </conditionalFormatting>
  <conditionalFormatting sqref="E121">
    <cfRule type="expression" dxfId="1023" priority="1024">
      <formula>IF(#REF!="FICTICIO",1,0)</formula>
    </cfRule>
  </conditionalFormatting>
  <conditionalFormatting sqref="E121">
    <cfRule type="expression" dxfId="1022" priority="1023">
      <formula>IF(#REF!="FICTICIO",1,0)</formula>
    </cfRule>
  </conditionalFormatting>
  <conditionalFormatting sqref="F121">
    <cfRule type="expression" dxfId="1021" priority="1021">
      <formula>IF(#REF!="FICTICIO",1,0)</formula>
    </cfRule>
  </conditionalFormatting>
  <conditionalFormatting sqref="F121">
    <cfRule type="expression" dxfId="1020" priority="1022">
      <formula>IF(#REF!="FICTICIO",1,0)</formula>
    </cfRule>
  </conditionalFormatting>
  <conditionalFormatting sqref="E121">
    <cfRule type="expression" dxfId="1019" priority="1020">
      <formula>IF(#REF!="FICTICIO",1,0)</formula>
    </cfRule>
  </conditionalFormatting>
  <conditionalFormatting sqref="E121">
    <cfRule type="expression" dxfId="1018" priority="1019">
      <formula>IF(#REF!="FICTICIO",1,0)</formula>
    </cfRule>
  </conditionalFormatting>
  <conditionalFormatting sqref="E121">
    <cfRule type="expression" dxfId="1017" priority="1018">
      <formula>IF(#REF!="FICTICIO",1,0)</formula>
    </cfRule>
  </conditionalFormatting>
  <conditionalFormatting sqref="E121">
    <cfRule type="expression" dxfId="1016" priority="1017">
      <formula>IF(#REF!="FICTICIO",1,0)</formula>
    </cfRule>
  </conditionalFormatting>
  <conditionalFormatting sqref="E121">
    <cfRule type="expression" dxfId="1015" priority="1016">
      <formula>IF(#REF!="FICTICIO",1,0)</formula>
    </cfRule>
  </conditionalFormatting>
  <conditionalFormatting sqref="E121">
    <cfRule type="expression" dxfId="1014" priority="1015">
      <formula>IF(#REF!="FICTICIO",1,0)</formula>
    </cfRule>
  </conditionalFormatting>
  <conditionalFormatting sqref="E121">
    <cfRule type="expression" dxfId="1013" priority="1014">
      <formula>IF(#REF!="FICTICIO",1,0)</formula>
    </cfRule>
  </conditionalFormatting>
  <conditionalFormatting sqref="E121">
    <cfRule type="expression" dxfId="1012" priority="1013">
      <formula>IF(#REF!="FICTICIO",1,0)</formula>
    </cfRule>
  </conditionalFormatting>
  <conditionalFormatting sqref="E121">
    <cfRule type="expression" dxfId="1011" priority="1012">
      <formula>IF(#REF!="FICTICIO",1,0)</formula>
    </cfRule>
  </conditionalFormatting>
  <conditionalFormatting sqref="E121">
    <cfRule type="expression" dxfId="1010" priority="1011">
      <formula>IF(#REF!="FICTICIO",1,0)</formula>
    </cfRule>
  </conditionalFormatting>
  <conditionalFormatting sqref="E121">
    <cfRule type="expression" dxfId="1009" priority="1010">
      <formula>IF(#REF!="FICTICIO",1,0)</formula>
    </cfRule>
  </conditionalFormatting>
  <conditionalFormatting sqref="E121">
    <cfRule type="expression" dxfId="1008" priority="1009">
      <formula>IF(#REF!="FICTICIO",1,0)</formula>
    </cfRule>
  </conditionalFormatting>
  <conditionalFormatting sqref="E121">
    <cfRule type="expression" dxfId="1007" priority="1008">
      <formula>IF(#REF!="FICTICIO",1,0)</formula>
    </cfRule>
  </conditionalFormatting>
  <conditionalFormatting sqref="E121">
    <cfRule type="expression" dxfId="1006" priority="1007">
      <formula>IF(#REF!="FICTICIO",1,0)</formula>
    </cfRule>
  </conditionalFormatting>
  <conditionalFormatting sqref="E121">
    <cfRule type="expression" dxfId="1005" priority="1006">
      <formula>IF(#REF!="FICTICIO",1,0)</formula>
    </cfRule>
  </conditionalFormatting>
  <conditionalFormatting sqref="E121">
    <cfRule type="expression" dxfId="1004" priority="1005">
      <formula>IF(#REF!="FICTICIO",1,0)</formula>
    </cfRule>
  </conditionalFormatting>
  <conditionalFormatting sqref="E121">
    <cfRule type="expression" dxfId="1003" priority="1004">
      <formula>IF(#REF!="FICTICIO",1,0)</formula>
    </cfRule>
  </conditionalFormatting>
  <conditionalFormatting sqref="E121">
    <cfRule type="expression" dxfId="1002" priority="1003">
      <formula>IF(#REF!="FICTICIO",1,0)</formula>
    </cfRule>
  </conditionalFormatting>
  <conditionalFormatting sqref="E121">
    <cfRule type="expression" dxfId="1001" priority="1002">
      <formula>IF(#REF!="FICTICIO",1,0)</formula>
    </cfRule>
  </conditionalFormatting>
  <conditionalFormatting sqref="E121">
    <cfRule type="expression" dxfId="1000" priority="1001">
      <formula>IF(#REF!="FICTICIO",1,0)</formula>
    </cfRule>
  </conditionalFormatting>
  <conditionalFormatting sqref="E121">
    <cfRule type="expression" dxfId="999" priority="1000">
      <formula>IF(#REF!="FICTICIO",1,0)</formula>
    </cfRule>
  </conditionalFormatting>
  <conditionalFormatting sqref="E121">
    <cfRule type="expression" dxfId="998" priority="999">
      <formula>IF(#REF!="FICTICIO",1,0)</formula>
    </cfRule>
  </conditionalFormatting>
  <conditionalFormatting sqref="E121">
    <cfRule type="expression" dxfId="997" priority="998">
      <formula>IF(#REF!="FICTICIO",1,0)</formula>
    </cfRule>
  </conditionalFormatting>
  <conditionalFormatting sqref="E121">
    <cfRule type="expression" dxfId="996" priority="997">
      <formula>IF(#REF!="FICTICIO",1,0)</formula>
    </cfRule>
  </conditionalFormatting>
  <conditionalFormatting sqref="E121">
    <cfRule type="expression" dxfId="995" priority="996">
      <formula>IF(#REF!="FICTICIO",1,0)</formula>
    </cfRule>
  </conditionalFormatting>
  <conditionalFormatting sqref="E121">
    <cfRule type="expression" dxfId="994" priority="995">
      <formula>IF(#REF!="FICTICIO",1,0)</formula>
    </cfRule>
  </conditionalFormatting>
  <conditionalFormatting sqref="E121">
    <cfRule type="expression" dxfId="993" priority="994">
      <formula>IF(#REF!="FICTICIO",1,0)</formula>
    </cfRule>
  </conditionalFormatting>
  <conditionalFormatting sqref="E121">
    <cfRule type="expression" dxfId="992" priority="993">
      <formula>IF(#REF!="FICTICIO",1,0)</formula>
    </cfRule>
  </conditionalFormatting>
  <conditionalFormatting sqref="E121">
    <cfRule type="expression" dxfId="991" priority="992">
      <formula>IF(#REF!="FICTICIO",1,0)</formula>
    </cfRule>
  </conditionalFormatting>
  <conditionalFormatting sqref="E121">
    <cfRule type="expression" dxfId="990" priority="991">
      <formula>IF(#REF!="FICTICIO",1,0)</formula>
    </cfRule>
  </conditionalFormatting>
  <conditionalFormatting sqref="E121">
    <cfRule type="expression" dxfId="989" priority="990">
      <formula>IF(#REF!="FICTICIO",1,0)</formula>
    </cfRule>
  </conditionalFormatting>
  <conditionalFormatting sqref="E121">
    <cfRule type="expression" dxfId="988" priority="989">
      <formula>IF(#REF!="FICTICIO",1,0)</formula>
    </cfRule>
  </conditionalFormatting>
  <conditionalFormatting sqref="E121">
    <cfRule type="expression" dxfId="987" priority="988">
      <formula>IF(#REF!="FICTICIO",1,0)</formula>
    </cfRule>
  </conditionalFormatting>
  <conditionalFormatting sqref="E121">
    <cfRule type="expression" dxfId="986" priority="987">
      <formula>IF(#REF!="FICTICIO",1,0)</formula>
    </cfRule>
  </conditionalFormatting>
  <conditionalFormatting sqref="E121">
    <cfRule type="expression" dxfId="985" priority="986">
      <formula>IF(#REF!="FICTICIO",1,0)</formula>
    </cfRule>
  </conditionalFormatting>
  <conditionalFormatting sqref="E121">
    <cfRule type="expression" dxfId="984" priority="985">
      <formula>IF(#REF!="FICTICIO",1,0)</formula>
    </cfRule>
  </conditionalFormatting>
  <conditionalFormatting sqref="E121">
    <cfRule type="expression" dxfId="983" priority="984">
      <formula>IF(#REF!="FICTICIO",1,0)</formula>
    </cfRule>
  </conditionalFormatting>
  <conditionalFormatting sqref="E121">
    <cfRule type="expression" dxfId="982" priority="983">
      <formula>IF(#REF!="FICTICIO",1,0)</formula>
    </cfRule>
  </conditionalFormatting>
  <conditionalFormatting sqref="E121">
    <cfRule type="expression" dxfId="981" priority="982">
      <formula>IF(#REF!="FICTICIO",1,0)</formula>
    </cfRule>
  </conditionalFormatting>
  <conditionalFormatting sqref="E121">
    <cfRule type="expression" dxfId="980" priority="981">
      <formula>IF(#REF!="FICTICIO",1,0)</formula>
    </cfRule>
  </conditionalFormatting>
  <conditionalFormatting sqref="E121">
    <cfRule type="expression" dxfId="979" priority="980">
      <formula>IF(#REF!="FICTICIO",1,0)</formula>
    </cfRule>
  </conditionalFormatting>
  <conditionalFormatting sqref="F121">
    <cfRule type="expression" dxfId="978" priority="978">
      <formula>IF(#REF!="FICTICIO",1,0)</formula>
    </cfRule>
  </conditionalFormatting>
  <conditionalFormatting sqref="F121">
    <cfRule type="expression" dxfId="977" priority="979">
      <formula>IF(#REF!="FICTICIO",1,0)</formula>
    </cfRule>
  </conditionalFormatting>
  <conditionalFormatting sqref="E121">
    <cfRule type="expression" dxfId="976" priority="977">
      <formula>IF(#REF!="FICTICIO",1,0)</formula>
    </cfRule>
  </conditionalFormatting>
  <conditionalFormatting sqref="E121">
    <cfRule type="expression" dxfId="975" priority="976">
      <formula>IF(#REF!="FICTICIO",1,0)</formula>
    </cfRule>
  </conditionalFormatting>
  <conditionalFormatting sqref="E121">
    <cfRule type="expression" dxfId="974" priority="975">
      <formula>IF(#REF!="FICTICIO",1,0)</formula>
    </cfRule>
  </conditionalFormatting>
  <conditionalFormatting sqref="E121">
    <cfRule type="expression" dxfId="973" priority="974">
      <formula>IF(#REF!="FICTICIO",1,0)</formula>
    </cfRule>
  </conditionalFormatting>
  <conditionalFormatting sqref="E121">
    <cfRule type="expression" dxfId="972" priority="972">
      <formula>IF(#REF!="FICTICIO",1,0)</formula>
    </cfRule>
  </conditionalFormatting>
  <conditionalFormatting sqref="E121">
    <cfRule type="expression" dxfId="971" priority="973">
      <formula>IF(#REF!="FICTICIO",1,0)</formula>
    </cfRule>
  </conditionalFormatting>
  <conditionalFormatting sqref="E121">
    <cfRule type="expression" dxfId="970" priority="971">
      <formula>IF(#REF!="FICTICIO",1,0)</formula>
    </cfRule>
  </conditionalFormatting>
  <conditionalFormatting sqref="E121">
    <cfRule type="expression" dxfId="969" priority="970">
      <formula>IF(#REF!="FICTICIO",1,0)</formula>
    </cfRule>
  </conditionalFormatting>
  <conditionalFormatting sqref="E121">
    <cfRule type="expression" dxfId="968" priority="969">
      <formula>IF(#REF!="FICTICIO",1,0)</formula>
    </cfRule>
  </conditionalFormatting>
  <conditionalFormatting sqref="E121">
    <cfRule type="expression" dxfId="967" priority="968">
      <formula>IF(#REF!="FICTICIO",1,0)</formula>
    </cfRule>
  </conditionalFormatting>
  <conditionalFormatting sqref="E121">
    <cfRule type="expression" dxfId="966" priority="967">
      <formula>IF(#REF!="FICTICIO",1,0)</formula>
    </cfRule>
  </conditionalFormatting>
  <conditionalFormatting sqref="E121">
    <cfRule type="expression" dxfId="965" priority="966">
      <formula>IF(#REF!="FICTICIO",1,0)</formula>
    </cfRule>
  </conditionalFormatting>
  <conditionalFormatting sqref="E121">
    <cfRule type="expression" dxfId="964" priority="965">
      <formula>IF(#REF!="FICTICIO",1,0)</formula>
    </cfRule>
  </conditionalFormatting>
  <conditionalFormatting sqref="E121">
    <cfRule type="expression" dxfId="963" priority="964">
      <formula>IF(#REF!="FICTICIO",1,0)</formula>
    </cfRule>
  </conditionalFormatting>
  <conditionalFormatting sqref="E121">
    <cfRule type="expression" dxfId="962" priority="963">
      <formula>IF(#REF!="FICTICIO",1,0)</formula>
    </cfRule>
  </conditionalFormatting>
  <conditionalFormatting sqref="E121">
    <cfRule type="expression" dxfId="961" priority="962">
      <formula>IF(#REF!="FICTICIO",1,0)</formula>
    </cfRule>
  </conditionalFormatting>
  <conditionalFormatting sqref="E121">
    <cfRule type="expression" dxfId="960" priority="961">
      <formula>IF(#REF!="FICTICIO",1,0)</formula>
    </cfRule>
  </conditionalFormatting>
  <conditionalFormatting sqref="E121">
    <cfRule type="expression" dxfId="959" priority="960">
      <formula>IF(#REF!="FICTICIO",1,0)</formula>
    </cfRule>
  </conditionalFormatting>
  <conditionalFormatting sqref="E121">
    <cfRule type="expression" dxfId="958" priority="959">
      <formula>IF(#REF!="FICTICIO",1,0)</formula>
    </cfRule>
  </conditionalFormatting>
  <conditionalFormatting sqref="E121">
    <cfRule type="expression" dxfId="957" priority="958">
      <formula>IF(#REF!="FICTICIO",1,0)</formula>
    </cfRule>
  </conditionalFormatting>
  <conditionalFormatting sqref="E121">
    <cfRule type="expression" dxfId="956" priority="957">
      <formula>IF(#REF!="FICTICIO",1,0)</formula>
    </cfRule>
  </conditionalFormatting>
  <conditionalFormatting sqref="E121">
    <cfRule type="expression" dxfId="955" priority="956">
      <formula>IF(#REF!="FICTICIO",1,0)</formula>
    </cfRule>
  </conditionalFormatting>
  <conditionalFormatting sqref="E121">
    <cfRule type="expression" dxfId="954" priority="955">
      <formula>IF(#REF!="FICTICIO",1,0)</formula>
    </cfRule>
  </conditionalFormatting>
  <conditionalFormatting sqref="E121">
    <cfRule type="expression" dxfId="953" priority="954">
      <formula>IF(#REF!="FICTICIO",1,0)</formula>
    </cfRule>
  </conditionalFormatting>
  <conditionalFormatting sqref="E121">
    <cfRule type="expression" dxfId="952" priority="953">
      <formula>IF(#REF!="FICTICIO",1,0)</formula>
    </cfRule>
  </conditionalFormatting>
  <conditionalFormatting sqref="E121">
    <cfRule type="expression" dxfId="951" priority="952">
      <formula>IF(#REF!="FICTICIO",1,0)</formula>
    </cfRule>
  </conditionalFormatting>
  <conditionalFormatting sqref="E121">
    <cfRule type="expression" dxfId="950" priority="951">
      <formula>IF(#REF!="FICTICIO",1,0)</formula>
    </cfRule>
  </conditionalFormatting>
  <conditionalFormatting sqref="E121">
    <cfRule type="expression" dxfId="949" priority="950">
      <formula>IF(#REF!="FICTICIO",1,0)</formula>
    </cfRule>
  </conditionalFormatting>
  <conditionalFormatting sqref="E121">
    <cfRule type="expression" dxfId="948" priority="949">
      <formula>IF(#REF!="FICTICIO",1,0)</formula>
    </cfRule>
  </conditionalFormatting>
  <conditionalFormatting sqref="E121">
    <cfRule type="expression" dxfId="947" priority="948">
      <formula>IF(#REF!="FICTICIO",1,0)</formula>
    </cfRule>
  </conditionalFormatting>
  <conditionalFormatting sqref="E121">
    <cfRule type="expression" dxfId="946" priority="947">
      <formula>IF(#REF!="FICTICIO",1,0)</formula>
    </cfRule>
  </conditionalFormatting>
  <conditionalFormatting sqref="E121">
    <cfRule type="expression" dxfId="945" priority="946">
      <formula>IF(#REF!="FICTICIO",1,0)</formula>
    </cfRule>
  </conditionalFormatting>
  <conditionalFormatting sqref="E121">
    <cfRule type="expression" dxfId="944" priority="945">
      <formula>IF(#REF!="FICTICIO",1,0)</formula>
    </cfRule>
  </conditionalFormatting>
  <conditionalFormatting sqref="E121">
    <cfRule type="expression" dxfId="943" priority="944">
      <formula>IF(#REF!="FICTICIO",1,0)</formula>
    </cfRule>
  </conditionalFormatting>
  <conditionalFormatting sqref="E121">
    <cfRule type="expression" dxfId="942" priority="943">
      <formula>IF(#REF!="FICTICIO",1,0)</formula>
    </cfRule>
  </conditionalFormatting>
  <conditionalFormatting sqref="E121">
    <cfRule type="expression" dxfId="941" priority="942">
      <formula>IF(#REF!="FICTICIO",1,0)</formula>
    </cfRule>
  </conditionalFormatting>
  <conditionalFormatting sqref="E121">
    <cfRule type="expression" dxfId="940" priority="941">
      <formula>IF(#REF!="FICTICIO",1,0)</formula>
    </cfRule>
  </conditionalFormatting>
  <conditionalFormatting sqref="E121">
    <cfRule type="expression" dxfId="939" priority="940">
      <formula>IF(#REF!="FICTICIO",1,0)</formula>
    </cfRule>
  </conditionalFormatting>
  <conditionalFormatting sqref="E121">
    <cfRule type="expression" dxfId="938" priority="938">
      <formula>IF(#REF!="FICTICIO",1,0)</formula>
    </cfRule>
  </conditionalFormatting>
  <conditionalFormatting sqref="E121">
    <cfRule type="expression" dxfId="937" priority="939">
      <formula>IF(#REF!="FICTICIO",1,0)</formula>
    </cfRule>
  </conditionalFormatting>
  <conditionalFormatting sqref="E121">
    <cfRule type="expression" dxfId="936" priority="937">
      <formula>IF(#REF!="FICTICIO",1,0)</formula>
    </cfRule>
  </conditionalFormatting>
  <conditionalFormatting sqref="E121">
    <cfRule type="expression" dxfId="935" priority="936">
      <formula>IF(#REF!="FICTICIO",1,0)</formula>
    </cfRule>
  </conditionalFormatting>
  <conditionalFormatting sqref="F121">
    <cfRule type="expression" dxfId="934" priority="935">
      <formula>IF(#REF!="FICTICIO",1,0)</formula>
    </cfRule>
  </conditionalFormatting>
  <conditionalFormatting sqref="F121">
    <cfRule type="expression" dxfId="933" priority="934">
      <formula>IF(#REF!="FICTICIO",1,0)</formula>
    </cfRule>
  </conditionalFormatting>
  <conditionalFormatting sqref="F121">
    <cfRule type="expression" dxfId="932" priority="933">
      <formula>IF(#REF!="FICTICIO",1,0)</formula>
    </cfRule>
  </conditionalFormatting>
  <conditionalFormatting sqref="F121">
    <cfRule type="expression" dxfId="931" priority="932">
      <formula>IF(#REF!="FICTICIO",1,0)</formula>
    </cfRule>
  </conditionalFormatting>
  <conditionalFormatting sqref="F121">
    <cfRule type="expression" dxfId="930" priority="931">
      <formula>IF(#REF!="FICTICIO",1,0)</formula>
    </cfRule>
  </conditionalFormatting>
  <conditionalFormatting sqref="F121">
    <cfRule type="expression" dxfId="929" priority="930">
      <formula>IF(#REF!="FICTICIO",1,0)</formula>
    </cfRule>
  </conditionalFormatting>
  <conditionalFormatting sqref="F121">
    <cfRule type="expression" dxfId="928" priority="929">
      <formula>IF(#REF!="FICTICIO",1,0)</formula>
    </cfRule>
  </conditionalFormatting>
  <conditionalFormatting sqref="F121">
    <cfRule type="expression" dxfId="927" priority="928">
      <formula>IF(#REF!="FICTICIO",1,0)</formula>
    </cfRule>
  </conditionalFormatting>
  <conditionalFormatting sqref="F121">
    <cfRule type="expression" dxfId="926" priority="927">
      <formula>IF(#REF!="FICTICIO",1,0)</formula>
    </cfRule>
  </conditionalFormatting>
  <conditionalFormatting sqref="F121">
    <cfRule type="expression" dxfId="925" priority="926">
      <formula>IF(#REF!="FICTICIO",1,0)</formula>
    </cfRule>
  </conditionalFormatting>
  <conditionalFormatting sqref="F121">
    <cfRule type="expression" dxfId="924" priority="925">
      <formula>IF(#REF!="FICTICIO",1,0)</formula>
    </cfRule>
  </conditionalFormatting>
  <conditionalFormatting sqref="E121">
    <cfRule type="expression" dxfId="923" priority="924">
      <formula>IF(#REF!="FICTICIO",1,0)</formula>
    </cfRule>
  </conditionalFormatting>
  <conditionalFormatting sqref="E121">
    <cfRule type="expression" dxfId="922" priority="923">
      <formula>IF(#REF!="FICTICIO",1,0)</formula>
    </cfRule>
  </conditionalFormatting>
  <conditionalFormatting sqref="E121">
    <cfRule type="expression" dxfId="921" priority="922">
      <formula>IF(#REF!="FICTICIO",1,0)</formula>
    </cfRule>
  </conditionalFormatting>
  <conditionalFormatting sqref="E121">
    <cfRule type="expression" dxfId="920" priority="921">
      <formula>IF(#REF!="FICTICIO",1,0)</formula>
    </cfRule>
  </conditionalFormatting>
  <conditionalFormatting sqref="E121">
    <cfRule type="expression" dxfId="919" priority="920">
      <formula>IF(#REF!="FICTICIO",1,0)</formula>
    </cfRule>
  </conditionalFormatting>
  <conditionalFormatting sqref="E121">
    <cfRule type="expression" dxfId="918" priority="919">
      <formula>IF(#REF!="FICTICIO",1,0)</formula>
    </cfRule>
  </conditionalFormatting>
  <conditionalFormatting sqref="E121">
    <cfRule type="expression" dxfId="917" priority="918">
      <formula>IF(#REF!="FICTICIO",1,0)</formula>
    </cfRule>
  </conditionalFormatting>
  <conditionalFormatting sqref="E121">
    <cfRule type="expression" dxfId="916" priority="917">
      <formula>IF(#REF!="FICTICIO",1,0)</formula>
    </cfRule>
  </conditionalFormatting>
  <conditionalFormatting sqref="E121">
    <cfRule type="expression" dxfId="915" priority="916">
      <formula>IF(#REF!="FICTICIO",1,0)</formula>
    </cfRule>
  </conditionalFormatting>
  <conditionalFormatting sqref="E121">
    <cfRule type="expression" dxfId="914" priority="915">
      <formula>IF(#REF!="FICTICIO",1,0)</formula>
    </cfRule>
  </conditionalFormatting>
  <conditionalFormatting sqref="F121">
    <cfRule type="expression" dxfId="913" priority="914">
      <formula>IF(#REF!="FICTICIO",1,0)</formula>
    </cfRule>
  </conditionalFormatting>
  <conditionalFormatting sqref="E121">
    <cfRule type="expression" dxfId="912" priority="913">
      <formula>IF(#REF!="FICTICIO",1,0)</formula>
    </cfRule>
  </conditionalFormatting>
  <conditionalFormatting sqref="E121">
    <cfRule type="expression" dxfId="911" priority="912">
      <formula>IF(#REF!="FICTICIO",1,0)</formula>
    </cfRule>
  </conditionalFormatting>
  <conditionalFormatting sqref="E121">
    <cfRule type="expression" dxfId="910" priority="911">
      <formula>IF(#REF!="FICTICIO",1,0)</formula>
    </cfRule>
  </conditionalFormatting>
  <conditionalFormatting sqref="E121">
    <cfRule type="expression" dxfId="909" priority="910">
      <formula>IF(#REF!="FICTICIO",1,0)</formula>
    </cfRule>
  </conditionalFormatting>
  <conditionalFormatting sqref="E121">
    <cfRule type="expression" dxfId="908" priority="909">
      <formula>IF(#REF!="FICTICIO",1,0)</formula>
    </cfRule>
  </conditionalFormatting>
  <conditionalFormatting sqref="E121">
    <cfRule type="expression" dxfId="907" priority="908">
      <formula>IF(#REF!="FICTICIO",1,0)</formula>
    </cfRule>
  </conditionalFormatting>
  <conditionalFormatting sqref="E121">
    <cfRule type="expression" dxfId="906" priority="907">
      <formula>IF(#REF!="FICTICIO",1,0)</formula>
    </cfRule>
  </conditionalFormatting>
  <conditionalFormatting sqref="E121">
    <cfRule type="expression" dxfId="905" priority="906">
      <formula>IF(#REF!="FICTICIO",1,0)</formula>
    </cfRule>
  </conditionalFormatting>
  <conditionalFormatting sqref="E121">
    <cfRule type="expression" dxfId="904" priority="905">
      <formula>IF(#REF!="FICTICIO",1,0)</formula>
    </cfRule>
  </conditionalFormatting>
  <conditionalFormatting sqref="E121">
    <cfRule type="expression" dxfId="903" priority="904">
      <formula>IF(#REF!="FICTICIO",1,0)</formula>
    </cfRule>
  </conditionalFormatting>
  <conditionalFormatting sqref="E121">
    <cfRule type="expression" dxfId="902" priority="903">
      <formula>IF(#REF!="FICTICIO",1,0)</formula>
    </cfRule>
  </conditionalFormatting>
  <conditionalFormatting sqref="E121">
    <cfRule type="expression" dxfId="901" priority="902">
      <formula>IF(#REF!="FICTICIO",1,0)</formula>
    </cfRule>
  </conditionalFormatting>
  <conditionalFormatting sqref="E121">
    <cfRule type="expression" dxfId="900" priority="901">
      <formula>IF(#REF!="FICTICIO",1,0)</formula>
    </cfRule>
  </conditionalFormatting>
  <conditionalFormatting sqref="E121">
    <cfRule type="expression" dxfId="899" priority="900">
      <formula>IF(#REF!="FICTICIO",1,0)</formula>
    </cfRule>
  </conditionalFormatting>
  <conditionalFormatting sqref="E121">
    <cfRule type="expression" dxfId="898" priority="899">
      <formula>IF(#REF!="FICTICIO",1,0)</formula>
    </cfRule>
  </conditionalFormatting>
  <conditionalFormatting sqref="E121">
    <cfRule type="expression" dxfId="897" priority="898">
      <formula>IF(#REF!="FICTICIO",1,0)</formula>
    </cfRule>
  </conditionalFormatting>
  <conditionalFormatting sqref="E121">
    <cfRule type="expression" dxfId="896" priority="897">
      <formula>IF(#REF!="FICTICIO",1,0)</formula>
    </cfRule>
  </conditionalFormatting>
  <conditionalFormatting sqref="E121">
    <cfRule type="expression" dxfId="895" priority="896">
      <formula>IF(#REF!="FICTICIO",1,0)</formula>
    </cfRule>
  </conditionalFormatting>
  <conditionalFormatting sqref="E121">
    <cfRule type="expression" dxfId="894" priority="895">
      <formula>IF(#REF!="FICTICIO",1,0)</formula>
    </cfRule>
  </conditionalFormatting>
  <conditionalFormatting sqref="E121">
    <cfRule type="expression" dxfId="893" priority="894">
      <formula>IF(#REF!="FICTICIO",1,0)</formula>
    </cfRule>
  </conditionalFormatting>
  <conditionalFormatting sqref="E121">
    <cfRule type="expression" dxfId="892" priority="893">
      <formula>IF(#REF!="FICTICIO",1,0)</formula>
    </cfRule>
  </conditionalFormatting>
  <conditionalFormatting sqref="E121">
    <cfRule type="expression" dxfId="891" priority="892">
      <formula>IF(#REF!="FICTICIO",1,0)</formula>
    </cfRule>
  </conditionalFormatting>
  <conditionalFormatting sqref="F121">
    <cfRule type="expression" dxfId="890" priority="891">
      <formula>IF(#REF!="FICTICIO",1,0)</formula>
    </cfRule>
  </conditionalFormatting>
  <conditionalFormatting sqref="E121">
    <cfRule type="expression" dxfId="889" priority="890">
      <formula>IF(#REF!="FICTICIO",1,0)</formula>
    </cfRule>
  </conditionalFormatting>
  <conditionalFormatting sqref="E121">
    <cfRule type="expression" dxfId="888" priority="889">
      <formula>IF(#REF!="FICTICIO",1,0)</formula>
    </cfRule>
  </conditionalFormatting>
  <conditionalFormatting sqref="E121">
    <cfRule type="expression" dxfId="887" priority="888">
      <formula>IF(#REF!="FICTICIO",1,0)</formula>
    </cfRule>
  </conditionalFormatting>
  <conditionalFormatting sqref="E121">
    <cfRule type="expression" dxfId="886" priority="887">
      <formula>IF(#REF!="FICTICIO",1,0)</formula>
    </cfRule>
  </conditionalFormatting>
  <conditionalFormatting sqref="E121">
    <cfRule type="expression" dxfId="885" priority="886">
      <formula>IF(#REF!="FICTICIO",1,0)</formula>
    </cfRule>
  </conditionalFormatting>
  <conditionalFormatting sqref="E121">
    <cfRule type="expression" dxfId="884" priority="885">
      <formula>IF(#REF!="FICTICIO",1,0)</formula>
    </cfRule>
  </conditionalFormatting>
  <conditionalFormatting sqref="E121">
    <cfRule type="expression" dxfId="883" priority="884">
      <formula>IF(#REF!="FICTICIO",1,0)</formula>
    </cfRule>
  </conditionalFormatting>
  <conditionalFormatting sqref="E121">
    <cfRule type="expression" dxfId="882" priority="883">
      <formula>IF(#REF!="FICTICIO",1,0)</formula>
    </cfRule>
  </conditionalFormatting>
  <conditionalFormatting sqref="E121">
    <cfRule type="expression" dxfId="881" priority="882">
      <formula>IF(#REF!="FICTICIO",1,0)</formula>
    </cfRule>
  </conditionalFormatting>
  <conditionalFormatting sqref="E121">
    <cfRule type="expression" dxfId="880" priority="881">
      <formula>IF(#REF!="FICTICIO",1,0)</formula>
    </cfRule>
  </conditionalFormatting>
  <conditionalFormatting sqref="E121">
    <cfRule type="expression" dxfId="879" priority="880">
      <formula>IF(#REF!="FICTICIO",1,0)</formula>
    </cfRule>
  </conditionalFormatting>
  <conditionalFormatting sqref="E121">
    <cfRule type="expression" dxfId="878" priority="879">
      <formula>IF(#REF!="FICTICIO",1,0)</formula>
    </cfRule>
  </conditionalFormatting>
  <conditionalFormatting sqref="E121">
    <cfRule type="expression" dxfId="877" priority="878">
      <formula>IF(#REF!="FICTICIO",1,0)</formula>
    </cfRule>
  </conditionalFormatting>
  <conditionalFormatting sqref="E121">
    <cfRule type="expression" dxfId="876" priority="877">
      <formula>IF(#REF!="FICTICIO",1,0)</formula>
    </cfRule>
  </conditionalFormatting>
  <conditionalFormatting sqref="E121">
    <cfRule type="expression" dxfId="875" priority="876">
      <formula>IF(#REF!="FICTICIO",1,0)</formula>
    </cfRule>
  </conditionalFormatting>
  <conditionalFormatting sqref="E121">
    <cfRule type="expression" dxfId="874" priority="875">
      <formula>IF(#REF!="FICTICIO",1,0)</formula>
    </cfRule>
  </conditionalFormatting>
  <conditionalFormatting sqref="E121">
    <cfRule type="expression" dxfId="873" priority="874">
      <formula>IF(#REF!="FICTICIO",1,0)</formula>
    </cfRule>
  </conditionalFormatting>
  <conditionalFormatting sqref="E121">
    <cfRule type="expression" dxfId="872" priority="873">
      <formula>IF(#REF!="FICTICIO",1,0)</formula>
    </cfRule>
  </conditionalFormatting>
  <conditionalFormatting sqref="E121">
    <cfRule type="expression" dxfId="871" priority="872">
      <formula>IF(#REF!="FICTICIO",1,0)</formula>
    </cfRule>
  </conditionalFormatting>
  <conditionalFormatting sqref="E121">
    <cfRule type="expression" dxfId="870" priority="871">
      <formula>IF(#REF!="FICTICIO",1,0)</formula>
    </cfRule>
  </conditionalFormatting>
  <conditionalFormatting sqref="E121">
    <cfRule type="expression" dxfId="869" priority="870">
      <formula>IF(#REF!="FICTICIO",1,0)</formula>
    </cfRule>
  </conditionalFormatting>
  <conditionalFormatting sqref="E121">
    <cfRule type="expression" dxfId="868" priority="869">
      <formula>IF(#REF!="FICTICIO",1,0)</formula>
    </cfRule>
  </conditionalFormatting>
  <conditionalFormatting sqref="E121">
    <cfRule type="expression" dxfId="867" priority="868">
      <formula>IF(#REF!="FICTICIO",1,0)</formula>
    </cfRule>
  </conditionalFormatting>
  <conditionalFormatting sqref="E121">
    <cfRule type="expression" dxfId="866" priority="867">
      <formula>IF(#REF!="FICTICIO",1,0)</formula>
    </cfRule>
  </conditionalFormatting>
  <conditionalFormatting sqref="E121">
    <cfRule type="expression" dxfId="865" priority="866">
      <formula>IF(#REF!="FICTICIO",1,0)</formula>
    </cfRule>
  </conditionalFormatting>
  <conditionalFormatting sqref="E121">
    <cfRule type="expression" dxfId="864" priority="865">
      <formula>IF(#REF!="FICTICIO",1,0)</formula>
    </cfRule>
  </conditionalFormatting>
  <conditionalFormatting sqref="E121">
    <cfRule type="expression" dxfId="863" priority="864">
      <formula>IF(#REF!="FICTICIO",1,0)</formula>
    </cfRule>
  </conditionalFormatting>
  <conditionalFormatting sqref="E121">
    <cfRule type="expression" dxfId="862" priority="863">
      <formula>IF(#REF!="FICTICIO",1,0)</formula>
    </cfRule>
  </conditionalFormatting>
  <conditionalFormatting sqref="E121">
    <cfRule type="expression" dxfId="861" priority="862">
      <formula>IF(#REF!="FICTICIO",1,0)</formula>
    </cfRule>
  </conditionalFormatting>
  <conditionalFormatting sqref="E121">
    <cfRule type="expression" dxfId="860" priority="861">
      <formula>IF(#REF!="FICTICIO",1,0)</formula>
    </cfRule>
  </conditionalFormatting>
  <conditionalFormatting sqref="E121">
    <cfRule type="expression" dxfId="859" priority="860">
      <formula>IF(#REF!="FICTICIO",1,0)</formula>
    </cfRule>
  </conditionalFormatting>
  <conditionalFormatting sqref="E121">
    <cfRule type="expression" dxfId="858" priority="859">
      <formula>IF(#REF!="FICTICIO",1,0)</formula>
    </cfRule>
  </conditionalFormatting>
  <conditionalFormatting sqref="E121">
    <cfRule type="expression" dxfId="857" priority="858">
      <formula>IF(#REF!="FICTICIO",1,0)</formula>
    </cfRule>
  </conditionalFormatting>
  <conditionalFormatting sqref="E121">
    <cfRule type="expression" dxfId="856" priority="857">
      <formula>IF(#REF!="FICTICIO",1,0)</formula>
    </cfRule>
  </conditionalFormatting>
  <conditionalFormatting sqref="E121">
    <cfRule type="expression" dxfId="855" priority="856">
      <formula>IF(#REF!="FICTICIO",1,0)</formula>
    </cfRule>
  </conditionalFormatting>
  <conditionalFormatting sqref="E121">
    <cfRule type="expression" dxfId="854" priority="855">
      <formula>IF(#REF!="FICTICIO",1,0)</formula>
    </cfRule>
  </conditionalFormatting>
  <conditionalFormatting sqref="E121">
    <cfRule type="expression" dxfId="853" priority="854">
      <formula>IF(#REF!="FICTICIO",1,0)</formula>
    </cfRule>
  </conditionalFormatting>
  <conditionalFormatting sqref="E121">
    <cfRule type="expression" dxfId="852" priority="853">
      <formula>IF(#REF!="FICTICIO",1,0)</formula>
    </cfRule>
  </conditionalFormatting>
  <conditionalFormatting sqref="E121">
    <cfRule type="expression" dxfId="851" priority="852">
      <formula>IF(#REF!="FICTICIO",1,0)</formula>
    </cfRule>
  </conditionalFormatting>
  <conditionalFormatting sqref="E121">
    <cfRule type="expression" dxfId="850" priority="851">
      <formula>IF(#REF!="FICTICIO",1,0)</formula>
    </cfRule>
  </conditionalFormatting>
  <conditionalFormatting sqref="E121">
    <cfRule type="expression" dxfId="849" priority="850">
      <formula>IF(#REF!="FICTICIO",1,0)</formula>
    </cfRule>
  </conditionalFormatting>
  <conditionalFormatting sqref="E121">
    <cfRule type="expression" dxfId="848" priority="849">
      <formula>IF(#REF!="FICTICIO",1,0)</formula>
    </cfRule>
  </conditionalFormatting>
  <conditionalFormatting sqref="E121">
    <cfRule type="expression" dxfId="847" priority="848">
      <formula>IF(#REF!="FICTICIO",1,0)</formula>
    </cfRule>
  </conditionalFormatting>
  <conditionalFormatting sqref="E121">
    <cfRule type="expression" dxfId="846" priority="847">
      <formula>IF(#REF!="FICTICIO",1,0)</formula>
    </cfRule>
  </conditionalFormatting>
  <conditionalFormatting sqref="F121">
    <cfRule type="expression" dxfId="845" priority="846">
      <formula>IF(#REF!="FICTICIO",1,0)</formula>
    </cfRule>
  </conditionalFormatting>
  <conditionalFormatting sqref="F121">
    <cfRule type="expression" dxfId="844" priority="844">
      <formula>IF(#REF!="FICTICIO",1,0)</formula>
    </cfRule>
  </conditionalFormatting>
  <conditionalFormatting sqref="F121">
    <cfRule type="expression" dxfId="843" priority="845">
      <formula>IF(#REF!="FICTICIO",1,0)</formula>
    </cfRule>
  </conditionalFormatting>
  <conditionalFormatting sqref="D121">
    <cfRule type="expression" dxfId="842" priority="842">
      <formula>IF(#REF!="FICTICIO",1,0)</formula>
    </cfRule>
  </conditionalFormatting>
  <conditionalFormatting sqref="D121">
    <cfRule type="expression" dxfId="841" priority="843">
      <formula>IF(#REF!="FICTICIO",1,0)</formula>
    </cfRule>
  </conditionalFormatting>
  <conditionalFormatting sqref="D121">
    <cfRule type="expression" dxfId="840" priority="840">
      <formula>IF(#REF!="FICTICIO",1,0)</formula>
    </cfRule>
  </conditionalFormatting>
  <conditionalFormatting sqref="D121">
    <cfRule type="expression" dxfId="839" priority="841">
      <formula>IF(#REF!="FICTICIO",1,0)</formula>
    </cfRule>
  </conditionalFormatting>
  <conditionalFormatting sqref="D121">
    <cfRule type="expression" dxfId="838" priority="838">
      <formula>IF(#REF!="FICTICIO",1,0)</formula>
    </cfRule>
  </conditionalFormatting>
  <conditionalFormatting sqref="D121">
    <cfRule type="expression" dxfId="837" priority="839">
      <formula>IF(#REF!="FICTICIO",1,0)</formula>
    </cfRule>
  </conditionalFormatting>
  <conditionalFormatting sqref="D121">
    <cfRule type="expression" dxfId="836" priority="836">
      <formula>IF(#REF!="FICTICIO",1,0)</formula>
    </cfRule>
  </conditionalFormatting>
  <conditionalFormatting sqref="D121">
    <cfRule type="expression" dxfId="835" priority="837">
      <formula>IF(#REF!="FICTICIO",1,0)</formula>
    </cfRule>
  </conditionalFormatting>
  <conditionalFormatting sqref="D121">
    <cfRule type="expression" dxfId="834" priority="834">
      <formula>IF(#REF!="FICTICIO",1,0)</formula>
    </cfRule>
  </conditionalFormatting>
  <conditionalFormatting sqref="D121">
    <cfRule type="expression" dxfId="833" priority="835">
      <formula>IF(#REF!="FICTICIO",1,0)</formula>
    </cfRule>
  </conditionalFormatting>
  <conditionalFormatting sqref="D121">
    <cfRule type="expression" dxfId="832" priority="832">
      <formula>IF(#REF!="FICTICIO",1,0)</formula>
    </cfRule>
  </conditionalFormatting>
  <conditionalFormatting sqref="D121">
    <cfRule type="expression" dxfId="831" priority="833">
      <formula>IF(#REF!="FICTICIO",1,0)</formula>
    </cfRule>
  </conditionalFormatting>
  <conditionalFormatting sqref="D121">
    <cfRule type="expression" dxfId="830" priority="830">
      <formula>IF(#REF!="FICTICIO",1,0)</formula>
    </cfRule>
  </conditionalFormatting>
  <conditionalFormatting sqref="D121">
    <cfRule type="expression" dxfId="829" priority="831">
      <formula>IF(#REF!="FICTICIO",1,0)</formula>
    </cfRule>
  </conditionalFormatting>
  <conditionalFormatting sqref="D121">
    <cfRule type="expression" dxfId="828" priority="828">
      <formula>IF(#REF!="FICTICIO",1,0)</formula>
    </cfRule>
  </conditionalFormatting>
  <conditionalFormatting sqref="D121">
    <cfRule type="expression" dxfId="827" priority="829">
      <formula>IF(#REF!="FICTICIO",1,0)</formula>
    </cfRule>
  </conditionalFormatting>
  <conditionalFormatting sqref="D121">
    <cfRule type="expression" dxfId="826" priority="826">
      <formula>IF(#REF!="FICTICIO",1,0)</formula>
    </cfRule>
  </conditionalFormatting>
  <conditionalFormatting sqref="D121">
    <cfRule type="expression" dxfId="825" priority="827">
      <formula>IF(#REF!="FICTICIO",1,0)</formula>
    </cfRule>
  </conditionalFormatting>
  <conditionalFormatting sqref="D121">
    <cfRule type="expression" dxfId="824" priority="824">
      <formula>IF(#REF!="FICTICIO",1,0)</formula>
    </cfRule>
  </conditionalFormatting>
  <conditionalFormatting sqref="D121">
    <cfRule type="expression" dxfId="823" priority="825">
      <formula>IF(#REF!="FICTICIO",1,0)</formula>
    </cfRule>
  </conditionalFormatting>
  <conditionalFormatting sqref="D121">
    <cfRule type="expression" dxfId="822" priority="822">
      <formula>IF(#REF!="FICTICIO",1,0)</formula>
    </cfRule>
  </conditionalFormatting>
  <conditionalFormatting sqref="D121">
    <cfRule type="expression" dxfId="821" priority="823">
      <formula>IF(#REF!="FICTICIO",1,0)</formula>
    </cfRule>
  </conditionalFormatting>
  <conditionalFormatting sqref="D121">
    <cfRule type="expression" dxfId="820" priority="820">
      <formula>IF(#REF!="FICTICIO",1,0)</formula>
    </cfRule>
  </conditionalFormatting>
  <conditionalFormatting sqref="D121">
    <cfRule type="expression" dxfId="819" priority="821">
      <formula>IF(#REF!="FICTICIO",1,0)</formula>
    </cfRule>
  </conditionalFormatting>
  <conditionalFormatting sqref="D121">
    <cfRule type="expression" dxfId="818" priority="818">
      <formula>IF(#REF!="FICTICIO",1,0)</formula>
    </cfRule>
  </conditionalFormatting>
  <conditionalFormatting sqref="D121">
    <cfRule type="expression" dxfId="817" priority="819">
      <formula>IF(#REF!="FICTICIO",1,0)</formula>
    </cfRule>
  </conditionalFormatting>
  <conditionalFormatting sqref="D121">
    <cfRule type="expression" dxfId="816" priority="816">
      <formula>IF(#REF!="FICTICIO",1,0)</formula>
    </cfRule>
  </conditionalFormatting>
  <conditionalFormatting sqref="D121">
    <cfRule type="expression" dxfId="815" priority="817">
      <formula>IF(#REF!="FICTICIO",1,0)</formula>
    </cfRule>
  </conditionalFormatting>
  <conditionalFormatting sqref="D121">
    <cfRule type="expression" dxfId="814" priority="814">
      <formula>IF(#REF!="FICTICIO",1,0)</formula>
    </cfRule>
  </conditionalFormatting>
  <conditionalFormatting sqref="D121">
    <cfRule type="expression" dxfId="813" priority="815">
      <formula>IF(#REF!="FICTICIO",1,0)</formula>
    </cfRule>
  </conditionalFormatting>
  <conditionalFormatting sqref="D121">
    <cfRule type="expression" dxfId="812" priority="812">
      <formula>IF(#REF!="FICTICIO",1,0)</formula>
    </cfRule>
  </conditionalFormatting>
  <conditionalFormatting sqref="D121">
    <cfRule type="expression" dxfId="811" priority="813">
      <formula>IF(#REF!="FICTICIO",1,0)</formula>
    </cfRule>
  </conditionalFormatting>
  <conditionalFormatting sqref="E122">
    <cfRule type="expression" dxfId="810" priority="811">
      <formula>IF(#REF!="FICTICIO",1,0)</formula>
    </cfRule>
  </conditionalFormatting>
  <conditionalFormatting sqref="E122">
    <cfRule type="expression" dxfId="809" priority="810">
      <formula>IF(#REF!="FICTICIO",1,0)</formula>
    </cfRule>
  </conditionalFormatting>
  <conditionalFormatting sqref="E122">
    <cfRule type="expression" dxfId="808" priority="809">
      <formula>IF(#REF!="FICTICIO",1,0)</formula>
    </cfRule>
  </conditionalFormatting>
  <conditionalFormatting sqref="E122">
    <cfRule type="expression" dxfId="807" priority="808">
      <formula>IF(#REF!="FICTICIO",1,0)</formula>
    </cfRule>
  </conditionalFormatting>
  <conditionalFormatting sqref="E122">
    <cfRule type="expression" dxfId="806" priority="807">
      <formula>IF(#REF!="FICTICIO",1,0)</formula>
    </cfRule>
  </conditionalFormatting>
  <conditionalFormatting sqref="E122">
    <cfRule type="expression" dxfId="805" priority="806">
      <formula>IF(#REF!="FICTICIO",1,0)</formula>
    </cfRule>
  </conditionalFormatting>
  <conditionalFormatting sqref="E122">
    <cfRule type="expression" dxfId="804" priority="805">
      <formula>IF(#REF!="FICTICIO",1,0)</formula>
    </cfRule>
  </conditionalFormatting>
  <conditionalFormatting sqref="E122">
    <cfRule type="expression" dxfId="803" priority="804">
      <formula>IF(#REF!="FICTICIO",1,0)</formula>
    </cfRule>
  </conditionalFormatting>
  <conditionalFormatting sqref="E122">
    <cfRule type="expression" dxfId="802" priority="803">
      <formula>IF(#REF!="FICTICIO",1,0)</formula>
    </cfRule>
  </conditionalFormatting>
  <conditionalFormatting sqref="E122">
    <cfRule type="expression" dxfId="801" priority="802">
      <formula>IF(#REF!="FICTICIO",1,0)</formula>
    </cfRule>
  </conditionalFormatting>
  <conditionalFormatting sqref="E122">
    <cfRule type="expression" dxfId="800" priority="801">
      <formula>IF(#REF!="FICTICIO",1,0)</formula>
    </cfRule>
  </conditionalFormatting>
  <conditionalFormatting sqref="E122">
    <cfRule type="expression" dxfId="799" priority="800">
      <formula>IF(#REF!="FICTICIO",1,0)</formula>
    </cfRule>
  </conditionalFormatting>
  <conditionalFormatting sqref="E122">
    <cfRule type="expression" dxfId="798" priority="799">
      <formula>IF(#REF!="FICTICIO",1,0)</formula>
    </cfRule>
  </conditionalFormatting>
  <conditionalFormatting sqref="E122">
    <cfRule type="expression" dxfId="797" priority="798">
      <formula>IF(#REF!="FICTICIO",1,0)</formula>
    </cfRule>
  </conditionalFormatting>
  <conditionalFormatting sqref="E122">
    <cfRule type="expression" dxfId="796" priority="797">
      <formula>IF(#REF!="FICTICIO",1,0)</formula>
    </cfRule>
  </conditionalFormatting>
  <conditionalFormatting sqref="E122">
    <cfRule type="expression" dxfId="795" priority="796">
      <formula>IF(#REF!="FICTICIO",1,0)</formula>
    </cfRule>
  </conditionalFormatting>
  <conditionalFormatting sqref="E122">
    <cfRule type="expression" dxfId="794" priority="795">
      <formula>IF(#REF!="FICTICIO",1,0)</formula>
    </cfRule>
  </conditionalFormatting>
  <conditionalFormatting sqref="E122">
    <cfRule type="expression" dxfId="793" priority="794">
      <formula>IF(#REF!="FICTICIO",1,0)</formula>
    </cfRule>
  </conditionalFormatting>
  <conditionalFormatting sqref="E122">
    <cfRule type="expression" dxfId="792" priority="793">
      <formula>IF(#REF!="FICTICIO",1,0)</formula>
    </cfRule>
  </conditionalFormatting>
  <conditionalFormatting sqref="E122">
    <cfRule type="expression" dxfId="791" priority="792">
      <formula>IF(#REF!="FICTICIO",1,0)</formula>
    </cfRule>
  </conditionalFormatting>
  <conditionalFormatting sqref="E122">
    <cfRule type="expression" dxfId="790" priority="791">
      <formula>IF(#REF!="FICTICIO",1,0)</formula>
    </cfRule>
  </conditionalFormatting>
  <conditionalFormatting sqref="E122">
    <cfRule type="expression" dxfId="789" priority="790">
      <formula>IF(#REF!="FICTICIO",1,0)</formula>
    </cfRule>
  </conditionalFormatting>
  <conditionalFormatting sqref="E122">
    <cfRule type="expression" dxfId="788" priority="789">
      <formula>IF(#REF!="FICTICIO",1,0)</formula>
    </cfRule>
  </conditionalFormatting>
  <conditionalFormatting sqref="E122">
    <cfRule type="expression" dxfId="787" priority="788">
      <formula>IF(#REF!="FICTICIO",1,0)</formula>
    </cfRule>
  </conditionalFormatting>
  <conditionalFormatting sqref="E122">
    <cfRule type="expression" dxfId="786" priority="787">
      <formula>IF(#REF!="FICTICIO",1,0)</formula>
    </cfRule>
  </conditionalFormatting>
  <conditionalFormatting sqref="E122">
    <cfRule type="expression" dxfId="785" priority="786">
      <formula>IF(#REF!="FICTICIO",1,0)</formula>
    </cfRule>
  </conditionalFormatting>
  <conditionalFormatting sqref="E122">
    <cfRule type="expression" dxfId="784" priority="785">
      <formula>IF(#REF!="FICTICIO",1,0)</formula>
    </cfRule>
  </conditionalFormatting>
  <conditionalFormatting sqref="E122">
    <cfRule type="expression" dxfId="783" priority="784">
      <formula>IF(#REF!="FICTICIO",1,0)</formula>
    </cfRule>
  </conditionalFormatting>
  <conditionalFormatting sqref="E122">
    <cfRule type="expression" dxfId="782" priority="783">
      <formula>IF(#REF!="FICTICIO",1,0)</formula>
    </cfRule>
  </conditionalFormatting>
  <conditionalFormatting sqref="E122">
    <cfRule type="expression" dxfId="781" priority="782">
      <formula>IF(#REF!="FICTICIO",1,0)</formula>
    </cfRule>
  </conditionalFormatting>
  <conditionalFormatting sqref="E122">
    <cfRule type="expression" dxfId="780" priority="781">
      <formula>IF(#REF!="FICTICIO",1,0)</formula>
    </cfRule>
  </conditionalFormatting>
  <conditionalFormatting sqref="E122">
    <cfRule type="expression" dxfId="779" priority="780">
      <formula>IF(#REF!="FICTICIO",1,0)</formula>
    </cfRule>
  </conditionalFormatting>
  <conditionalFormatting sqref="E122">
    <cfRule type="expression" dxfId="778" priority="779">
      <formula>IF(#REF!="FICTICIO",1,0)</formula>
    </cfRule>
  </conditionalFormatting>
  <conditionalFormatting sqref="E122">
    <cfRule type="expression" dxfId="777" priority="778">
      <formula>IF(#REF!="FICTICIO",1,0)</formula>
    </cfRule>
  </conditionalFormatting>
  <conditionalFormatting sqref="E122">
    <cfRule type="expression" dxfId="776" priority="777">
      <formula>IF(#REF!="FICTICIO",1,0)</formula>
    </cfRule>
  </conditionalFormatting>
  <conditionalFormatting sqref="E122">
    <cfRule type="expression" dxfId="775" priority="776">
      <formula>IF(#REF!="FICTICIO",1,0)</formula>
    </cfRule>
  </conditionalFormatting>
  <conditionalFormatting sqref="E122">
    <cfRule type="expression" dxfId="774" priority="775">
      <formula>IF(#REF!="FICTICIO",1,0)</formula>
    </cfRule>
  </conditionalFormatting>
  <conditionalFormatting sqref="E122">
    <cfRule type="expression" dxfId="773" priority="774">
      <formula>IF(#REF!="FICTICIO",1,0)</formula>
    </cfRule>
  </conditionalFormatting>
  <conditionalFormatting sqref="E122">
    <cfRule type="expression" dxfId="772" priority="773">
      <formula>IF(#REF!="FICTICIO",1,0)</formula>
    </cfRule>
  </conditionalFormatting>
  <conditionalFormatting sqref="E122">
    <cfRule type="expression" dxfId="771" priority="772">
      <formula>IF(#REF!="FICTICIO",1,0)</formula>
    </cfRule>
  </conditionalFormatting>
  <conditionalFormatting sqref="E122">
    <cfRule type="expression" dxfId="770" priority="771">
      <formula>IF(#REF!="FICTICIO",1,0)</formula>
    </cfRule>
  </conditionalFormatting>
  <conditionalFormatting sqref="E122">
    <cfRule type="expression" dxfId="769" priority="770">
      <formula>IF(#REF!="FICTICIO",1,0)</formula>
    </cfRule>
  </conditionalFormatting>
  <conditionalFormatting sqref="E122">
    <cfRule type="expression" dxfId="768" priority="769">
      <formula>IF(#REF!="FICTICIO",1,0)</formula>
    </cfRule>
  </conditionalFormatting>
  <conditionalFormatting sqref="E122">
    <cfRule type="expression" dxfId="767" priority="768">
      <formula>IF(#REF!="FICTICIO",1,0)</formula>
    </cfRule>
  </conditionalFormatting>
  <conditionalFormatting sqref="E122">
    <cfRule type="expression" dxfId="766" priority="767">
      <formula>IF(#REF!="FICTICIO",1,0)</formula>
    </cfRule>
  </conditionalFormatting>
  <conditionalFormatting sqref="E122">
    <cfRule type="expression" dxfId="765" priority="766">
      <formula>IF(#REF!="FICTICIO",1,0)</formula>
    </cfRule>
  </conditionalFormatting>
  <conditionalFormatting sqref="E122">
    <cfRule type="expression" dxfId="764" priority="765">
      <formula>IF(#REF!="FICTICIO",1,0)</formula>
    </cfRule>
  </conditionalFormatting>
  <conditionalFormatting sqref="E122">
    <cfRule type="expression" dxfId="763" priority="764">
      <formula>IF(#REF!="FICTICIO",1,0)</formula>
    </cfRule>
  </conditionalFormatting>
  <conditionalFormatting sqref="E122">
    <cfRule type="expression" dxfId="762" priority="763">
      <formula>IF(#REF!="FICTICIO",1,0)</formula>
    </cfRule>
  </conditionalFormatting>
  <conditionalFormatting sqref="E122">
    <cfRule type="expression" dxfId="761" priority="762">
      <formula>IF(#REF!="FICTICIO",1,0)</formula>
    </cfRule>
  </conditionalFormatting>
  <conditionalFormatting sqref="E122">
    <cfRule type="expression" dxfId="760" priority="761">
      <formula>IF(#REF!="FICTICIO",1,0)</formula>
    </cfRule>
  </conditionalFormatting>
  <conditionalFormatting sqref="E122">
    <cfRule type="expression" dxfId="759" priority="760">
      <formula>IF(#REF!="FICTICIO",1,0)</formula>
    </cfRule>
  </conditionalFormatting>
  <conditionalFormatting sqref="E122">
    <cfRule type="expression" dxfId="758" priority="759">
      <formula>IF(#REF!="FICTICIO",1,0)</formula>
    </cfRule>
  </conditionalFormatting>
  <conditionalFormatting sqref="E122">
    <cfRule type="expression" dxfId="757" priority="758">
      <formula>IF(#REF!="FICTICIO",1,0)</formula>
    </cfRule>
  </conditionalFormatting>
  <conditionalFormatting sqref="E122">
    <cfRule type="expression" dxfId="756" priority="757">
      <formula>IF(#REF!="FICTICIO",1,0)</formula>
    </cfRule>
  </conditionalFormatting>
  <conditionalFormatting sqref="E122">
    <cfRule type="expression" dxfId="755" priority="756">
      <formula>IF(#REF!="FICTICIO",1,0)</formula>
    </cfRule>
  </conditionalFormatting>
  <conditionalFormatting sqref="E122">
    <cfRule type="expression" dxfId="754" priority="755">
      <formula>IF(#REF!="FICTICIO",1,0)</formula>
    </cfRule>
  </conditionalFormatting>
  <conditionalFormatting sqref="E122">
    <cfRule type="expression" dxfId="753" priority="754">
      <formula>IF(#REF!="FICTICIO",1,0)</formula>
    </cfRule>
  </conditionalFormatting>
  <conditionalFormatting sqref="E122">
    <cfRule type="expression" dxfId="752" priority="753">
      <formula>IF(#REF!="FICTICIO",1,0)</formula>
    </cfRule>
  </conditionalFormatting>
  <conditionalFormatting sqref="E122">
    <cfRule type="expression" dxfId="751" priority="752">
      <formula>IF(#REF!="FICTICIO",1,0)</formula>
    </cfRule>
  </conditionalFormatting>
  <conditionalFormatting sqref="E122">
    <cfRule type="expression" dxfId="750" priority="751">
      <formula>IF(#REF!="FICTICIO",1,0)</formula>
    </cfRule>
  </conditionalFormatting>
  <conditionalFormatting sqref="E122">
    <cfRule type="expression" dxfId="749" priority="750">
      <formula>IF(#REF!="FICTICIO",1,0)</formula>
    </cfRule>
  </conditionalFormatting>
  <conditionalFormatting sqref="E122">
    <cfRule type="expression" dxfId="748" priority="749">
      <formula>IF(#REF!="FICTICIO",1,0)</formula>
    </cfRule>
  </conditionalFormatting>
  <conditionalFormatting sqref="E122">
    <cfRule type="expression" dxfId="747" priority="748">
      <formula>IF(#REF!="FICTICIO",1,0)</formula>
    </cfRule>
  </conditionalFormatting>
  <conditionalFormatting sqref="E122">
    <cfRule type="expression" dxfId="746" priority="747">
      <formula>IF(#REF!="FICTICIO",1,0)</formula>
    </cfRule>
  </conditionalFormatting>
  <conditionalFormatting sqref="E122">
    <cfRule type="expression" dxfId="745" priority="746">
      <formula>IF(#REF!="FICTICIO",1,0)</formula>
    </cfRule>
  </conditionalFormatting>
  <conditionalFormatting sqref="E122">
    <cfRule type="expression" dxfId="744" priority="745">
      <formula>IF(#REF!="FICTICIO",1,0)</formula>
    </cfRule>
  </conditionalFormatting>
  <conditionalFormatting sqref="E122">
    <cfRule type="expression" dxfId="743" priority="744">
      <formula>IF(#REF!="FICTICIO",1,0)</formula>
    </cfRule>
  </conditionalFormatting>
  <conditionalFormatting sqref="E122">
    <cfRule type="expression" dxfId="742" priority="743">
      <formula>IF(#REF!="FICTICIO",1,0)</formula>
    </cfRule>
  </conditionalFormatting>
  <conditionalFormatting sqref="E122">
    <cfRule type="expression" dxfId="741" priority="742">
      <formula>IF(#REF!="FICTICIO",1,0)</formula>
    </cfRule>
  </conditionalFormatting>
  <conditionalFormatting sqref="E122">
    <cfRule type="expression" dxfId="740" priority="741">
      <formula>IF(#REF!="FICTICIO",1,0)</formula>
    </cfRule>
  </conditionalFormatting>
  <conditionalFormatting sqref="E122">
    <cfRule type="expression" dxfId="739" priority="740">
      <formula>IF(#REF!="FICTICIO",1,0)</formula>
    </cfRule>
  </conditionalFormatting>
  <conditionalFormatting sqref="E122">
    <cfRule type="expression" dxfId="738" priority="739">
      <formula>IF(#REF!="FICTICIO",1,0)</formula>
    </cfRule>
  </conditionalFormatting>
  <conditionalFormatting sqref="E122">
    <cfRule type="expression" dxfId="737" priority="738">
      <formula>IF(#REF!="FICTICIO",1,0)</formula>
    </cfRule>
  </conditionalFormatting>
  <conditionalFormatting sqref="E122">
    <cfRule type="expression" dxfId="736" priority="737">
      <formula>IF(#REF!="FICTICIO",1,0)</formula>
    </cfRule>
  </conditionalFormatting>
  <conditionalFormatting sqref="E122">
    <cfRule type="expression" dxfId="735" priority="736">
      <formula>IF(#REF!="FICTICIO",1,0)</formula>
    </cfRule>
  </conditionalFormatting>
  <conditionalFormatting sqref="E122">
    <cfRule type="expression" dxfId="734" priority="735">
      <formula>IF(#REF!="FICTICIO",1,0)</formula>
    </cfRule>
  </conditionalFormatting>
  <conditionalFormatting sqref="E122">
    <cfRule type="expression" dxfId="733" priority="734">
      <formula>IF(#REF!="FICTICIO",1,0)</formula>
    </cfRule>
  </conditionalFormatting>
  <conditionalFormatting sqref="E122">
    <cfRule type="expression" dxfId="732" priority="733">
      <formula>IF(#REF!="FICTICIO",1,0)</formula>
    </cfRule>
  </conditionalFormatting>
  <conditionalFormatting sqref="E122">
    <cfRule type="expression" dxfId="731" priority="732">
      <formula>IF(#REF!="FICTICIO",1,0)</formula>
    </cfRule>
  </conditionalFormatting>
  <conditionalFormatting sqref="E122">
    <cfRule type="expression" dxfId="730" priority="731">
      <formula>IF(#REF!="FICTICIO",1,0)</formula>
    </cfRule>
  </conditionalFormatting>
  <conditionalFormatting sqref="E122">
    <cfRule type="expression" dxfId="729" priority="730">
      <formula>IF(#REF!="FICTICIO",1,0)</formula>
    </cfRule>
  </conditionalFormatting>
  <conditionalFormatting sqref="E122">
    <cfRule type="expression" dxfId="728" priority="729">
      <formula>IF(#REF!="FICTICIO",1,0)</formula>
    </cfRule>
  </conditionalFormatting>
  <conditionalFormatting sqref="E122">
    <cfRule type="expression" dxfId="727" priority="728">
      <formula>IF(#REF!="FICTICIO",1,0)</formula>
    </cfRule>
  </conditionalFormatting>
  <conditionalFormatting sqref="E122">
    <cfRule type="expression" dxfId="726" priority="727">
      <formula>IF(#REF!="FICTICIO",1,0)</formula>
    </cfRule>
  </conditionalFormatting>
  <conditionalFormatting sqref="E122">
    <cfRule type="expression" dxfId="725" priority="726">
      <formula>IF(#REF!="FICTICIO",1,0)</formula>
    </cfRule>
  </conditionalFormatting>
  <conditionalFormatting sqref="E122">
    <cfRule type="expression" dxfId="724" priority="725">
      <formula>IF(#REF!="FICTICIO",1,0)</formula>
    </cfRule>
  </conditionalFormatting>
  <conditionalFormatting sqref="E122">
    <cfRule type="expression" dxfId="723" priority="724">
      <formula>IF(#REF!="FICTICIO",1,0)</formula>
    </cfRule>
  </conditionalFormatting>
  <conditionalFormatting sqref="E122">
    <cfRule type="expression" dxfId="722" priority="723">
      <formula>IF(#REF!="FICTICIO",1,0)</formula>
    </cfRule>
  </conditionalFormatting>
  <conditionalFormatting sqref="E122">
    <cfRule type="expression" dxfId="721" priority="722">
      <formula>IF(#REF!="FICTICIO",1,0)</formula>
    </cfRule>
  </conditionalFormatting>
  <conditionalFormatting sqref="E122">
    <cfRule type="expression" dxfId="720" priority="721">
      <formula>IF(#REF!="FICTICIO",1,0)</formula>
    </cfRule>
  </conditionalFormatting>
  <conditionalFormatting sqref="E122">
    <cfRule type="expression" dxfId="719" priority="720">
      <formula>IF(#REF!="FICTICIO",1,0)</formula>
    </cfRule>
  </conditionalFormatting>
  <conditionalFormatting sqref="E122">
    <cfRule type="expression" dxfId="718" priority="719">
      <formula>IF(#REF!="FICTICIO",1,0)</formula>
    </cfRule>
  </conditionalFormatting>
  <conditionalFormatting sqref="E122">
    <cfRule type="expression" dxfId="717" priority="718">
      <formula>IF(#REF!="FICTICIO",1,0)</formula>
    </cfRule>
  </conditionalFormatting>
  <conditionalFormatting sqref="E122">
    <cfRule type="expression" dxfId="716" priority="717">
      <formula>IF(#REF!="FICTICIO",1,0)</formula>
    </cfRule>
  </conditionalFormatting>
  <conditionalFormatting sqref="E122">
    <cfRule type="expression" dxfId="715" priority="716">
      <formula>IF(#REF!="FICTICIO",1,0)</formula>
    </cfRule>
  </conditionalFormatting>
  <conditionalFormatting sqref="E122">
    <cfRule type="expression" dxfId="714" priority="715">
      <formula>IF(#REF!="FICTICIO",1,0)</formula>
    </cfRule>
  </conditionalFormatting>
  <conditionalFormatting sqref="E122">
    <cfRule type="expression" dxfId="713" priority="714">
      <formula>IF(#REF!="FICTICIO",1,0)</formula>
    </cfRule>
  </conditionalFormatting>
  <conditionalFormatting sqref="E122">
    <cfRule type="expression" dxfId="712" priority="713">
      <formula>IF(#REF!="FICTICIO",1,0)</formula>
    </cfRule>
  </conditionalFormatting>
  <conditionalFormatting sqref="E122">
    <cfRule type="expression" dxfId="711" priority="712">
      <formula>IF(#REF!="FICTICIO",1,0)</formula>
    </cfRule>
  </conditionalFormatting>
  <conditionalFormatting sqref="E122">
    <cfRule type="expression" dxfId="710" priority="711">
      <formula>IF(#REF!="FICTICIO",1,0)</formula>
    </cfRule>
  </conditionalFormatting>
  <conditionalFormatting sqref="E122">
    <cfRule type="expression" dxfId="709" priority="710">
      <formula>IF(#REF!="FICTICIO",1,0)</formula>
    </cfRule>
  </conditionalFormatting>
  <conditionalFormatting sqref="E122">
    <cfRule type="expression" dxfId="708" priority="709">
      <formula>IF(#REF!="FICTICIO",1,0)</formula>
    </cfRule>
  </conditionalFormatting>
  <conditionalFormatting sqref="E122">
    <cfRule type="expression" dxfId="707" priority="708">
      <formula>IF(#REF!="FICTICIO",1,0)</formula>
    </cfRule>
  </conditionalFormatting>
  <conditionalFormatting sqref="E122">
    <cfRule type="expression" dxfId="706" priority="707">
      <formula>IF(#REF!="FICTICIO",1,0)</formula>
    </cfRule>
  </conditionalFormatting>
  <conditionalFormatting sqref="E122">
    <cfRule type="expression" dxfId="705" priority="706">
      <formula>IF(#REF!="FICTICIO",1,0)</formula>
    </cfRule>
  </conditionalFormatting>
  <conditionalFormatting sqref="E122">
    <cfRule type="expression" dxfId="704" priority="705">
      <formula>IF(#REF!="FICTICIO",1,0)</formula>
    </cfRule>
  </conditionalFormatting>
  <conditionalFormatting sqref="E122">
    <cfRule type="expression" dxfId="703" priority="704">
      <formula>IF(#REF!="FICTICIO",1,0)</formula>
    </cfRule>
  </conditionalFormatting>
  <conditionalFormatting sqref="E122">
    <cfRule type="expression" dxfId="702" priority="703">
      <formula>IF(#REF!="FICTICIO",1,0)</formula>
    </cfRule>
  </conditionalFormatting>
  <conditionalFormatting sqref="E122">
    <cfRule type="expression" dxfId="701" priority="702">
      <formula>IF(#REF!="FICTICIO",1,0)</formula>
    </cfRule>
  </conditionalFormatting>
  <conditionalFormatting sqref="E122">
    <cfRule type="expression" dxfId="700" priority="701">
      <formula>IF(#REF!="FICTICIO",1,0)</formula>
    </cfRule>
  </conditionalFormatting>
  <conditionalFormatting sqref="E122">
    <cfRule type="expression" dxfId="699" priority="700">
      <formula>IF(#REF!="FICTICIO",1,0)</formula>
    </cfRule>
  </conditionalFormatting>
  <conditionalFormatting sqref="E122">
    <cfRule type="expression" dxfId="698" priority="699">
      <formula>IF(#REF!="FICTICIO",1,0)</formula>
    </cfRule>
  </conditionalFormatting>
  <conditionalFormatting sqref="E122">
    <cfRule type="expression" dxfId="697" priority="698">
      <formula>IF(#REF!="FICTICIO",1,0)</formula>
    </cfRule>
  </conditionalFormatting>
  <conditionalFormatting sqref="E122">
    <cfRule type="expression" dxfId="696" priority="697">
      <formula>IF(#REF!="FICTICIO",1,0)</formula>
    </cfRule>
  </conditionalFormatting>
  <conditionalFormatting sqref="E122">
    <cfRule type="expression" dxfId="695" priority="696">
      <formula>IF(#REF!="FICTICIO",1,0)</formula>
    </cfRule>
  </conditionalFormatting>
  <conditionalFormatting sqref="E122">
    <cfRule type="expression" dxfId="694" priority="695">
      <formula>IF(#REF!="FICTICIO",1,0)</formula>
    </cfRule>
  </conditionalFormatting>
  <conditionalFormatting sqref="E122">
    <cfRule type="expression" dxfId="693" priority="694">
      <formula>IF(#REF!="FICTICIO",1,0)</formula>
    </cfRule>
  </conditionalFormatting>
  <conditionalFormatting sqref="E122">
    <cfRule type="expression" dxfId="692" priority="693">
      <formula>IF(#REF!="FICTICIO",1,0)</formula>
    </cfRule>
  </conditionalFormatting>
  <conditionalFormatting sqref="E122">
    <cfRule type="expression" dxfId="691" priority="692">
      <formula>IF(#REF!="FICTICIO",1,0)</formula>
    </cfRule>
  </conditionalFormatting>
  <conditionalFormatting sqref="E122">
    <cfRule type="expression" dxfId="690" priority="691">
      <formula>IF(#REF!="FICTICIO",1,0)</formula>
    </cfRule>
  </conditionalFormatting>
  <conditionalFormatting sqref="E122">
    <cfRule type="expression" dxfId="689" priority="690">
      <formula>IF(#REF!="FICTICIO",1,0)</formula>
    </cfRule>
  </conditionalFormatting>
  <conditionalFormatting sqref="E122">
    <cfRule type="expression" dxfId="688" priority="689">
      <formula>IF(#REF!="FICTICIO",1,0)</formula>
    </cfRule>
  </conditionalFormatting>
  <conditionalFormatting sqref="E122">
    <cfRule type="expression" dxfId="687" priority="688">
      <formula>IF(#REF!="FICTICIO",1,0)</formula>
    </cfRule>
  </conditionalFormatting>
  <conditionalFormatting sqref="E122">
    <cfRule type="expression" dxfId="686" priority="687">
      <formula>IF(#REF!="FICTICIO",1,0)</formula>
    </cfRule>
  </conditionalFormatting>
  <conditionalFormatting sqref="E122">
    <cfRule type="expression" dxfId="685" priority="686">
      <formula>IF(#REF!="FICTICIO",1,0)</formula>
    </cfRule>
  </conditionalFormatting>
  <conditionalFormatting sqref="E122">
    <cfRule type="expression" dxfId="684" priority="685">
      <formula>IF(#REF!="FICTICIO",1,0)</formula>
    </cfRule>
  </conditionalFormatting>
  <conditionalFormatting sqref="E122">
    <cfRule type="expression" dxfId="683" priority="684">
      <formula>IF(#REF!="FICTICIO",1,0)</formula>
    </cfRule>
  </conditionalFormatting>
  <conditionalFormatting sqref="E122">
    <cfRule type="expression" dxfId="682" priority="683">
      <formula>IF(#REF!="FICTICIO",1,0)</formula>
    </cfRule>
  </conditionalFormatting>
  <conditionalFormatting sqref="E122">
    <cfRule type="expression" dxfId="681" priority="682">
      <formula>IF(#REF!="FICTICIO",1,0)</formula>
    </cfRule>
  </conditionalFormatting>
  <conditionalFormatting sqref="E122">
    <cfRule type="expression" dxfId="680" priority="681">
      <formula>IF(#REF!="FICTICIO",1,0)</formula>
    </cfRule>
  </conditionalFormatting>
  <conditionalFormatting sqref="E122">
    <cfRule type="expression" dxfId="679" priority="680">
      <formula>IF(#REF!="FICTICIO",1,0)</formula>
    </cfRule>
  </conditionalFormatting>
  <conditionalFormatting sqref="E122">
    <cfRule type="expression" dxfId="678" priority="679">
      <formula>IF(#REF!="FICTICIO",1,0)</formula>
    </cfRule>
  </conditionalFormatting>
  <conditionalFormatting sqref="E122">
    <cfRule type="expression" dxfId="677" priority="678">
      <formula>IF(#REF!="FICTICIO",1,0)</formula>
    </cfRule>
  </conditionalFormatting>
  <conditionalFormatting sqref="E122">
    <cfRule type="expression" dxfId="676" priority="677">
      <formula>IF(#REF!="FICTICIO",1,0)</formula>
    </cfRule>
  </conditionalFormatting>
  <conditionalFormatting sqref="E122">
    <cfRule type="expression" dxfId="675" priority="676">
      <formula>IF(#REF!="FICTICIO",1,0)</formula>
    </cfRule>
  </conditionalFormatting>
  <conditionalFormatting sqref="E122">
    <cfRule type="expression" dxfId="674" priority="675">
      <formula>IF(#REF!="FICTICIO",1,0)</formula>
    </cfRule>
  </conditionalFormatting>
  <conditionalFormatting sqref="E122">
    <cfRule type="expression" dxfId="673" priority="674">
      <formula>IF(#REF!="FICTICIO",1,0)</formula>
    </cfRule>
  </conditionalFormatting>
  <conditionalFormatting sqref="E122">
    <cfRule type="expression" dxfId="672" priority="673">
      <formula>IF(#REF!="FICTICIO",1,0)</formula>
    </cfRule>
  </conditionalFormatting>
  <conditionalFormatting sqref="E122">
    <cfRule type="expression" dxfId="671" priority="672">
      <formula>IF(#REF!="FICTICIO",1,0)</formula>
    </cfRule>
  </conditionalFormatting>
  <conditionalFormatting sqref="E122">
    <cfRule type="expression" dxfId="670" priority="671">
      <formula>IF(#REF!="FICTICIO",1,0)</formula>
    </cfRule>
  </conditionalFormatting>
  <conditionalFormatting sqref="E122">
    <cfRule type="expression" dxfId="669" priority="670">
      <formula>IF(#REF!="FICTICIO",1,0)</formula>
    </cfRule>
  </conditionalFormatting>
  <conditionalFormatting sqref="E122">
    <cfRule type="expression" dxfId="668" priority="669">
      <formula>IF(#REF!="FICTICIO",1,0)</formula>
    </cfRule>
  </conditionalFormatting>
  <conditionalFormatting sqref="E122">
    <cfRule type="expression" dxfId="667" priority="668">
      <formula>IF(#REF!="FICTICIO",1,0)</formula>
    </cfRule>
  </conditionalFormatting>
  <conditionalFormatting sqref="E122">
    <cfRule type="expression" dxfId="666" priority="667">
      <formula>IF(#REF!="FICTICIO",1,0)</formula>
    </cfRule>
  </conditionalFormatting>
  <conditionalFormatting sqref="E122">
    <cfRule type="expression" dxfId="665" priority="666">
      <formula>IF(#REF!="FICTICIO",1,0)</formula>
    </cfRule>
  </conditionalFormatting>
  <conditionalFormatting sqref="E122">
    <cfRule type="expression" dxfId="664" priority="665">
      <formula>IF(#REF!="FICTICIO",1,0)</formula>
    </cfRule>
  </conditionalFormatting>
  <conditionalFormatting sqref="E122">
    <cfRule type="expression" dxfId="663" priority="664">
      <formula>IF(#REF!="FICTICIO",1,0)</formula>
    </cfRule>
  </conditionalFormatting>
  <conditionalFormatting sqref="E122">
    <cfRule type="expression" dxfId="662" priority="663">
      <formula>IF(#REF!="FICTICIO",1,0)</formula>
    </cfRule>
  </conditionalFormatting>
  <conditionalFormatting sqref="E122">
    <cfRule type="expression" dxfId="661" priority="662">
      <formula>IF(#REF!="FICTICIO",1,0)</formula>
    </cfRule>
  </conditionalFormatting>
  <conditionalFormatting sqref="E122">
    <cfRule type="expression" dxfId="660" priority="661">
      <formula>IF(#REF!="FICTICIO",1,0)</formula>
    </cfRule>
  </conditionalFormatting>
  <conditionalFormatting sqref="E122">
    <cfRule type="expression" dxfId="659" priority="660">
      <formula>IF(#REF!="FICTICIO",1,0)</formula>
    </cfRule>
  </conditionalFormatting>
  <conditionalFormatting sqref="E122">
    <cfRule type="expression" dxfId="658" priority="659">
      <formula>IF(#REF!="FICTICIO",1,0)</formula>
    </cfRule>
  </conditionalFormatting>
  <conditionalFormatting sqref="E122">
    <cfRule type="expression" dxfId="657" priority="658">
      <formula>IF(#REF!="FICTICIO",1,0)</formula>
    </cfRule>
  </conditionalFormatting>
  <conditionalFormatting sqref="E122">
    <cfRule type="expression" dxfId="656" priority="657">
      <formula>IF(#REF!="FICTICIO",1,0)</formula>
    </cfRule>
  </conditionalFormatting>
  <conditionalFormatting sqref="E122">
    <cfRule type="expression" dxfId="655" priority="656">
      <formula>IF(#REF!="FICTICIO",1,0)</formula>
    </cfRule>
  </conditionalFormatting>
  <conditionalFormatting sqref="E122">
    <cfRule type="expression" dxfId="654" priority="654">
      <formula>IF(#REF!="FICTICIO",1,0)</formula>
    </cfRule>
  </conditionalFormatting>
  <conditionalFormatting sqref="E122">
    <cfRule type="expression" dxfId="653" priority="655">
      <formula>IF(#REF!="FICTICIO",1,0)</formula>
    </cfRule>
  </conditionalFormatting>
  <conditionalFormatting sqref="E122">
    <cfRule type="expression" dxfId="652" priority="653">
      <formula>IF(#REF!="FICTICIO",1,0)</formula>
    </cfRule>
  </conditionalFormatting>
  <conditionalFormatting sqref="E122">
    <cfRule type="expression" dxfId="651" priority="652">
      <formula>IF(#REF!="FICTICIO",1,0)</formula>
    </cfRule>
  </conditionalFormatting>
  <conditionalFormatting sqref="E122">
    <cfRule type="expression" dxfId="650" priority="651">
      <formula>IF(#REF!="FICTICIO",1,0)</formula>
    </cfRule>
  </conditionalFormatting>
  <conditionalFormatting sqref="E122">
    <cfRule type="expression" dxfId="649" priority="650">
      <formula>IF(#REF!="FICTICIO",1,0)</formula>
    </cfRule>
  </conditionalFormatting>
  <conditionalFormatting sqref="E122">
    <cfRule type="expression" dxfId="648" priority="649">
      <formula>IF(#REF!="FICTICIO",1,0)</formula>
    </cfRule>
  </conditionalFormatting>
  <conditionalFormatting sqref="E122">
    <cfRule type="expression" dxfId="647" priority="648">
      <formula>IF(#REF!="FICTICIO",1,0)</formula>
    </cfRule>
  </conditionalFormatting>
  <conditionalFormatting sqref="E122">
    <cfRule type="expression" dxfId="646" priority="647">
      <formula>IF(#REF!="FICTICIO",1,0)</formula>
    </cfRule>
  </conditionalFormatting>
  <conditionalFormatting sqref="E122">
    <cfRule type="expression" dxfId="645" priority="646">
      <formula>IF(#REF!="FICTICIO",1,0)</formula>
    </cfRule>
  </conditionalFormatting>
  <conditionalFormatting sqref="E122">
    <cfRule type="expression" dxfId="644" priority="645">
      <formula>IF(#REF!="FICTICIO",1,0)</formula>
    </cfRule>
  </conditionalFormatting>
  <conditionalFormatting sqref="E122">
    <cfRule type="expression" dxfId="643" priority="644">
      <formula>IF(#REF!="FICTICIO",1,0)</formula>
    </cfRule>
  </conditionalFormatting>
  <conditionalFormatting sqref="E122">
    <cfRule type="expression" dxfId="642" priority="643">
      <formula>IF(#REF!="FICTICIO",1,0)</formula>
    </cfRule>
  </conditionalFormatting>
  <conditionalFormatting sqref="E122">
    <cfRule type="expression" dxfId="641" priority="642">
      <formula>IF(#REF!="FICTICIO",1,0)</formula>
    </cfRule>
  </conditionalFormatting>
  <conditionalFormatting sqref="E122">
    <cfRule type="expression" dxfId="640" priority="641">
      <formula>IF(#REF!="FICTICIO",1,0)</formula>
    </cfRule>
  </conditionalFormatting>
  <conditionalFormatting sqref="E122">
    <cfRule type="expression" dxfId="639" priority="640">
      <formula>IF(#REF!="FICTICIO",1,0)</formula>
    </cfRule>
  </conditionalFormatting>
  <conditionalFormatting sqref="E122">
    <cfRule type="expression" dxfId="638" priority="639">
      <formula>IF(#REF!="FICTICIO",1,0)</formula>
    </cfRule>
  </conditionalFormatting>
  <conditionalFormatting sqref="E122">
    <cfRule type="expression" dxfId="637" priority="638">
      <formula>IF(#REF!="FICTICIO",1,0)</formula>
    </cfRule>
  </conditionalFormatting>
  <conditionalFormatting sqref="E122">
    <cfRule type="expression" dxfId="636" priority="637">
      <formula>IF(#REF!="FICTICIO",1,0)</formula>
    </cfRule>
  </conditionalFormatting>
  <conditionalFormatting sqref="E122">
    <cfRule type="expression" dxfId="635" priority="636">
      <formula>IF(#REF!="FICTICIO",1,0)</formula>
    </cfRule>
  </conditionalFormatting>
  <conditionalFormatting sqref="E122">
    <cfRule type="expression" dxfId="634" priority="635">
      <formula>IF(#REF!="FICTICIO",1,0)</formula>
    </cfRule>
  </conditionalFormatting>
  <conditionalFormatting sqref="E122">
    <cfRule type="expression" dxfId="633" priority="634">
      <formula>IF(#REF!="FICTICIO",1,0)</formula>
    </cfRule>
  </conditionalFormatting>
  <conditionalFormatting sqref="E122">
    <cfRule type="expression" dxfId="632" priority="633">
      <formula>IF(#REF!="FICTICIO",1,0)</formula>
    </cfRule>
  </conditionalFormatting>
  <conditionalFormatting sqref="E122">
    <cfRule type="expression" dxfId="631" priority="632">
      <formula>IF(#REF!="FICTICIO",1,0)</formula>
    </cfRule>
  </conditionalFormatting>
  <conditionalFormatting sqref="E122">
    <cfRule type="expression" dxfId="630" priority="631">
      <formula>IF(#REF!="FICTICIO",1,0)</formula>
    </cfRule>
  </conditionalFormatting>
  <conditionalFormatting sqref="E122">
    <cfRule type="expression" dxfId="629" priority="630">
      <formula>IF(#REF!="FICTICIO",1,0)</formula>
    </cfRule>
  </conditionalFormatting>
  <conditionalFormatting sqref="E122">
    <cfRule type="expression" dxfId="628" priority="629">
      <formula>IF(#REF!="FICTICIO",1,0)</formula>
    </cfRule>
  </conditionalFormatting>
  <conditionalFormatting sqref="E122">
    <cfRule type="expression" dxfId="627" priority="628">
      <formula>IF(#REF!="FICTICIO",1,0)</formula>
    </cfRule>
  </conditionalFormatting>
  <conditionalFormatting sqref="E122">
    <cfRule type="expression" dxfId="626" priority="627">
      <formula>IF(#REF!="FICTICIO",1,0)</formula>
    </cfRule>
  </conditionalFormatting>
  <conditionalFormatting sqref="E122">
    <cfRule type="expression" dxfId="625" priority="626">
      <formula>IF(#REF!="FICTICIO",1,0)</formula>
    </cfRule>
  </conditionalFormatting>
  <conditionalFormatting sqref="E122">
    <cfRule type="expression" dxfId="624" priority="625">
      <formula>IF(#REF!="FICTICIO",1,0)</formula>
    </cfRule>
  </conditionalFormatting>
  <conditionalFormatting sqref="E122">
    <cfRule type="expression" dxfId="623" priority="624">
      <formula>IF(#REF!="FICTICIO",1,0)</formula>
    </cfRule>
  </conditionalFormatting>
  <conditionalFormatting sqref="E122">
    <cfRule type="expression" dxfId="622" priority="623">
      <formula>IF(#REF!="FICTICIO",1,0)</formula>
    </cfRule>
  </conditionalFormatting>
  <conditionalFormatting sqref="E122">
    <cfRule type="expression" dxfId="621" priority="622">
      <formula>IF(#REF!="FICTICIO",1,0)</formula>
    </cfRule>
  </conditionalFormatting>
  <conditionalFormatting sqref="E122">
    <cfRule type="expression" dxfId="620" priority="620">
      <formula>IF(#REF!="FICTICIO",1,0)</formula>
    </cfRule>
  </conditionalFormatting>
  <conditionalFormatting sqref="E122">
    <cfRule type="expression" dxfId="619" priority="621">
      <formula>IF(#REF!="FICTICIO",1,0)</formula>
    </cfRule>
  </conditionalFormatting>
  <conditionalFormatting sqref="E122">
    <cfRule type="expression" dxfId="618" priority="619">
      <formula>IF(#REF!="FICTICIO",1,0)</formula>
    </cfRule>
  </conditionalFormatting>
  <conditionalFormatting sqref="E122">
    <cfRule type="expression" dxfId="617" priority="618">
      <formula>IF(#REF!="FICTICIO",1,0)</formula>
    </cfRule>
  </conditionalFormatting>
  <conditionalFormatting sqref="E122">
    <cfRule type="expression" dxfId="616" priority="617">
      <formula>IF(#REF!="FICTICIO",1,0)</formula>
    </cfRule>
  </conditionalFormatting>
  <conditionalFormatting sqref="E122">
    <cfRule type="expression" dxfId="615" priority="616">
      <formula>IF(#REF!="FICTICIO",1,0)</formula>
    </cfRule>
  </conditionalFormatting>
  <conditionalFormatting sqref="E122">
    <cfRule type="expression" dxfId="614" priority="615">
      <formula>IF(#REF!="FICTICIO",1,0)</formula>
    </cfRule>
  </conditionalFormatting>
  <conditionalFormatting sqref="E122">
    <cfRule type="expression" dxfId="613" priority="614">
      <formula>IF(#REF!="FICTICIO",1,0)</formula>
    </cfRule>
  </conditionalFormatting>
  <conditionalFormatting sqref="E122">
    <cfRule type="expression" dxfId="612" priority="613">
      <formula>IF(#REF!="FICTICIO",1,0)</formula>
    </cfRule>
  </conditionalFormatting>
  <conditionalFormatting sqref="E122">
    <cfRule type="expression" dxfId="611" priority="612">
      <formula>IF(#REF!="FICTICIO",1,0)</formula>
    </cfRule>
  </conditionalFormatting>
  <conditionalFormatting sqref="E122">
    <cfRule type="expression" dxfId="610" priority="611">
      <formula>IF(#REF!="FICTICIO",1,0)</formula>
    </cfRule>
  </conditionalFormatting>
  <conditionalFormatting sqref="E122">
    <cfRule type="expression" dxfId="609" priority="610">
      <formula>IF(#REF!="FICTICIO",1,0)</formula>
    </cfRule>
  </conditionalFormatting>
  <conditionalFormatting sqref="E122">
    <cfRule type="expression" dxfId="608" priority="609">
      <formula>IF(#REF!="FICTICIO",1,0)</formula>
    </cfRule>
  </conditionalFormatting>
  <conditionalFormatting sqref="E122">
    <cfRule type="expression" dxfId="607" priority="608">
      <formula>IF(#REF!="FICTICIO",1,0)</formula>
    </cfRule>
  </conditionalFormatting>
  <conditionalFormatting sqref="E122">
    <cfRule type="expression" dxfId="606" priority="607">
      <formula>IF(#REF!="FICTICIO",1,0)</formula>
    </cfRule>
  </conditionalFormatting>
  <conditionalFormatting sqref="E122">
    <cfRule type="expression" dxfId="605" priority="606">
      <formula>IF(#REF!="FICTICIO",1,0)</formula>
    </cfRule>
  </conditionalFormatting>
  <conditionalFormatting sqref="E122">
    <cfRule type="expression" dxfId="604" priority="605">
      <formula>IF(#REF!="FICTICIO",1,0)</formula>
    </cfRule>
  </conditionalFormatting>
  <conditionalFormatting sqref="E122">
    <cfRule type="expression" dxfId="603" priority="604">
      <formula>IF(#REF!="FICTICIO",1,0)</formula>
    </cfRule>
  </conditionalFormatting>
  <conditionalFormatting sqref="E122">
    <cfRule type="expression" dxfId="602" priority="603">
      <formula>IF(#REF!="FICTICIO",1,0)</formula>
    </cfRule>
  </conditionalFormatting>
  <conditionalFormatting sqref="E122">
    <cfRule type="expression" dxfId="601" priority="602">
      <formula>IF(#REF!="FICTICIO",1,0)</formula>
    </cfRule>
  </conditionalFormatting>
  <conditionalFormatting sqref="E122">
    <cfRule type="expression" dxfId="600" priority="601">
      <formula>IF(#REF!="FICTICIO",1,0)</formula>
    </cfRule>
  </conditionalFormatting>
  <conditionalFormatting sqref="E122">
    <cfRule type="expression" dxfId="599" priority="600">
      <formula>IF(#REF!="FICTICIO",1,0)</formula>
    </cfRule>
  </conditionalFormatting>
  <conditionalFormatting sqref="E122">
    <cfRule type="expression" dxfId="598" priority="599">
      <formula>IF(#REF!="FICTICIO",1,0)</formula>
    </cfRule>
  </conditionalFormatting>
  <conditionalFormatting sqref="E122">
    <cfRule type="expression" dxfId="597" priority="598">
      <formula>IF(#REF!="FICTICIO",1,0)</formula>
    </cfRule>
  </conditionalFormatting>
  <conditionalFormatting sqref="E122">
    <cfRule type="expression" dxfId="596" priority="597">
      <formula>IF(#REF!="FICTICIO",1,0)</formula>
    </cfRule>
  </conditionalFormatting>
  <conditionalFormatting sqref="E122">
    <cfRule type="expression" dxfId="595" priority="596">
      <formula>IF(#REF!="FICTICIO",1,0)</formula>
    </cfRule>
  </conditionalFormatting>
  <conditionalFormatting sqref="E122">
    <cfRule type="expression" dxfId="594" priority="595">
      <formula>IF(#REF!="FICTICIO",1,0)</formula>
    </cfRule>
  </conditionalFormatting>
  <conditionalFormatting sqref="E122">
    <cfRule type="expression" dxfId="593" priority="594">
      <formula>IF(#REF!="FICTICIO",1,0)</formula>
    </cfRule>
  </conditionalFormatting>
  <conditionalFormatting sqref="E122">
    <cfRule type="expression" dxfId="592" priority="593">
      <formula>IF(#REF!="FICTICIO",1,0)</formula>
    </cfRule>
  </conditionalFormatting>
  <conditionalFormatting sqref="E122">
    <cfRule type="expression" dxfId="591" priority="592">
      <formula>IF(#REF!="FICTICIO",1,0)</formula>
    </cfRule>
  </conditionalFormatting>
  <conditionalFormatting sqref="E122">
    <cfRule type="expression" dxfId="590" priority="591">
      <formula>IF(#REF!="FICTICIO",1,0)</formula>
    </cfRule>
  </conditionalFormatting>
  <conditionalFormatting sqref="E122">
    <cfRule type="expression" dxfId="589" priority="590">
      <formula>IF(#REF!="FICTICIO",1,0)</formula>
    </cfRule>
  </conditionalFormatting>
  <conditionalFormatting sqref="E122">
    <cfRule type="expression" dxfId="588" priority="589">
      <formula>IF(#REF!="FICTICIO",1,0)</formula>
    </cfRule>
  </conditionalFormatting>
  <conditionalFormatting sqref="E122">
    <cfRule type="expression" dxfId="587" priority="588">
      <formula>IF(#REF!="FICTICIO",1,0)</formula>
    </cfRule>
  </conditionalFormatting>
  <conditionalFormatting sqref="E122">
    <cfRule type="expression" dxfId="586" priority="587">
      <formula>IF(#REF!="FICTICIO",1,0)</formula>
    </cfRule>
  </conditionalFormatting>
  <conditionalFormatting sqref="E122">
    <cfRule type="expression" dxfId="585" priority="586">
      <formula>IF(#REF!="FICTICIO",1,0)</formula>
    </cfRule>
  </conditionalFormatting>
  <conditionalFormatting sqref="E122">
    <cfRule type="expression" dxfId="584" priority="585">
      <formula>IF(#REF!="FICTICIO",1,0)</formula>
    </cfRule>
  </conditionalFormatting>
  <conditionalFormatting sqref="E122">
    <cfRule type="expression" dxfId="583" priority="584">
      <formula>IF(#REF!="FICTICIO",1,0)</formula>
    </cfRule>
  </conditionalFormatting>
  <conditionalFormatting sqref="E122">
    <cfRule type="expression" dxfId="582" priority="583">
      <formula>IF(#REF!="FICTICIO",1,0)</formula>
    </cfRule>
  </conditionalFormatting>
  <conditionalFormatting sqref="E122">
    <cfRule type="expression" dxfId="581" priority="582">
      <formula>IF(#REF!="FICTICIO",1,0)</formula>
    </cfRule>
  </conditionalFormatting>
  <conditionalFormatting sqref="E122">
    <cfRule type="expression" dxfId="580" priority="581">
      <formula>IF(#REF!="FICTICIO",1,0)</formula>
    </cfRule>
  </conditionalFormatting>
  <conditionalFormatting sqref="E122">
    <cfRule type="expression" dxfId="579" priority="580">
      <formula>IF(#REF!="FICTICIO",1,0)</formula>
    </cfRule>
  </conditionalFormatting>
  <conditionalFormatting sqref="E122">
    <cfRule type="expression" dxfId="578" priority="579">
      <formula>IF(#REF!="FICTICIO",1,0)</formula>
    </cfRule>
  </conditionalFormatting>
  <conditionalFormatting sqref="E122">
    <cfRule type="expression" dxfId="577" priority="578">
      <formula>IF(#REF!="FICTICIO",1,0)</formula>
    </cfRule>
  </conditionalFormatting>
  <conditionalFormatting sqref="E122">
    <cfRule type="expression" dxfId="576" priority="577">
      <formula>IF(#REF!="FICTICIO",1,0)</formula>
    </cfRule>
  </conditionalFormatting>
  <conditionalFormatting sqref="E122">
    <cfRule type="expression" dxfId="575" priority="576">
      <formula>IF(#REF!="FICTICIO",1,0)</formula>
    </cfRule>
  </conditionalFormatting>
  <conditionalFormatting sqref="E122">
    <cfRule type="expression" dxfId="574" priority="575">
      <formula>IF(#REF!="FICTICIO",1,0)</formula>
    </cfRule>
  </conditionalFormatting>
  <conditionalFormatting sqref="E122">
    <cfRule type="expression" dxfId="573" priority="574">
      <formula>IF(#REF!="FICTICIO",1,0)</formula>
    </cfRule>
  </conditionalFormatting>
  <conditionalFormatting sqref="E122">
    <cfRule type="expression" dxfId="572" priority="573">
      <formula>IF(#REF!="FICTICIO",1,0)</formula>
    </cfRule>
  </conditionalFormatting>
  <conditionalFormatting sqref="E122">
    <cfRule type="expression" dxfId="571" priority="572">
      <formula>IF(#REF!="FICTICIO",1,0)</formula>
    </cfRule>
  </conditionalFormatting>
  <conditionalFormatting sqref="E122">
    <cfRule type="expression" dxfId="570" priority="571">
      <formula>IF(#REF!="FICTICIO",1,0)</formula>
    </cfRule>
  </conditionalFormatting>
  <conditionalFormatting sqref="E122">
    <cfRule type="expression" dxfId="569" priority="570">
      <formula>IF(#REF!="FICTICIO",1,0)</formula>
    </cfRule>
  </conditionalFormatting>
  <conditionalFormatting sqref="E122">
    <cfRule type="expression" dxfId="568" priority="569">
      <formula>IF(#REF!="FICTICIO",1,0)</formula>
    </cfRule>
  </conditionalFormatting>
  <conditionalFormatting sqref="E122">
    <cfRule type="expression" dxfId="567" priority="568">
      <formula>IF(#REF!="FICTICIO",1,0)</formula>
    </cfRule>
  </conditionalFormatting>
  <conditionalFormatting sqref="E122">
    <cfRule type="expression" dxfId="566" priority="567">
      <formula>IF(#REF!="FICTICIO",1,0)</formula>
    </cfRule>
  </conditionalFormatting>
  <conditionalFormatting sqref="E122">
    <cfRule type="expression" dxfId="565" priority="566">
      <formula>IF(#REF!="FICTICIO",1,0)</formula>
    </cfRule>
  </conditionalFormatting>
  <conditionalFormatting sqref="E122">
    <cfRule type="expression" dxfId="564" priority="565">
      <formula>IF(#REF!="FICTICIO",1,0)</formula>
    </cfRule>
  </conditionalFormatting>
  <conditionalFormatting sqref="E122">
    <cfRule type="expression" dxfId="563" priority="564">
      <formula>IF(#REF!="FICTICIO",1,0)</formula>
    </cfRule>
  </conditionalFormatting>
  <conditionalFormatting sqref="E122">
    <cfRule type="expression" dxfId="562" priority="563">
      <formula>IF(#REF!="FICTICIO",1,0)</formula>
    </cfRule>
  </conditionalFormatting>
  <conditionalFormatting sqref="E122">
    <cfRule type="expression" dxfId="561" priority="562">
      <formula>IF(#REF!="FICTICIO",1,0)</formula>
    </cfRule>
  </conditionalFormatting>
  <conditionalFormatting sqref="E122">
    <cfRule type="expression" dxfId="560" priority="561">
      <formula>IF(#REF!="FICTICIO",1,0)</formula>
    </cfRule>
  </conditionalFormatting>
  <conditionalFormatting sqref="E122">
    <cfRule type="expression" dxfId="559" priority="560">
      <formula>IF(#REF!="FICTICIO",1,0)</formula>
    </cfRule>
  </conditionalFormatting>
  <conditionalFormatting sqref="E122">
    <cfRule type="expression" dxfId="558" priority="559">
      <formula>IF(#REF!="FICTICIO",1,0)</formula>
    </cfRule>
  </conditionalFormatting>
  <conditionalFormatting sqref="E122">
    <cfRule type="expression" dxfId="557" priority="558">
      <formula>IF(#REF!="FICTICIO",1,0)</formula>
    </cfRule>
  </conditionalFormatting>
  <conditionalFormatting sqref="E122">
    <cfRule type="expression" dxfId="556" priority="557">
      <formula>IF(#REF!="FICTICIO",1,0)</formula>
    </cfRule>
  </conditionalFormatting>
  <conditionalFormatting sqref="E122">
    <cfRule type="expression" dxfId="555" priority="556">
      <formula>IF(#REF!="FICTICIO",1,0)</formula>
    </cfRule>
  </conditionalFormatting>
  <conditionalFormatting sqref="E122">
    <cfRule type="expression" dxfId="554" priority="555">
      <formula>IF(#REF!="FICTICIO",1,0)</formula>
    </cfRule>
  </conditionalFormatting>
  <conditionalFormatting sqref="E122">
    <cfRule type="expression" dxfId="553" priority="554">
      <formula>IF(#REF!="FICTICIO",1,0)</formula>
    </cfRule>
  </conditionalFormatting>
  <conditionalFormatting sqref="E122">
    <cfRule type="expression" dxfId="552" priority="553">
      <formula>IF(#REF!="FICTICIO",1,0)</formula>
    </cfRule>
  </conditionalFormatting>
  <conditionalFormatting sqref="E122">
    <cfRule type="expression" dxfId="551" priority="552">
      <formula>IF(#REF!="FICTICIO",1,0)</formula>
    </cfRule>
  </conditionalFormatting>
  <conditionalFormatting sqref="E122">
    <cfRule type="expression" dxfId="550" priority="551">
      <formula>IF(#REF!="FICTICIO",1,0)</formula>
    </cfRule>
  </conditionalFormatting>
  <conditionalFormatting sqref="E122">
    <cfRule type="expression" dxfId="549" priority="550">
      <formula>IF(#REF!="FICTICIO",1,0)</formula>
    </cfRule>
  </conditionalFormatting>
  <conditionalFormatting sqref="E122">
    <cfRule type="expression" dxfId="548" priority="549">
      <formula>IF(#REF!="FICTICIO",1,0)</formula>
    </cfRule>
  </conditionalFormatting>
  <conditionalFormatting sqref="E122">
    <cfRule type="expression" dxfId="547" priority="548">
      <formula>IF(#REF!="FICTICIO",1,0)</formula>
    </cfRule>
  </conditionalFormatting>
  <conditionalFormatting sqref="E122">
    <cfRule type="expression" dxfId="546" priority="547">
      <formula>IF(#REF!="FICTICIO",1,0)</formula>
    </cfRule>
  </conditionalFormatting>
  <conditionalFormatting sqref="E122">
    <cfRule type="expression" dxfId="545" priority="546">
      <formula>IF(#REF!="FICTICIO",1,0)</formula>
    </cfRule>
  </conditionalFormatting>
  <conditionalFormatting sqref="E122">
    <cfRule type="expression" dxfId="544" priority="545">
      <formula>IF(#REF!="FICTICIO",1,0)</formula>
    </cfRule>
  </conditionalFormatting>
  <conditionalFormatting sqref="E122">
    <cfRule type="expression" dxfId="543" priority="544">
      <formula>IF(#REF!="FICTICIO",1,0)</formula>
    </cfRule>
  </conditionalFormatting>
  <conditionalFormatting sqref="E122">
    <cfRule type="expression" dxfId="542" priority="543">
      <formula>IF(#REF!="FICTICIO",1,0)</formula>
    </cfRule>
  </conditionalFormatting>
  <conditionalFormatting sqref="E122">
    <cfRule type="expression" dxfId="541" priority="542">
      <formula>IF(#REF!="FICTICIO",1,0)</formula>
    </cfRule>
  </conditionalFormatting>
  <conditionalFormatting sqref="E124">
    <cfRule type="expression" dxfId="540" priority="541">
      <formula>IF(#REF!="FICTICIO",1,0)</formula>
    </cfRule>
  </conditionalFormatting>
  <conditionalFormatting sqref="E124">
    <cfRule type="expression" dxfId="539" priority="540">
      <formula>IF(#REF!="FICTICIO",1,0)</formula>
    </cfRule>
  </conditionalFormatting>
  <conditionalFormatting sqref="E124">
    <cfRule type="expression" dxfId="538" priority="539">
      <formula>IF(#REF!="FICTICIO",1,0)</formula>
    </cfRule>
  </conditionalFormatting>
  <conditionalFormatting sqref="E124">
    <cfRule type="expression" dxfId="537" priority="538">
      <formula>IF(#REF!="FICTICIO",1,0)</formula>
    </cfRule>
  </conditionalFormatting>
  <conditionalFormatting sqref="E124">
    <cfRule type="expression" dxfId="536" priority="537">
      <formula>IF(#REF!="FICTICIO",1,0)</formula>
    </cfRule>
  </conditionalFormatting>
  <conditionalFormatting sqref="E124">
    <cfRule type="expression" dxfId="535" priority="536">
      <formula>IF(#REF!="FICTICIO",1,0)</formula>
    </cfRule>
  </conditionalFormatting>
  <conditionalFormatting sqref="E124">
    <cfRule type="expression" dxfId="534" priority="535">
      <formula>IF(#REF!="FICTICIO",1,0)</formula>
    </cfRule>
  </conditionalFormatting>
  <conditionalFormatting sqref="E124">
    <cfRule type="expression" dxfId="533" priority="534">
      <formula>IF(#REF!="FICTICIO",1,0)</formula>
    </cfRule>
  </conditionalFormatting>
  <conditionalFormatting sqref="E124">
    <cfRule type="expression" dxfId="532" priority="533">
      <formula>IF(#REF!="FICTICIO",1,0)</formula>
    </cfRule>
  </conditionalFormatting>
  <conditionalFormatting sqref="E124">
    <cfRule type="expression" dxfId="531" priority="532">
      <formula>IF(#REF!="FICTICIO",1,0)</formula>
    </cfRule>
  </conditionalFormatting>
  <conditionalFormatting sqref="E124">
    <cfRule type="expression" dxfId="530" priority="531">
      <formula>IF(#REF!="FICTICIO",1,0)</formula>
    </cfRule>
  </conditionalFormatting>
  <conditionalFormatting sqref="E124">
    <cfRule type="expression" dxfId="529" priority="530">
      <formula>IF(#REF!="FICTICIO",1,0)</formula>
    </cfRule>
  </conditionalFormatting>
  <conditionalFormatting sqref="E124">
    <cfRule type="expression" dxfId="528" priority="529">
      <formula>IF(#REF!="FICTICIO",1,0)</formula>
    </cfRule>
  </conditionalFormatting>
  <conditionalFormatting sqref="E124">
    <cfRule type="expression" dxfId="527" priority="528">
      <formula>IF(#REF!="FICTICIO",1,0)</formula>
    </cfRule>
  </conditionalFormatting>
  <conditionalFormatting sqref="E124">
    <cfRule type="expression" dxfId="526" priority="527">
      <formula>IF(#REF!="FICTICIO",1,0)</formula>
    </cfRule>
  </conditionalFormatting>
  <conditionalFormatting sqref="E124">
    <cfRule type="expression" dxfId="525" priority="526">
      <formula>IF(#REF!="FICTICIO",1,0)</formula>
    </cfRule>
  </conditionalFormatting>
  <conditionalFormatting sqref="E124">
    <cfRule type="expression" dxfId="524" priority="525">
      <formula>IF(#REF!="FICTICIO",1,0)</formula>
    </cfRule>
  </conditionalFormatting>
  <conditionalFormatting sqref="E124">
    <cfRule type="expression" dxfId="523" priority="524">
      <formula>IF(#REF!="FICTICIO",1,0)</formula>
    </cfRule>
  </conditionalFormatting>
  <conditionalFormatting sqref="E124">
    <cfRule type="expression" dxfId="522" priority="523">
      <formula>IF(#REF!="FICTICIO",1,0)</formula>
    </cfRule>
  </conditionalFormatting>
  <conditionalFormatting sqref="E124">
    <cfRule type="expression" dxfId="521" priority="522">
      <formula>IF(#REF!="FICTICIO",1,0)</formula>
    </cfRule>
  </conditionalFormatting>
  <conditionalFormatting sqref="E124">
    <cfRule type="expression" dxfId="520" priority="521">
      <formula>IF(#REF!="FICTICIO",1,0)</formula>
    </cfRule>
  </conditionalFormatting>
  <conditionalFormatting sqref="E124">
    <cfRule type="expression" dxfId="519" priority="520">
      <formula>IF(#REF!="FICTICIO",1,0)</formula>
    </cfRule>
  </conditionalFormatting>
  <conditionalFormatting sqref="E124">
    <cfRule type="expression" dxfId="518" priority="519">
      <formula>IF(#REF!="FICTICIO",1,0)</formula>
    </cfRule>
  </conditionalFormatting>
  <conditionalFormatting sqref="E124">
    <cfRule type="expression" dxfId="517" priority="518">
      <formula>IF(#REF!="FICTICIO",1,0)</formula>
    </cfRule>
  </conditionalFormatting>
  <conditionalFormatting sqref="E124">
    <cfRule type="expression" dxfId="516" priority="517">
      <formula>IF(#REF!="FICTICIO",1,0)</formula>
    </cfRule>
  </conditionalFormatting>
  <conditionalFormatting sqref="E124">
    <cfRule type="expression" dxfId="515" priority="516">
      <formula>IF(#REF!="FICTICIO",1,0)</formula>
    </cfRule>
  </conditionalFormatting>
  <conditionalFormatting sqref="E124">
    <cfRule type="expression" dxfId="514" priority="515">
      <formula>IF(#REF!="FICTICIO",1,0)</formula>
    </cfRule>
  </conditionalFormatting>
  <conditionalFormatting sqref="E124">
    <cfRule type="expression" dxfId="513" priority="514">
      <formula>IF(#REF!="FICTICIO",1,0)</formula>
    </cfRule>
  </conditionalFormatting>
  <conditionalFormatting sqref="E124">
    <cfRule type="expression" dxfId="512" priority="513">
      <formula>IF(#REF!="FICTICIO",1,0)</formula>
    </cfRule>
  </conditionalFormatting>
  <conditionalFormatting sqref="E124">
    <cfRule type="expression" dxfId="511" priority="512">
      <formula>IF(#REF!="FICTICIO",1,0)</formula>
    </cfRule>
  </conditionalFormatting>
  <conditionalFormatting sqref="E124">
    <cfRule type="expression" dxfId="510" priority="511">
      <formula>IF(#REF!="FICTICIO",1,0)</formula>
    </cfRule>
  </conditionalFormatting>
  <conditionalFormatting sqref="E124">
    <cfRule type="expression" dxfId="509" priority="510">
      <formula>IF(#REF!="FICTICIO",1,0)</formula>
    </cfRule>
  </conditionalFormatting>
  <conditionalFormatting sqref="E124">
    <cfRule type="expression" dxfId="508" priority="509">
      <formula>IF(#REF!="FICTICIO",1,0)</formula>
    </cfRule>
  </conditionalFormatting>
  <conditionalFormatting sqref="E124">
    <cfRule type="expression" dxfId="507" priority="508">
      <formula>IF(#REF!="FICTICIO",1,0)</formula>
    </cfRule>
  </conditionalFormatting>
  <conditionalFormatting sqref="E124">
    <cfRule type="expression" dxfId="506" priority="507">
      <formula>IF(#REF!="FICTICIO",1,0)</formula>
    </cfRule>
  </conditionalFormatting>
  <conditionalFormatting sqref="E124">
    <cfRule type="expression" dxfId="505" priority="506">
      <formula>IF(#REF!="FICTICIO",1,0)</formula>
    </cfRule>
  </conditionalFormatting>
  <conditionalFormatting sqref="E124">
    <cfRule type="expression" dxfId="504" priority="505">
      <formula>IF(#REF!="FICTICIO",1,0)</formula>
    </cfRule>
  </conditionalFormatting>
  <conditionalFormatting sqref="E124">
    <cfRule type="expression" dxfId="503" priority="504">
      <formula>IF(#REF!="FICTICIO",1,0)</formula>
    </cfRule>
  </conditionalFormatting>
  <conditionalFormatting sqref="E124">
    <cfRule type="expression" dxfId="502" priority="503">
      <formula>IF(#REF!="FICTICIO",1,0)</formula>
    </cfRule>
  </conditionalFormatting>
  <conditionalFormatting sqref="E124">
    <cfRule type="expression" dxfId="501" priority="502">
      <formula>IF(#REF!="FICTICIO",1,0)</formula>
    </cfRule>
  </conditionalFormatting>
  <conditionalFormatting sqref="E124">
    <cfRule type="expression" dxfId="500" priority="501">
      <formula>IF(#REF!="FICTICIO",1,0)</formula>
    </cfRule>
  </conditionalFormatting>
  <conditionalFormatting sqref="E124">
    <cfRule type="expression" dxfId="499" priority="500">
      <formula>IF(#REF!="FICTICIO",1,0)</formula>
    </cfRule>
  </conditionalFormatting>
  <conditionalFormatting sqref="E124">
    <cfRule type="expression" dxfId="498" priority="499">
      <formula>IF(#REF!="FICTICIO",1,0)</formula>
    </cfRule>
  </conditionalFormatting>
  <conditionalFormatting sqref="E124">
    <cfRule type="expression" dxfId="497" priority="498">
      <formula>IF(#REF!="FICTICIO",1,0)</formula>
    </cfRule>
  </conditionalFormatting>
  <conditionalFormatting sqref="E124">
    <cfRule type="expression" dxfId="496" priority="497">
      <formula>IF(#REF!="FICTICIO",1,0)</formula>
    </cfRule>
  </conditionalFormatting>
  <conditionalFormatting sqref="E124">
    <cfRule type="expression" dxfId="495" priority="496">
      <formula>IF(#REF!="FICTICIO",1,0)</formula>
    </cfRule>
  </conditionalFormatting>
  <conditionalFormatting sqref="E124">
    <cfRule type="expression" dxfId="494" priority="495">
      <formula>IF(#REF!="FICTICIO",1,0)</formula>
    </cfRule>
  </conditionalFormatting>
  <conditionalFormatting sqref="E124">
    <cfRule type="expression" dxfId="493" priority="494">
      <formula>IF(#REF!="FICTICIO",1,0)</formula>
    </cfRule>
  </conditionalFormatting>
  <conditionalFormatting sqref="E124">
    <cfRule type="expression" dxfId="492" priority="493">
      <formula>IF(#REF!="FICTICIO",1,0)</formula>
    </cfRule>
  </conditionalFormatting>
  <conditionalFormatting sqref="E124">
    <cfRule type="expression" dxfId="491" priority="492">
      <formula>IF(#REF!="FICTICIO",1,0)</formula>
    </cfRule>
  </conditionalFormatting>
  <conditionalFormatting sqref="E124">
    <cfRule type="expression" dxfId="490" priority="491">
      <formula>IF(#REF!="FICTICIO",1,0)</formula>
    </cfRule>
  </conditionalFormatting>
  <conditionalFormatting sqref="E124">
    <cfRule type="expression" dxfId="489" priority="490">
      <formula>IF(#REF!="FICTICIO",1,0)</formula>
    </cfRule>
  </conditionalFormatting>
  <conditionalFormatting sqref="E124">
    <cfRule type="expression" dxfId="488" priority="489">
      <formula>IF(#REF!="FICTICIO",1,0)</formula>
    </cfRule>
  </conditionalFormatting>
  <conditionalFormatting sqref="E124">
    <cfRule type="expression" dxfId="487" priority="488">
      <formula>IF(#REF!="FICTICIO",1,0)</formula>
    </cfRule>
  </conditionalFormatting>
  <conditionalFormatting sqref="E124">
    <cfRule type="expression" dxfId="486" priority="487">
      <formula>IF(#REF!="FICTICIO",1,0)</formula>
    </cfRule>
  </conditionalFormatting>
  <conditionalFormatting sqref="E124">
    <cfRule type="expression" dxfId="485" priority="486">
      <formula>IF(#REF!="FICTICIO",1,0)</formula>
    </cfRule>
  </conditionalFormatting>
  <conditionalFormatting sqref="E124">
    <cfRule type="expression" dxfId="484" priority="485">
      <formula>IF(#REF!="FICTICIO",1,0)</formula>
    </cfRule>
  </conditionalFormatting>
  <conditionalFormatting sqref="E124">
    <cfRule type="expression" dxfId="483" priority="484">
      <formula>IF(#REF!="FICTICIO",1,0)</formula>
    </cfRule>
  </conditionalFormatting>
  <conditionalFormatting sqref="E124">
    <cfRule type="expression" dxfId="482" priority="483">
      <formula>IF(#REF!="FICTICIO",1,0)</formula>
    </cfRule>
  </conditionalFormatting>
  <conditionalFormatting sqref="E124">
    <cfRule type="expression" dxfId="481" priority="482">
      <formula>IF(#REF!="FICTICIO",1,0)</formula>
    </cfRule>
  </conditionalFormatting>
  <conditionalFormatting sqref="E124">
    <cfRule type="expression" dxfId="480" priority="481">
      <formula>IF(#REF!="FICTICIO",1,0)</formula>
    </cfRule>
  </conditionalFormatting>
  <conditionalFormatting sqref="E124">
    <cfRule type="expression" dxfId="479" priority="480">
      <formula>IF(#REF!="FICTICIO",1,0)</formula>
    </cfRule>
  </conditionalFormatting>
  <conditionalFormatting sqref="E124">
    <cfRule type="expression" dxfId="478" priority="479">
      <formula>IF(#REF!="FICTICIO",1,0)</formula>
    </cfRule>
  </conditionalFormatting>
  <conditionalFormatting sqref="E124">
    <cfRule type="expression" dxfId="477" priority="478">
      <formula>IF(#REF!="FICTICIO",1,0)</formula>
    </cfRule>
  </conditionalFormatting>
  <conditionalFormatting sqref="E124">
    <cfRule type="expression" dxfId="476" priority="477">
      <formula>IF(#REF!="FICTICIO",1,0)</formula>
    </cfRule>
  </conditionalFormatting>
  <conditionalFormatting sqref="E124">
    <cfRule type="expression" dxfId="475" priority="476">
      <formula>IF(#REF!="FICTICIO",1,0)</formula>
    </cfRule>
  </conditionalFormatting>
  <conditionalFormatting sqref="E124">
    <cfRule type="expression" dxfId="474" priority="475">
      <formula>IF(#REF!="FICTICIO",1,0)</formula>
    </cfRule>
  </conditionalFormatting>
  <conditionalFormatting sqref="E124">
    <cfRule type="expression" dxfId="473" priority="474">
      <formula>IF(#REF!="FICTICIO",1,0)</formula>
    </cfRule>
  </conditionalFormatting>
  <conditionalFormatting sqref="E124">
    <cfRule type="expression" dxfId="472" priority="473">
      <formula>IF(#REF!="FICTICIO",1,0)</formula>
    </cfRule>
  </conditionalFormatting>
  <conditionalFormatting sqref="E124">
    <cfRule type="expression" dxfId="471" priority="472">
      <formula>IF(#REF!="FICTICIO",1,0)</formula>
    </cfRule>
  </conditionalFormatting>
  <conditionalFormatting sqref="E124">
    <cfRule type="expression" dxfId="470" priority="471">
      <formula>IF(#REF!="FICTICIO",1,0)</formula>
    </cfRule>
  </conditionalFormatting>
  <conditionalFormatting sqref="E124">
    <cfRule type="expression" dxfId="469" priority="470">
      <formula>IF(#REF!="FICTICIO",1,0)</formula>
    </cfRule>
  </conditionalFormatting>
  <conditionalFormatting sqref="E124">
    <cfRule type="expression" dxfId="468" priority="469">
      <formula>IF(#REF!="FICTICIO",1,0)</formula>
    </cfRule>
  </conditionalFormatting>
  <conditionalFormatting sqref="E124">
    <cfRule type="expression" dxfId="467" priority="468">
      <formula>IF(#REF!="FICTICIO",1,0)</formula>
    </cfRule>
  </conditionalFormatting>
  <conditionalFormatting sqref="E124">
    <cfRule type="expression" dxfId="466" priority="467">
      <formula>IF(#REF!="FICTICIO",1,0)</formula>
    </cfRule>
  </conditionalFormatting>
  <conditionalFormatting sqref="E124">
    <cfRule type="expression" dxfId="465" priority="466">
      <formula>IF(#REF!="FICTICIO",1,0)</formula>
    </cfRule>
  </conditionalFormatting>
  <conditionalFormatting sqref="E124">
    <cfRule type="expression" dxfId="464" priority="465">
      <formula>IF(#REF!="FICTICIO",1,0)</formula>
    </cfRule>
  </conditionalFormatting>
  <conditionalFormatting sqref="E124">
    <cfRule type="expression" dxfId="463" priority="464">
      <formula>IF(#REF!="FICTICIO",1,0)</formula>
    </cfRule>
  </conditionalFormatting>
  <conditionalFormatting sqref="E124">
    <cfRule type="expression" dxfId="462" priority="463">
      <formula>IF(#REF!="FICTICIO",1,0)</formula>
    </cfRule>
  </conditionalFormatting>
  <conditionalFormatting sqref="E124">
    <cfRule type="expression" dxfId="461" priority="462">
      <formula>IF(#REF!="FICTICIO",1,0)</formula>
    </cfRule>
  </conditionalFormatting>
  <conditionalFormatting sqref="E124">
    <cfRule type="expression" dxfId="460" priority="461">
      <formula>IF(#REF!="FICTICIO",1,0)</formula>
    </cfRule>
  </conditionalFormatting>
  <conditionalFormatting sqref="E124">
    <cfRule type="expression" dxfId="459" priority="460">
      <formula>IF(#REF!="FICTICIO",1,0)</formula>
    </cfRule>
  </conditionalFormatting>
  <conditionalFormatting sqref="E124">
    <cfRule type="expression" dxfId="458" priority="459">
      <formula>IF(#REF!="FICTICIO",1,0)</formula>
    </cfRule>
  </conditionalFormatting>
  <conditionalFormatting sqref="E124">
    <cfRule type="expression" dxfId="457" priority="458">
      <formula>IF(#REF!="FICTICIO",1,0)</formula>
    </cfRule>
  </conditionalFormatting>
  <conditionalFormatting sqref="E124">
    <cfRule type="expression" dxfId="456" priority="457">
      <formula>IF(#REF!="FICTICIO",1,0)</formula>
    </cfRule>
  </conditionalFormatting>
  <conditionalFormatting sqref="E124">
    <cfRule type="expression" dxfId="455" priority="456">
      <formula>IF(#REF!="FICTICIO",1,0)</formula>
    </cfRule>
  </conditionalFormatting>
  <conditionalFormatting sqref="E124">
    <cfRule type="expression" dxfId="454" priority="455">
      <formula>IF(#REF!="FICTICIO",1,0)</formula>
    </cfRule>
  </conditionalFormatting>
  <conditionalFormatting sqref="E124">
    <cfRule type="expression" dxfId="453" priority="454">
      <formula>IF(#REF!="FICTICIO",1,0)</formula>
    </cfRule>
  </conditionalFormatting>
  <conditionalFormatting sqref="E124">
    <cfRule type="expression" dxfId="452" priority="453">
      <formula>IF(#REF!="FICTICIO",1,0)</formula>
    </cfRule>
  </conditionalFormatting>
  <conditionalFormatting sqref="E124">
    <cfRule type="expression" dxfId="451" priority="452">
      <formula>IF(#REF!="FICTICIO",1,0)</formula>
    </cfRule>
  </conditionalFormatting>
  <conditionalFormatting sqref="E124">
    <cfRule type="expression" dxfId="450" priority="451">
      <formula>IF(#REF!="FICTICIO",1,0)</formula>
    </cfRule>
  </conditionalFormatting>
  <conditionalFormatting sqref="E124">
    <cfRule type="expression" dxfId="449" priority="450">
      <formula>IF(#REF!="FICTICIO",1,0)</formula>
    </cfRule>
  </conditionalFormatting>
  <conditionalFormatting sqref="E124">
    <cfRule type="expression" dxfId="448" priority="449">
      <formula>IF(#REF!="FICTICIO",1,0)</formula>
    </cfRule>
  </conditionalFormatting>
  <conditionalFormatting sqref="E124">
    <cfRule type="expression" dxfId="447" priority="448">
      <formula>IF(#REF!="FICTICIO",1,0)</formula>
    </cfRule>
  </conditionalFormatting>
  <conditionalFormatting sqref="E124">
    <cfRule type="expression" dxfId="446" priority="447">
      <formula>IF(#REF!="FICTICIO",1,0)</formula>
    </cfRule>
  </conditionalFormatting>
  <conditionalFormatting sqref="E124">
    <cfRule type="expression" dxfId="445" priority="446">
      <formula>IF(#REF!="FICTICIO",1,0)</formula>
    </cfRule>
  </conditionalFormatting>
  <conditionalFormatting sqref="E124">
    <cfRule type="expression" dxfId="444" priority="445">
      <formula>IF(#REF!="FICTICIO",1,0)</formula>
    </cfRule>
  </conditionalFormatting>
  <conditionalFormatting sqref="E124">
    <cfRule type="expression" dxfId="443" priority="444">
      <formula>IF(#REF!="FICTICIO",1,0)</formula>
    </cfRule>
  </conditionalFormatting>
  <conditionalFormatting sqref="E124">
    <cfRule type="expression" dxfId="442" priority="443">
      <formula>IF(#REF!="FICTICIO",1,0)</formula>
    </cfRule>
  </conditionalFormatting>
  <conditionalFormatting sqref="E124">
    <cfRule type="expression" dxfId="441" priority="442">
      <formula>IF(#REF!="FICTICIO",1,0)</formula>
    </cfRule>
  </conditionalFormatting>
  <conditionalFormatting sqref="E124">
    <cfRule type="expression" dxfId="440" priority="441">
      <formula>IF(#REF!="FICTICIO",1,0)</formula>
    </cfRule>
  </conditionalFormatting>
  <conditionalFormatting sqref="E124">
    <cfRule type="expression" dxfId="439" priority="440">
      <formula>IF(#REF!="FICTICIO",1,0)</formula>
    </cfRule>
  </conditionalFormatting>
  <conditionalFormatting sqref="E124">
    <cfRule type="expression" dxfId="438" priority="439">
      <formula>IF(#REF!="FICTICIO",1,0)</formula>
    </cfRule>
  </conditionalFormatting>
  <conditionalFormatting sqref="E124">
    <cfRule type="expression" dxfId="437" priority="438">
      <formula>IF(#REF!="FICTICIO",1,0)</formula>
    </cfRule>
  </conditionalFormatting>
  <conditionalFormatting sqref="E124">
    <cfRule type="expression" dxfId="436" priority="437">
      <formula>IF(#REF!="FICTICIO",1,0)</formula>
    </cfRule>
  </conditionalFormatting>
  <conditionalFormatting sqref="E124">
    <cfRule type="expression" dxfId="435" priority="436">
      <formula>IF(#REF!="FICTICIO",1,0)</formula>
    </cfRule>
  </conditionalFormatting>
  <conditionalFormatting sqref="E124">
    <cfRule type="expression" dxfId="434" priority="435">
      <formula>IF(#REF!="FICTICIO",1,0)</formula>
    </cfRule>
  </conditionalFormatting>
  <conditionalFormatting sqref="E124">
    <cfRule type="expression" dxfId="433" priority="434">
      <formula>IF(#REF!="FICTICIO",1,0)</formula>
    </cfRule>
  </conditionalFormatting>
  <conditionalFormatting sqref="E124">
    <cfRule type="expression" dxfId="432" priority="433">
      <formula>IF(#REF!="FICTICIO",1,0)</formula>
    </cfRule>
  </conditionalFormatting>
  <conditionalFormatting sqref="E124">
    <cfRule type="expression" dxfId="431" priority="432">
      <formula>IF(#REF!="FICTICIO",1,0)</formula>
    </cfRule>
  </conditionalFormatting>
  <conditionalFormatting sqref="E124">
    <cfRule type="expression" dxfId="430" priority="431">
      <formula>IF(#REF!="FICTICIO",1,0)</formula>
    </cfRule>
  </conditionalFormatting>
  <conditionalFormatting sqref="E124">
    <cfRule type="expression" dxfId="429" priority="430">
      <formula>IF(#REF!="FICTICIO",1,0)</formula>
    </cfRule>
  </conditionalFormatting>
  <conditionalFormatting sqref="E124">
    <cfRule type="expression" dxfId="428" priority="429">
      <formula>IF(#REF!="FICTICIO",1,0)</formula>
    </cfRule>
  </conditionalFormatting>
  <conditionalFormatting sqref="E124">
    <cfRule type="expression" dxfId="427" priority="428">
      <formula>IF(#REF!="FICTICIO",1,0)</formula>
    </cfRule>
  </conditionalFormatting>
  <conditionalFormatting sqref="E124">
    <cfRule type="expression" dxfId="426" priority="427">
      <formula>IF(#REF!="FICTICIO",1,0)</formula>
    </cfRule>
  </conditionalFormatting>
  <conditionalFormatting sqref="E124">
    <cfRule type="expression" dxfId="425" priority="426">
      <formula>IF(#REF!="FICTICIO",1,0)</formula>
    </cfRule>
  </conditionalFormatting>
  <conditionalFormatting sqref="E124">
    <cfRule type="expression" dxfId="424" priority="425">
      <formula>IF(#REF!="FICTICIO",1,0)</formula>
    </cfRule>
  </conditionalFormatting>
  <conditionalFormatting sqref="E124">
    <cfRule type="expression" dxfId="423" priority="424">
      <formula>IF(#REF!="FICTICIO",1,0)</formula>
    </cfRule>
  </conditionalFormatting>
  <conditionalFormatting sqref="E124">
    <cfRule type="expression" dxfId="422" priority="423">
      <formula>IF(#REF!="FICTICIO",1,0)</formula>
    </cfRule>
  </conditionalFormatting>
  <conditionalFormatting sqref="E124">
    <cfRule type="expression" dxfId="421" priority="422">
      <formula>IF(#REF!="FICTICIO",1,0)</formula>
    </cfRule>
  </conditionalFormatting>
  <conditionalFormatting sqref="E124">
    <cfRule type="expression" dxfId="420" priority="421">
      <formula>IF(#REF!="FICTICIO",1,0)</formula>
    </cfRule>
  </conditionalFormatting>
  <conditionalFormatting sqref="E124">
    <cfRule type="expression" dxfId="419" priority="420">
      <formula>IF(#REF!="FICTICIO",1,0)</formula>
    </cfRule>
  </conditionalFormatting>
  <conditionalFormatting sqref="E124">
    <cfRule type="expression" dxfId="418" priority="419">
      <formula>IF(#REF!="FICTICIO",1,0)</formula>
    </cfRule>
  </conditionalFormatting>
  <conditionalFormatting sqref="E124">
    <cfRule type="expression" dxfId="417" priority="418">
      <formula>IF(#REF!="FICTICIO",1,0)</formula>
    </cfRule>
  </conditionalFormatting>
  <conditionalFormatting sqref="E124">
    <cfRule type="expression" dxfId="416" priority="417">
      <formula>IF(#REF!="FICTICIO",1,0)</formula>
    </cfRule>
  </conditionalFormatting>
  <conditionalFormatting sqref="E124">
    <cfRule type="expression" dxfId="415" priority="416">
      <formula>IF(#REF!="FICTICIO",1,0)</formula>
    </cfRule>
  </conditionalFormatting>
  <conditionalFormatting sqref="E124">
    <cfRule type="expression" dxfId="414" priority="415">
      <formula>IF(#REF!="FICTICIO",1,0)</formula>
    </cfRule>
  </conditionalFormatting>
  <conditionalFormatting sqref="E124">
    <cfRule type="expression" dxfId="413" priority="414">
      <formula>IF(#REF!="FICTICIO",1,0)</formula>
    </cfRule>
  </conditionalFormatting>
  <conditionalFormatting sqref="E124">
    <cfRule type="expression" dxfId="412" priority="413">
      <formula>IF(#REF!="FICTICIO",1,0)</formula>
    </cfRule>
  </conditionalFormatting>
  <conditionalFormatting sqref="E124">
    <cfRule type="expression" dxfId="411" priority="412">
      <formula>IF(#REF!="FICTICIO",1,0)</formula>
    </cfRule>
  </conditionalFormatting>
  <conditionalFormatting sqref="E124">
    <cfRule type="expression" dxfId="410" priority="411">
      <formula>IF(#REF!="FICTICIO",1,0)</formula>
    </cfRule>
  </conditionalFormatting>
  <conditionalFormatting sqref="E124">
    <cfRule type="expression" dxfId="409" priority="410">
      <formula>IF(#REF!="FICTICIO",1,0)</formula>
    </cfRule>
  </conditionalFormatting>
  <conditionalFormatting sqref="E124">
    <cfRule type="expression" dxfId="408" priority="409">
      <formula>IF(#REF!="FICTICIO",1,0)</formula>
    </cfRule>
  </conditionalFormatting>
  <conditionalFormatting sqref="E124">
    <cfRule type="expression" dxfId="407" priority="408">
      <formula>IF(#REF!="FICTICIO",1,0)</formula>
    </cfRule>
  </conditionalFormatting>
  <conditionalFormatting sqref="E124">
    <cfRule type="expression" dxfId="406" priority="407">
      <formula>IF(#REF!="FICTICIO",1,0)</formula>
    </cfRule>
  </conditionalFormatting>
  <conditionalFormatting sqref="E124">
    <cfRule type="expression" dxfId="405" priority="406">
      <formula>IF(#REF!="FICTICIO",1,0)</formula>
    </cfRule>
  </conditionalFormatting>
  <conditionalFormatting sqref="E124">
    <cfRule type="expression" dxfId="404" priority="405">
      <formula>IF(#REF!="FICTICIO",1,0)</formula>
    </cfRule>
  </conditionalFormatting>
  <conditionalFormatting sqref="E124">
    <cfRule type="expression" dxfId="403" priority="404">
      <formula>IF(#REF!="FICTICIO",1,0)</formula>
    </cfRule>
  </conditionalFormatting>
  <conditionalFormatting sqref="E124">
    <cfRule type="expression" dxfId="402" priority="403">
      <formula>IF(#REF!="FICTICIO",1,0)</formula>
    </cfRule>
  </conditionalFormatting>
  <conditionalFormatting sqref="E124">
    <cfRule type="expression" dxfId="401" priority="402">
      <formula>IF(#REF!="FICTICIO",1,0)</formula>
    </cfRule>
  </conditionalFormatting>
  <conditionalFormatting sqref="E124">
    <cfRule type="expression" dxfId="400" priority="401">
      <formula>IF(#REF!="FICTICIO",1,0)</formula>
    </cfRule>
  </conditionalFormatting>
  <conditionalFormatting sqref="E124">
    <cfRule type="expression" dxfId="399" priority="400">
      <formula>IF(#REF!="FICTICIO",1,0)</formula>
    </cfRule>
  </conditionalFormatting>
  <conditionalFormatting sqref="E124">
    <cfRule type="expression" dxfId="398" priority="399">
      <formula>IF(#REF!="FICTICIO",1,0)</formula>
    </cfRule>
  </conditionalFormatting>
  <conditionalFormatting sqref="E124">
    <cfRule type="expression" dxfId="397" priority="398">
      <formula>IF(#REF!="FICTICIO",1,0)</formula>
    </cfRule>
  </conditionalFormatting>
  <conditionalFormatting sqref="E124">
    <cfRule type="expression" dxfId="396" priority="397">
      <formula>IF(#REF!="FICTICIO",1,0)</formula>
    </cfRule>
  </conditionalFormatting>
  <conditionalFormatting sqref="E124">
    <cfRule type="expression" dxfId="395" priority="396">
      <formula>IF(#REF!="FICTICIO",1,0)</formula>
    </cfRule>
  </conditionalFormatting>
  <conditionalFormatting sqref="E124">
    <cfRule type="expression" dxfId="394" priority="395">
      <formula>IF(#REF!="FICTICIO",1,0)</formula>
    </cfRule>
  </conditionalFormatting>
  <conditionalFormatting sqref="E124">
    <cfRule type="expression" dxfId="393" priority="394">
      <formula>IF(#REF!="FICTICIO",1,0)</formula>
    </cfRule>
  </conditionalFormatting>
  <conditionalFormatting sqref="E124">
    <cfRule type="expression" dxfId="392" priority="393">
      <formula>IF(#REF!="FICTICIO",1,0)</formula>
    </cfRule>
  </conditionalFormatting>
  <conditionalFormatting sqref="E124">
    <cfRule type="expression" dxfId="391" priority="392">
      <formula>IF(#REF!="FICTICIO",1,0)</formula>
    </cfRule>
  </conditionalFormatting>
  <conditionalFormatting sqref="E124">
    <cfRule type="expression" dxfId="390" priority="391">
      <formula>IF(#REF!="FICTICIO",1,0)</formula>
    </cfRule>
  </conditionalFormatting>
  <conditionalFormatting sqref="E124">
    <cfRule type="expression" dxfId="389" priority="390">
      <formula>IF(#REF!="FICTICIO",1,0)</formula>
    </cfRule>
  </conditionalFormatting>
  <conditionalFormatting sqref="E124">
    <cfRule type="expression" dxfId="388" priority="389">
      <formula>IF(#REF!="FICTICIO",1,0)</formula>
    </cfRule>
  </conditionalFormatting>
  <conditionalFormatting sqref="E124">
    <cfRule type="expression" dxfId="387" priority="388">
      <formula>IF(#REF!="FICTICIO",1,0)</formula>
    </cfRule>
  </conditionalFormatting>
  <conditionalFormatting sqref="E124">
    <cfRule type="expression" dxfId="386" priority="387">
      <formula>IF(#REF!="FICTICIO",1,0)</formula>
    </cfRule>
  </conditionalFormatting>
  <conditionalFormatting sqref="E124">
    <cfRule type="expression" dxfId="385" priority="386">
      <formula>IF(#REF!="FICTICIO",1,0)</formula>
    </cfRule>
  </conditionalFormatting>
  <conditionalFormatting sqref="E124">
    <cfRule type="expression" dxfId="384" priority="384">
      <formula>IF(#REF!="FICTICIO",1,0)</formula>
    </cfRule>
  </conditionalFormatting>
  <conditionalFormatting sqref="E124">
    <cfRule type="expression" dxfId="383" priority="385">
      <formula>IF(#REF!="FICTICIO",1,0)</formula>
    </cfRule>
  </conditionalFormatting>
  <conditionalFormatting sqref="E124">
    <cfRule type="expression" dxfId="382" priority="383">
      <formula>IF(#REF!="FICTICIO",1,0)</formula>
    </cfRule>
  </conditionalFormatting>
  <conditionalFormatting sqref="E124">
    <cfRule type="expression" dxfId="381" priority="382">
      <formula>IF(#REF!="FICTICIO",1,0)</formula>
    </cfRule>
  </conditionalFormatting>
  <conditionalFormatting sqref="E124">
    <cfRule type="expression" dxfId="380" priority="381">
      <formula>IF(#REF!="FICTICIO",1,0)</formula>
    </cfRule>
  </conditionalFormatting>
  <conditionalFormatting sqref="E124">
    <cfRule type="expression" dxfId="379" priority="380">
      <formula>IF(#REF!="FICTICIO",1,0)</formula>
    </cfRule>
  </conditionalFormatting>
  <conditionalFormatting sqref="E124">
    <cfRule type="expression" dxfId="378" priority="379">
      <formula>IF(#REF!="FICTICIO",1,0)</formula>
    </cfRule>
  </conditionalFormatting>
  <conditionalFormatting sqref="E124">
    <cfRule type="expression" dxfId="377" priority="378">
      <formula>IF(#REF!="FICTICIO",1,0)</formula>
    </cfRule>
  </conditionalFormatting>
  <conditionalFormatting sqref="E124">
    <cfRule type="expression" dxfId="376" priority="377">
      <formula>IF(#REF!="FICTICIO",1,0)</formula>
    </cfRule>
  </conditionalFormatting>
  <conditionalFormatting sqref="E124">
    <cfRule type="expression" dxfId="375" priority="376">
      <formula>IF(#REF!="FICTICIO",1,0)</formula>
    </cfRule>
  </conditionalFormatting>
  <conditionalFormatting sqref="E124">
    <cfRule type="expression" dxfId="374" priority="375">
      <formula>IF(#REF!="FICTICIO",1,0)</formula>
    </cfRule>
  </conditionalFormatting>
  <conditionalFormatting sqref="E124">
    <cfRule type="expression" dxfId="373" priority="374">
      <formula>IF(#REF!="FICTICIO",1,0)</formula>
    </cfRule>
  </conditionalFormatting>
  <conditionalFormatting sqref="E124">
    <cfRule type="expression" dxfId="372" priority="373">
      <formula>IF(#REF!="FICTICIO",1,0)</formula>
    </cfRule>
  </conditionalFormatting>
  <conditionalFormatting sqref="E124">
    <cfRule type="expression" dxfId="371" priority="372">
      <formula>IF(#REF!="FICTICIO",1,0)</formula>
    </cfRule>
  </conditionalFormatting>
  <conditionalFormatting sqref="E124">
    <cfRule type="expression" dxfId="370" priority="371">
      <formula>IF(#REF!="FICTICIO",1,0)</formula>
    </cfRule>
  </conditionalFormatting>
  <conditionalFormatting sqref="E124">
    <cfRule type="expression" dxfId="369" priority="370">
      <formula>IF(#REF!="FICTICIO",1,0)</formula>
    </cfRule>
  </conditionalFormatting>
  <conditionalFormatting sqref="E124">
    <cfRule type="expression" dxfId="368" priority="369">
      <formula>IF(#REF!="FICTICIO",1,0)</formula>
    </cfRule>
  </conditionalFormatting>
  <conditionalFormatting sqref="E124">
    <cfRule type="expression" dxfId="367" priority="368">
      <formula>IF(#REF!="FICTICIO",1,0)</formula>
    </cfRule>
  </conditionalFormatting>
  <conditionalFormatting sqref="E124">
    <cfRule type="expression" dxfId="366" priority="367">
      <formula>IF(#REF!="FICTICIO",1,0)</formula>
    </cfRule>
  </conditionalFormatting>
  <conditionalFormatting sqref="E124">
    <cfRule type="expression" dxfId="365" priority="366">
      <formula>IF(#REF!="FICTICIO",1,0)</formula>
    </cfRule>
  </conditionalFormatting>
  <conditionalFormatting sqref="E124">
    <cfRule type="expression" dxfId="364" priority="365">
      <formula>IF(#REF!="FICTICIO",1,0)</formula>
    </cfRule>
  </conditionalFormatting>
  <conditionalFormatting sqref="E124">
    <cfRule type="expression" dxfId="363" priority="364">
      <formula>IF(#REF!="FICTICIO",1,0)</formula>
    </cfRule>
  </conditionalFormatting>
  <conditionalFormatting sqref="E124">
    <cfRule type="expression" dxfId="362" priority="363">
      <formula>IF(#REF!="FICTICIO",1,0)</formula>
    </cfRule>
  </conditionalFormatting>
  <conditionalFormatting sqref="E124">
    <cfRule type="expression" dxfId="361" priority="362">
      <formula>IF(#REF!="FICTICIO",1,0)</formula>
    </cfRule>
  </conditionalFormatting>
  <conditionalFormatting sqref="E124">
    <cfRule type="expression" dxfId="360" priority="361">
      <formula>IF(#REF!="FICTICIO",1,0)</formula>
    </cfRule>
  </conditionalFormatting>
  <conditionalFormatting sqref="E124">
    <cfRule type="expression" dxfId="359" priority="360">
      <formula>IF(#REF!="FICTICIO",1,0)</formula>
    </cfRule>
  </conditionalFormatting>
  <conditionalFormatting sqref="E124">
    <cfRule type="expression" dxfId="358" priority="359">
      <formula>IF(#REF!="FICTICIO",1,0)</formula>
    </cfRule>
  </conditionalFormatting>
  <conditionalFormatting sqref="E124">
    <cfRule type="expression" dxfId="357" priority="358">
      <formula>IF(#REF!="FICTICIO",1,0)</formula>
    </cfRule>
  </conditionalFormatting>
  <conditionalFormatting sqref="E124">
    <cfRule type="expression" dxfId="356" priority="357">
      <formula>IF(#REF!="FICTICIO",1,0)</formula>
    </cfRule>
  </conditionalFormatting>
  <conditionalFormatting sqref="E124">
    <cfRule type="expression" dxfId="355" priority="356">
      <formula>IF(#REF!="FICTICIO",1,0)</formula>
    </cfRule>
  </conditionalFormatting>
  <conditionalFormatting sqref="E124">
    <cfRule type="expression" dxfId="354" priority="355">
      <formula>IF(#REF!="FICTICIO",1,0)</formula>
    </cfRule>
  </conditionalFormatting>
  <conditionalFormatting sqref="E124">
    <cfRule type="expression" dxfId="353" priority="354">
      <formula>IF(#REF!="FICTICIO",1,0)</formula>
    </cfRule>
  </conditionalFormatting>
  <conditionalFormatting sqref="E124">
    <cfRule type="expression" dxfId="352" priority="353">
      <formula>IF(#REF!="FICTICIO",1,0)</formula>
    </cfRule>
  </conditionalFormatting>
  <conditionalFormatting sqref="E124">
    <cfRule type="expression" dxfId="351" priority="352">
      <formula>IF(#REF!="FICTICIO",1,0)</formula>
    </cfRule>
  </conditionalFormatting>
  <conditionalFormatting sqref="E124">
    <cfRule type="expression" dxfId="350" priority="350">
      <formula>IF(#REF!="FICTICIO",1,0)</formula>
    </cfRule>
  </conditionalFormatting>
  <conditionalFormatting sqref="E124">
    <cfRule type="expression" dxfId="349" priority="351">
      <formula>IF(#REF!="FICTICIO",1,0)</formula>
    </cfRule>
  </conditionalFormatting>
  <conditionalFormatting sqref="E124">
    <cfRule type="expression" dxfId="348" priority="349">
      <formula>IF(#REF!="FICTICIO",1,0)</formula>
    </cfRule>
  </conditionalFormatting>
  <conditionalFormatting sqref="E124">
    <cfRule type="expression" dxfId="347" priority="348">
      <formula>IF(#REF!="FICTICIO",1,0)</formula>
    </cfRule>
  </conditionalFormatting>
  <conditionalFormatting sqref="E124">
    <cfRule type="expression" dxfId="346" priority="347">
      <formula>IF(#REF!="FICTICIO",1,0)</formula>
    </cfRule>
  </conditionalFormatting>
  <conditionalFormatting sqref="E124">
    <cfRule type="expression" dxfId="345" priority="346">
      <formula>IF(#REF!="FICTICIO",1,0)</formula>
    </cfRule>
  </conditionalFormatting>
  <conditionalFormatting sqref="E124">
    <cfRule type="expression" dxfId="344" priority="345">
      <formula>IF(#REF!="FICTICIO",1,0)</formula>
    </cfRule>
  </conditionalFormatting>
  <conditionalFormatting sqref="E124">
    <cfRule type="expression" dxfId="343" priority="344">
      <formula>IF(#REF!="FICTICIO",1,0)</formula>
    </cfRule>
  </conditionalFormatting>
  <conditionalFormatting sqref="E124">
    <cfRule type="expression" dxfId="342" priority="343">
      <formula>IF(#REF!="FICTICIO",1,0)</formula>
    </cfRule>
  </conditionalFormatting>
  <conditionalFormatting sqref="E124">
    <cfRule type="expression" dxfId="341" priority="342">
      <formula>IF(#REF!="FICTICIO",1,0)</formula>
    </cfRule>
  </conditionalFormatting>
  <conditionalFormatting sqref="E124">
    <cfRule type="expression" dxfId="340" priority="341">
      <formula>IF(#REF!="FICTICIO",1,0)</formula>
    </cfRule>
  </conditionalFormatting>
  <conditionalFormatting sqref="E124">
    <cfRule type="expression" dxfId="339" priority="340">
      <formula>IF(#REF!="FICTICIO",1,0)</formula>
    </cfRule>
  </conditionalFormatting>
  <conditionalFormatting sqref="E124">
    <cfRule type="expression" dxfId="338" priority="339">
      <formula>IF(#REF!="FICTICIO",1,0)</formula>
    </cfRule>
  </conditionalFormatting>
  <conditionalFormatting sqref="E124">
    <cfRule type="expression" dxfId="337" priority="338">
      <formula>IF(#REF!="FICTICIO",1,0)</formula>
    </cfRule>
  </conditionalFormatting>
  <conditionalFormatting sqref="E124">
    <cfRule type="expression" dxfId="336" priority="337">
      <formula>IF(#REF!="FICTICIO",1,0)</formula>
    </cfRule>
  </conditionalFormatting>
  <conditionalFormatting sqref="E124">
    <cfRule type="expression" dxfId="335" priority="336">
      <formula>IF(#REF!="FICTICIO",1,0)</formula>
    </cfRule>
  </conditionalFormatting>
  <conditionalFormatting sqref="E124">
    <cfRule type="expression" dxfId="334" priority="335">
      <formula>IF(#REF!="FICTICIO",1,0)</formula>
    </cfRule>
  </conditionalFormatting>
  <conditionalFormatting sqref="E124">
    <cfRule type="expression" dxfId="333" priority="334">
      <formula>IF(#REF!="FICTICIO",1,0)</formula>
    </cfRule>
  </conditionalFormatting>
  <conditionalFormatting sqref="E124">
    <cfRule type="expression" dxfId="332" priority="333">
      <formula>IF(#REF!="FICTICIO",1,0)</formula>
    </cfRule>
  </conditionalFormatting>
  <conditionalFormatting sqref="E124">
    <cfRule type="expression" dxfId="331" priority="332">
      <formula>IF(#REF!="FICTICIO",1,0)</formula>
    </cfRule>
  </conditionalFormatting>
  <conditionalFormatting sqref="E124">
    <cfRule type="expression" dxfId="330" priority="331">
      <formula>IF(#REF!="FICTICIO",1,0)</formula>
    </cfRule>
  </conditionalFormatting>
  <conditionalFormatting sqref="E124">
    <cfRule type="expression" dxfId="329" priority="330">
      <formula>IF(#REF!="FICTICIO",1,0)</formula>
    </cfRule>
  </conditionalFormatting>
  <conditionalFormatting sqref="E124">
    <cfRule type="expression" dxfId="328" priority="329">
      <formula>IF(#REF!="FICTICIO",1,0)</formula>
    </cfRule>
  </conditionalFormatting>
  <conditionalFormatting sqref="E124">
    <cfRule type="expression" dxfId="327" priority="328">
      <formula>IF(#REF!="FICTICIO",1,0)</formula>
    </cfRule>
  </conditionalFormatting>
  <conditionalFormatting sqref="E124">
    <cfRule type="expression" dxfId="326" priority="327">
      <formula>IF(#REF!="FICTICIO",1,0)</formula>
    </cfRule>
  </conditionalFormatting>
  <conditionalFormatting sqref="E124">
    <cfRule type="expression" dxfId="325" priority="326">
      <formula>IF(#REF!="FICTICIO",1,0)</formula>
    </cfRule>
  </conditionalFormatting>
  <conditionalFormatting sqref="E124">
    <cfRule type="expression" dxfId="324" priority="325">
      <formula>IF(#REF!="FICTICIO",1,0)</formula>
    </cfRule>
  </conditionalFormatting>
  <conditionalFormatting sqref="E124">
    <cfRule type="expression" dxfId="323" priority="324">
      <formula>IF(#REF!="FICTICIO",1,0)</formula>
    </cfRule>
  </conditionalFormatting>
  <conditionalFormatting sqref="E124">
    <cfRule type="expression" dxfId="322" priority="323">
      <formula>IF(#REF!="FICTICIO",1,0)</formula>
    </cfRule>
  </conditionalFormatting>
  <conditionalFormatting sqref="E124">
    <cfRule type="expression" dxfId="321" priority="322">
      <formula>IF(#REF!="FICTICIO",1,0)</formula>
    </cfRule>
  </conditionalFormatting>
  <conditionalFormatting sqref="E124">
    <cfRule type="expression" dxfId="320" priority="321">
      <formula>IF(#REF!="FICTICIO",1,0)</formula>
    </cfRule>
  </conditionalFormatting>
  <conditionalFormatting sqref="E124">
    <cfRule type="expression" dxfId="319" priority="320">
      <formula>IF(#REF!="FICTICIO",1,0)</formula>
    </cfRule>
  </conditionalFormatting>
  <conditionalFormatting sqref="E124">
    <cfRule type="expression" dxfId="318" priority="319">
      <formula>IF(#REF!="FICTICIO",1,0)</formula>
    </cfRule>
  </conditionalFormatting>
  <conditionalFormatting sqref="E124">
    <cfRule type="expression" dxfId="317" priority="318">
      <formula>IF(#REF!="FICTICIO",1,0)</formula>
    </cfRule>
  </conditionalFormatting>
  <conditionalFormatting sqref="E124">
    <cfRule type="expression" dxfId="316" priority="317">
      <formula>IF(#REF!="FICTICIO",1,0)</formula>
    </cfRule>
  </conditionalFormatting>
  <conditionalFormatting sqref="E124">
    <cfRule type="expression" dxfId="315" priority="316">
      <formula>IF(#REF!="FICTICIO",1,0)</formula>
    </cfRule>
  </conditionalFormatting>
  <conditionalFormatting sqref="E124">
    <cfRule type="expression" dxfId="314" priority="315">
      <formula>IF(#REF!="FICTICIO",1,0)</formula>
    </cfRule>
  </conditionalFormatting>
  <conditionalFormatting sqref="E124">
    <cfRule type="expression" dxfId="313" priority="314">
      <formula>IF(#REF!="FICTICIO",1,0)</formula>
    </cfRule>
  </conditionalFormatting>
  <conditionalFormatting sqref="E124">
    <cfRule type="expression" dxfId="312" priority="313">
      <formula>IF(#REF!="FICTICIO",1,0)</formula>
    </cfRule>
  </conditionalFormatting>
  <conditionalFormatting sqref="E124">
    <cfRule type="expression" dxfId="311" priority="312">
      <formula>IF(#REF!="FICTICIO",1,0)</formula>
    </cfRule>
  </conditionalFormatting>
  <conditionalFormatting sqref="E124">
    <cfRule type="expression" dxfId="310" priority="311">
      <formula>IF(#REF!="FICTICIO",1,0)</formula>
    </cfRule>
  </conditionalFormatting>
  <conditionalFormatting sqref="E124">
    <cfRule type="expression" dxfId="309" priority="310">
      <formula>IF(#REF!="FICTICIO",1,0)</formula>
    </cfRule>
  </conditionalFormatting>
  <conditionalFormatting sqref="E124">
    <cfRule type="expression" dxfId="308" priority="309">
      <formula>IF(#REF!="FICTICIO",1,0)</formula>
    </cfRule>
  </conditionalFormatting>
  <conditionalFormatting sqref="E124">
    <cfRule type="expression" dxfId="307" priority="308">
      <formula>IF(#REF!="FICTICIO",1,0)</formula>
    </cfRule>
  </conditionalFormatting>
  <conditionalFormatting sqref="E124">
    <cfRule type="expression" dxfId="306" priority="307">
      <formula>IF(#REF!="FICTICIO",1,0)</formula>
    </cfRule>
  </conditionalFormatting>
  <conditionalFormatting sqref="E124">
    <cfRule type="expression" dxfId="305" priority="306">
      <formula>IF(#REF!="FICTICIO",1,0)</formula>
    </cfRule>
  </conditionalFormatting>
  <conditionalFormatting sqref="E124">
    <cfRule type="expression" dxfId="304" priority="305">
      <formula>IF(#REF!="FICTICIO",1,0)</formula>
    </cfRule>
  </conditionalFormatting>
  <conditionalFormatting sqref="E124">
    <cfRule type="expression" dxfId="303" priority="304">
      <formula>IF(#REF!="FICTICIO",1,0)</formula>
    </cfRule>
  </conditionalFormatting>
  <conditionalFormatting sqref="E124">
    <cfRule type="expression" dxfId="302" priority="303">
      <formula>IF(#REF!="FICTICIO",1,0)</formula>
    </cfRule>
  </conditionalFormatting>
  <conditionalFormatting sqref="E124">
    <cfRule type="expression" dxfId="301" priority="302">
      <formula>IF(#REF!="FICTICIO",1,0)</formula>
    </cfRule>
  </conditionalFormatting>
  <conditionalFormatting sqref="E124">
    <cfRule type="expression" dxfId="300" priority="301">
      <formula>IF(#REF!="FICTICIO",1,0)</formula>
    </cfRule>
  </conditionalFormatting>
  <conditionalFormatting sqref="E124">
    <cfRule type="expression" dxfId="299" priority="300">
      <formula>IF(#REF!="FICTICIO",1,0)</formula>
    </cfRule>
  </conditionalFormatting>
  <conditionalFormatting sqref="E124">
    <cfRule type="expression" dxfId="298" priority="299">
      <formula>IF(#REF!="FICTICIO",1,0)</formula>
    </cfRule>
  </conditionalFormatting>
  <conditionalFormatting sqref="E124">
    <cfRule type="expression" dxfId="297" priority="298">
      <formula>IF(#REF!="FICTICIO",1,0)</formula>
    </cfRule>
  </conditionalFormatting>
  <conditionalFormatting sqref="E124">
    <cfRule type="expression" dxfId="296" priority="297">
      <formula>IF(#REF!="FICTICIO",1,0)</formula>
    </cfRule>
  </conditionalFormatting>
  <conditionalFormatting sqref="E124">
    <cfRule type="expression" dxfId="295" priority="296">
      <formula>IF(#REF!="FICTICIO",1,0)</formula>
    </cfRule>
  </conditionalFormatting>
  <conditionalFormatting sqref="E124">
    <cfRule type="expression" dxfId="294" priority="295">
      <formula>IF(#REF!="FICTICIO",1,0)</formula>
    </cfRule>
  </conditionalFormatting>
  <conditionalFormatting sqref="E124">
    <cfRule type="expression" dxfId="293" priority="294">
      <formula>IF(#REF!="FICTICIO",1,0)</formula>
    </cfRule>
  </conditionalFormatting>
  <conditionalFormatting sqref="E124">
    <cfRule type="expression" dxfId="292" priority="293">
      <formula>IF(#REF!="FICTICIO",1,0)</formula>
    </cfRule>
  </conditionalFormatting>
  <conditionalFormatting sqref="E124">
    <cfRule type="expression" dxfId="291" priority="292">
      <formula>IF(#REF!="FICTICIO",1,0)</formula>
    </cfRule>
  </conditionalFormatting>
  <conditionalFormatting sqref="E124">
    <cfRule type="expression" dxfId="290" priority="291">
      <formula>IF(#REF!="FICTICIO",1,0)</formula>
    </cfRule>
  </conditionalFormatting>
  <conditionalFormatting sqref="E124">
    <cfRule type="expression" dxfId="289" priority="290">
      <formula>IF(#REF!="FICTICIO",1,0)</formula>
    </cfRule>
  </conditionalFormatting>
  <conditionalFormatting sqref="E124">
    <cfRule type="expression" dxfId="288" priority="289">
      <formula>IF(#REF!="FICTICIO",1,0)</formula>
    </cfRule>
  </conditionalFormatting>
  <conditionalFormatting sqref="E124">
    <cfRule type="expression" dxfId="287" priority="288">
      <formula>IF(#REF!="FICTICIO",1,0)</formula>
    </cfRule>
  </conditionalFormatting>
  <conditionalFormatting sqref="E124">
    <cfRule type="expression" dxfId="286" priority="287">
      <formula>IF(#REF!="FICTICIO",1,0)</formula>
    </cfRule>
  </conditionalFormatting>
  <conditionalFormatting sqref="E124">
    <cfRule type="expression" dxfId="285" priority="286">
      <formula>IF(#REF!="FICTICIO",1,0)</formula>
    </cfRule>
  </conditionalFormatting>
  <conditionalFormatting sqref="E124">
    <cfRule type="expression" dxfId="284" priority="285">
      <formula>IF(#REF!="FICTICIO",1,0)</formula>
    </cfRule>
  </conditionalFormatting>
  <conditionalFormatting sqref="E124">
    <cfRule type="expression" dxfId="283" priority="284">
      <formula>IF(#REF!="FICTICIO",1,0)</formula>
    </cfRule>
  </conditionalFormatting>
  <conditionalFormatting sqref="E124">
    <cfRule type="expression" dxfId="282" priority="283">
      <formula>IF(#REF!="FICTICIO",1,0)</formula>
    </cfRule>
  </conditionalFormatting>
  <conditionalFormatting sqref="E124">
    <cfRule type="expression" dxfId="281" priority="282">
      <formula>IF(#REF!="FICTICIO",1,0)</formula>
    </cfRule>
  </conditionalFormatting>
  <conditionalFormatting sqref="E124">
    <cfRule type="expression" dxfId="280" priority="281">
      <formula>IF(#REF!="FICTICIO",1,0)</formula>
    </cfRule>
  </conditionalFormatting>
  <conditionalFormatting sqref="E124">
    <cfRule type="expression" dxfId="279" priority="280">
      <formula>IF(#REF!="FICTICIO",1,0)</formula>
    </cfRule>
  </conditionalFormatting>
  <conditionalFormatting sqref="E124">
    <cfRule type="expression" dxfId="278" priority="279">
      <formula>IF(#REF!="FICTICIO",1,0)</formula>
    </cfRule>
  </conditionalFormatting>
  <conditionalFormatting sqref="E124">
    <cfRule type="expression" dxfId="277" priority="278">
      <formula>IF(#REF!="FICTICIO",1,0)</formula>
    </cfRule>
  </conditionalFormatting>
  <conditionalFormatting sqref="E124">
    <cfRule type="expression" dxfId="276" priority="277">
      <formula>IF(#REF!="FICTICIO",1,0)</formula>
    </cfRule>
  </conditionalFormatting>
  <conditionalFormatting sqref="E124">
    <cfRule type="expression" dxfId="275" priority="276">
      <formula>IF(#REF!="FICTICIO",1,0)</formula>
    </cfRule>
  </conditionalFormatting>
  <conditionalFormatting sqref="E124">
    <cfRule type="expression" dxfId="274" priority="275">
      <formula>IF(#REF!="FICTICIO",1,0)</formula>
    </cfRule>
  </conditionalFormatting>
  <conditionalFormatting sqref="E124">
    <cfRule type="expression" dxfId="273" priority="274">
      <formula>IF(#REF!="FICTICIO",1,0)</formula>
    </cfRule>
  </conditionalFormatting>
  <conditionalFormatting sqref="E124">
    <cfRule type="expression" dxfId="272" priority="273">
      <formula>IF(#REF!="FICTICIO",1,0)</formula>
    </cfRule>
  </conditionalFormatting>
  <conditionalFormatting sqref="E124">
    <cfRule type="expression" dxfId="271" priority="272">
      <formula>IF(#REF!="FICTICIO",1,0)</formula>
    </cfRule>
  </conditionalFormatting>
  <conditionalFormatting sqref="E125">
    <cfRule type="expression" dxfId="270" priority="271">
      <formula>IF(#REF!="FICTICIO",1,0)</formula>
    </cfRule>
  </conditionalFormatting>
  <conditionalFormatting sqref="E125">
    <cfRule type="expression" dxfId="269" priority="270">
      <formula>IF(#REF!="FICTICIO",1,0)</formula>
    </cfRule>
  </conditionalFormatting>
  <conditionalFormatting sqref="E125">
    <cfRule type="expression" dxfId="268" priority="269">
      <formula>IF(#REF!="FICTICIO",1,0)</formula>
    </cfRule>
  </conditionalFormatting>
  <conditionalFormatting sqref="E125">
    <cfRule type="expression" dxfId="267" priority="268">
      <formula>IF(#REF!="FICTICIO",1,0)</formula>
    </cfRule>
  </conditionalFormatting>
  <conditionalFormatting sqref="E125">
    <cfRule type="expression" dxfId="266" priority="267">
      <formula>IF(#REF!="FICTICIO",1,0)</formula>
    </cfRule>
  </conditionalFormatting>
  <conditionalFormatting sqref="E125">
    <cfRule type="expression" dxfId="265" priority="266">
      <formula>IF(#REF!="FICTICIO",1,0)</formula>
    </cfRule>
  </conditionalFormatting>
  <conditionalFormatting sqref="E125">
    <cfRule type="expression" dxfId="264" priority="265">
      <formula>IF(#REF!="FICTICIO",1,0)</formula>
    </cfRule>
  </conditionalFormatting>
  <conditionalFormatting sqref="E125">
    <cfRule type="expression" dxfId="263" priority="264">
      <formula>IF(#REF!="FICTICIO",1,0)</formula>
    </cfRule>
  </conditionalFormatting>
  <conditionalFormatting sqref="E125">
    <cfRule type="expression" dxfId="262" priority="263">
      <formula>IF(#REF!="FICTICIO",1,0)</formula>
    </cfRule>
  </conditionalFormatting>
  <conditionalFormatting sqref="E125">
    <cfRule type="expression" dxfId="261" priority="262">
      <formula>IF(#REF!="FICTICIO",1,0)</formula>
    </cfRule>
  </conditionalFormatting>
  <conditionalFormatting sqref="E125">
    <cfRule type="expression" dxfId="260" priority="261">
      <formula>IF(#REF!="FICTICIO",1,0)</formula>
    </cfRule>
  </conditionalFormatting>
  <conditionalFormatting sqref="E125">
    <cfRule type="expression" dxfId="259" priority="260">
      <formula>IF(#REF!="FICTICIO",1,0)</formula>
    </cfRule>
  </conditionalFormatting>
  <conditionalFormatting sqref="E125">
    <cfRule type="expression" dxfId="258" priority="259">
      <formula>IF(#REF!="FICTICIO",1,0)</formula>
    </cfRule>
  </conditionalFormatting>
  <conditionalFormatting sqref="E125">
    <cfRule type="expression" dxfId="257" priority="258">
      <formula>IF(#REF!="FICTICIO",1,0)</formula>
    </cfRule>
  </conditionalFormatting>
  <conditionalFormatting sqref="E125">
    <cfRule type="expression" dxfId="256" priority="257">
      <formula>IF(#REF!="FICTICIO",1,0)</formula>
    </cfRule>
  </conditionalFormatting>
  <conditionalFormatting sqref="E125">
    <cfRule type="expression" dxfId="255" priority="256">
      <formula>IF(#REF!="FICTICIO",1,0)</formula>
    </cfRule>
  </conditionalFormatting>
  <conditionalFormatting sqref="E125">
    <cfRule type="expression" dxfId="254" priority="255">
      <formula>IF(#REF!="FICTICIO",1,0)</formula>
    </cfRule>
  </conditionalFormatting>
  <conditionalFormatting sqref="E125">
    <cfRule type="expression" dxfId="253" priority="254">
      <formula>IF(#REF!="FICTICIO",1,0)</formula>
    </cfRule>
  </conditionalFormatting>
  <conditionalFormatting sqref="E125">
    <cfRule type="expression" dxfId="252" priority="253">
      <formula>IF(#REF!="FICTICIO",1,0)</formula>
    </cfRule>
  </conditionalFormatting>
  <conditionalFormatting sqref="E125">
    <cfRule type="expression" dxfId="251" priority="252">
      <formula>IF(#REF!="FICTICIO",1,0)</formula>
    </cfRule>
  </conditionalFormatting>
  <conditionalFormatting sqref="E125">
    <cfRule type="expression" dxfId="250" priority="251">
      <formula>IF(#REF!="FICTICIO",1,0)</formula>
    </cfRule>
  </conditionalFormatting>
  <conditionalFormatting sqref="E125">
    <cfRule type="expression" dxfId="249" priority="250">
      <formula>IF(#REF!="FICTICIO",1,0)</formula>
    </cfRule>
  </conditionalFormatting>
  <conditionalFormatting sqref="E125">
    <cfRule type="expression" dxfId="248" priority="249">
      <formula>IF(#REF!="FICTICIO",1,0)</formula>
    </cfRule>
  </conditionalFormatting>
  <conditionalFormatting sqref="E125">
    <cfRule type="expression" dxfId="247" priority="248">
      <formula>IF(#REF!="FICTICIO",1,0)</formula>
    </cfRule>
  </conditionalFormatting>
  <conditionalFormatting sqref="E125">
    <cfRule type="expression" dxfId="246" priority="247">
      <formula>IF(#REF!="FICTICIO",1,0)</formula>
    </cfRule>
  </conditionalFormatting>
  <conditionalFormatting sqref="E125">
    <cfRule type="expression" dxfId="245" priority="246">
      <formula>IF(#REF!="FICTICIO",1,0)</formula>
    </cfRule>
  </conditionalFormatting>
  <conditionalFormatting sqref="E125">
    <cfRule type="expression" dxfId="244" priority="245">
      <formula>IF(#REF!="FICTICIO",1,0)</formula>
    </cfRule>
  </conditionalFormatting>
  <conditionalFormatting sqref="E125">
    <cfRule type="expression" dxfId="243" priority="244">
      <formula>IF(#REF!="FICTICIO",1,0)</formula>
    </cfRule>
  </conditionalFormatting>
  <conditionalFormatting sqref="E125">
    <cfRule type="expression" dxfId="242" priority="243">
      <formula>IF(#REF!="FICTICIO",1,0)</formula>
    </cfRule>
  </conditionalFormatting>
  <conditionalFormatting sqref="E125">
    <cfRule type="expression" dxfId="241" priority="242">
      <formula>IF(#REF!="FICTICIO",1,0)</formula>
    </cfRule>
  </conditionalFormatting>
  <conditionalFormatting sqref="E125">
    <cfRule type="expression" dxfId="240" priority="241">
      <formula>IF(#REF!="FICTICIO",1,0)</formula>
    </cfRule>
  </conditionalFormatting>
  <conditionalFormatting sqref="E125">
    <cfRule type="expression" dxfId="239" priority="240">
      <formula>IF(#REF!="FICTICIO",1,0)</formula>
    </cfRule>
  </conditionalFormatting>
  <conditionalFormatting sqref="E125">
    <cfRule type="expression" dxfId="238" priority="239">
      <formula>IF(#REF!="FICTICIO",1,0)</formula>
    </cfRule>
  </conditionalFormatting>
  <conditionalFormatting sqref="E125">
    <cfRule type="expression" dxfId="237" priority="238">
      <formula>IF(#REF!="FICTICIO",1,0)</formula>
    </cfRule>
  </conditionalFormatting>
  <conditionalFormatting sqref="E125">
    <cfRule type="expression" dxfId="236" priority="237">
      <formula>IF(#REF!="FICTICIO",1,0)</formula>
    </cfRule>
  </conditionalFormatting>
  <conditionalFormatting sqref="E125">
    <cfRule type="expression" dxfId="235" priority="236">
      <formula>IF(#REF!="FICTICIO",1,0)</formula>
    </cfRule>
  </conditionalFormatting>
  <conditionalFormatting sqref="E125">
    <cfRule type="expression" dxfId="234" priority="235">
      <formula>IF(#REF!="FICTICIO",1,0)</formula>
    </cfRule>
  </conditionalFormatting>
  <conditionalFormatting sqref="E125">
    <cfRule type="expression" dxfId="233" priority="234">
      <formula>IF(#REF!="FICTICIO",1,0)</formula>
    </cfRule>
  </conditionalFormatting>
  <conditionalFormatting sqref="E125">
    <cfRule type="expression" dxfId="232" priority="233">
      <formula>IF(#REF!="FICTICIO",1,0)</formula>
    </cfRule>
  </conditionalFormatting>
  <conditionalFormatting sqref="E125">
    <cfRule type="expression" dxfId="231" priority="232">
      <formula>IF(#REF!="FICTICIO",1,0)</formula>
    </cfRule>
  </conditionalFormatting>
  <conditionalFormatting sqref="E125">
    <cfRule type="expression" dxfId="230" priority="231">
      <formula>IF(#REF!="FICTICIO",1,0)</formula>
    </cfRule>
  </conditionalFormatting>
  <conditionalFormatting sqref="E125">
    <cfRule type="expression" dxfId="229" priority="230">
      <formula>IF(#REF!="FICTICIO",1,0)</formula>
    </cfRule>
  </conditionalFormatting>
  <conditionalFormatting sqref="E125">
    <cfRule type="expression" dxfId="228" priority="229">
      <formula>IF(#REF!="FICTICIO",1,0)</formula>
    </cfRule>
  </conditionalFormatting>
  <conditionalFormatting sqref="E125">
    <cfRule type="expression" dxfId="227" priority="228">
      <formula>IF(#REF!="FICTICIO",1,0)</formula>
    </cfRule>
  </conditionalFormatting>
  <conditionalFormatting sqref="E125">
    <cfRule type="expression" dxfId="226" priority="227">
      <formula>IF(#REF!="FICTICIO",1,0)</formula>
    </cfRule>
  </conditionalFormatting>
  <conditionalFormatting sqref="E125">
    <cfRule type="expression" dxfId="225" priority="226">
      <formula>IF(#REF!="FICTICIO",1,0)</formula>
    </cfRule>
  </conditionalFormatting>
  <conditionalFormatting sqref="E125">
    <cfRule type="expression" dxfId="224" priority="225">
      <formula>IF(#REF!="FICTICIO",1,0)</formula>
    </cfRule>
  </conditionalFormatting>
  <conditionalFormatting sqref="E125">
    <cfRule type="expression" dxfId="223" priority="224">
      <formula>IF(#REF!="FICTICIO",1,0)</formula>
    </cfRule>
  </conditionalFormatting>
  <conditionalFormatting sqref="E125">
    <cfRule type="expression" dxfId="222" priority="223">
      <formula>IF(#REF!="FICTICIO",1,0)</formula>
    </cfRule>
  </conditionalFormatting>
  <conditionalFormatting sqref="E125">
    <cfRule type="expression" dxfId="221" priority="222">
      <formula>IF(#REF!="FICTICIO",1,0)</formula>
    </cfRule>
  </conditionalFormatting>
  <conditionalFormatting sqref="E125">
    <cfRule type="expression" dxfId="220" priority="221">
      <formula>IF(#REF!="FICTICIO",1,0)</formula>
    </cfRule>
  </conditionalFormatting>
  <conditionalFormatting sqref="E125">
    <cfRule type="expression" dxfId="219" priority="220">
      <formula>IF(#REF!="FICTICIO",1,0)</formula>
    </cfRule>
  </conditionalFormatting>
  <conditionalFormatting sqref="E125">
    <cfRule type="expression" dxfId="218" priority="219">
      <formula>IF(#REF!="FICTICIO",1,0)</formula>
    </cfRule>
  </conditionalFormatting>
  <conditionalFormatting sqref="E125">
    <cfRule type="expression" dxfId="217" priority="218">
      <formula>IF(#REF!="FICTICIO",1,0)</formula>
    </cfRule>
  </conditionalFormatting>
  <conditionalFormatting sqref="E125">
    <cfRule type="expression" dxfId="216" priority="217">
      <formula>IF(#REF!="FICTICIO",1,0)</formula>
    </cfRule>
  </conditionalFormatting>
  <conditionalFormatting sqref="E125">
    <cfRule type="expression" dxfId="215" priority="216">
      <formula>IF(#REF!="FICTICIO",1,0)</formula>
    </cfRule>
  </conditionalFormatting>
  <conditionalFormatting sqref="E125">
    <cfRule type="expression" dxfId="214" priority="215">
      <formula>IF(#REF!="FICTICIO",1,0)</formula>
    </cfRule>
  </conditionalFormatting>
  <conditionalFormatting sqref="E125">
    <cfRule type="expression" dxfId="213" priority="214">
      <formula>IF(#REF!="FICTICIO",1,0)</formula>
    </cfRule>
  </conditionalFormatting>
  <conditionalFormatting sqref="E125">
    <cfRule type="expression" dxfId="212" priority="213">
      <formula>IF(#REF!="FICTICIO",1,0)</formula>
    </cfRule>
  </conditionalFormatting>
  <conditionalFormatting sqref="E125">
    <cfRule type="expression" dxfId="211" priority="212">
      <formula>IF(#REF!="FICTICIO",1,0)</formula>
    </cfRule>
  </conditionalFormatting>
  <conditionalFormatting sqref="E125">
    <cfRule type="expression" dxfId="210" priority="211">
      <formula>IF(#REF!="FICTICIO",1,0)</formula>
    </cfRule>
  </conditionalFormatting>
  <conditionalFormatting sqref="E125">
    <cfRule type="expression" dxfId="209" priority="210">
      <formula>IF(#REF!="FICTICIO",1,0)</formula>
    </cfRule>
  </conditionalFormatting>
  <conditionalFormatting sqref="E125">
    <cfRule type="expression" dxfId="208" priority="209">
      <formula>IF(#REF!="FICTICIO",1,0)</formula>
    </cfRule>
  </conditionalFormatting>
  <conditionalFormatting sqref="E125">
    <cfRule type="expression" dxfId="207" priority="208">
      <formula>IF(#REF!="FICTICIO",1,0)</formula>
    </cfRule>
  </conditionalFormatting>
  <conditionalFormatting sqref="E125">
    <cfRule type="expression" dxfId="206" priority="207">
      <formula>IF(#REF!="FICTICIO",1,0)</formula>
    </cfRule>
  </conditionalFormatting>
  <conditionalFormatting sqref="E125">
    <cfRule type="expression" dxfId="205" priority="206">
      <formula>IF(#REF!="FICTICIO",1,0)</formula>
    </cfRule>
  </conditionalFormatting>
  <conditionalFormatting sqref="E125">
    <cfRule type="expression" dxfId="204" priority="205">
      <formula>IF(#REF!="FICTICIO",1,0)</formula>
    </cfRule>
  </conditionalFormatting>
  <conditionalFormatting sqref="E125">
    <cfRule type="expression" dxfId="203" priority="204">
      <formula>IF(#REF!="FICTICIO",1,0)</formula>
    </cfRule>
  </conditionalFormatting>
  <conditionalFormatting sqref="E125">
    <cfRule type="expression" dxfId="202" priority="203">
      <formula>IF(#REF!="FICTICIO",1,0)</formula>
    </cfRule>
  </conditionalFormatting>
  <conditionalFormatting sqref="E125">
    <cfRule type="expression" dxfId="201" priority="202">
      <formula>IF(#REF!="FICTICIO",1,0)</formula>
    </cfRule>
  </conditionalFormatting>
  <conditionalFormatting sqref="E125">
    <cfRule type="expression" dxfId="200" priority="201">
      <formula>IF(#REF!="FICTICIO",1,0)</formula>
    </cfRule>
  </conditionalFormatting>
  <conditionalFormatting sqref="E125">
    <cfRule type="expression" dxfId="199" priority="200">
      <formula>IF(#REF!="FICTICIO",1,0)</formula>
    </cfRule>
  </conditionalFormatting>
  <conditionalFormatting sqref="E125">
    <cfRule type="expression" dxfId="198" priority="199">
      <formula>IF(#REF!="FICTICIO",1,0)</formula>
    </cfRule>
  </conditionalFormatting>
  <conditionalFormatting sqref="E125">
    <cfRule type="expression" dxfId="197" priority="198">
      <formula>IF(#REF!="FICTICIO",1,0)</formula>
    </cfRule>
  </conditionalFormatting>
  <conditionalFormatting sqref="E125">
    <cfRule type="expression" dxfId="196" priority="197">
      <formula>IF(#REF!="FICTICIO",1,0)</formula>
    </cfRule>
  </conditionalFormatting>
  <conditionalFormatting sqref="E125">
    <cfRule type="expression" dxfId="195" priority="196">
      <formula>IF(#REF!="FICTICIO",1,0)</formula>
    </cfRule>
  </conditionalFormatting>
  <conditionalFormatting sqref="E125">
    <cfRule type="expression" dxfId="194" priority="195">
      <formula>IF(#REF!="FICTICIO",1,0)</formula>
    </cfRule>
  </conditionalFormatting>
  <conditionalFormatting sqref="E125">
    <cfRule type="expression" dxfId="193" priority="194">
      <formula>IF(#REF!="FICTICIO",1,0)</formula>
    </cfRule>
  </conditionalFormatting>
  <conditionalFormatting sqref="E125">
    <cfRule type="expression" dxfId="192" priority="193">
      <formula>IF(#REF!="FICTICIO",1,0)</formula>
    </cfRule>
  </conditionalFormatting>
  <conditionalFormatting sqref="E125">
    <cfRule type="expression" dxfId="191" priority="192">
      <formula>IF(#REF!="FICTICIO",1,0)</formula>
    </cfRule>
  </conditionalFormatting>
  <conditionalFormatting sqref="E125">
    <cfRule type="expression" dxfId="190" priority="191">
      <formula>IF(#REF!="FICTICIO",1,0)</formula>
    </cfRule>
  </conditionalFormatting>
  <conditionalFormatting sqref="E125">
    <cfRule type="expression" dxfId="189" priority="190">
      <formula>IF(#REF!="FICTICIO",1,0)</formula>
    </cfRule>
  </conditionalFormatting>
  <conditionalFormatting sqref="E125">
    <cfRule type="expression" dxfId="188" priority="189">
      <formula>IF(#REF!="FICTICIO",1,0)</formula>
    </cfRule>
  </conditionalFormatting>
  <conditionalFormatting sqref="E125">
    <cfRule type="expression" dxfId="187" priority="188">
      <formula>IF(#REF!="FICTICIO",1,0)</formula>
    </cfRule>
  </conditionalFormatting>
  <conditionalFormatting sqref="E125">
    <cfRule type="expression" dxfId="186" priority="187">
      <formula>IF(#REF!="FICTICIO",1,0)</formula>
    </cfRule>
  </conditionalFormatting>
  <conditionalFormatting sqref="E125">
    <cfRule type="expression" dxfId="185" priority="186">
      <formula>IF(#REF!="FICTICIO",1,0)</formula>
    </cfRule>
  </conditionalFormatting>
  <conditionalFormatting sqref="E125">
    <cfRule type="expression" dxfId="184" priority="185">
      <formula>IF(#REF!="FICTICIO",1,0)</formula>
    </cfRule>
  </conditionalFormatting>
  <conditionalFormatting sqref="E125">
    <cfRule type="expression" dxfId="183" priority="184">
      <formula>IF(#REF!="FICTICIO",1,0)</formula>
    </cfRule>
  </conditionalFormatting>
  <conditionalFormatting sqref="E125">
    <cfRule type="expression" dxfId="182" priority="183">
      <formula>IF(#REF!="FICTICIO",1,0)</formula>
    </cfRule>
  </conditionalFormatting>
  <conditionalFormatting sqref="E125">
    <cfRule type="expression" dxfId="181" priority="182">
      <formula>IF(#REF!="FICTICIO",1,0)</formula>
    </cfRule>
  </conditionalFormatting>
  <conditionalFormatting sqref="E125">
    <cfRule type="expression" dxfId="180" priority="181">
      <formula>IF(#REF!="FICTICIO",1,0)</formula>
    </cfRule>
  </conditionalFormatting>
  <conditionalFormatting sqref="E125">
    <cfRule type="expression" dxfId="179" priority="180">
      <formula>IF(#REF!="FICTICIO",1,0)</formula>
    </cfRule>
  </conditionalFormatting>
  <conditionalFormatting sqref="E125">
    <cfRule type="expression" dxfId="178" priority="179">
      <formula>IF(#REF!="FICTICIO",1,0)</formula>
    </cfRule>
  </conditionalFormatting>
  <conditionalFormatting sqref="E125">
    <cfRule type="expression" dxfId="177" priority="178">
      <formula>IF(#REF!="FICTICIO",1,0)</formula>
    </cfRule>
  </conditionalFormatting>
  <conditionalFormatting sqref="E125">
    <cfRule type="expression" dxfId="176" priority="177">
      <formula>IF(#REF!="FICTICIO",1,0)</formula>
    </cfRule>
  </conditionalFormatting>
  <conditionalFormatting sqref="E125">
    <cfRule type="expression" dxfId="175" priority="176">
      <formula>IF(#REF!="FICTICIO",1,0)</formula>
    </cfRule>
  </conditionalFormatting>
  <conditionalFormatting sqref="E125">
    <cfRule type="expression" dxfId="174" priority="175">
      <formula>IF(#REF!="FICTICIO",1,0)</formula>
    </cfRule>
  </conditionalFormatting>
  <conditionalFormatting sqref="E125">
    <cfRule type="expression" dxfId="173" priority="174">
      <formula>IF(#REF!="FICTICIO",1,0)</formula>
    </cfRule>
  </conditionalFormatting>
  <conditionalFormatting sqref="E125">
    <cfRule type="expression" dxfId="172" priority="173">
      <formula>IF(#REF!="FICTICIO",1,0)</formula>
    </cfRule>
  </conditionalFormatting>
  <conditionalFormatting sqref="E125">
    <cfRule type="expression" dxfId="171" priority="172">
      <formula>IF(#REF!="FICTICIO",1,0)</formula>
    </cfRule>
  </conditionalFormatting>
  <conditionalFormatting sqref="E125">
    <cfRule type="expression" dxfId="170" priority="171">
      <formula>IF(#REF!="FICTICIO",1,0)</formula>
    </cfRule>
  </conditionalFormatting>
  <conditionalFormatting sqref="E125">
    <cfRule type="expression" dxfId="169" priority="170">
      <formula>IF(#REF!="FICTICIO",1,0)</formula>
    </cfRule>
  </conditionalFormatting>
  <conditionalFormatting sqref="E125">
    <cfRule type="expression" dxfId="168" priority="169">
      <formula>IF(#REF!="FICTICIO",1,0)</formula>
    </cfRule>
  </conditionalFormatting>
  <conditionalFormatting sqref="E125">
    <cfRule type="expression" dxfId="167" priority="168">
      <formula>IF(#REF!="FICTICIO",1,0)</formula>
    </cfRule>
  </conditionalFormatting>
  <conditionalFormatting sqref="E125">
    <cfRule type="expression" dxfId="166" priority="167">
      <formula>IF(#REF!="FICTICIO",1,0)</formula>
    </cfRule>
  </conditionalFormatting>
  <conditionalFormatting sqref="E125">
    <cfRule type="expression" dxfId="165" priority="166">
      <formula>IF(#REF!="FICTICIO",1,0)</formula>
    </cfRule>
  </conditionalFormatting>
  <conditionalFormatting sqref="E125">
    <cfRule type="expression" dxfId="164" priority="165">
      <formula>IF(#REF!="FICTICIO",1,0)</formula>
    </cfRule>
  </conditionalFormatting>
  <conditionalFormatting sqref="E125">
    <cfRule type="expression" dxfId="163" priority="164">
      <formula>IF(#REF!="FICTICIO",1,0)</formula>
    </cfRule>
  </conditionalFormatting>
  <conditionalFormatting sqref="E125">
    <cfRule type="expression" dxfId="162" priority="163">
      <formula>IF(#REF!="FICTICIO",1,0)</formula>
    </cfRule>
  </conditionalFormatting>
  <conditionalFormatting sqref="E125">
    <cfRule type="expression" dxfId="161" priority="162">
      <formula>IF(#REF!="FICTICIO",1,0)</formula>
    </cfRule>
  </conditionalFormatting>
  <conditionalFormatting sqref="E125">
    <cfRule type="expression" dxfId="160" priority="161">
      <formula>IF(#REF!="FICTICIO",1,0)</formula>
    </cfRule>
  </conditionalFormatting>
  <conditionalFormatting sqref="E125">
    <cfRule type="expression" dxfId="159" priority="160">
      <formula>IF(#REF!="FICTICIO",1,0)</formula>
    </cfRule>
  </conditionalFormatting>
  <conditionalFormatting sqref="E125">
    <cfRule type="expression" dxfId="158" priority="159">
      <formula>IF(#REF!="FICTICIO",1,0)</formula>
    </cfRule>
  </conditionalFormatting>
  <conditionalFormatting sqref="E125">
    <cfRule type="expression" dxfId="157" priority="158">
      <formula>IF(#REF!="FICTICIO",1,0)</formula>
    </cfRule>
  </conditionalFormatting>
  <conditionalFormatting sqref="E125">
    <cfRule type="expression" dxfId="156" priority="157">
      <formula>IF(#REF!="FICTICIO",1,0)</formula>
    </cfRule>
  </conditionalFormatting>
  <conditionalFormatting sqref="E125">
    <cfRule type="expression" dxfId="155" priority="156">
      <formula>IF(#REF!="FICTICIO",1,0)</formula>
    </cfRule>
  </conditionalFormatting>
  <conditionalFormatting sqref="E125">
    <cfRule type="expression" dxfId="154" priority="155">
      <formula>IF(#REF!="FICTICIO",1,0)</formula>
    </cfRule>
  </conditionalFormatting>
  <conditionalFormatting sqref="E125">
    <cfRule type="expression" dxfId="153" priority="154">
      <formula>IF(#REF!="FICTICIO",1,0)</formula>
    </cfRule>
  </conditionalFormatting>
  <conditionalFormatting sqref="E125">
    <cfRule type="expression" dxfId="152" priority="153">
      <formula>IF(#REF!="FICTICIO",1,0)</formula>
    </cfRule>
  </conditionalFormatting>
  <conditionalFormatting sqref="E125">
    <cfRule type="expression" dxfId="151" priority="152">
      <formula>IF(#REF!="FICTICIO",1,0)</formula>
    </cfRule>
  </conditionalFormatting>
  <conditionalFormatting sqref="E125">
    <cfRule type="expression" dxfId="150" priority="151">
      <formula>IF(#REF!="FICTICIO",1,0)</formula>
    </cfRule>
  </conditionalFormatting>
  <conditionalFormatting sqref="E125">
    <cfRule type="expression" dxfId="149" priority="150">
      <formula>IF(#REF!="FICTICIO",1,0)</formula>
    </cfRule>
  </conditionalFormatting>
  <conditionalFormatting sqref="E125">
    <cfRule type="expression" dxfId="148" priority="149">
      <formula>IF(#REF!="FICTICIO",1,0)</formula>
    </cfRule>
  </conditionalFormatting>
  <conditionalFormatting sqref="E125">
    <cfRule type="expression" dxfId="147" priority="148">
      <formula>IF(#REF!="FICTICIO",1,0)</formula>
    </cfRule>
  </conditionalFormatting>
  <conditionalFormatting sqref="E125">
    <cfRule type="expression" dxfId="146" priority="147">
      <formula>IF(#REF!="FICTICIO",1,0)</formula>
    </cfRule>
  </conditionalFormatting>
  <conditionalFormatting sqref="E125">
    <cfRule type="expression" dxfId="145" priority="146">
      <formula>IF(#REF!="FICTICIO",1,0)</formula>
    </cfRule>
  </conditionalFormatting>
  <conditionalFormatting sqref="E125">
    <cfRule type="expression" dxfId="144" priority="145">
      <formula>IF(#REF!="FICTICIO",1,0)</formula>
    </cfRule>
  </conditionalFormatting>
  <conditionalFormatting sqref="E125">
    <cfRule type="expression" dxfId="143" priority="144">
      <formula>IF(#REF!="FICTICIO",1,0)</formula>
    </cfRule>
  </conditionalFormatting>
  <conditionalFormatting sqref="E125">
    <cfRule type="expression" dxfId="142" priority="143">
      <formula>IF(#REF!="FICTICIO",1,0)</formula>
    </cfRule>
  </conditionalFormatting>
  <conditionalFormatting sqref="E125">
    <cfRule type="expression" dxfId="141" priority="142">
      <formula>IF(#REF!="FICTICIO",1,0)</formula>
    </cfRule>
  </conditionalFormatting>
  <conditionalFormatting sqref="E125">
    <cfRule type="expression" dxfId="140" priority="141">
      <formula>IF(#REF!="FICTICIO",1,0)</formula>
    </cfRule>
  </conditionalFormatting>
  <conditionalFormatting sqref="E125">
    <cfRule type="expression" dxfId="139" priority="140">
      <formula>IF(#REF!="FICTICIO",1,0)</formula>
    </cfRule>
  </conditionalFormatting>
  <conditionalFormatting sqref="E125">
    <cfRule type="expression" dxfId="138" priority="139">
      <formula>IF(#REF!="FICTICIO",1,0)</formula>
    </cfRule>
  </conditionalFormatting>
  <conditionalFormatting sqref="E125">
    <cfRule type="expression" dxfId="137" priority="138">
      <formula>IF(#REF!="FICTICIO",1,0)</formula>
    </cfRule>
  </conditionalFormatting>
  <conditionalFormatting sqref="E125">
    <cfRule type="expression" dxfId="136" priority="137">
      <formula>IF(#REF!="FICTICIO",1,0)</formula>
    </cfRule>
  </conditionalFormatting>
  <conditionalFormatting sqref="E125">
    <cfRule type="expression" dxfId="135" priority="136">
      <formula>IF(#REF!="FICTICIO",1,0)</formula>
    </cfRule>
  </conditionalFormatting>
  <conditionalFormatting sqref="E125">
    <cfRule type="expression" dxfId="134" priority="135">
      <formula>IF(#REF!="FICTICIO",1,0)</formula>
    </cfRule>
  </conditionalFormatting>
  <conditionalFormatting sqref="E125">
    <cfRule type="expression" dxfId="133" priority="134">
      <formula>IF(#REF!="FICTICIO",1,0)</formula>
    </cfRule>
  </conditionalFormatting>
  <conditionalFormatting sqref="E125">
    <cfRule type="expression" dxfId="132" priority="133">
      <formula>IF(#REF!="FICTICIO",1,0)</formula>
    </cfRule>
  </conditionalFormatting>
  <conditionalFormatting sqref="E125">
    <cfRule type="expression" dxfId="131" priority="132">
      <formula>IF(#REF!="FICTICIO",1,0)</formula>
    </cfRule>
  </conditionalFormatting>
  <conditionalFormatting sqref="E125">
    <cfRule type="expression" dxfId="130" priority="131">
      <formula>IF(#REF!="FICTICIO",1,0)</formula>
    </cfRule>
  </conditionalFormatting>
  <conditionalFormatting sqref="E125">
    <cfRule type="expression" dxfId="129" priority="130">
      <formula>IF(#REF!="FICTICIO",1,0)</formula>
    </cfRule>
  </conditionalFormatting>
  <conditionalFormatting sqref="E125">
    <cfRule type="expression" dxfId="128" priority="129">
      <formula>IF(#REF!="FICTICIO",1,0)</formula>
    </cfRule>
  </conditionalFormatting>
  <conditionalFormatting sqref="E125">
    <cfRule type="expression" dxfId="127" priority="128">
      <formula>IF(#REF!="FICTICIO",1,0)</formula>
    </cfRule>
  </conditionalFormatting>
  <conditionalFormatting sqref="E125">
    <cfRule type="expression" dxfId="126" priority="127">
      <formula>IF(#REF!="FICTICIO",1,0)</formula>
    </cfRule>
  </conditionalFormatting>
  <conditionalFormatting sqref="E125">
    <cfRule type="expression" dxfId="125" priority="126">
      <formula>IF(#REF!="FICTICIO",1,0)</formula>
    </cfRule>
  </conditionalFormatting>
  <conditionalFormatting sqref="E125">
    <cfRule type="expression" dxfId="124" priority="125">
      <formula>IF(#REF!="FICTICIO",1,0)</formula>
    </cfRule>
  </conditionalFormatting>
  <conditionalFormatting sqref="E125">
    <cfRule type="expression" dxfId="123" priority="124">
      <formula>IF(#REF!="FICTICIO",1,0)</formula>
    </cfRule>
  </conditionalFormatting>
  <conditionalFormatting sqref="E125">
    <cfRule type="expression" dxfId="122" priority="123">
      <formula>IF(#REF!="FICTICIO",1,0)</formula>
    </cfRule>
  </conditionalFormatting>
  <conditionalFormatting sqref="E125">
    <cfRule type="expression" dxfId="121" priority="122">
      <formula>IF(#REF!="FICTICIO",1,0)</formula>
    </cfRule>
  </conditionalFormatting>
  <conditionalFormatting sqref="E125">
    <cfRule type="expression" dxfId="120" priority="121">
      <formula>IF(#REF!="FICTICIO",1,0)</formula>
    </cfRule>
  </conditionalFormatting>
  <conditionalFormatting sqref="E125">
    <cfRule type="expression" dxfId="119" priority="120">
      <formula>IF(#REF!="FICTICIO",1,0)</formula>
    </cfRule>
  </conditionalFormatting>
  <conditionalFormatting sqref="E125">
    <cfRule type="expression" dxfId="118" priority="119">
      <formula>IF(#REF!="FICTICIO",1,0)</formula>
    </cfRule>
  </conditionalFormatting>
  <conditionalFormatting sqref="E125">
    <cfRule type="expression" dxfId="117" priority="118">
      <formula>IF(#REF!="FICTICIO",1,0)</formula>
    </cfRule>
  </conditionalFormatting>
  <conditionalFormatting sqref="E125">
    <cfRule type="expression" dxfId="116" priority="117">
      <formula>IF(#REF!="FICTICIO",1,0)</formula>
    </cfRule>
  </conditionalFormatting>
  <conditionalFormatting sqref="E125">
    <cfRule type="expression" dxfId="115" priority="116">
      <formula>IF(#REF!="FICTICIO",1,0)</formula>
    </cfRule>
  </conditionalFormatting>
  <conditionalFormatting sqref="E125">
    <cfRule type="expression" dxfId="114" priority="114">
      <formula>IF(#REF!="FICTICIO",1,0)</formula>
    </cfRule>
  </conditionalFormatting>
  <conditionalFormatting sqref="E125">
    <cfRule type="expression" dxfId="113" priority="115">
      <formula>IF(#REF!="FICTICIO",1,0)</formula>
    </cfRule>
  </conditionalFormatting>
  <conditionalFormatting sqref="E125">
    <cfRule type="expression" dxfId="112" priority="113">
      <formula>IF(#REF!="FICTICIO",1,0)</formula>
    </cfRule>
  </conditionalFormatting>
  <conditionalFormatting sqref="E125">
    <cfRule type="expression" dxfId="111" priority="112">
      <formula>IF(#REF!="FICTICIO",1,0)</formula>
    </cfRule>
  </conditionalFormatting>
  <conditionalFormatting sqref="E125">
    <cfRule type="expression" dxfId="110" priority="111">
      <formula>IF(#REF!="FICTICIO",1,0)</formula>
    </cfRule>
  </conditionalFormatting>
  <conditionalFormatting sqref="E125">
    <cfRule type="expression" dxfId="109" priority="110">
      <formula>IF(#REF!="FICTICIO",1,0)</formula>
    </cfRule>
  </conditionalFormatting>
  <conditionalFormatting sqref="E125">
    <cfRule type="expression" dxfId="108" priority="109">
      <formula>IF(#REF!="FICTICIO",1,0)</formula>
    </cfRule>
  </conditionalFormatting>
  <conditionalFormatting sqref="E125">
    <cfRule type="expression" dxfId="107" priority="108">
      <formula>IF(#REF!="FICTICIO",1,0)</formula>
    </cfRule>
  </conditionalFormatting>
  <conditionalFormatting sqref="E125">
    <cfRule type="expression" dxfId="106" priority="107">
      <formula>IF(#REF!="FICTICIO",1,0)</formula>
    </cfRule>
  </conditionalFormatting>
  <conditionalFormatting sqref="E125">
    <cfRule type="expression" dxfId="105" priority="106">
      <formula>IF(#REF!="FICTICIO",1,0)</formula>
    </cfRule>
  </conditionalFormatting>
  <conditionalFormatting sqref="E125">
    <cfRule type="expression" dxfId="104" priority="105">
      <formula>IF(#REF!="FICTICIO",1,0)</formula>
    </cfRule>
  </conditionalFormatting>
  <conditionalFormatting sqref="E125">
    <cfRule type="expression" dxfId="103" priority="104">
      <formula>IF(#REF!="FICTICIO",1,0)</formula>
    </cfRule>
  </conditionalFormatting>
  <conditionalFormatting sqref="E125">
    <cfRule type="expression" dxfId="102" priority="103">
      <formula>IF(#REF!="FICTICIO",1,0)</formula>
    </cfRule>
  </conditionalFormatting>
  <conditionalFormatting sqref="E125">
    <cfRule type="expression" dxfId="101" priority="102">
      <formula>IF(#REF!="FICTICIO",1,0)</formula>
    </cfRule>
  </conditionalFormatting>
  <conditionalFormatting sqref="E125">
    <cfRule type="expression" dxfId="100" priority="101">
      <formula>IF(#REF!="FICTICIO",1,0)</formula>
    </cfRule>
  </conditionalFormatting>
  <conditionalFormatting sqref="E125">
    <cfRule type="expression" dxfId="99" priority="100">
      <formula>IF(#REF!="FICTICIO",1,0)</formula>
    </cfRule>
  </conditionalFormatting>
  <conditionalFormatting sqref="E125">
    <cfRule type="expression" dxfId="98" priority="99">
      <formula>IF(#REF!="FICTICIO",1,0)</formula>
    </cfRule>
  </conditionalFormatting>
  <conditionalFormatting sqref="E125">
    <cfRule type="expression" dxfId="97" priority="98">
      <formula>IF(#REF!="FICTICIO",1,0)</formula>
    </cfRule>
  </conditionalFormatting>
  <conditionalFormatting sqref="E125">
    <cfRule type="expression" dxfId="96" priority="97">
      <formula>IF(#REF!="FICTICIO",1,0)</formula>
    </cfRule>
  </conditionalFormatting>
  <conditionalFormatting sqref="E125">
    <cfRule type="expression" dxfId="95" priority="96">
      <formula>IF(#REF!="FICTICIO",1,0)</formula>
    </cfRule>
  </conditionalFormatting>
  <conditionalFormatting sqref="E125">
    <cfRule type="expression" dxfId="94" priority="95">
      <formula>IF(#REF!="FICTICIO",1,0)</formula>
    </cfRule>
  </conditionalFormatting>
  <conditionalFormatting sqref="E125">
    <cfRule type="expression" dxfId="93" priority="94">
      <formula>IF(#REF!="FICTICIO",1,0)</formula>
    </cfRule>
  </conditionalFormatting>
  <conditionalFormatting sqref="E125">
    <cfRule type="expression" dxfId="92" priority="93">
      <formula>IF(#REF!="FICTICIO",1,0)</formula>
    </cfRule>
  </conditionalFormatting>
  <conditionalFormatting sqref="E125">
    <cfRule type="expression" dxfId="91" priority="92">
      <formula>IF(#REF!="FICTICIO",1,0)</formula>
    </cfRule>
  </conditionalFormatting>
  <conditionalFormatting sqref="E125">
    <cfRule type="expression" dxfId="90" priority="91">
      <formula>IF(#REF!="FICTICIO",1,0)</formula>
    </cfRule>
  </conditionalFormatting>
  <conditionalFormatting sqref="E125">
    <cfRule type="expression" dxfId="89" priority="90">
      <formula>IF(#REF!="FICTICIO",1,0)</formula>
    </cfRule>
  </conditionalFormatting>
  <conditionalFormatting sqref="E125">
    <cfRule type="expression" dxfId="88" priority="89">
      <formula>IF(#REF!="FICTICIO",1,0)</formula>
    </cfRule>
  </conditionalFormatting>
  <conditionalFormatting sqref="E125">
    <cfRule type="expression" dxfId="87" priority="88">
      <formula>IF(#REF!="FICTICIO",1,0)</formula>
    </cfRule>
  </conditionalFormatting>
  <conditionalFormatting sqref="E125">
    <cfRule type="expression" dxfId="86" priority="87">
      <formula>IF(#REF!="FICTICIO",1,0)</formula>
    </cfRule>
  </conditionalFormatting>
  <conditionalFormatting sqref="E125">
    <cfRule type="expression" dxfId="85" priority="86">
      <formula>IF(#REF!="FICTICIO",1,0)</formula>
    </cfRule>
  </conditionalFormatting>
  <conditionalFormatting sqref="E125">
    <cfRule type="expression" dxfId="84" priority="85">
      <formula>IF(#REF!="FICTICIO",1,0)</formula>
    </cfRule>
  </conditionalFormatting>
  <conditionalFormatting sqref="E125">
    <cfRule type="expression" dxfId="83" priority="84">
      <formula>IF(#REF!="FICTICIO",1,0)</formula>
    </cfRule>
  </conditionalFormatting>
  <conditionalFormatting sqref="E125">
    <cfRule type="expression" dxfId="82" priority="83">
      <formula>IF(#REF!="FICTICIO",1,0)</formula>
    </cfRule>
  </conditionalFormatting>
  <conditionalFormatting sqref="E125">
    <cfRule type="expression" dxfId="81" priority="82">
      <formula>IF(#REF!="FICTICIO",1,0)</formula>
    </cfRule>
  </conditionalFormatting>
  <conditionalFormatting sqref="E125">
    <cfRule type="expression" dxfId="80" priority="80">
      <formula>IF(#REF!="FICTICIO",1,0)</formula>
    </cfRule>
  </conditionalFormatting>
  <conditionalFormatting sqref="E125">
    <cfRule type="expression" dxfId="79" priority="81">
      <formula>IF(#REF!="FICTICIO",1,0)</formula>
    </cfRule>
  </conditionalFormatting>
  <conditionalFormatting sqref="E125">
    <cfRule type="expression" dxfId="78" priority="79">
      <formula>IF(#REF!="FICTICIO",1,0)</formula>
    </cfRule>
  </conditionalFormatting>
  <conditionalFormatting sqref="E125">
    <cfRule type="expression" dxfId="77" priority="78">
      <formula>IF(#REF!="FICTICIO",1,0)</formula>
    </cfRule>
  </conditionalFormatting>
  <conditionalFormatting sqref="E125">
    <cfRule type="expression" dxfId="76" priority="77">
      <formula>IF(#REF!="FICTICIO",1,0)</formula>
    </cfRule>
  </conditionalFormatting>
  <conditionalFormatting sqref="E125">
    <cfRule type="expression" dxfId="75" priority="76">
      <formula>IF(#REF!="FICTICIO",1,0)</formula>
    </cfRule>
  </conditionalFormatting>
  <conditionalFormatting sqref="E125">
    <cfRule type="expression" dxfId="74" priority="75">
      <formula>IF(#REF!="FICTICIO",1,0)</formula>
    </cfRule>
  </conditionalFormatting>
  <conditionalFormatting sqref="E125">
    <cfRule type="expression" dxfId="73" priority="74">
      <formula>IF(#REF!="FICTICIO",1,0)</formula>
    </cfRule>
  </conditionalFormatting>
  <conditionalFormatting sqref="E125">
    <cfRule type="expression" dxfId="72" priority="73">
      <formula>IF(#REF!="FICTICIO",1,0)</formula>
    </cfRule>
  </conditionalFormatting>
  <conditionalFormatting sqref="E125">
    <cfRule type="expression" dxfId="71" priority="72">
      <formula>IF(#REF!="FICTICIO",1,0)</formula>
    </cfRule>
  </conditionalFormatting>
  <conditionalFormatting sqref="E125">
    <cfRule type="expression" dxfId="70" priority="71">
      <formula>IF(#REF!="FICTICIO",1,0)</formula>
    </cfRule>
  </conditionalFormatting>
  <conditionalFormatting sqref="E125">
    <cfRule type="expression" dxfId="69" priority="70">
      <formula>IF(#REF!="FICTICIO",1,0)</formula>
    </cfRule>
  </conditionalFormatting>
  <conditionalFormatting sqref="E125">
    <cfRule type="expression" dxfId="68" priority="69">
      <formula>IF(#REF!="FICTICIO",1,0)</formula>
    </cfRule>
  </conditionalFormatting>
  <conditionalFormatting sqref="E125">
    <cfRule type="expression" dxfId="67" priority="68">
      <formula>IF(#REF!="FICTICIO",1,0)</formula>
    </cfRule>
  </conditionalFormatting>
  <conditionalFormatting sqref="E125">
    <cfRule type="expression" dxfId="66" priority="67">
      <formula>IF(#REF!="FICTICIO",1,0)</formula>
    </cfRule>
  </conditionalFormatting>
  <conditionalFormatting sqref="E125">
    <cfRule type="expression" dxfId="65" priority="66">
      <formula>IF(#REF!="FICTICIO",1,0)</formula>
    </cfRule>
  </conditionalFormatting>
  <conditionalFormatting sqref="E125">
    <cfRule type="expression" dxfId="64" priority="65">
      <formula>IF(#REF!="FICTICIO",1,0)</formula>
    </cfRule>
  </conditionalFormatting>
  <conditionalFormatting sqref="E125">
    <cfRule type="expression" dxfId="63" priority="64">
      <formula>IF(#REF!="FICTICIO",1,0)</formula>
    </cfRule>
  </conditionalFormatting>
  <conditionalFormatting sqref="E125">
    <cfRule type="expression" dxfId="62" priority="63">
      <formula>IF(#REF!="FICTICIO",1,0)</formula>
    </cfRule>
  </conditionalFormatting>
  <conditionalFormatting sqref="E125">
    <cfRule type="expression" dxfId="61" priority="62">
      <formula>IF(#REF!="FICTICIO",1,0)</formula>
    </cfRule>
  </conditionalFormatting>
  <conditionalFormatting sqref="E125">
    <cfRule type="expression" dxfId="60" priority="61">
      <formula>IF(#REF!="FICTICIO",1,0)</formula>
    </cfRule>
  </conditionalFormatting>
  <conditionalFormatting sqref="E125">
    <cfRule type="expression" dxfId="59" priority="60">
      <formula>IF(#REF!="FICTICIO",1,0)</formula>
    </cfRule>
  </conditionalFormatting>
  <conditionalFormatting sqref="E125">
    <cfRule type="expression" dxfId="58" priority="59">
      <formula>IF(#REF!="FICTICIO",1,0)</formula>
    </cfRule>
  </conditionalFormatting>
  <conditionalFormatting sqref="E125">
    <cfRule type="expression" dxfId="57" priority="58">
      <formula>IF(#REF!="FICTICIO",1,0)</formula>
    </cfRule>
  </conditionalFormatting>
  <conditionalFormatting sqref="E125">
    <cfRule type="expression" dxfId="56" priority="57">
      <formula>IF(#REF!="FICTICIO",1,0)</formula>
    </cfRule>
  </conditionalFormatting>
  <conditionalFormatting sqref="E125">
    <cfRule type="expression" dxfId="55" priority="56">
      <formula>IF(#REF!="FICTICIO",1,0)</formula>
    </cfRule>
  </conditionalFormatting>
  <conditionalFormatting sqref="E125">
    <cfRule type="expression" dxfId="54" priority="55">
      <formula>IF(#REF!="FICTICIO",1,0)</formula>
    </cfRule>
  </conditionalFormatting>
  <conditionalFormatting sqref="E125">
    <cfRule type="expression" dxfId="53" priority="54">
      <formula>IF(#REF!="FICTICIO",1,0)</formula>
    </cfRule>
  </conditionalFormatting>
  <conditionalFormatting sqref="E125">
    <cfRule type="expression" dxfId="52" priority="53">
      <formula>IF(#REF!="FICTICIO",1,0)</formula>
    </cfRule>
  </conditionalFormatting>
  <conditionalFormatting sqref="E125">
    <cfRule type="expression" dxfId="51" priority="52">
      <formula>IF(#REF!="FICTICIO",1,0)</formula>
    </cfRule>
  </conditionalFormatting>
  <conditionalFormatting sqref="E125">
    <cfRule type="expression" dxfId="50" priority="51">
      <formula>IF(#REF!="FICTICIO",1,0)</formula>
    </cfRule>
  </conditionalFormatting>
  <conditionalFormatting sqref="E125">
    <cfRule type="expression" dxfId="49" priority="50">
      <formula>IF(#REF!="FICTICIO",1,0)</formula>
    </cfRule>
  </conditionalFormatting>
  <conditionalFormatting sqref="E125">
    <cfRule type="expression" dxfId="48" priority="49">
      <formula>IF(#REF!="FICTICIO",1,0)</formula>
    </cfRule>
  </conditionalFormatting>
  <conditionalFormatting sqref="E125">
    <cfRule type="expression" dxfId="47" priority="48">
      <formula>IF(#REF!="FICTICIO",1,0)</formula>
    </cfRule>
  </conditionalFormatting>
  <conditionalFormatting sqref="E125">
    <cfRule type="expression" dxfId="46" priority="47">
      <formula>IF(#REF!="FICTICIO",1,0)</formula>
    </cfRule>
  </conditionalFormatting>
  <conditionalFormatting sqref="E125">
    <cfRule type="expression" dxfId="45" priority="46">
      <formula>IF(#REF!="FICTICIO",1,0)</formula>
    </cfRule>
  </conditionalFormatting>
  <conditionalFormatting sqref="E125">
    <cfRule type="expression" dxfId="44" priority="45">
      <formula>IF(#REF!="FICTICIO",1,0)</formula>
    </cfRule>
  </conditionalFormatting>
  <conditionalFormatting sqref="E125">
    <cfRule type="expression" dxfId="43" priority="44">
      <formula>IF(#REF!="FICTICIO",1,0)</formula>
    </cfRule>
  </conditionalFormatting>
  <conditionalFormatting sqref="E125">
    <cfRule type="expression" dxfId="42" priority="43">
      <formula>IF(#REF!="FICTICIO",1,0)</formula>
    </cfRule>
  </conditionalFormatting>
  <conditionalFormatting sqref="E125">
    <cfRule type="expression" dxfId="41" priority="42">
      <formula>IF(#REF!="FICTICIO",1,0)</formula>
    </cfRule>
  </conditionalFormatting>
  <conditionalFormatting sqref="E125">
    <cfRule type="expression" dxfId="40" priority="41">
      <formula>IF(#REF!="FICTICIO",1,0)</formula>
    </cfRule>
  </conditionalFormatting>
  <conditionalFormatting sqref="E125">
    <cfRule type="expression" dxfId="39" priority="40">
      <formula>IF(#REF!="FICTICIO",1,0)</formula>
    </cfRule>
  </conditionalFormatting>
  <conditionalFormatting sqref="E125">
    <cfRule type="expression" dxfId="38" priority="39">
      <formula>IF(#REF!="FICTICIO",1,0)</formula>
    </cfRule>
  </conditionalFormatting>
  <conditionalFormatting sqref="E125">
    <cfRule type="expression" dxfId="37" priority="38">
      <formula>IF(#REF!="FICTICIO",1,0)</formula>
    </cfRule>
  </conditionalFormatting>
  <conditionalFormatting sqref="E125">
    <cfRule type="expression" dxfId="36" priority="37">
      <formula>IF(#REF!="FICTICIO",1,0)</formula>
    </cfRule>
  </conditionalFormatting>
  <conditionalFormatting sqref="E125">
    <cfRule type="expression" dxfId="35" priority="36">
      <formula>IF(#REF!="FICTICIO",1,0)</formula>
    </cfRule>
  </conditionalFormatting>
  <conditionalFormatting sqref="E125">
    <cfRule type="expression" dxfId="34" priority="35">
      <formula>IF(#REF!="FICTICIO",1,0)</formula>
    </cfRule>
  </conditionalFormatting>
  <conditionalFormatting sqref="E125">
    <cfRule type="expression" dxfId="33" priority="34">
      <formula>IF(#REF!="FICTICIO",1,0)</formula>
    </cfRule>
  </conditionalFormatting>
  <conditionalFormatting sqref="E125">
    <cfRule type="expression" dxfId="32" priority="33">
      <formula>IF(#REF!="FICTICIO",1,0)</formula>
    </cfRule>
  </conditionalFormatting>
  <conditionalFormatting sqref="E125">
    <cfRule type="expression" dxfId="31" priority="32">
      <formula>IF(#REF!="FICTICIO",1,0)</formula>
    </cfRule>
  </conditionalFormatting>
  <conditionalFormatting sqref="E125">
    <cfRule type="expression" dxfId="30" priority="31">
      <formula>IF(#REF!="FICTICIO",1,0)</formula>
    </cfRule>
  </conditionalFormatting>
  <conditionalFormatting sqref="E125">
    <cfRule type="expression" dxfId="29" priority="30">
      <formula>IF(#REF!="FICTICIO",1,0)</formula>
    </cfRule>
  </conditionalFormatting>
  <conditionalFormatting sqref="E125">
    <cfRule type="expression" dxfId="28" priority="29">
      <formula>IF(#REF!="FICTICIO",1,0)</formula>
    </cfRule>
  </conditionalFormatting>
  <conditionalFormatting sqref="E125">
    <cfRule type="expression" dxfId="27" priority="28">
      <formula>IF(#REF!="FICTICIO",1,0)</formula>
    </cfRule>
  </conditionalFormatting>
  <conditionalFormatting sqref="E125">
    <cfRule type="expression" dxfId="26" priority="27">
      <formula>IF(#REF!="FICTICIO",1,0)</formula>
    </cfRule>
  </conditionalFormatting>
  <conditionalFormatting sqref="E125">
    <cfRule type="expression" dxfId="25" priority="26">
      <formula>IF(#REF!="FICTICIO",1,0)</formula>
    </cfRule>
  </conditionalFormatting>
  <conditionalFormatting sqref="E125">
    <cfRule type="expression" dxfId="24" priority="25">
      <formula>IF(#REF!="FICTICIO",1,0)</formula>
    </cfRule>
  </conditionalFormatting>
  <conditionalFormatting sqref="E125">
    <cfRule type="expression" dxfId="23" priority="24">
      <formula>IF(#REF!="FICTICIO",1,0)</formula>
    </cfRule>
  </conditionalFormatting>
  <conditionalFormatting sqref="E125">
    <cfRule type="expression" dxfId="22" priority="23">
      <formula>IF(#REF!="FICTICIO",1,0)</formula>
    </cfRule>
  </conditionalFormatting>
  <conditionalFormatting sqref="E125">
    <cfRule type="expression" dxfId="21" priority="22">
      <formula>IF(#REF!="FICTICIO",1,0)</formula>
    </cfRule>
  </conditionalFormatting>
  <conditionalFormatting sqref="E125">
    <cfRule type="expression" dxfId="20" priority="21">
      <formula>IF(#REF!="FICTICIO",1,0)</formula>
    </cfRule>
  </conditionalFormatting>
  <conditionalFormatting sqref="E125">
    <cfRule type="expression" dxfId="19" priority="20">
      <formula>IF(#REF!="FICTICIO",1,0)</formula>
    </cfRule>
  </conditionalFormatting>
  <conditionalFormatting sqref="E125">
    <cfRule type="expression" dxfId="18" priority="19">
      <formula>IF(#REF!="FICTICIO",1,0)</formula>
    </cfRule>
  </conditionalFormatting>
  <conditionalFormatting sqref="E125">
    <cfRule type="expression" dxfId="17" priority="18">
      <formula>IF(#REF!="FICTICIO",1,0)</formula>
    </cfRule>
  </conditionalFormatting>
  <conditionalFormatting sqref="E125">
    <cfRule type="expression" dxfId="16" priority="17">
      <formula>IF(#REF!="FICTICIO",1,0)</formula>
    </cfRule>
  </conditionalFormatting>
  <conditionalFormatting sqref="E125">
    <cfRule type="expression" dxfId="15" priority="16">
      <formula>IF(#REF!="FICTICIO",1,0)</formula>
    </cfRule>
  </conditionalFormatting>
  <conditionalFormatting sqref="E125">
    <cfRule type="expression" dxfId="14" priority="15">
      <formula>IF(#REF!="FICTICIO",1,0)</formula>
    </cfRule>
  </conditionalFormatting>
  <conditionalFormatting sqref="E125">
    <cfRule type="expression" dxfId="13" priority="14">
      <formula>IF(#REF!="FICTICIO",1,0)</formula>
    </cfRule>
  </conditionalFormatting>
  <conditionalFormatting sqref="E125">
    <cfRule type="expression" dxfId="12" priority="13">
      <formula>IF(#REF!="FICTICIO",1,0)</formula>
    </cfRule>
  </conditionalFormatting>
  <conditionalFormatting sqref="E125">
    <cfRule type="expression" dxfId="11" priority="12">
      <formula>IF(#REF!="FICTICIO",1,0)</formula>
    </cfRule>
  </conditionalFormatting>
  <conditionalFormatting sqref="E125">
    <cfRule type="expression" dxfId="10" priority="11">
      <formula>IF(#REF!="FICTICIO",1,0)</formula>
    </cfRule>
  </conditionalFormatting>
  <conditionalFormatting sqref="E125">
    <cfRule type="expression" dxfId="9" priority="10">
      <formula>IF(#REF!="FICTICIO",1,0)</formula>
    </cfRule>
  </conditionalFormatting>
  <conditionalFormatting sqref="E125">
    <cfRule type="expression" dxfId="8" priority="9">
      <formula>IF(#REF!="FICTICIO",1,0)</formula>
    </cfRule>
  </conditionalFormatting>
  <conditionalFormatting sqref="E125">
    <cfRule type="expression" dxfId="7" priority="8">
      <formula>IF(#REF!="FICTICIO",1,0)</formula>
    </cfRule>
  </conditionalFormatting>
  <conditionalFormatting sqref="E125">
    <cfRule type="expression" dxfId="6" priority="7">
      <formula>IF(#REF!="FICTICIO",1,0)</formula>
    </cfRule>
  </conditionalFormatting>
  <conditionalFormatting sqref="E125">
    <cfRule type="expression" dxfId="5" priority="6">
      <formula>IF(#REF!="FICTICIO",1,0)</formula>
    </cfRule>
  </conditionalFormatting>
  <conditionalFormatting sqref="E125">
    <cfRule type="expression" dxfId="4" priority="5">
      <formula>IF(#REF!="FICTICIO",1,0)</formula>
    </cfRule>
  </conditionalFormatting>
  <conditionalFormatting sqref="E125">
    <cfRule type="expression" dxfId="3" priority="4">
      <formula>IF(#REF!="FICTICIO",1,0)</formula>
    </cfRule>
  </conditionalFormatting>
  <conditionalFormatting sqref="E125">
    <cfRule type="expression" dxfId="2" priority="3">
      <formula>IF(#REF!="FICTICIO",1,0)</formula>
    </cfRule>
  </conditionalFormatting>
  <conditionalFormatting sqref="E125">
    <cfRule type="expression" dxfId="1" priority="2">
      <formula>IF(#REF!="FICTICIO",1,0)</formula>
    </cfRule>
  </conditionalFormatting>
  <conditionalFormatting sqref="D129">
    <cfRule type="expression" dxfId="0" priority="1">
      <formula>IF(#REF!="FICTICIO",1,0)</formula>
    </cfRule>
  </conditionalFormatting>
  <dataValidations count="2">
    <dataValidation type="list" allowBlank="1" showInputMessage="1" showErrorMessage="1" sqref="F6:F211">
      <formula1>"BS,USD"</formula1>
    </dataValidation>
    <dataValidation type="list" allowBlank="1" showInputMessage="1" showErrorMessage="1" sqref="B6:B211">
      <formula1>"INGRESO,EGRESO"</formula1>
    </dataValidation>
  </dataValidations>
  <hyperlinks>
    <hyperlink ref="D128" r:id="rId1"/>
    <hyperlink ref="D129" r:id="rId2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9"/>
  <sheetViews>
    <sheetView topLeftCell="O1" workbookViewId="0">
      <selection activeCell="V1" sqref="V1:W2"/>
    </sheetView>
  </sheetViews>
  <sheetFormatPr baseColWidth="10" defaultRowHeight="15"/>
  <cols>
    <col min="1" max="1" width="3.5703125" style="8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220" t="s">
        <v>414</v>
      </c>
      <c r="C1" s="220" t="s">
        <v>419</v>
      </c>
      <c r="D1" s="220" t="s">
        <v>454</v>
      </c>
      <c r="E1" s="220" t="s">
        <v>455</v>
      </c>
      <c r="F1" s="220" t="s">
        <v>452</v>
      </c>
      <c r="G1" s="220" t="s">
        <v>456</v>
      </c>
      <c r="H1" s="220" t="s">
        <v>446</v>
      </c>
      <c r="I1" s="220" t="s">
        <v>912</v>
      </c>
      <c r="J1" s="220" t="s">
        <v>721</v>
      </c>
      <c r="M1" s="226" t="s">
        <v>77</v>
      </c>
      <c r="N1" s="226" t="s">
        <v>5</v>
      </c>
      <c r="O1" s="226" t="s">
        <v>230</v>
      </c>
      <c r="P1" s="226" t="s">
        <v>458</v>
      </c>
      <c r="Q1" s="226" t="s">
        <v>721</v>
      </c>
      <c r="R1" s="226" t="s">
        <v>945</v>
      </c>
      <c r="S1" s="226" t="s">
        <v>421</v>
      </c>
      <c r="V1" s="85" t="s">
        <v>931</v>
      </c>
      <c r="W1" s="85" t="s">
        <v>932</v>
      </c>
    </row>
    <row r="2" spans="1:28">
      <c r="A2" s="67">
        <v>1</v>
      </c>
      <c r="B2" s="29" t="s">
        <v>927</v>
      </c>
      <c r="C2" s="29" t="s">
        <v>946</v>
      </c>
      <c r="D2" s="29" t="s">
        <v>1428</v>
      </c>
      <c r="E2" s="222">
        <v>44746</v>
      </c>
      <c r="F2" s="29" t="s">
        <v>1109</v>
      </c>
      <c r="G2" s="29" t="s">
        <v>1001</v>
      </c>
      <c r="H2" s="221">
        <v>5</v>
      </c>
      <c r="I2" s="221">
        <v>5.63</v>
      </c>
      <c r="J2" s="221">
        <v>5.8899999999999988</v>
      </c>
      <c r="K2" t="s">
        <v>1434</v>
      </c>
      <c r="M2" s="246">
        <v>44743</v>
      </c>
      <c r="N2" s="29" t="s">
        <v>896</v>
      </c>
      <c r="O2" s="29" t="s">
        <v>1335</v>
      </c>
      <c r="P2" s="29" t="s">
        <v>673</v>
      </c>
      <c r="Q2" s="29">
        <v>5.7</v>
      </c>
      <c r="R2" s="29">
        <v>86.013000000000005</v>
      </c>
      <c r="S2" s="29" t="s">
        <v>416</v>
      </c>
      <c r="T2" t="s">
        <v>1347</v>
      </c>
      <c r="U2" t="s">
        <v>1032</v>
      </c>
      <c r="V2">
        <v>-876.68008032128455</v>
      </c>
      <c r="W2">
        <v>1076.4499196787156</v>
      </c>
      <c r="X2">
        <f>IF(OR(Q2=0,Q2=""),0,R2/Q2)</f>
        <v>15.09</v>
      </c>
      <c r="AA2" t="s">
        <v>418</v>
      </c>
      <c r="AB2" t="s">
        <v>418</v>
      </c>
    </row>
    <row r="3" spans="1:28">
      <c r="A3" s="67">
        <v>2</v>
      </c>
      <c r="B3" s="29" t="s">
        <v>927</v>
      </c>
      <c r="C3" s="29" t="s">
        <v>946</v>
      </c>
      <c r="D3" s="29" t="s">
        <v>1428</v>
      </c>
      <c r="E3" s="222">
        <v>44746</v>
      </c>
      <c r="F3" s="29" t="s">
        <v>1109</v>
      </c>
      <c r="G3" s="29" t="s">
        <v>758</v>
      </c>
      <c r="H3" s="221">
        <v>5</v>
      </c>
      <c r="I3" s="221">
        <v>2.91</v>
      </c>
      <c r="J3" s="221">
        <v>5.8899999999999988</v>
      </c>
      <c r="K3" s="85" t="s">
        <v>1135</v>
      </c>
      <c r="L3" s="85"/>
      <c r="M3" s="246">
        <v>44743</v>
      </c>
      <c r="N3" s="29" t="s">
        <v>1327</v>
      </c>
      <c r="O3" s="29" t="s">
        <v>1336</v>
      </c>
      <c r="P3" s="29" t="s">
        <v>673</v>
      </c>
      <c r="Q3" s="29">
        <v>5.7</v>
      </c>
      <c r="R3" s="29">
        <v>85.5</v>
      </c>
      <c r="S3" s="29" t="s">
        <v>416</v>
      </c>
      <c r="T3" t="s">
        <v>1348</v>
      </c>
      <c r="U3" t="s">
        <v>929</v>
      </c>
      <c r="X3" s="85">
        <f t="shared" ref="X3:X66" si="0">IF(OR(Q3=0,Q3=""),0,R3/Q3)</f>
        <v>15</v>
      </c>
      <c r="AA3" s="85" t="s">
        <v>418</v>
      </c>
      <c r="AB3" s="85" t="s">
        <v>418</v>
      </c>
    </row>
    <row r="4" spans="1:28">
      <c r="A4" s="67">
        <v>3</v>
      </c>
      <c r="B4" s="29" t="s">
        <v>927</v>
      </c>
      <c r="C4" s="29" t="s">
        <v>946</v>
      </c>
      <c r="D4" s="29" t="s">
        <v>1428</v>
      </c>
      <c r="E4" s="222">
        <v>44746</v>
      </c>
      <c r="F4" s="29" t="s">
        <v>1109</v>
      </c>
      <c r="G4" s="29" t="s">
        <v>923</v>
      </c>
      <c r="H4" s="221">
        <v>3</v>
      </c>
      <c r="I4" s="221">
        <v>3.45</v>
      </c>
      <c r="J4" s="221">
        <v>5.8899999999999988</v>
      </c>
      <c r="K4" s="85" t="s">
        <v>1136</v>
      </c>
      <c r="L4" s="85"/>
      <c r="M4" s="246">
        <v>44743</v>
      </c>
      <c r="N4" s="29" t="s">
        <v>1327</v>
      </c>
      <c r="O4" s="29" t="s">
        <v>1336</v>
      </c>
      <c r="P4" s="29" t="s">
        <v>673</v>
      </c>
      <c r="Q4" s="29">
        <v>5.7</v>
      </c>
      <c r="R4" s="29">
        <v>15.846</v>
      </c>
      <c r="S4" s="29" t="s">
        <v>416</v>
      </c>
      <c r="T4" t="s">
        <v>1348</v>
      </c>
      <c r="U4" t="s">
        <v>1032</v>
      </c>
      <c r="X4" s="85">
        <f t="shared" si="0"/>
        <v>2.78</v>
      </c>
      <c r="AA4" s="85" t="s">
        <v>418</v>
      </c>
      <c r="AB4" s="85" t="s">
        <v>418</v>
      </c>
    </row>
    <row r="5" spans="1:28">
      <c r="A5" s="67">
        <v>4</v>
      </c>
      <c r="B5" s="29" t="s">
        <v>927</v>
      </c>
      <c r="C5" s="29" t="s">
        <v>946</v>
      </c>
      <c r="D5" s="29" t="s">
        <v>1428</v>
      </c>
      <c r="E5" s="222">
        <v>44746</v>
      </c>
      <c r="F5" s="29" t="s">
        <v>1109</v>
      </c>
      <c r="G5" s="29" t="s">
        <v>515</v>
      </c>
      <c r="H5" s="221">
        <v>5</v>
      </c>
      <c r="I5" s="221">
        <v>2.1800000000000002</v>
      </c>
      <c r="J5" s="221">
        <v>5.8899999999999988</v>
      </c>
      <c r="K5" s="85" t="s">
        <v>1435</v>
      </c>
      <c r="L5" s="85"/>
      <c r="M5" s="246">
        <v>44743</v>
      </c>
      <c r="N5" s="29" t="s">
        <v>1083</v>
      </c>
      <c r="O5" s="29" t="s">
        <v>1322</v>
      </c>
      <c r="P5" s="29" t="s">
        <v>673</v>
      </c>
      <c r="Q5" s="29">
        <v>5.7</v>
      </c>
      <c r="R5" s="29">
        <v>34.769999999999996</v>
      </c>
      <c r="S5" s="29" t="s">
        <v>416</v>
      </c>
      <c r="T5" t="s">
        <v>1349</v>
      </c>
      <c r="U5" t="s">
        <v>1032</v>
      </c>
      <c r="X5" s="85">
        <f t="shared" si="0"/>
        <v>6.0999999999999988</v>
      </c>
      <c r="AA5" s="85" t="s">
        <v>418</v>
      </c>
      <c r="AB5" s="85" t="s">
        <v>418</v>
      </c>
    </row>
    <row r="6" spans="1:28">
      <c r="A6" s="67">
        <v>5</v>
      </c>
      <c r="B6" s="29" t="s">
        <v>927</v>
      </c>
      <c r="C6" s="29" t="s">
        <v>946</v>
      </c>
      <c r="D6" s="29" t="s">
        <v>1428</v>
      </c>
      <c r="E6" s="222">
        <v>44746</v>
      </c>
      <c r="F6" s="29" t="s">
        <v>1109</v>
      </c>
      <c r="G6" s="29" t="s">
        <v>983</v>
      </c>
      <c r="H6" s="221">
        <v>5</v>
      </c>
      <c r="I6" s="221">
        <v>5.59</v>
      </c>
      <c r="J6" s="221">
        <v>5.8899999999999988</v>
      </c>
      <c r="K6" s="85" t="s">
        <v>1436</v>
      </c>
      <c r="L6" s="85"/>
      <c r="M6" s="246">
        <v>44748</v>
      </c>
      <c r="N6" s="29" t="s">
        <v>1109</v>
      </c>
      <c r="O6" s="29" t="s">
        <v>1205</v>
      </c>
      <c r="P6" s="29" t="s">
        <v>673</v>
      </c>
      <c r="Q6" s="29">
        <v>5.77</v>
      </c>
      <c r="R6" s="29">
        <v>259.64999999999998</v>
      </c>
      <c r="S6" s="29" t="s">
        <v>416</v>
      </c>
      <c r="T6" t="s">
        <v>1516</v>
      </c>
      <c r="U6" t="s">
        <v>929</v>
      </c>
      <c r="X6" s="85">
        <f t="shared" si="0"/>
        <v>45</v>
      </c>
      <c r="AA6" s="85" t="s">
        <v>418</v>
      </c>
      <c r="AB6" s="85" t="s">
        <v>418</v>
      </c>
    </row>
    <row r="7" spans="1:28">
      <c r="A7" s="67">
        <v>6</v>
      </c>
      <c r="B7" s="29" t="s">
        <v>927</v>
      </c>
      <c r="C7" s="29" t="s">
        <v>946</v>
      </c>
      <c r="D7" s="29" t="s">
        <v>1352</v>
      </c>
      <c r="E7" s="222">
        <v>44746</v>
      </c>
      <c r="F7" s="29" t="s">
        <v>850</v>
      </c>
      <c r="G7" s="29" t="s">
        <v>983</v>
      </c>
      <c r="H7" s="221">
        <v>20</v>
      </c>
      <c r="I7" s="221">
        <v>5.59</v>
      </c>
      <c r="J7" s="221">
        <v>5.77</v>
      </c>
      <c r="K7" s="85" t="s">
        <v>1437</v>
      </c>
      <c r="L7" s="85"/>
      <c r="M7" s="246">
        <v>44748</v>
      </c>
      <c r="N7" s="29" t="s">
        <v>1350</v>
      </c>
      <c r="O7" s="29" t="s">
        <v>1351</v>
      </c>
      <c r="P7" s="29" t="s">
        <v>673</v>
      </c>
      <c r="Q7" s="29">
        <v>5.77</v>
      </c>
      <c r="R7" s="29">
        <v>-144.25</v>
      </c>
      <c r="S7" s="29" t="s">
        <v>416</v>
      </c>
      <c r="T7" t="s">
        <v>1517</v>
      </c>
      <c r="U7" t="s">
        <v>929</v>
      </c>
      <c r="X7" s="85">
        <f t="shared" si="0"/>
        <v>-25.000000000000004</v>
      </c>
      <c r="AA7" s="85" t="s">
        <v>418</v>
      </c>
      <c r="AB7" s="85" t="s">
        <v>418</v>
      </c>
    </row>
    <row r="8" spans="1:28">
      <c r="A8" s="67">
        <v>7</v>
      </c>
      <c r="B8" s="29" t="s">
        <v>927</v>
      </c>
      <c r="C8" s="29" t="s">
        <v>946</v>
      </c>
      <c r="D8" s="29" t="s">
        <v>1361</v>
      </c>
      <c r="E8" s="222">
        <v>44749</v>
      </c>
      <c r="F8" s="29" t="s">
        <v>1</v>
      </c>
      <c r="G8" s="29" t="s">
        <v>76</v>
      </c>
      <c r="H8" s="221">
        <v>40</v>
      </c>
      <c r="I8" s="221">
        <v>1.2199999999999998</v>
      </c>
      <c r="J8" s="221">
        <v>5.77</v>
      </c>
      <c r="K8" s="85" t="s">
        <v>1226</v>
      </c>
      <c r="L8" s="85"/>
      <c r="M8" s="246">
        <v>44748</v>
      </c>
      <c r="N8" s="29" t="s">
        <v>960</v>
      </c>
      <c r="O8" s="29" t="s">
        <v>1206</v>
      </c>
      <c r="P8" s="29" t="s">
        <v>673</v>
      </c>
      <c r="Q8" s="29">
        <v>5.77</v>
      </c>
      <c r="R8" s="29">
        <v>1096.3</v>
      </c>
      <c r="S8" s="29" t="s">
        <v>416</v>
      </c>
      <c r="T8" t="s">
        <v>1518</v>
      </c>
      <c r="U8" t="s">
        <v>929</v>
      </c>
      <c r="X8" s="85">
        <f t="shared" si="0"/>
        <v>190</v>
      </c>
      <c r="AA8" s="85" t="s">
        <v>418</v>
      </c>
      <c r="AB8" s="85" t="s">
        <v>418</v>
      </c>
    </row>
    <row r="9" spans="1:28">
      <c r="A9" s="67">
        <v>8</v>
      </c>
      <c r="B9" s="29" t="s">
        <v>927</v>
      </c>
      <c r="C9" s="29" t="s">
        <v>946</v>
      </c>
      <c r="D9" s="29" t="s">
        <v>1365</v>
      </c>
      <c r="E9" s="222">
        <v>44749</v>
      </c>
      <c r="F9" s="29" t="s">
        <v>1038</v>
      </c>
      <c r="G9" s="29" t="s">
        <v>983</v>
      </c>
      <c r="H9" s="221">
        <v>10</v>
      </c>
      <c r="I9" s="221">
        <v>5.59</v>
      </c>
      <c r="J9" s="221">
        <v>5.78</v>
      </c>
      <c r="K9" s="85" t="s">
        <v>1325</v>
      </c>
      <c r="L9" s="85"/>
      <c r="M9" s="246">
        <v>44748</v>
      </c>
      <c r="N9" s="29" t="s">
        <v>1144</v>
      </c>
      <c r="O9" s="29" t="s">
        <v>1319</v>
      </c>
      <c r="P9" s="29" t="s">
        <v>673</v>
      </c>
      <c r="Q9" s="29">
        <v>5.77</v>
      </c>
      <c r="R9" s="29">
        <v>126.94</v>
      </c>
      <c r="S9" s="29" t="s">
        <v>416</v>
      </c>
      <c r="T9" t="s">
        <v>1519</v>
      </c>
      <c r="U9" t="s">
        <v>1032</v>
      </c>
      <c r="X9" s="85">
        <f t="shared" si="0"/>
        <v>22</v>
      </c>
      <c r="AA9" s="85" t="s">
        <v>418</v>
      </c>
      <c r="AB9" s="85" t="s">
        <v>418</v>
      </c>
    </row>
    <row r="10" spans="1:28">
      <c r="A10" s="67">
        <v>9</v>
      </c>
      <c r="B10" s="29" t="s">
        <v>927</v>
      </c>
      <c r="C10" s="29" t="s">
        <v>946</v>
      </c>
      <c r="D10" s="29" t="s">
        <v>1365</v>
      </c>
      <c r="E10" s="222">
        <v>44749</v>
      </c>
      <c r="F10" s="29" t="s">
        <v>1038</v>
      </c>
      <c r="G10" s="29" t="s">
        <v>1001</v>
      </c>
      <c r="H10" s="221">
        <v>10</v>
      </c>
      <c r="I10" s="221">
        <v>5.63</v>
      </c>
      <c r="J10" s="221">
        <v>5.78</v>
      </c>
      <c r="K10" s="85" t="s">
        <v>1320</v>
      </c>
      <c r="L10" s="85"/>
      <c r="M10" s="246">
        <v>44748</v>
      </c>
      <c r="N10" s="29" t="s">
        <v>1332</v>
      </c>
      <c r="O10" s="29" t="s">
        <v>1344</v>
      </c>
      <c r="P10" s="29" t="s">
        <v>673</v>
      </c>
      <c r="Q10" s="29">
        <v>5.77</v>
      </c>
      <c r="R10" s="29">
        <v>461.59999999999997</v>
      </c>
      <c r="S10" s="29" t="s">
        <v>416</v>
      </c>
      <c r="T10" t="s">
        <v>1520</v>
      </c>
      <c r="U10" t="s">
        <v>929</v>
      </c>
      <c r="X10" s="85">
        <f t="shared" si="0"/>
        <v>80</v>
      </c>
      <c r="AA10" s="85" t="s">
        <v>418</v>
      </c>
      <c r="AB10" s="85" t="s">
        <v>418</v>
      </c>
    </row>
    <row r="11" spans="1:28">
      <c r="A11" s="67">
        <v>10</v>
      </c>
      <c r="B11" s="29" t="s">
        <v>927</v>
      </c>
      <c r="C11" s="29" t="s">
        <v>946</v>
      </c>
      <c r="D11" s="29" t="s">
        <v>1365</v>
      </c>
      <c r="E11" s="222">
        <v>44749</v>
      </c>
      <c r="F11" s="29" t="s">
        <v>1038</v>
      </c>
      <c r="G11" s="29" t="s">
        <v>847</v>
      </c>
      <c r="H11" s="221">
        <v>6</v>
      </c>
      <c r="I11" s="221">
        <v>5.05</v>
      </c>
      <c r="J11" s="221">
        <v>5.78</v>
      </c>
      <c r="K11" s="85" t="s">
        <v>1321</v>
      </c>
      <c r="L11" s="85"/>
      <c r="M11" s="246">
        <v>44748</v>
      </c>
      <c r="N11" s="29" t="s">
        <v>1332</v>
      </c>
      <c r="O11" s="29" t="s">
        <v>1344</v>
      </c>
      <c r="P11" s="29" t="s">
        <v>673</v>
      </c>
      <c r="Q11" s="29">
        <v>5.77</v>
      </c>
      <c r="R11" s="29">
        <v>25.388000000000002</v>
      </c>
      <c r="S11" s="29" t="s">
        <v>416</v>
      </c>
      <c r="T11" t="s">
        <v>1520</v>
      </c>
      <c r="U11" t="s">
        <v>1032</v>
      </c>
      <c r="X11" s="85">
        <f t="shared" si="0"/>
        <v>4.4000000000000004</v>
      </c>
      <c r="AA11" s="85" t="s">
        <v>418</v>
      </c>
      <c r="AB11" s="85" t="s">
        <v>418</v>
      </c>
    </row>
    <row r="12" spans="1:28">
      <c r="A12" s="67">
        <v>11</v>
      </c>
      <c r="B12" s="29" t="s">
        <v>927</v>
      </c>
      <c r="C12" s="29" t="s">
        <v>946</v>
      </c>
      <c r="D12" s="29" t="s">
        <v>1353</v>
      </c>
      <c r="E12" s="222">
        <v>44749</v>
      </c>
      <c r="F12" s="29" t="s">
        <v>850</v>
      </c>
      <c r="G12" s="29" t="s">
        <v>983</v>
      </c>
      <c r="H12" s="221">
        <v>10</v>
      </c>
      <c r="I12" s="221">
        <v>5.59</v>
      </c>
      <c r="J12" s="221">
        <v>5.7700000000000005</v>
      </c>
      <c r="K12" s="85" t="s">
        <v>1438</v>
      </c>
      <c r="L12" s="85"/>
      <c r="M12" s="246">
        <v>44748</v>
      </c>
      <c r="N12" s="29" t="s">
        <v>850</v>
      </c>
      <c r="O12" s="29" t="s">
        <v>1352</v>
      </c>
      <c r="P12" s="29" t="s">
        <v>673</v>
      </c>
      <c r="Q12" s="29">
        <v>5.77</v>
      </c>
      <c r="R12" s="29">
        <v>634.69999999999993</v>
      </c>
      <c r="S12" s="29" t="s">
        <v>416</v>
      </c>
      <c r="T12" t="s">
        <v>1521</v>
      </c>
      <c r="U12" t="s">
        <v>929</v>
      </c>
      <c r="X12" s="85">
        <f t="shared" si="0"/>
        <v>110</v>
      </c>
      <c r="AA12" s="85" t="s">
        <v>418</v>
      </c>
      <c r="AB12" s="85" t="s">
        <v>418</v>
      </c>
    </row>
    <row r="13" spans="1:28">
      <c r="A13" s="67">
        <v>12</v>
      </c>
      <c r="B13" s="29" t="s">
        <v>927</v>
      </c>
      <c r="C13" s="29" t="s">
        <v>946</v>
      </c>
      <c r="D13" s="29" t="s">
        <v>1353</v>
      </c>
      <c r="E13" s="222">
        <v>44749</v>
      </c>
      <c r="F13" s="29" t="s">
        <v>850</v>
      </c>
      <c r="G13" s="29" t="s">
        <v>922</v>
      </c>
      <c r="H13" s="221">
        <v>20</v>
      </c>
      <c r="I13" s="221">
        <v>2.41</v>
      </c>
      <c r="J13" s="221">
        <v>5.7700000000000005</v>
      </c>
      <c r="K13" s="85" t="s">
        <v>1312</v>
      </c>
      <c r="L13" s="85"/>
      <c r="M13" s="246">
        <v>44748</v>
      </c>
      <c r="N13" s="29" t="s">
        <v>850</v>
      </c>
      <c r="O13" s="29" t="s">
        <v>1352</v>
      </c>
      <c r="P13" s="29" t="s">
        <v>673</v>
      </c>
      <c r="Q13" s="29">
        <v>5.77</v>
      </c>
      <c r="R13" s="29">
        <v>10.385999999999999</v>
      </c>
      <c r="S13" s="29" t="s">
        <v>416</v>
      </c>
      <c r="T13" t="s">
        <v>1521</v>
      </c>
      <c r="U13" t="s">
        <v>1032</v>
      </c>
      <c r="X13" s="85">
        <f t="shared" si="0"/>
        <v>1.8</v>
      </c>
      <c r="AA13" s="85" t="s">
        <v>418</v>
      </c>
      <c r="AB13" s="85" t="s">
        <v>418</v>
      </c>
    </row>
    <row r="14" spans="1:28">
      <c r="A14" s="67">
        <v>13</v>
      </c>
      <c r="B14" s="29" t="s">
        <v>927</v>
      </c>
      <c r="C14" s="29" t="s">
        <v>946</v>
      </c>
      <c r="D14" s="29" t="s">
        <v>1353</v>
      </c>
      <c r="E14" s="222">
        <v>44749</v>
      </c>
      <c r="F14" s="29" t="s">
        <v>850</v>
      </c>
      <c r="G14" s="29" t="s">
        <v>847</v>
      </c>
      <c r="H14" s="221">
        <v>15</v>
      </c>
      <c r="I14" s="221">
        <v>5.05</v>
      </c>
      <c r="J14" s="221">
        <v>5.7700000000000005</v>
      </c>
      <c r="K14" s="85" t="s">
        <v>1439</v>
      </c>
      <c r="L14" s="85"/>
      <c r="M14" s="246">
        <v>44748</v>
      </c>
      <c r="N14" s="29" t="s">
        <v>1300</v>
      </c>
      <c r="O14" s="29" t="s">
        <v>1369</v>
      </c>
      <c r="P14" s="29" t="s">
        <v>673</v>
      </c>
      <c r="Q14" s="29">
        <v>5.77</v>
      </c>
      <c r="R14" s="29">
        <v>-577</v>
      </c>
      <c r="S14" s="29" t="s">
        <v>416</v>
      </c>
      <c r="T14" t="s">
        <v>1522</v>
      </c>
      <c r="U14" t="s">
        <v>929</v>
      </c>
      <c r="X14" s="85">
        <f t="shared" si="0"/>
        <v>-100.00000000000001</v>
      </c>
      <c r="AA14" s="85" t="s">
        <v>418</v>
      </c>
      <c r="AB14" s="85" t="s">
        <v>418</v>
      </c>
    </row>
    <row r="15" spans="1:28">
      <c r="A15" s="67">
        <v>14</v>
      </c>
      <c r="B15" s="29" t="s">
        <v>927</v>
      </c>
      <c r="C15" s="29" t="s">
        <v>946</v>
      </c>
      <c r="D15" s="29" t="s">
        <v>1359</v>
      </c>
      <c r="E15" s="222">
        <v>44750</v>
      </c>
      <c r="F15" s="29" t="s">
        <v>617</v>
      </c>
      <c r="G15" s="29" t="s">
        <v>538</v>
      </c>
      <c r="H15" s="221">
        <v>6</v>
      </c>
      <c r="I15" s="221">
        <v>1.7599999999999998</v>
      </c>
      <c r="J15" s="221">
        <v>5.57</v>
      </c>
      <c r="K15" s="85" t="s">
        <v>1306</v>
      </c>
      <c r="L15" s="85"/>
      <c r="M15" s="246">
        <v>44748</v>
      </c>
      <c r="N15" s="29" t="s">
        <v>1223</v>
      </c>
      <c r="O15" s="29" t="s">
        <v>1354</v>
      </c>
      <c r="P15" s="29" t="s">
        <v>673</v>
      </c>
      <c r="Q15" s="29">
        <v>5.77</v>
      </c>
      <c r="R15" s="29">
        <v>-288.5</v>
      </c>
      <c r="S15" s="29" t="s">
        <v>416</v>
      </c>
      <c r="T15" t="s">
        <v>1523</v>
      </c>
      <c r="U15" t="s">
        <v>929</v>
      </c>
      <c r="X15" s="85">
        <f t="shared" si="0"/>
        <v>-50.000000000000007</v>
      </c>
      <c r="AA15" s="85" t="s">
        <v>418</v>
      </c>
      <c r="AB15" s="85" t="s">
        <v>418</v>
      </c>
    </row>
    <row r="16" spans="1:28">
      <c r="A16" s="67">
        <v>15</v>
      </c>
      <c r="B16" s="29" t="s">
        <v>927</v>
      </c>
      <c r="C16" s="29" t="s">
        <v>946</v>
      </c>
      <c r="D16" s="29" t="s">
        <v>1359</v>
      </c>
      <c r="E16" s="222">
        <v>44750</v>
      </c>
      <c r="F16" s="29" t="s">
        <v>617</v>
      </c>
      <c r="G16" s="29" t="s">
        <v>76</v>
      </c>
      <c r="H16" s="221">
        <v>50</v>
      </c>
      <c r="I16" s="221">
        <v>1.2199999999999998</v>
      </c>
      <c r="J16" s="221">
        <v>5.57</v>
      </c>
      <c r="K16" s="85" t="s">
        <v>1304</v>
      </c>
      <c r="L16" s="85"/>
      <c r="M16" s="246">
        <v>44748</v>
      </c>
      <c r="N16" s="29" t="s">
        <v>1355</v>
      </c>
      <c r="O16" s="29" t="s">
        <v>1356</v>
      </c>
      <c r="P16" s="29" t="s">
        <v>673</v>
      </c>
      <c r="Q16" s="29">
        <v>5.77</v>
      </c>
      <c r="R16" s="29">
        <v>-1154</v>
      </c>
      <c r="S16" s="29" t="s">
        <v>416</v>
      </c>
      <c r="T16" t="s">
        <v>1524</v>
      </c>
      <c r="U16" t="s">
        <v>929</v>
      </c>
      <c r="X16" s="85">
        <f t="shared" si="0"/>
        <v>-200.00000000000003</v>
      </c>
      <c r="AA16" s="85" t="s">
        <v>418</v>
      </c>
      <c r="AB16" s="85" t="s">
        <v>418</v>
      </c>
    </row>
    <row r="17" spans="1:28">
      <c r="A17" s="67">
        <v>16</v>
      </c>
      <c r="B17" s="29" t="s">
        <v>927</v>
      </c>
      <c r="C17" s="29" t="s">
        <v>946</v>
      </c>
      <c r="D17" s="29" t="s">
        <v>1359</v>
      </c>
      <c r="E17" s="222">
        <v>44750</v>
      </c>
      <c r="F17" s="29" t="s">
        <v>617</v>
      </c>
      <c r="G17" s="29" t="s">
        <v>983</v>
      </c>
      <c r="H17" s="221">
        <v>30</v>
      </c>
      <c r="I17" s="221">
        <v>5.59</v>
      </c>
      <c r="J17" s="221">
        <v>5.57</v>
      </c>
      <c r="K17" s="85" t="s">
        <v>1323</v>
      </c>
      <c r="L17" s="85"/>
      <c r="M17" s="246">
        <v>44748</v>
      </c>
      <c r="N17" s="29" t="s">
        <v>1357</v>
      </c>
      <c r="O17" s="29" t="s">
        <v>1358</v>
      </c>
      <c r="P17" s="29" t="s">
        <v>673</v>
      </c>
      <c r="Q17" s="29">
        <v>5.77</v>
      </c>
      <c r="R17" s="29">
        <v>-317.34999999999997</v>
      </c>
      <c r="S17" s="29" t="s">
        <v>416</v>
      </c>
      <c r="T17" t="s">
        <v>1525</v>
      </c>
      <c r="U17" t="s">
        <v>929</v>
      </c>
      <c r="X17" s="85">
        <f t="shared" si="0"/>
        <v>-55</v>
      </c>
      <c r="AA17" s="85" t="s">
        <v>418</v>
      </c>
      <c r="AB17" s="85" t="s">
        <v>418</v>
      </c>
    </row>
    <row r="18" spans="1:28">
      <c r="A18" s="67">
        <v>17</v>
      </c>
      <c r="B18" s="29" t="s">
        <v>927</v>
      </c>
      <c r="C18" s="29" t="s">
        <v>946</v>
      </c>
      <c r="D18" s="29" t="s">
        <v>1359</v>
      </c>
      <c r="E18" s="222">
        <v>44750</v>
      </c>
      <c r="F18" s="29" t="s">
        <v>617</v>
      </c>
      <c r="G18" s="29" t="s">
        <v>922</v>
      </c>
      <c r="H18" s="221">
        <v>50</v>
      </c>
      <c r="I18" s="221">
        <v>2.41</v>
      </c>
      <c r="J18" s="221">
        <v>5.57</v>
      </c>
      <c r="K18" s="85" t="s">
        <v>1305</v>
      </c>
      <c r="L18" s="85"/>
      <c r="M18" s="246">
        <v>44749</v>
      </c>
      <c r="N18" s="29" t="s">
        <v>1</v>
      </c>
      <c r="O18" s="29" t="s">
        <v>1361</v>
      </c>
      <c r="P18" s="29" t="s">
        <v>673</v>
      </c>
      <c r="Q18" s="29">
        <v>5.77</v>
      </c>
      <c r="R18" s="29">
        <v>259.64999999999998</v>
      </c>
      <c r="S18" s="29" t="s">
        <v>416</v>
      </c>
      <c r="T18" t="s">
        <v>1526</v>
      </c>
      <c r="U18" t="s">
        <v>929</v>
      </c>
      <c r="X18" s="85">
        <f t="shared" si="0"/>
        <v>45</v>
      </c>
      <c r="AA18" s="85" t="s">
        <v>418</v>
      </c>
      <c r="AB18" s="85" t="s">
        <v>418</v>
      </c>
    </row>
    <row r="19" spans="1:28">
      <c r="A19" s="67">
        <v>18</v>
      </c>
      <c r="B19" s="29" t="s">
        <v>927</v>
      </c>
      <c r="C19" s="29" t="s">
        <v>946</v>
      </c>
      <c r="D19" s="29" t="s">
        <v>1359</v>
      </c>
      <c r="E19" s="222">
        <v>44750</v>
      </c>
      <c r="F19" s="29" t="s">
        <v>617</v>
      </c>
      <c r="G19" s="29" t="s">
        <v>538</v>
      </c>
      <c r="H19" s="221">
        <v>6</v>
      </c>
      <c r="I19" s="221">
        <v>1.7599999999999998</v>
      </c>
      <c r="J19" s="221">
        <v>5.57</v>
      </c>
      <c r="K19" s="85" t="s">
        <v>1311</v>
      </c>
      <c r="L19" s="85"/>
      <c r="M19" s="246">
        <v>44749</v>
      </c>
      <c r="N19" s="29" t="s">
        <v>1</v>
      </c>
      <c r="O19" s="29" t="s">
        <v>1361</v>
      </c>
      <c r="P19" s="29" t="s">
        <v>673</v>
      </c>
      <c r="Q19" s="29">
        <v>5.77</v>
      </c>
      <c r="R19" s="29">
        <v>21.925999999999998</v>
      </c>
      <c r="S19" s="29" t="s">
        <v>416</v>
      </c>
      <c r="T19" t="s">
        <v>1526</v>
      </c>
      <c r="U19" t="s">
        <v>1032</v>
      </c>
      <c r="X19" s="85">
        <f t="shared" si="0"/>
        <v>3.8</v>
      </c>
      <c r="AA19" s="85" t="s">
        <v>418</v>
      </c>
      <c r="AB19" s="85" t="s">
        <v>418</v>
      </c>
    </row>
    <row r="20" spans="1:28">
      <c r="A20" s="67">
        <v>19</v>
      </c>
      <c r="B20" s="29" t="s">
        <v>927</v>
      </c>
      <c r="C20" s="29" t="s">
        <v>946</v>
      </c>
      <c r="D20" s="29" t="s">
        <v>1359</v>
      </c>
      <c r="E20" s="222">
        <v>44750</v>
      </c>
      <c r="F20" s="29" t="s">
        <v>617</v>
      </c>
      <c r="G20" s="29" t="s">
        <v>76</v>
      </c>
      <c r="H20" s="221">
        <v>300</v>
      </c>
      <c r="I20" s="221">
        <v>1.2199999999999998</v>
      </c>
      <c r="J20" s="221">
        <v>5.57</v>
      </c>
      <c r="K20" s="85" t="s">
        <v>1309</v>
      </c>
      <c r="L20" s="85"/>
      <c r="M20" s="246">
        <v>44749</v>
      </c>
      <c r="N20" s="29" t="s">
        <v>850</v>
      </c>
      <c r="O20" s="29" t="s">
        <v>1353</v>
      </c>
      <c r="P20" s="29" t="s">
        <v>673</v>
      </c>
      <c r="Q20" s="29">
        <v>5.77</v>
      </c>
      <c r="R20" s="29">
        <v>980.9</v>
      </c>
      <c r="S20" s="29" t="s">
        <v>416</v>
      </c>
      <c r="T20" t="s">
        <v>1527</v>
      </c>
      <c r="U20" t="s">
        <v>929</v>
      </c>
      <c r="X20" s="85">
        <f t="shared" si="0"/>
        <v>170</v>
      </c>
      <c r="AA20" s="85" t="s">
        <v>418</v>
      </c>
      <c r="AB20" s="85" t="s">
        <v>418</v>
      </c>
    </row>
    <row r="21" spans="1:28">
      <c r="A21" s="67">
        <v>20</v>
      </c>
      <c r="B21" s="29" t="s">
        <v>927</v>
      </c>
      <c r="C21" s="29" t="s">
        <v>946</v>
      </c>
      <c r="D21" s="29" t="s">
        <v>1359</v>
      </c>
      <c r="E21" s="222">
        <v>44750</v>
      </c>
      <c r="F21" s="29" t="s">
        <v>617</v>
      </c>
      <c r="G21" s="29" t="s">
        <v>983</v>
      </c>
      <c r="H21" s="221">
        <v>50</v>
      </c>
      <c r="I21" s="221">
        <v>5.59</v>
      </c>
      <c r="J21" s="221">
        <v>5.57</v>
      </c>
      <c r="K21" s="85" t="s">
        <v>1324</v>
      </c>
      <c r="L21" s="85"/>
      <c r="M21" s="246">
        <v>44749</v>
      </c>
      <c r="N21" s="29" t="s">
        <v>850</v>
      </c>
      <c r="O21" s="29" t="s">
        <v>1353</v>
      </c>
      <c r="P21" s="29" t="s">
        <v>673</v>
      </c>
      <c r="Q21" s="29">
        <v>5.77</v>
      </c>
      <c r="R21" s="29">
        <v>56.834499999999991</v>
      </c>
      <c r="S21" s="29" t="s">
        <v>416</v>
      </c>
      <c r="T21" t="s">
        <v>1527</v>
      </c>
      <c r="U21" t="s">
        <v>1032</v>
      </c>
      <c r="X21" s="85">
        <f t="shared" si="0"/>
        <v>9.85</v>
      </c>
      <c r="AA21" s="85" t="s">
        <v>418</v>
      </c>
      <c r="AB21" s="85" t="s">
        <v>418</v>
      </c>
    </row>
    <row r="22" spans="1:28">
      <c r="A22" s="67">
        <v>21</v>
      </c>
      <c r="B22" s="29" t="s">
        <v>927</v>
      </c>
      <c r="C22" s="29" t="s">
        <v>946</v>
      </c>
      <c r="D22" s="29" t="s">
        <v>1359</v>
      </c>
      <c r="E22" s="222">
        <v>44750</v>
      </c>
      <c r="F22" s="29" t="s">
        <v>617</v>
      </c>
      <c r="G22" s="29" t="s">
        <v>922</v>
      </c>
      <c r="H22" s="221">
        <v>101</v>
      </c>
      <c r="I22" s="221">
        <v>2.41</v>
      </c>
      <c r="J22" s="221">
        <v>5.57</v>
      </c>
      <c r="K22" s="85" t="s">
        <v>1310</v>
      </c>
      <c r="L22" s="85"/>
      <c r="M22" s="246">
        <v>44750</v>
      </c>
      <c r="N22" s="29" t="s">
        <v>617</v>
      </c>
      <c r="O22" s="29" t="s">
        <v>1359</v>
      </c>
      <c r="P22" s="29" t="s">
        <v>673</v>
      </c>
      <c r="Q22" s="29">
        <v>5.78</v>
      </c>
      <c r="R22" s="29">
        <v>7278.3494000000001</v>
      </c>
      <c r="S22" s="29" t="s">
        <v>416</v>
      </c>
      <c r="T22" t="s">
        <v>1528</v>
      </c>
      <c r="U22" t="s">
        <v>929</v>
      </c>
      <c r="X22" s="85">
        <f t="shared" si="0"/>
        <v>1259.23</v>
      </c>
      <c r="AA22" s="85" t="s">
        <v>418</v>
      </c>
      <c r="AB22" s="85" t="s">
        <v>418</v>
      </c>
    </row>
    <row r="23" spans="1:28">
      <c r="A23" s="67">
        <v>22</v>
      </c>
      <c r="B23" s="29" t="s">
        <v>927</v>
      </c>
      <c r="C23" s="29" t="s">
        <v>946</v>
      </c>
      <c r="D23" s="29" t="s">
        <v>1376</v>
      </c>
      <c r="E23" s="222">
        <v>44750</v>
      </c>
      <c r="F23" s="29" t="s">
        <v>1217</v>
      </c>
      <c r="G23" s="29" t="s">
        <v>983</v>
      </c>
      <c r="H23" s="221">
        <v>4</v>
      </c>
      <c r="I23" s="221">
        <v>5.59</v>
      </c>
      <c r="J23" s="221">
        <v>5.57</v>
      </c>
      <c r="K23" s="85" t="s">
        <v>1225</v>
      </c>
      <c r="L23" s="85"/>
      <c r="M23" s="246">
        <v>44750</v>
      </c>
      <c r="N23" s="29" t="s">
        <v>1357</v>
      </c>
      <c r="O23" s="29" t="s">
        <v>1362</v>
      </c>
      <c r="P23" s="29" t="s">
        <v>673</v>
      </c>
      <c r="Q23" s="29">
        <v>5.78</v>
      </c>
      <c r="R23" s="29">
        <v>-98.26</v>
      </c>
      <c r="S23" s="29" t="s">
        <v>416</v>
      </c>
      <c r="T23" t="s">
        <v>1529</v>
      </c>
      <c r="U23" t="s">
        <v>929</v>
      </c>
      <c r="X23" s="85">
        <f t="shared" si="0"/>
        <v>-17</v>
      </c>
      <c r="AA23" s="85" t="s">
        <v>418</v>
      </c>
      <c r="AB23" s="85" t="s">
        <v>418</v>
      </c>
    </row>
    <row r="24" spans="1:28">
      <c r="A24" s="67">
        <v>23</v>
      </c>
      <c r="B24" s="29" t="s">
        <v>927</v>
      </c>
      <c r="C24" s="29" t="s">
        <v>946</v>
      </c>
      <c r="D24" s="29" t="s">
        <v>1366</v>
      </c>
      <c r="E24" s="222">
        <v>44750</v>
      </c>
      <c r="F24" s="29" t="s">
        <v>476</v>
      </c>
      <c r="G24" s="29" t="s">
        <v>453</v>
      </c>
      <c r="H24" s="221">
        <v>30</v>
      </c>
      <c r="I24" s="221">
        <v>1.56</v>
      </c>
      <c r="J24" s="221">
        <v>5.57</v>
      </c>
      <c r="K24" s="85" t="s">
        <v>1440</v>
      </c>
      <c r="L24" s="85"/>
      <c r="M24" s="246">
        <v>44750</v>
      </c>
      <c r="N24" s="29" t="s">
        <v>1034</v>
      </c>
      <c r="O24" s="29" t="s">
        <v>1363</v>
      </c>
      <c r="P24" s="29" t="s">
        <v>673</v>
      </c>
      <c r="Q24" s="29">
        <v>5.78</v>
      </c>
      <c r="R24" s="29">
        <v>-115.60000000000001</v>
      </c>
      <c r="S24" s="29" t="s">
        <v>416</v>
      </c>
      <c r="T24" t="s">
        <v>1530</v>
      </c>
      <c r="U24" t="s">
        <v>929</v>
      </c>
      <c r="X24" s="85">
        <f t="shared" si="0"/>
        <v>-20</v>
      </c>
      <c r="AA24" s="85" t="s">
        <v>418</v>
      </c>
      <c r="AB24" s="85" t="s">
        <v>418</v>
      </c>
    </row>
    <row r="25" spans="1:28">
      <c r="A25" s="67">
        <v>24</v>
      </c>
      <c r="B25" s="29" t="s">
        <v>927</v>
      </c>
      <c r="C25" s="29" t="s">
        <v>946</v>
      </c>
      <c r="D25" s="29" t="s">
        <v>1360</v>
      </c>
      <c r="E25" s="222">
        <v>44750</v>
      </c>
      <c r="F25" s="29" t="s">
        <v>242</v>
      </c>
      <c r="G25" s="29" t="s">
        <v>515</v>
      </c>
      <c r="H25" s="221">
        <v>10</v>
      </c>
      <c r="I25" s="221">
        <v>2.1255000000000002</v>
      </c>
      <c r="J25" s="221">
        <v>5.57</v>
      </c>
      <c r="K25" s="85" t="s">
        <v>1441</v>
      </c>
      <c r="L25" s="85"/>
      <c r="M25" s="246">
        <v>44750</v>
      </c>
      <c r="N25" s="29" t="s">
        <v>944</v>
      </c>
      <c r="O25" s="29" t="s">
        <v>1363</v>
      </c>
      <c r="P25" s="29" t="s">
        <v>673</v>
      </c>
      <c r="Q25" s="29">
        <v>5.78</v>
      </c>
      <c r="R25" s="29">
        <v>-115.60000000000001</v>
      </c>
      <c r="S25" s="29" t="s">
        <v>416</v>
      </c>
      <c r="T25" t="s">
        <v>1531</v>
      </c>
      <c r="U25" t="s">
        <v>929</v>
      </c>
      <c r="X25" s="85">
        <f t="shared" si="0"/>
        <v>-20</v>
      </c>
      <c r="AA25" s="85" t="s">
        <v>418</v>
      </c>
      <c r="AB25" s="85" t="s">
        <v>418</v>
      </c>
    </row>
    <row r="26" spans="1:28">
      <c r="A26" s="67">
        <v>25</v>
      </c>
      <c r="B26" s="29" t="s">
        <v>927</v>
      </c>
      <c r="C26" s="29" t="s">
        <v>946</v>
      </c>
      <c r="D26" s="29" t="s">
        <v>1360</v>
      </c>
      <c r="E26" s="222">
        <v>44750</v>
      </c>
      <c r="F26" s="29" t="s">
        <v>242</v>
      </c>
      <c r="G26" s="29" t="s">
        <v>922</v>
      </c>
      <c r="H26" s="221">
        <v>50</v>
      </c>
      <c r="I26" s="221">
        <v>2.3497500000000002</v>
      </c>
      <c r="J26" s="221">
        <v>5.8</v>
      </c>
      <c r="K26" s="85" t="s">
        <v>1442</v>
      </c>
      <c r="L26" s="85"/>
      <c r="M26" s="246">
        <v>44750</v>
      </c>
      <c r="N26" s="29" t="s">
        <v>1033</v>
      </c>
      <c r="O26" s="29" t="s">
        <v>1363</v>
      </c>
      <c r="P26" s="29" t="s">
        <v>673</v>
      </c>
      <c r="Q26" s="29">
        <v>5.78</v>
      </c>
      <c r="R26" s="29">
        <v>-115.60000000000001</v>
      </c>
      <c r="S26" s="29" t="s">
        <v>416</v>
      </c>
      <c r="T26" t="s">
        <v>1532</v>
      </c>
      <c r="U26" t="s">
        <v>929</v>
      </c>
      <c r="X26" s="85">
        <f t="shared" si="0"/>
        <v>-20</v>
      </c>
      <c r="AA26" s="85" t="s">
        <v>418</v>
      </c>
      <c r="AB26" s="85" t="s">
        <v>418</v>
      </c>
    </row>
    <row r="27" spans="1:28">
      <c r="A27" s="67">
        <v>26</v>
      </c>
      <c r="B27" s="29" t="s">
        <v>927</v>
      </c>
      <c r="C27" s="29" t="s">
        <v>946</v>
      </c>
      <c r="D27" s="29" t="s">
        <v>1360</v>
      </c>
      <c r="E27" s="222">
        <v>44750</v>
      </c>
      <c r="F27" s="29" t="s">
        <v>242</v>
      </c>
      <c r="G27" s="29" t="s">
        <v>76</v>
      </c>
      <c r="H27" s="221">
        <v>50</v>
      </c>
      <c r="I27" s="221">
        <v>1.1894999999999998</v>
      </c>
      <c r="J27" s="221">
        <v>5.8</v>
      </c>
      <c r="K27" s="85" t="s">
        <v>1443</v>
      </c>
      <c r="L27" s="85"/>
      <c r="M27" s="246">
        <v>44750</v>
      </c>
      <c r="N27" s="29" t="s">
        <v>1138</v>
      </c>
      <c r="O27" s="29" t="s">
        <v>1363</v>
      </c>
      <c r="P27" s="29" t="s">
        <v>673</v>
      </c>
      <c r="Q27" s="29">
        <v>5.78</v>
      </c>
      <c r="R27" s="29">
        <v>-86.7</v>
      </c>
      <c r="S27" s="29" t="s">
        <v>416</v>
      </c>
      <c r="T27" t="s">
        <v>1533</v>
      </c>
      <c r="U27" t="s">
        <v>929</v>
      </c>
      <c r="X27" s="85">
        <f t="shared" si="0"/>
        <v>-15</v>
      </c>
      <c r="AA27" s="85" t="s">
        <v>418</v>
      </c>
      <c r="AB27" s="85" t="s">
        <v>418</v>
      </c>
    </row>
    <row r="28" spans="1:28">
      <c r="A28" s="67">
        <v>27</v>
      </c>
      <c r="B28" s="29" t="s">
        <v>927</v>
      </c>
      <c r="C28" s="29" t="s">
        <v>946</v>
      </c>
      <c r="D28" s="29" t="s">
        <v>1360</v>
      </c>
      <c r="E28" s="222">
        <v>44750</v>
      </c>
      <c r="F28" s="29" t="s">
        <v>242</v>
      </c>
      <c r="G28" s="29" t="s">
        <v>983</v>
      </c>
      <c r="H28" s="221">
        <v>10</v>
      </c>
      <c r="I28" s="221">
        <v>5.4502499999999996</v>
      </c>
      <c r="J28" s="221">
        <v>5.8</v>
      </c>
      <c r="K28" s="85" t="s">
        <v>1444</v>
      </c>
      <c r="L28" s="85"/>
      <c r="M28" s="246">
        <v>44750</v>
      </c>
      <c r="N28" s="29" t="s">
        <v>1124</v>
      </c>
      <c r="O28" s="29" t="s">
        <v>1363</v>
      </c>
      <c r="P28" s="29" t="s">
        <v>673</v>
      </c>
      <c r="Q28" s="29">
        <v>5.78</v>
      </c>
      <c r="R28" s="29">
        <v>-462.40000000000003</v>
      </c>
      <c r="S28" s="29" t="s">
        <v>416</v>
      </c>
      <c r="T28" t="s">
        <v>1534</v>
      </c>
      <c r="U28" t="s">
        <v>929</v>
      </c>
      <c r="X28" s="85">
        <f t="shared" si="0"/>
        <v>-80</v>
      </c>
      <c r="AA28" s="85" t="s">
        <v>418</v>
      </c>
      <c r="AB28" s="85" t="s">
        <v>418</v>
      </c>
    </row>
    <row r="29" spans="1:28">
      <c r="A29" s="67">
        <v>28</v>
      </c>
      <c r="B29" s="29" t="s">
        <v>927</v>
      </c>
      <c r="C29" s="29" t="s">
        <v>946</v>
      </c>
      <c r="D29" s="29" t="s">
        <v>1360</v>
      </c>
      <c r="E29" s="222">
        <v>44750</v>
      </c>
      <c r="F29" s="29" t="s">
        <v>242</v>
      </c>
      <c r="G29" s="29" t="s">
        <v>838</v>
      </c>
      <c r="H29" s="221">
        <v>10</v>
      </c>
      <c r="I29" s="221">
        <v>4.2119999999999997</v>
      </c>
      <c r="J29" s="221">
        <v>5.8</v>
      </c>
      <c r="K29" s="85" t="s">
        <v>1445</v>
      </c>
      <c r="L29" s="85"/>
      <c r="M29" s="246">
        <v>44750</v>
      </c>
      <c r="N29" s="29" t="s">
        <v>1125</v>
      </c>
      <c r="O29" s="29" t="s">
        <v>1363</v>
      </c>
      <c r="P29" s="29" t="s">
        <v>673</v>
      </c>
      <c r="Q29" s="29">
        <v>5.78</v>
      </c>
      <c r="R29" s="29">
        <v>-28.900000000000002</v>
      </c>
      <c r="S29" s="29" t="s">
        <v>416</v>
      </c>
      <c r="T29" t="s">
        <v>1535</v>
      </c>
      <c r="U29" t="s">
        <v>929</v>
      </c>
      <c r="X29" s="85">
        <f t="shared" si="0"/>
        <v>-5</v>
      </c>
      <c r="AA29" s="85" t="s">
        <v>418</v>
      </c>
      <c r="AB29" s="85" t="s">
        <v>418</v>
      </c>
    </row>
    <row r="30" spans="1:28">
      <c r="A30" s="67">
        <v>29</v>
      </c>
      <c r="B30" s="29" t="s">
        <v>927</v>
      </c>
      <c r="C30" s="29" t="s">
        <v>946</v>
      </c>
      <c r="D30" s="29" t="s">
        <v>1406</v>
      </c>
      <c r="E30" s="222">
        <v>44750</v>
      </c>
      <c r="F30" s="29" t="s">
        <v>1015</v>
      </c>
      <c r="G30" s="29" t="s">
        <v>76</v>
      </c>
      <c r="H30" s="221">
        <v>30</v>
      </c>
      <c r="I30" s="221">
        <v>1.2199999999999998</v>
      </c>
      <c r="J30" s="221">
        <v>5.86</v>
      </c>
      <c r="K30" s="85" t="s">
        <v>1208</v>
      </c>
      <c r="L30" s="85"/>
      <c r="M30" s="246">
        <v>44750</v>
      </c>
      <c r="N30" s="29" t="s">
        <v>1033</v>
      </c>
      <c r="O30" s="29" t="s">
        <v>1364</v>
      </c>
      <c r="P30" s="29" t="s">
        <v>673</v>
      </c>
      <c r="Q30" s="29">
        <v>5.78</v>
      </c>
      <c r="R30" s="29">
        <v>-231.20000000000002</v>
      </c>
      <c r="S30" s="29" t="s">
        <v>416</v>
      </c>
      <c r="T30" t="s">
        <v>1536</v>
      </c>
      <c r="U30" t="s">
        <v>929</v>
      </c>
      <c r="X30" s="85">
        <f t="shared" si="0"/>
        <v>-40</v>
      </c>
      <c r="AA30" s="85" t="s">
        <v>418</v>
      </c>
      <c r="AB30" s="85" t="s">
        <v>418</v>
      </c>
    </row>
    <row r="31" spans="1:28">
      <c r="A31" s="67">
        <v>30</v>
      </c>
      <c r="B31" s="29" t="s">
        <v>927</v>
      </c>
      <c r="C31" s="29" t="s">
        <v>946</v>
      </c>
      <c r="D31" s="29" t="s">
        <v>1406</v>
      </c>
      <c r="E31" s="222">
        <v>44750</v>
      </c>
      <c r="F31" s="29" t="s">
        <v>1015</v>
      </c>
      <c r="G31" s="29" t="s">
        <v>1001</v>
      </c>
      <c r="H31" s="221">
        <v>4</v>
      </c>
      <c r="I31" s="221">
        <v>5.63</v>
      </c>
      <c r="J31" s="221">
        <v>5.86</v>
      </c>
      <c r="K31" s="85" t="s">
        <v>1446</v>
      </c>
      <c r="L31" s="85"/>
      <c r="M31" s="246">
        <v>44750</v>
      </c>
      <c r="N31" s="29" t="s">
        <v>1038</v>
      </c>
      <c r="O31" s="29" t="s">
        <v>1331</v>
      </c>
      <c r="P31" s="29" t="s">
        <v>673</v>
      </c>
      <c r="Q31" s="29">
        <v>5.78</v>
      </c>
      <c r="R31" s="29">
        <v>236.2863999999999</v>
      </c>
      <c r="S31" s="29" t="s">
        <v>416</v>
      </c>
      <c r="T31" t="s">
        <v>1346</v>
      </c>
      <c r="U31" t="s">
        <v>1032</v>
      </c>
      <c r="X31" s="85">
        <f t="shared" si="0"/>
        <v>40.879999999999981</v>
      </c>
      <c r="AA31" s="85" t="s">
        <v>418</v>
      </c>
      <c r="AB31" s="85" t="s">
        <v>418</v>
      </c>
    </row>
    <row r="32" spans="1:28">
      <c r="A32" s="67">
        <v>31</v>
      </c>
      <c r="B32" s="29" t="s">
        <v>927</v>
      </c>
      <c r="C32" s="29" t="s">
        <v>946</v>
      </c>
      <c r="D32" s="29" t="s">
        <v>1406</v>
      </c>
      <c r="E32" s="222">
        <v>44750</v>
      </c>
      <c r="F32" s="29" t="s">
        <v>1015</v>
      </c>
      <c r="G32" s="29" t="s">
        <v>524</v>
      </c>
      <c r="H32" s="221">
        <v>6</v>
      </c>
      <c r="I32" s="221">
        <v>1.1499999999999999</v>
      </c>
      <c r="J32" s="221">
        <v>5.86</v>
      </c>
      <c r="K32" s="85" t="s">
        <v>1447</v>
      </c>
      <c r="L32" s="85"/>
      <c r="M32" s="246">
        <v>44750</v>
      </c>
      <c r="N32" s="29" t="s">
        <v>1038</v>
      </c>
      <c r="O32" s="29" t="s">
        <v>1365</v>
      </c>
      <c r="P32" s="29" t="s">
        <v>673</v>
      </c>
      <c r="Q32" s="29">
        <v>5.78</v>
      </c>
      <c r="R32" s="29">
        <v>823.65000000000009</v>
      </c>
      <c r="S32" s="29" t="s">
        <v>416</v>
      </c>
      <c r="T32" t="s">
        <v>1537</v>
      </c>
      <c r="U32" t="s">
        <v>1032</v>
      </c>
      <c r="X32" s="85">
        <f t="shared" si="0"/>
        <v>142.5</v>
      </c>
      <c r="AA32" s="85" t="s">
        <v>418</v>
      </c>
      <c r="AB32" s="85" t="s">
        <v>418</v>
      </c>
    </row>
    <row r="33" spans="1:28">
      <c r="A33" s="67">
        <v>32</v>
      </c>
      <c r="B33" s="29" t="s">
        <v>927</v>
      </c>
      <c r="C33" s="29" t="s">
        <v>946</v>
      </c>
      <c r="D33" s="29" t="s">
        <v>1404</v>
      </c>
      <c r="E33" s="222">
        <v>44753</v>
      </c>
      <c r="F33" s="29" t="s">
        <v>1065</v>
      </c>
      <c r="G33" s="29" t="s">
        <v>838</v>
      </c>
      <c r="H33" s="221">
        <v>15</v>
      </c>
      <c r="I33" s="221">
        <v>4.32</v>
      </c>
      <c r="J33" s="221">
        <v>5.86</v>
      </c>
      <c r="K33" s="85" t="s">
        <v>1149</v>
      </c>
      <c r="L33" s="85"/>
      <c r="M33" s="246">
        <v>44750</v>
      </c>
      <c r="N33" s="29" t="s">
        <v>1015</v>
      </c>
      <c r="O33" s="29" t="s">
        <v>1227</v>
      </c>
      <c r="P33" s="29" t="s">
        <v>673</v>
      </c>
      <c r="Q33" s="29">
        <v>5.78</v>
      </c>
      <c r="R33" s="29">
        <v>202.3</v>
      </c>
      <c r="S33" s="29" t="s">
        <v>416</v>
      </c>
      <c r="T33" t="s">
        <v>1538</v>
      </c>
      <c r="U33" t="s">
        <v>929</v>
      </c>
      <c r="X33" s="85">
        <f t="shared" si="0"/>
        <v>35</v>
      </c>
      <c r="AA33" s="85" t="s">
        <v>418</v>
      </c>
      <c r="AB33" s="85" t="s">
        <v>418</v>
      </c>
    </row>
    <row r="34" spans="1:28">
      <c r="A34" s="67">
        <v>33</v>
      </c>
      <c r="B34" s="29" t="s">
        <v>927</v>
      </c>
      <c r="C34" s="29" t="s">
        <v>946</v>
      </c>
      <c r="D34" s="29" t="s">
        <v>1404</v>
      </c>
      <c r="E34" s="222">
        <v>44753</v>
      </c>
      <c r="F34" s="29" t="s">
        <v>1065</v>
      </c>
      <c r="G34" s="29" t="s">
        <v>922</v>
      </c>
      <c r="H34" s="221">
        <v>20</v>
      </c>
      <c r="I34" s="221">
        <v>2.41</v>
      </c>
      <c r="J34" s="221">
        <v>5.86</v>
      </c>
      <c r="K34" s="85" t="s">
        <v>1155</v>
      </c>
      <c r="L34" s="85"/>
      <c r="M34" s="246">
        <v>44750</v>
      </c>
      <c r="N34" s="29" t="s">
        <v>1015</v>
      </c>
      <c r="O34" s="29" t="s">
        <v>1227</v>
      </c>
      <c r="P34" s="29" t="s">
        <v>673</v>
      </c>
      <c r="Q34" s="29">
        <v>5.78</v>
      </c>
      <c r="R34" s="29">
        <v>9.2480000000000011</v>
      </c>
      <c r="S34" s="29" t="s">
        <v>416</v>
      </c>
      <c r="T34" t="s">
        <v>1538</v>
      </c>
      <c r="U34" t="s">
        <v>1032</v>
      </c>
      <c r="X34" s="85">
        <f t="shared" si="0"/>
        <v>1.6</v>
      </c>
      <c r="AA34" s="85" t="s">
        <v>418</v>
      </c>
      <c r="AB34" s="85" t="s">
        <v>418</v>
      </c>
    </row>
    <row r="35" spans="1:28">
      <c r="A35" s="67">
        <v>34</v>
      </c>
      <c r="B35" s="29" t="s">
        <v>927</v>
      </c>
      <c r="C35" s="29" t="s">
        <v>946</v>
      </c>
      <c r="D35" s="29" t="s">
        <v>1419</v>
      </c>
      <c r="E35" s="222">
        <v>44755</v>
      </c>
      <c r="F35" s="29" t="s">
        <v>693</v>
      </c>
      <c r="G35" s="29" t="s">
        <v>983</v>
      </c>
      <c r="H35" s="221">
        <v>10</v>
      </c>
      <c r="I35" s="221">
        <v>5.59</v>
      </c>
      <c r="J35" s="221">
        <v>5.89</v>
      </c>
      <c r="K35" s="85" t="s">
        <v>1448</v>
      </c>
      <c r="L35" s="85"/>
      <c r="M35" s="246">
        <v>44750</v>
      </c>
      <c r="N35" s="29" t="s">
        <v>1015</v>
      </c>
      <c r="O35" s="29" t="s">
        <v>1313</v>
      </c>
      <c r="P35" s="29" t="s">
        <v>673</v>
      </c>
      <c r="Q35" s="29">
        <v>5.78</v>
      </c>
      <c r="R35" s="29">
        <v>202.3</v>
      </c>
      <c r="S35" s="29" t="s">
        <v>416</v>
      </c>
      <c r="T35" t="s">
        <v>1539</v>
      </c>
      <c r="U35" t="s">
        <v>929</v>
      </c>
      <c r="X35" s="85">
        <f t="shared" si="0"/>
        <v>35</v>
      </c>
      <c r="AA35" s="85" t="s">
        <v>418</v>
      </c>
      <c r="AB35" s="85" t="s">
        <v>418</v>
      </c>
    </row>
    <row r="36" spans="1:28">
      <c r="A36" s="67">
        <v>35</v>
      </c>
      <c r="B36" s="29" t="s">
        <v>927</v>
      </c>
      <c r="C36" s="29" t="s">
        <v>946</v>
      </c>
      <c r="D36" s="29" t="s">
        <v>1373</v>
      </c>
      <c r="E36" s="222">
        <v>44755</v>
      </c>
      <c r="F36" s="29" t="s">
        <v>1370</v>
      </c>
      <c r="G36" s="29" t="s">
        <v>983</v>
      </c>
      <c r="H36" s="221">
        <v>6</v>
      </c>
      <c r="I36" s="221">
        <v>5.59</v>
      </c>
      <c r="J36" s="221">
        <v>5.8</v>
      </c>
      <c r="K36" s="85" t="s">
        <v>1449</v>
      </c>
      <c r="L36" s="85"/>
      <c r="M36" s="246">
        <v>44750</v>
      </c>
      <c r="N36" s="29" t="s">
        <v>1015</v>
      </c>
      <c r="O36" s="29" t="s">
        <v>1313</v>
      </c>
      <c r="P36" s="29" t="s">
        <v>673</v>
      </c>
      <c r="Q36" s="29">
        <v>5.78</v>
      </c>
      <c r="R36" s="29">
        <v>9.2480000000000011</v>
      </c>
      <c r="S36" s="29" t="s">
        <v>416</v>
      </c>
      <c r="T36" t="s">
        <v>1539</v>
      </c>
      <c r="U36" t="s">
        <v>1032</v>
      </c>
      <c r="X36" s="85">
        <f t="shared" si="0"/>
        <v>1.6</v>
      </c>
      <c r="AA36" s="85" t="s">
        <v>418</v>
      </c>
      <c r="AB36" s="85" t="s">
        <v>418</v>
      </c>
    </row>
    <row r="37" spans="1:28">
      <c r="A37" s="67">
        <v>36</v>
      </c>
      <c r="B37" s="29" t="s">
        <v>927</v>
      </c>
      <c r="C37" s="29" t="s">
        <v>946</v>
      </c>
      <c r="D37" s="29" t="s">
        <v>1373</v>
      </c>
      <c r="E37" s="222">
        <v>44755</v>
      </c>
      <c r="F37" s="29" t="s">
        <v>1370</v>
      </c>
      <c r="G37" s="29" t="s">
        <v>1229</v>
      </c>
      <c r="H37" s="221">
        <v>2</v>
      </c>
      <c r="I37" s="221">
        <v>3.91</v>
      </c>
      <c r="J37" s="221">
        <v>5.8</v>
      </c>
      <c r="K37" s="85" t="s">
        <v>1450</v>
      </c>
      <c r="L37" s="85"/>
      <c r="M37" s="246">
        <v>44750</v>
      </c>
      <c r="N37" s="29" t="s">
        <v>1015</v>
      </c>
      <c r="O37" s="29" t="s">
        <v>1337</v>
      </c>
      <c r="P37" s="29" t="s">
        <v>673</v>
      </c>
      <c r="Q37" s="29">
        <v>5.78</v>
      </c>
      <c r="R37" s="29">
        <v>86.7</v>
      </c>
      <c r="S37" s="29" t="s">
        <v>416</v>
      </c>
      <c r="T37" t="s">
        <v>1540</v>
      </c>
      <c r="U37" t="s">
        <v>929</v>
      </c>
      <c r="X37" s="85">
        <f t="shared" si="0"/>
        <v>15</v>
      </c>
      <c r="AA37" s="85" t="s">
        <v>418</v>
      </c>
      <c r="AB37" s="85" t="s">
        <v>418</v>
      </c>
    </row>
    <row r="38" spans="1:28">
      <c r="A38" s="67">
        <v>37</v>
      </c>
      <c r="B38" s="29" t="s">
        <v>927</v>
      </c>
      <c r="C38" s="29" t="s">
        <v>946</v>
      </c>
      <c r="D38" s="29" t="s">
        <v>1408</v>
      </c>
      <c r="E38" s="222">
        <v>44755</v>
      </c>
      <c r="F38" s="29" t="s">
        <v>470</v>
      </c>
      <c r="G38" s="29" t="s">
        <v>515</v>
      </c>
      <c r="H38" s="221">
        <v>30</v>
      </c>
      <c r="I38" s="221">
        <v>2.1800000000000002</v>
      </c>
      <c r="J38" s="221">
        <v>5.86</v>
      </c>
      <c r="K38" s="85" t="s">
        <v>1451</v>
      </c>
      <c r="L38" s="85"/>
      <c r="M38" s="246">
        <v>44750</v>
      </c>
      <c r="N38" s="29" t="s">
        <v>1015</v>
      </c>
      <c r="O38" s="29" t="s">
        <v>1337</v>
      </c>
      <c r="P38" s="29" t="s">
        <v>673</v>
      </c>
      <c r="Q38" s="29">
        <v>5.78</v>
      </c>
      <c r="R38" s="29">
        <v>13.1784</v>
      </c>
      <c r="S38" s="29" t="s">
        <v>416</v>
      </c>
      <c r="T38" t="s">
        <v>1540</v>
      </c>
      <c r="U38" t="s">
        <v>1032</v>
      </c>
      <c r="X38" s="85">
        <f t="shared" si="0"/>
        <v>2.2799999999999998</v>
      </c>
      <c r="AA38" s="85" t="s">
        <v>418</v>
      </c>
      <c r="AB38" s="85" t="s">
        <v>418</v>
      </c>
    </row>
    <row r="39" spans="1:28">
      <c r="A39" s="67">
        <v>38</v>
      </c>
      <c r="B39" s="29" t="s">
        <v>927</v>
      </c>
      <c r="C39" s="29" t="s">
        <v>946</v>
      </c>
      <c r="D39" s="29" t="s">
        <v>1408</v>
      </c>
      <c r="E39" s="222">
        <v>44755</v>
      </c>
      <c r="F39" s="29" t="s">
        <v>470</v>
      </c>
      <c r="G39" s="29" t="s">
        <v>922</v>
      </c>
      <c r="H39" s="221">
        <v>50</v>
      </c>
      <c r="I39" s="221">
        <v>2.41</v>
      </c>
      <c r="J39" s="221">
        <v>5.86</v>
      </c>
      <c r="K39" s="85" t="s">
        <v>1452</v>
      </c>
      <c r="L39" s="85"/>
      <c r="M39" s="246">
        <v>44750</v>
      </c>
      <c r="N39" s="29" t="s">
        <v>476</v>
      </c>
      <c r="O39" s="29" t="s">
        <v>1366</v>
      </c>
      <c r="P39" s="29" t="s">
        <v>673</v>
      </c>
      <c r="Q39" s="29">
        <v>5.78</v>
      </c>
      <c r="R39" s="29">
        <v>260.10000000000002</v>
      </c>
      <c r="S39" s="29" t="s">
        <v>416</v>
      </c>
      <c r="T39" t="s">
        <v>1541</v>
      </c>
      <c r="U39" t="s">
        <v>929</v>
      </c>
      <c r="X39" s="85">
        <f t="shared" si="0"/>
        <v>45</v>
      </c>
      <c r="AA39" s="85" t="s">
        <v>418</v>
      </c>
      <c r="AB39" s="85" t="s">
        <v>418</v>
      </c>
    </row>
    <row r="40" spans="1:28">
      <c r="A40" s="67">
        <v>39</v>
      </c>
      <c r="B40" s="29" t="s">
        <v>927</v>
      </c>
      <c r="C40" s="29" t="s">
        <v>946</v>
      </c>
      <c r="D40" s="29" t="s">
        <v>1453</v>
      </c>
      <c r="E40" s="222">
        <v>44755</v>
      </c>
      <c r="F40" s="29" t="s">
        <v>1096</v>
      </c>
      <c r="G40" s="29" t="s">
        <v>838</v>
      </c>
      <c r="H40" s="221">
        <v>5</v>
      </c>
      <c r="I40" s="221">
        <v>4.32</v>
      </c>
      <c r="J40" s="221">
        <v>5.0999999999999996</v>
      </c>
      <c r="K40" s="85" t="s">
        <v>1454</v>
      </c>
      <c r="L40" s="85"/>
      <c r="M40" s="246">
        <v>44750</v>
      </c>
      <c r="N40" s="29" t="s">
        <v>476</v>
      </c>
      <c r="O40" s="29" t="s">
        <v>1366</v>
      </c>
      <c r="P40" s="29" t="s">
        <v>673</v>
      </c>
      <c r="Q40" s="29">
        <v>5.78</v>
      </c>
      <c r="R40" s="29">
        <v>10.404</v>
      </c>
      <c r="S40" s="29" t="s">
        <v>416</v>
      </c>
      <c r="T40" t="s">
        <v>1541</v>
      </c>
      <c r="U40" t="s">
        <v>1032</v>
      </c>
      <c r="X40" s="85">
        <f t="shared" si="0"/>
        <v>1.7999999999999998</v>
      </c>
      <c r="AA40" s="85" t="s">
        <v>418</v>
      </c>
      <c r="AB40" s="85" t="s">
        <v>418</v>
      </c>
    </row>
    <row r="41" spans="1:28">
      <c r="A41" s="67">
        <v>40</v>
      </c>
      <c r="B41" s="29" t="s">
        <v>927</v>
      </c>
      <c r="C41" s="29" t="s">
        <v>946</v>
      </c>
      <c r="D41" s="29" t="s">
        <v>1453</v>
      </c>
      <c r="E41" s="222">
        <v>44755</v>
      </c>
      <c r="F41" s="29" t="s">
        <v>1096</v>
      </c>
      <c r="G41" s="29" t="s">
        <v>515</v>
      </c>
      <c r="H41" s="221">
        <v>2</v>
      </c>
      <c r="I41" s="221">
        <v>2.1800000000000002</v>
      </c>
      <c r="J41" s="221">
        <v>5.0999999999999996</v>
      </c>
      <c r="K41" s="85" t="s">
        <v>1455</v>
      </c>
      <c r="L41" s="85"/>
      <c r="M41" s="246">
        <v>44750</v>
      </c>
      <c r="N41" s="29" t="s">
        <v>1367</v>
      </c>
      <c r="O41" s="29" t="s">
        <v>1368</v>
      </c>
      <c r="P41" s="29" t="s">
        <v>673</v>
      </c>
      <c r="Q41" s="29">
        <v>5.78</v>
      </c>
      <c r="R41" s="29">
        <v>-144.5</v>
      </c>
      <c r="S41" s="29" t="s">
        <v>416</v>
      </c>
      <c r="T41" t="s">
        <v>1542</v>
      </c>
      <c r="U41" t="s">
        <v>929</v>
      </c>
      <c r="X41" s="85">
        <f t="shared" si="0"/>
        <v>-25</v>
      </c>
      <c r="AA41" s="85" t="s">
        <v>418</v>
      </c>
      <c r="AB41" s="85" t="s">
        <v>418</v>
      </c>
    </row>
    <row r="42" spans="1:28">
      <c r="A42" s="67">
        <v>41</v>
      </c>
      <c r="B42" s="29" t="s">
        <v>927</v>
      </c>
      <c r="C42" s="29" t="s">
        <v>946</v>
      </c>
      <c r="D42" s="29" t="s">
        <v>1453</v>
      </c>
      <c r="E42" s="222">
        <v>44755</v>
      </c>
      <c r="F42" s="29" t="s">
        <v>1096</v>
      </c>
      <c r="G42" s="29" t="s">
        <v>847</v>
      </c>
      <c r="H42" s="221">
        <v>2</v>
      </c>
      <c r="I42" s="221">
        <v>5.05</v>
      </c>
      <c r="J42" s="221">
        <v>5.0999999999999996</v>
      </c>
      <c r="K42" s="85" t="s">
        <v>1456</v>
      </c>
      <c r="L42" s="85"/>
      <c r="M42" s="246">
        <v>44753</v>
      </c>
      <c r="N42" s="29" t="s">
        <v>1065</v>
      </c>
      <c r="O42" s="29" t="s">
        <v>1210</v>
      </c>
      <c r="P42" s="29" t="s">
        <v>673</v>
      </c>
      <c r="Q42" s="29">
        <v>5.8</v>
      </c>
      <c r="R42" s="29">
        <v>421.07999999999993</v>
      </c>
      <c r="S42" s="29" t="s">
        <v>416</v>
      </c>
      <c r="T42" t="s">
        <v>1543</v>
      </c>
      <c r="U42" t="s">
        <v>1032</v>
      </c>
      <c r="X42" s="85">
        <f t="shared" si="0"/>
        <v>72.599999999999994</v>
      </c>
      <c r="AA42" s="85" t="s">
        <v>418</v>
      </c>
      <c r="AB42" s="85" t="s">
        <v>418</v>
      </c>
    </row>
    <row r="43" spans="1:28">
      <c r="A43" s="67">
        <v>42</v>
      </c>
      <c r="B43" s="29" t="s">
        <v>927</v>
      </c>
      <c r="C43" s="29" t="s">
        <v>946</v>
      </c>
      <c r="D43" s="29" t="s">
        <v>1380</v>
      </c>
      <c r="E43" s="222">
        <v>44756</v>
      </c>
      <c r="F43" s="29" t="s">
        <v>850</v>
      </c>
      <c r="G43" s="29" t="s">
        <v>1001</v>
      </c>
      <c r="H43" s="221">
        <v>40</v>
      </c>
      <c r="I43" s="221">
        <v>5.63</v>
      </c>
      <c r="J43" s="221">
        <v>5.8</v>
      </c>
      <c r="K43" s="85" t="s">
        <v>1343</v>
      </c>
      <c r="L43" s="85"/>
      <c r="M43" s="246">
        <v>44753</v>
      </c>
      <c r="N43" s="29" t="s">
        <v>1065</v>
      </c>
      <c r="O43" s="29" t="s">
        <v>1228</v>
      </c>
      <c r="P43" s="29" t="s">
        <v>673</v>
      </c>
      <c r="Q43" s="29">
        <v>5.8</v>
      </c>
      <c r="R43" s="29">
        <v>437.9</v>
      </c>
      <c r="S43" s="29" t="s">
        <v>416</v>
      </c>
      <c r="T43" t="s">
        <v>1544</v>
      </c>
      <c r="U43" t="s">
        <v>1032</v>
      </c>
      <c r="X43" s="85">
        <f t="shared" si="0"/>
        <v>75.5</v>
      </c>
      <c r="AA43" s="85" t="s">
        <v>418</v>
      </c>
      <c r="AB43" s="85" t="s">
        <v>418</v>
      </c>
    </row>
    <row r="44" spans="1:28">
      <c r="A44" s="67">
        <v>43</v>
      </c>
      <c r="B44" s="29" t="s">
        <v>927</v>
      </c>
      <c r="C44" s="29" t="s">
        <v>946</v>
      </c>
      <c r="D44" s="29" t="s">
        <v>1380</v>
      </c>
      <c r="E44" s="222">
        <v>44756</v>
      </c>
      <c r="F44" s="29" t="s">
        <v>850</v>
      </c>
      <c r="G44" s="29" t="s">
        <v>922</v>
      </c>
      <c r="H44" s="221">
        <v>30</v>
      </c>
      <c r="I44" s="221">
        <v>2.41</v>
      </c>
      <c r="J44" s="221">
        <v>5.8</v>
      </c>
      <c r="K44" s="85" t="s">
        <v>1342</v>
      </c>
      <c r="L44" s="85"/>
      <c r="M44" s="246">
        <v>44753</v>
      </c>
      <c r="N44" s="29" t="s">
        <v>242</v>
      </c>
      <c r="O44" s="29" t="s">
        <v>1360</v>
      </c>
      <c r="P44" s="29" t="s">
        <v>673</v>
      </c>
      <c r="Q44" s="29">
        <v>5.8</v>
      </c>
      <c r="R44" s="29">
        <v>1682</v>
      </c>
      <c r="S44" s="29" t="s">
        <v>416</v>
      </c>
      <c r="T44" t="s">
        <v>1545</v>
      </c>
      <c r="U44" t="s">
        <v>929</v>
      </c>
      <c r="X44" s="85">
        <f t="shared" si="0"/>
        <v>290</v>
      </c>
      <c r="AA44" s="85" t="s">
        <v>418</v>
      </c>
      <c r="AB44" s="85" t="s">
        <v>418</v>
      </c>
    </row>
    <row r="45" spans="1:28">
      <c r="A45" s="67">
        <v>44</v>
      </c>
      <c r="B45" s="29" t="s">
        <v>927</v>
      </c>
      <c r="C45" s="29" t="s">
        <v>946</v>
      </c>
      <c r="D45" s="29" t="s">
        <v>1457</v>
      </c>
      <c r="E45" s="222">
        <v>44756</v>
      </c>
      <c r="F45" s="29" t="s">
        <v>959</v>
      </c>
      <c r="G45" s="29" t="s">
        <v>758</v>
      </c>
      <c r="H45" s="221">
        <v>15</v>
      </c>
      <c r="I45" s="221">
        <v>2.91</v>
      </c>
      <c r="J45" s="221">
        <v>5.0999999999999996</v>
      </c>
      <c r="K45" s="85" t="s">
        <v>1458</v>
      </c>
      <c r="L45" s="85"/>
      <c r="M45" s="246">
        <v>44753</v>
      </c>
      <c r="N45" s="29" t="s">
        <v>242</v>
      </c>
      <c r="O45" s="29" t="s">
        <v>1360</v>
      </c>
      <c r="P45" s="29" t="s">
        <v>673</v>
      </c>
      <c r="Q45" s="29">
        <v>5.8</v>
      </c>
      <c r="R45" s="29">
        <v>28.129999999999995</v>
      </c>
      <c r="S45" s="29" t="s">
        <v>416</v>
      </c>
      <c r="T45" t="s">
        <v>1545</v>
      </c>
      <c r="U45" t="s">
        <v>1032</v>
      </c>
      <c r="X45" s="85">
        <f t="shared" si="0"/>
        <v>4.8499999999999996</v>
      </c>
      <c r="AA45" s="85" t="s">
        <v>418</v>
      </c>
      <c r="AB45" s="85" t="s">
        <v>418</v>
      </c>
    </row>
    <row r="46" spans="1:28">
      <c r="A46" s="67">
        <v>45</v>
      </c>
      <c r="B46" s="29" t="s">
        <v>927</v>
      </c>
      <c r="C46" s="29" t="s">
        <v>946</v>
      </c>
      <c r="D46" s="29" t="s">
        <v>1457</v>
      </c>
      <c r="E46" s="222">
        <v>44756</v>
      </c>
      <c r="F46" s="29" t="s">
        <v>959</v>
      </c>
      <c r="G46" s="29" t="s">
        <v>923</v>
      </c>
      <c r="H46" s="221">
        <v>15</v>
      </c>
      <c r="I46" s="221">
        <v>3.45</v>
      </c>
      <c r="J46" s="221">
        <v>5.0999999999999996</v>
      </c>
      <c r="K46" s="85" t="s">
        <v>1459</v>
      </c>
      <c r="L46" s="85"/>
      <c r="M46" s="246">
        <v>44755</v>
      </c>
      <c r="N46" s="29" t="s">
        <v>1370</v>
      </c>
      <c r="O46" s="29" t="s">
        <v>1373</v>
      </c>
      <c r="P46" s="29" t="s">
        <v>673</v>
      </c>
      <c r="Q46" s="29">
        <v>5.8</v>
      </c>
      <c r="R46" s="29">
        <v>232</v>
      </c>
      <c r="S46" s="29" t="s">
        <v>416</v>
      </c>
      <c r="T46" t="s">
        <v>1546</v>
      </c>
      <c r="U46" t="s">
        <v>929</v>
      </c>
      <c r="X46" s="85">
        <f t="shared" si="0"/>
        <v>40</v>
      </c>
      <c r="AA46" s="85" t="s">
        <v>418</v>
      </c>
      <c r="AB46" s="85" t="s">
        <v>418</v>
      </c>
    </row>
    <row r="47" spans="1:28">
      <c r="A47" s="67">
        <v>46</v>
      </c>
      <c r="B47" s="29" t="s">
        <v>927</v>
      </c>
      <c r="C47" s="29" t="s">
        <v>946</v>
      </c>
      <c r="D47" s="29" t="s">
        <v>1460</v>
      </c>
      <c r="E47" s="222">
        <v>44758</v>
      </c>
      <c r="F47" s="29" t="s">
        <v>110</v>
      </c>
      <c r="G47" s="29" t="s">
        <v>76</v>
      </c>
      <c r="H47" s="221">
        <v>20</v>
      </c>
      <c r="I47" s="221">
        <v>1.2800000000000002</v>
      </c>
      <c r="J47" s="221">
        <v>5.0999999999999996</v>
      </c>
      <c r="K47" s="85" t="s">
        <v>1461</v>
      </c>
      <c r="L47" s="85"/>
      <c r="M47" s="246">
        <v>44755</v>
      </c>
      <c r="N47" s="29" t="s">
        <v>1370</v>
      </c>
      <c r="O47" s="29" t="s">
        <v>1373</v>
      </c>
      <c r="P47" s="29" t="s">
        <v>673</v>
      </c>
      <c r="Q47" s="29">
        <v>5.8</v>
      </c>
      <c r="R47" s="29">
        <v>7.8879999999999999</v>
      </c>
      <c r="S47" s="29" t="s">
        <v>416</v>
      </c>
      <c r="T47" t="s">
        <v>1546</v>
      </c>
      <c r="U47" t="s">
        <v>1032</v>
      </c>
      <c r="X47" s="85">
        <f t="shared" si="0"/>
        <v>1.36</v>
      </c>
      <c r="AA47" s="85" t="s">
        <v>418</v>
      </c>
      <c r="AB47" s="85" t="s">
        <v>418</v>
      </c>
    </row>
    <row r="48" spans="1:28">
      <c r="A48" s="67">
        <v>47</v>
      </c>
      <c r="B48" s="29" t="s">
        <v>927</v>
      </c>
      <c r="C48" s="29" t="s">
        <v>946</v>
      </c>
      <c r="D48" s="29" t="s">
        <v>1460</v>
      </c>
      <c r="E48" s="222">
        <v>44758</v>
      </c>
      <c r="F48" s="29" t="s">
        <v>110</v>
      </c>
      <c r="G48" s="29" t="s">
        <v>1001</v>
      </c>
      <c r="H48" s="221">
        <v>12</v>
      </c>
      <c r="I48" s="221">
        <v>2</v>
      </c>
      <c r="J48" s="221">
        <v>5.0999999999999996</v>
      </c>
      <c r="K48" s="85" t="s">
        <v>1462</v>
      </c>
      <c r="L48" s="85"/>
      <c r="M48" s="246">
        <v>44755</v>
      </c>
      <c r="N48" s="29" t="s">
        <v>960</v>
      </c>
      <c r="O48" s="29" t="s">
        <v>1206</v>
      </c>
      <c r="P48" s="29" t="s">
        <v>673</v>
      </c>
      <c r="Q48" s="29">
        <v>5.8</v>
      </c>
      <c r="R48" s="29">
        <v>290</v>
      </c>
      <c r="S48" s="29" t="s">
        <v>416</v>
      </c>
      <c r="T48" t="s">
        <v>1518</v>
      </c>
      <c r="U48" t="s">
        <v>929</v>
      </c>
      <c r="X48" s="85">
        <f t="shared" si="0"/>
        <v>50</v>
      </c>
      <c r="AA48" s="85" t="s">
        <v>418</v>
      </c>
      <c r="AB48" s="85" t="s">
        <v>418</v>
      </c>
    </row>
    <row r="49" spans="1:28">
      <c r="A49" s="67">
        <v>48</v>
      </c>
      <c r="B49" s="29" t="s">
        <v>927</v>
      </c>
      <c r="C49" s="29" t="s">
        <v>946</v>
      </c>
      <c r="D49" s="29" t="s">
        <v>1388</v>
      </c>
      <c r="E49" s="222">
        <v>44759</v>
      </c>
      <c r="F49" s="29" t="s">
        <v>1015</v>
      </c>
      <c r="G49" s="29" t="s">
        <v>76</v>
      </c>
      <c r="H49" s="221">
        <v>1000</v>
      </c>
      <c r="I49" s="221">
        <v>1.2199999999999998</v>
      </c>
      <c r="J49" s="221">
        <v>5.8499999999999988</v>
      </c>
      <c r="K49" s="85" t="s">
        <v>1314</v>
      </c>
      <c r="L49" s="85"/>
      <c r="M49" s="246">
        <v>44755</v>
      </c>
      <c r="N49" s="29" t="s">
        <v>960</v>
      </c>
      <c r="O49" s="29" t="s">
        <v>1206</v>
      </c>
      <c r="P49" s="29" t="s">
        <v>673</v>
      </c>
      <c r="Q49" s="29">
        <v>5.8</v>
      </c>
      <c r="R49" s="29">
        <v>19.603999999999999</v>
      </c>
      <c r="S49" s="29" t="s">
        <v>416</v>
      </c>
      <c r="T49" t="s">
        <v>1518</v>
      </c>
      <c r="U49" t="s">
        <v>1032</v>
      </c>
      <c r="X49" s="85">
        <f t="shared" si="0"/>
        <v>3.38</v>
      </c>
      <c r="AA49" s="85" t="s">
        <v>418</v>
      </c>
      <c r="AB49" s="85" t="s">
        <v>418</v>
      </c>
    </row>
    <row r="50" spans="1:28">
      <c r="A50" s="67">
        <v>49</v>
      </c>
      <c r="B50" s="29" t="s">
        <v>927</v>
      </c>
      <c r="C50" s="29" t="s">
        <v>946</v>
      </c>
      <c r="D50" s="29" t="s">
        <v>1390</v>
      </c>
      <c r="E50" s="222">
        <v>44761</v>
      </c>
      <c r="F50" s="29" t="s">
        <v>1217</v>
      </c>
      <c r="G50" s="29" t="s">
        <v>983</v>
      </c>
      <c r="H50" s="221">
        <v>7</v>
      </c>
      <c r="I50" s="221">
        <v>5.59</v>
      </c>
      <c r="J50" s="221">
        <v>5.8534426229508201</v>
      </c>
      <c r="K50" s="85" t="s">
        <v>1463</v>
      </c>
      <c r="L50" s="85"/>
      <c r="M50" s="246">
        <v>44755</v>
      </c>
      <c r="N50" s="29" t="s">
        <v>1201</v>
      </c>
      <c r="O50" s="29" t="s">
        <v>1209</v>
      </c>
      <c r="P50" s="29" t="s">
        <v>673</v>
      </c>
      <c r="Q50" s="29">
        <v>5.8</v>
      </c>
      <c r="R50" s="29">
        <v>348</v>
      </c>
      <c r="S50" s="29" t="s">
        <v>416</v>
      </c>
      <c r="T50" t="s">
        <v>1547</v>
      </c>
      <c r="U50" t="s">
        <v>929</v>
      </c>
      <c r="X50" s="85">
        <f t="shared" si="0"/>
        <v>60</v>
      </c>
      <c r="AA50" s="85" t="s">
        <v>418</v>
      </c>
      <c r="AB50" s="85" t="s">
        <v>418</v>
      </c>
    </row>
    <row r="51" spans="1:28">
      <c r="A51" s="67">
        <v>50</v>
      </c>
      <c r="B51" s="29" t="s">
        <v>927</v>
      </c>
      <c r="C51" s="29" t="s">
        <v>946</v>
      </c>
      <c r="D51" s="29" t="s">
        <v>1391</v>
      </c>
      <c r="E51" s="222">
        <v>44761</v>
      </c>
      <c r="F51" s="29" t="s">
        <v>1332</v>
      </c>
      <c r="G51" s="29" t="s">
        <v>983</v>
      </c>
      <c r="H51" s="221">
        <v>3</v>
      </c>
      <c r="I51" s="221">
        <v>5.59</v>
      </c>
      <c r="J51" s="221">
        <v>5.85</v>
      </c>
      <c r="K51" s="85" t="s">
        <v>1345</v>
      </c>
      <c r="L51" s="85"/>
      <c r="M51" s="246">
        <v>44755</v>
      </c>
      <c r="N51" s="29" t="s">
        <v>1201</v>
      </c>
      <c r="O51" s="29" t="s">
        <v>1209</v>
      </c>
      <c r="P51" s="29" t="s">
        <v>673</v>
      </c>
      <c r="Q51" s="29">
        <v>5.8</v>
      </c>
      <c r="R51" s="29">
        <v>26.332000000000001</v>
      </c>
      <c r="S51" s="29" t="s">
        <v>416</v>
      </c>
      <c r="T51" t="s">
        <v>1547</v>
      </c>
      <c r="U51" t="s">
        <v>1032</v>
      </c>
      <c r="X51" s="85">
        <f t="shared" si="0"/>
        <v>4.54</v>
      </c>
      <c r="AA51" s="85" t="s">
        <v>418</v>
      </c>
      <c r="AB51" s="85" t="s">
        <v>418</v>
      </c>
    </row>
    <row r="52" spans="1:28">
      <c r="A52" s="67">
        <v>51</v>
      </c>
      <c r="B52" s="29" t="s">
        <v>927</v>
      </c>
      <c r="C52" s="29" t="s">
        <v>946</v>
      </c>
      <c r="D52" s="29" t="s">
        <v>1391</v>
      </c>
      <c r="E52" s="222">
        <v>44761</v>
      </c>
      <c r="F52" s="29" t="s">
        <v>1332</v>
      </c>
      <c r="G52" s="29" t="s">
        <v>1229</v>
      </c>
      <c r="H52" s="221">
        <v>3</v>
      </c>
      <c r="I52" s="221">
        <v>3.91</v>
      </c>
      <c r="J52" s="221">
        <v>5.85</v>
      </c>
      <c r="K52" s="85" t="s">
        <v>1464</v>
      </c>
      <c r="L52" s="85"/>
      <c r="M52" s="246">
        <v>44755</v>
      </c>
      <c r="N52" s="29" t="s">
        <v>1374</v>
      </c>
      <c r="O52" s="29" t="s">
        <v>1375</v>
      </c>
      <c r="P52" s="29" t="s">
        <v>673</v>
      </c>
      <c r="Q52" s="29">
        <v>5.8</v>
      </c>
      <c r="R52" s="29">
        <v>-406</v>
      </c>
      <c r="S52" s="29" t="s">
        <v>416</v>
      </c>
      <c r="T52" t="s">
        <v>1548</v>
      </c>
      <c r="U52" t="s">
        <v>929</v>
      </c>
      <c r="X52" s="85">
        <f t="shared" si="0"/>
        <v>-70</v>
      </c>
      <c r="AA52" s="85" t="s">
        <v>418</v>
      </c>
      <c r="AB52" s="85" t="s">
        <v>418</v>
      </c>
    </row>
    <row r="53" spans="1:28">
      <c r="A53" s="67">
        <v>52</v>
      </c>
      <c r="B53" s="29" t="s">
        <v>927</v>
      </c>
      <c r="C53" s="29" t="s">
        <v>946</v>
      </c>
      <c r="D53" s="29" t="s">
        <v>1396</v>
      </c>
      <c r="E53" s="222">
        <v>44762</v>
      </c>
      <c r="F53" s="29" t="s">
        <v>1038</v>
      </c>
      <c r="G53" s="29" t="s">
        <v>983</v>
      </c>
      <c r="H53" s="221">
        <v>9</v>
      </c>
      <c r="I53" s="221">
        <v>5.59</v>
      </c>
      <c r="J53" s="221">
        <v>5.85</v>
      </c>
      <c r="K53" s="85" t="s">
        <v>1341</v>
      </c>
      <c r="L53" s="85"/>
      <c r="M53" s="246">
        <v>44755</v>
      </c>
      <c r="N53" s="29" t="s">
        <v>857</v>
      </c>
      <c r="O53" s="29" t="s">
        <v>1315</v>
      </c>
      <c r="P53" s="29" t="s">
        <v>673</v>
      </c>
      <c r="Q53" s="29">
        <v>5.8</v>
      </c>
      <c r="R53" s="29">
        <v>870</v>
      </c>
      <c r="S53" s="29" t="s">
        <v>416</v>
      </c>
      <c r="T53" t="s">
        <v>1549</v>
      </c>
      <c r="U53" t="s">
        <v>929</v>
      </c>
      <c r="X53" s="85">
        <f t="shared" si="0"/>
        <v>150</v>
      </c>
      <c r="AA53" s="85" t="s">
        <v>418</v>
      </c>
      <c r="AB53" s="85" t="s">
        <v>418</v>
      </c>
    </row>
    <row r="54" spans="1:28">
      <c r="A54" s="67">
        <v>53</v>
      </c>
      <c r="B54" s="29" t="s">
        <v>927</v>
      </c>
      <c r="C54" s="29" t="s">
        <v>946</v>
      </c>
      <c r="D54" s="29" t="s">
        <v>1396</v>
      </c>
      <c r="E54" s="222">
        <v>44762</v>
      </c>
      <c r="F54" s="29" t="s">
        <v>1038</v>
      </c>
      <c r="G54" s="29" t="s">
        <v>847</v>
      </c>
      <c r="H54" s="221">
        <v>6</v>
      </c>
      <c r="I54" s="221">
        <v>5.05</v>
      </c>
      <c r="J54" s="221">
        <v>5.85</v>
      </c>
      <c r="K54" s="85" t="s">
        <v>1465</v>
      </c>
      <c r="L54" s="85"/>
      <c r="M54" s="246">
        <v>44755</v>
      </c>
      <c r="N54" s="29" t="s">
        <v>857</v>
      </c>
      <c r="O54" s="29" t="s">
        <v>1315</v>
      </c>
      <c r="P54" s="29" t="s">
        <v>673</v>
      </c>
      <c r="Q54" s="29">
        <v>5.8</v>
      </c>
      <c r="R54" s="29">
        <v>20.3</v>
      </c>
      <c r="S54" s="29" t="s">
        <v>416</v>
      </c>
      <c r="T54" t="s">
        <v>1549</v>
      </c>
      <c r="U54" t="s">
        <v>1032</v>
      </c>
      <c r="X54" s="85">
        <f t="shared" si="0"/>
        <v>3.5000000000000004</v>
      </c>
      <c r="AA54" s="85" t="s">
        <v>418</v>
      </c>
      <c r="AB54" s="85" t="s">
        <v>418</v>
      </c>
    </row>
    <row r="55" spans="1:28">
      <c r="A55" s="67">
        <v>54</v>
      </c>
      <c r="B55" s="29" t="s">
        <v>927</v>
      </c>
      <c r="C55" s="29" t="s">
        <v>946</v>
      </c>
      <c r="D55" s="29" t="s">
        <v>1396</v>
      </c>
      <c r="E55" s="222">
        <v>44762</v>
      </c>
      <c r="F55" s="29" t="s">
        <v>1038</v>
      </c>
      <c r="G55" s="29" t="s">
        <v>515</v>
      </c>
      <c r="H55" s="221">
        <v>7</v>
      </c>
      <c r="I55" s="221">
        <v>2.1800000000000002</v>
      </c>
      <c r="J55" s="221">
        <v>5.85</v>
      </c>
      <c r="K55" s="85" t="s">
        <v>1466</v>
      </c>
      <c r="L55" s="85"/>
      <c r="M55" s="246">
        <v>44755</v>
      </c>
      <c r="N55" s="29" t="s">
        <v>1294</v>
      </c>
      <c r="O55" s="29" t="s">
        <v>1339</v>
      </c>
      <c r="P55" s="29" t="s">
        <v>673</v>
      </c>
      <c r="Q55" s="29">
        <v>5.8</v>
      </c>
      <c r="R55" s="29">
        <v>330.59999999999997</v>
      </c>
      <c r="S55" s="29" t="s">
        <v>416</v>
      </c>
      <c r="T55" t="s">
        <v>1550</v>
      </c>
      <c r="U55" t="s">
        <v>929</v>
      </c>
      <c r="X55" s="85">
        <f t="shared" si="0"/>
        <v>56.999999999999993</v>
      </c>
      <c r="AA55" s="85" t="s">
        <v>418</v>
      </c>
      <c r="AB55" s="85" t="s">
        <v>418</v>
      </c>
    </row>
    <row r="56" spans="1:28">
      <c r="A56" s="67">
        <v>55</v>
      </c>
      <c r="B56" s="29" t="s">
        <v>927</v>
      </c>
      <c r="C56" s="29" t="s">
        <v>946</v>
      </c>
      <c r="D56" s="29" t="s">
        <v>1396</v>
      </c>
      <c r="E56" s="222">
        <v>44762</v>
      </c>
      <c r="F56" s="29" t="s">
        <v>1038</v>
      </c>
      <c r="G56" s="29" t="s">
        <v>1231</v>
      </c>
      <c r="H56" s="221">
        <v>2</v>
      </c>
      <c r="I56" s="221">
        <v>1.46</v>
      </c>
      <c r="J56" s="221">
        <v>5.85</v>
      </c>
      <c r="K56" s="85" t="s">
        <v>1467</v>
      </c>
      <c r="L56" s="85"/>
      <c r="M56" s="246">
        <v>44755</v>
      </c>
      <c r="N56" s="29" t="s">
        <v>821</v>
      </c>
      <c r="O56" s="29" t="s">
        <v>1340</v>
      </c>
      <c r="P56" s="29" t="s">
        <v>673</v>
      </c>
      <c r="Q56" s="29">
        <v>5.8</v>
      </c>
      <c r="R56" s="29">
        <v>290</v>
      </c>
      <c r="S56" s="29" t="s">
        <v>416</v>
      </c>
      <c r="T56" t="s">
        <v>1551</v>
      </c>
      <c r="U56" t="s">
        <v>929</v>
      </c>
      <c r="X56" s="85">
        <f t="shared" si="0"/>
        <v>50</v>
      </c>
      <c r="AA56" s="85" t="s">
        <v>418</v>
      </c>
      <c r="AB56" s="85" t="s">
        <v>418</v>
      </c>
    </row>
    <row r="57" spans="1:28">
      <c r="A57" s="67">
        <v>56</v>
      </c>
      <c r="B57" s="29" t="s">
        <v>927</v>
      </c>
      <c r="C57" s="29" t="s">
        <v>946</v>
      </c>
      <c r="D57" s="29" t="s">
        <v>1468</v>
      </c>
      <c r="E57" s="222">
        <v>44762</v>
      </c>
      <c r="F57" s="29" t="s">
        <v>1024</v>
      </c>
      <c r="G57" s="29" t="s">
        <v>681</v>
      </c>
      <c r="H57" s="221">
        <v>10</v>
      </c>
      <c r="I57" s="221">
        <v>2.04</v>
      </c>
      <c r="J57" s="221">
        <v>5.7</v>
      </c>
      <c r="K57" s="85" t="s">
        <v>1318</v>
      </c>
      <c r="L57" s="85"/>
      <c r="M57" s="246">
        <v>44755</v>
      </c>
      <c r="N57" s="29" t="s">
        <v>821</v>
      </c>
      <c r="O57" s="29" t="s">
        <v>1340</v>
      </c>
      <c r="P57" s="29" t="s">
        <v>673</v>
      </c>
      <c r="Q57" s="29">
        <v>5.8</v>
      </c>
      <c r="R57" s="29">
        <v>6.96</v>
      </c>
      <c r="S57" s="29" t="s">
        <v>416</v>
      </c>
      <c r="T57" t="s">
        <v>1551</v>
      </c>
      <c r="U57" t="s">
        <v>1032</v>
      </c>
      <c r="X57" s="85">
        <f t="shared" si="0"/>
        <v>1.2</v>
      </c>
      <c r="AA57" s="85" t="s">
        <v>418</v>
      </c>
      <c r="AB57" s="85" t="s">
        <v>418</v>
      </c>
    </row>
    <row r="58" spans="1:28">
      <c r="A58" s="67">
        <v>57</v>
      </c>
      <c r="B58" s="29" t="s">
        <v>927</v>
      </c>
      <c r="C58" s="29" t="s">
        <v>946</v>
      </c>
      <c r="D58" s="29" t="s">
        <v>1468</v>
      </c>
      <c r="E58" s="222">
        <v>44762</v>
      </c>
      <c r="F58" s="29" t="s">
        <v>1024</v>
      </c>
      <c r="G58" s="29" t="s">
        <v>1001</v>
      </c>
      <c r="H58" s="221">
        <v>10</v>
      </c>
      <c r="I58" s="221">
        <v>5.63</v>
      </c>
      <c r="J58" s="221">
        <v>5.7</v>
      </c>
      <c r="K58" s="85" t="s">
        <v>1469</v>
      </c>
      <c r="L58" s="85"/>
      <c r="M58" s="246">
        <v>44755</v>
      </c>
      <c r="N58" s="29" t="s">
        <v>1217</v>
      </c>
      <c r="O58" s="29" t="s">
        <v>1376</v>
      </c>
      <c r="P58" s="29" t="s">
        <v>673</v>
      </c>
      <c r="Q58" s="29">
        <v>5.8</v>
      </c>
      <c r="R58" s="29">
        <v>116</v>
      </c>
      <c r="S58" s="29" t="s">
        <v>416</v>
      </c>
      <c r="T58" t="s">
        <v>1552</v>
      </c>
      <c r="U58" t="s">
        <v>929</v>
      </c>
      <c r="X58" s="85">
        <f t="shared" si="0"/>
        <v>20</v>
      </c>
      <c r="AA58" s="85" t="s">
        <v>418</v>
      </c>
      <c r="AB58" s="85" t="s">
        <v>418</v>
      </c>
    </row>
    <row r="59" spans="1:28">
      <c r="A59" s="67">
        <v>58</v>
      </c>
      <c r="B59" s="29" t="s">
        <v>927</v>
      </c>
      <c r="C59" s="29" t="s">
        <v>946</v>
      </c>
      <c r="D59" s="29" t="s">
        <v>1468</v>
      </c>
      <c r="E59" s="222">
        <v>44762</v>
      </c>
      <c r="F59" s="29" t="s">
        <v>1024</v>
      </c>
      <c r="G59" s="29" t="s">
        <v>983</v>
      </c>
      <c r="H59" s="221">
        <v>4</v>
      </c>
      <c r="I59" s="221">
        <v>5.59</v>
      </c>
      <c r="J59" s="221">
        <v>5.7</v>
      </c>
      <c r="K59" s="85" t="s">
        <v>1470</v>
      </c>
      <c r="L59" s="85"/>
      <c r="M59" s="246">
        <v>44755</v>
      </c>
      <c r="N59" s="29" t="s">
        <v>1217</v>
      </c>
      <c r="O59" s="29" t="s">
        <v>1376</v>
      </c>
      <c r="P59" s="29" t="s">
        <v>673</v>
      </c>
      <c r="Q59" s="29">
        <v>5.8</v>
      </c>
      <c r="R59" s="29">
        <v>13.687999999999999</v>
      </c>
      <c r="S59" s="29" t="s">
        <v>416</v>
      </c>
      <c r="T59" t="s">
        <v>1552</v>
      </c>
      <c r="U59" t="s">
        <v>1032</v>
      </c>
      <c r="X59" s="85">
        <f t="shared" si="0"/>
        <v>2.36</v>
      </c>
      <c r="AA59" s="85" t="s">
        <v>418</v>
      </c>
      <c r="AB59" s="85" t="s">
        <v>418</v>
      </c>
    </row>
    <row r="60" spans="1:28">
      <c r="A60" s="67">
        <v>59</v>
      </c>
      <c r="B60" s="29" t="s">
        <v>927</v>
      </c>
      <c r="C60" s="29" t="s">
        <v>946</v>
      </c>
      <c r="D60" s="29" t="s">
        <v>1468</v>
      </c>
      <c r="E60" s="222">
        <v>44762</v>
      </c>
      <c r="F60" s="29" t="s">
        <v>1024</v>
      </c>
      <c r="G60" s="29" t="s">
        <v>453</v>
      </c>
      <c r="H60" s="221">
        <v>10</v>
      </c>
      <c r="I60" s="221">
        <v>1.56</v>
      </c>
      <c r="J60" s="221">
        <v>5.7</v>
      </c>
      <c r="K60" s="85" t="s">
        <v>1471</v>
      </c>
      <c r="L60" s="85"/>
      <c r="M60" s="246">
        <v>44756</v>
      </c>
      <c r="N60" s="29" t="s">
        <v>1300</v>
      </c>
      <c r="O60" s="29" t="s">
        <v>1377</v>
      </c>
      <c r="P60" s="29" t="s">
        <v>673</v>
      </c>
      <c r="Q60" s="29">
        <v>5.8</v>
      </c>
      <c r="R60" s="29">
        <v>-1276</v>
      </c>
      <c r="S60" s="29" t="s">
        <v>416</v>
      </c>
      <c r="T60" t="s">
        <v>1553</v>
      </c>
      <c r="U60" t="s">
        <v>929</v>
      </c>
      <c r="X60" s="85">
        <f t="shared" si="0"/>
        <v>-220</v>
      </c>
      <c r="AA60" s="85" t="s">
        <v>418</v>
      </c>
      <c r="AB60" s="85" t="s">
        <v>418</v>
      </c>
    </row>
    <row r="61" spans="1:28">
      <c r="A61" s="67">
        <v>60</v>
      </c>
      <c r="B61" s="29" t="s">
        <v>927</v>
      </c>
      <c r="C61" s="29" t="s">
        <v>946</v>
      </c>
      <c r="D61" s="29" t="s">
        <v>1468</v>
      </c>
      <c r="E61" s="222">
        <v>44762</v>
      </c>
      <c r="F61" s="29" t="s">
        <v>1024</v>
      </c>
      <c r="G61" s="29" t="s">
        <v>76</v>
      </c>
      <c r="H61" s="221">
        <v>5</v>
      </c>
      <c r="I61" s="221">
        <v>1.2199999999999998</v>
      </c>
      <c r="J61" s="221">
        <v>5.7</v>
      </c>
      <c r="K61" s="85" t="s">
        <v>1472</v>
      </c>
      <c r="L61" s="85"/>
      <c r="M61" s="246">
        <v>37452</v>
      </c>
      <c r="N61" s="29" t="s">
        <v>1378</v>
      </c>
      <c r="O61" s="29" t="s">
        <v>1379</v>
      </c>
      <c r="P61" s="29" t="s">
        <v>673</v>
      </c>
      <c r="Q61" s="29">
        <v>5.8</v>
      </c>
      <c r="R61" s="29">
        <v>-319</v>
      </c>
      <c r="S61" s="29" t="s">
        <v>416</v>
      </c>
      <c r="T61" t="s">
        <v>1554</v>
      </c>
      <c r="U61" t="s">
        <v>929</v>
      </c>
      <c r="X61" s="85">
        <f t="shared" si="0"/>
        <v>-55</v>
      </c>
      <c r="AA61" s="85" t="s">
        <v>418</v>
      </c>
      <c r="AB61" s="85" t="s">
        <v>418</v>
      </c>
    </row>
    <row r="62" spans="1:28">
      <c r="A62" s="67">
        <v>61</v>
      </c>
      <c r="B62" s="29" t="s">
        <v>927</v>
      </c>
      <c r="C62" s="29" t="s">
        <v>946</v>
      </c>
      <c r="D62" s="29" t="s">
        <v>1468</v>
      </c>
      <c r="E62" s="222">
        <v>44762</v>
      </c>
      <c r="F62" s="29" t="s">
        <v>1024</v>
      </c>
      <c r="G62" s="29" t="s">
        <v>75</v>
      </c>
      <c r="H62" s="221">
        <v>5</v>
      </c>
      <c r="I62" s="221">
        <v>1.81</v>
      </c>
      <c r="J62" s="221">
        <v>5.7</v>
      </c>
      <c r="K62" s="85" t="s">
        <v>1473</v>
      </c>
      <c r="L62" s="85"/>
      <c r="M62" s="246">
        <v>44756</v>
      </c>
      <c r="N62" s="29" t="s">
        <v>850</v>
      </c>
      <c r="O62" s="29" t="s">
        <v>1380</v>
      </c>
      <c r="P62" s="29" t="s">
        <v>673</v>
      </c>
      <c r="Q62" s="29">
        <v>5.8</v>
      </c>
      <c r="R62" s="29">
        <v>1682</v>
      </c>
      <c r="S62" s="29" t="s">
        <v>416</v>
      </c>
      <c r="T62" t="s">
        <v>1555</v>
      </c>
      <c r="U62" t="s">
        <v>929</v>
      </c>
      <c r="X62" s="85">
        <f t="shared" si="0"/>
        <v>290</v>
      </c>
      <c r="AA62" s="85" t="s">
        <v>418</v>
      </c>
      <c r="AB62" s="85" t="s">
        <v>418</v>
      </c>
    </row>
    <row r="63" spans="1:28">
      <c r="A63" s="67">
        <v>62</v>
      </c>
      <c r="B63" s="29" t="s">
        <v>927</v>
      </c>
      <c r="C63" s="29" t="s">
        <v>946</v>
      </c>
      <c r="D63" s="29" t="s">
        <v>1474</v>
      </c>
      <c r="E63" s="222">
        <v>44762</v>
      </c>
      <c r="F63" s="29" t="s">
        <v>1065</v>
      </c>
      <c r="G63" s="29" t="s">
        <v>76</v>
      </c>
      <c r="H63" s="221">
        <v>50</v>
      </c>
      <c r="I63" s="221">
        <v>1.2199999999999998</v>
      </c>
      <c r="J63" s="221">
        <v>5.7</v>
      </c>
      <c r="K63" s="85" t="s">
        <v>1475</v>
      </c>
      <c r="L63" s="85"/>
      <c r="M63" s="246">
        <v>44756</v>
      </c>
      <c r="N63" s="29" t="s">
        <v>850</v>
      </c>
      <c r="O63" s="29" t="s">
        <v>1380</v>
      </c>
      <c r="P63" s="29" t="s">
        <v>673</v>
      </c>
      <c r="Q63" s="29">
        <v>5.8</v>
      </c>
      <c r="R63" s="29">
        <v>43.5</v>
      </c>
      <c r="S63" s="29" t="s">
        <v>416</v>
      </c>
      <c r="T63" t="s">
        <v>1555</v>
      </c>
      <c r="U63" t="s">
        <v>1032</v>
      </c>
      <c r="X63" s="85">
        <f t="shared" si="0"/>
        <v>7.5</v>
      </c>
      <c r="AA63" s="85" t="s">
        <v>418</v>
      </c>
      <c r="AB63" s="85" t="s">
        <v>418</v>
      </c>
    </row>
    <row r="64" spans="1:28">
      <c r="A64" s="67">
        <v>63</v>
      </c>
      <c r="B64" s="29" t="s">
        <v>927</v>
      </c>
      <c r="C64" s="29" t="s">
        <v>946</v>
      </c>
      <c r="D64" s="29" t="s">
        <v>1474</v>
      </c>
      <c r="E64" s="222">
        <v>44762</v>
      </c>
      <c r="F64" s="29" t="s">
        <v>1065</v>
      </c>
      <c r="G64" s="29" t="s">
        <v>983</v>
      </c>
      <c r="H64" s="221">
        <v>5</v>
      </c>
      <c r="I64" s="221">
        <v>5.59</v>
      </c>
      <c r="J64" s="221">
        <v>5.0999999999999996</v>
      </c>
      <c r="K64" s="85" t="s">
        <v>1476</v>
      </c>
      <c r="L64" s="85"/>
      <c r="M64" s="246">
        <v>44757</v>
      </c>
      <c r="N64" s="29" t="s">
        <v>1300</v>
      </c>
      <c r="O64" s="29" t="s">
        <v>1381</v>
      </c>
      <c r="P64" s="29" t="s">
        <v>673</v>
      </c>
      <c r="Q64" s="29">
        <v>5.82</v>
      </c>
      <c r="R64" s="29">
        <v>-480.15000000000003</v>
      </c>
      <c r="S64" s="29" t="s">
        <v>416</v>
      </c>
      <c r="T64" t="s">
        <v>1556</v>
      </c>
      <c r="U64" t="s">
        <v>929</v>
      </c>
      <c r="X64" s="85">
        <f t="shared" si="0"/>
        <v>-82.5</v>
      </c>
      <c r="AA64" s="85" t="s">
        <v>418</v>
      </c>
      <c r="AB64" s="85" t="s">
        <v>418</v>
      </c>
    </row>
    <row r="65" spans="1:28">
      <c r="A65" s="67">
        <v>64</v>
      </c>
      <c r="B65" s="29" t="s">
        <v>927</v>
      </c>
      <c r="C65" s="29" t="s">
        <v>946</v>
      </c>
      <c r="D65" s="29" t="s">
        <v>1474</v>
      </c>
      <c r="E65" s="222">
        <v>44762</v>
      </c>
      <c r="F65" s="29" t="s">
        <v>1065</v>
      </c>
      <c r="G65" s="29" t="s">
        <v>922</v>
      </c>
      <c r="H65" s="221">
        <v>30</v>
      </c>
      <c r="I65" s="221">
        <v>2.41</v>
      </c>
      <c r="J65" s="221">
        <v>5.0999999999999996</v>
      </c>
      <c r="K65" s="85" t="s">
        <v>1477</v>
      </c>
      <c r="L65" s="85"/>
      <c r="M65" s="246">
        <v>44757</v>
      </c>
      <c r="N65" s="29" t="s">
        <v>1144</v>
      </c>
      <c r="O65" s="29" t="s">
        <v>1319</v>
      </c>
      <c r="P65" s="29" t="s">
        <v>673</v>
      </c>
      <c r="Q65" s="29">
        <v>5.82</v>
      </c>
      <c r="R65" s="29">
        <v>221.16000000000003</v>
      </c>
      <c r="S65" s="29" t="s">
        <v>416</v>
      </c>
      <c r="T65" t="s">
        <v>1519</v>
      </c>
      <c r="U65" t="s">
        <v>1032</v>
      </c>
      <c r="X65" s="85">
        <f t="shared" si="0"/>
        <v>38</v>
      </c>
      <c r="AA65" s="85" t="s">
        <v>418</v>
      </c>
      <c r="AB65" s="85" t="s">
        <v>418</v>
      </c>
    </row>
    <row r="66" spans="1:28">
      <c r="A66" s="67">
        <v>65</v>
      </c>
      <c r="B66" s="29" t="s">
        <v>927</v>
      </c>
      <c r="C66" s="29" t="s">
        <v>946</v>
      </c>
      <c r="D66" s="29" t="s">
        <v>1478</v>
      </c>
      <c r="E66" s="222">
        <v>44762</v>
      </c>
      <c r="F66" s="29" t="s">
        <v>1398</v>
      </c>
      <c r="G66" s="29" t="s">
        <v>480</v>
      </c>
      <c r="H66" s="221">
        <v>3</v>
      </c>
      <c r="I66" s="221">
        <v>0.55000000000000004</v>
      </c>
      <c r="J66" s="221">
        <v>5.0999999999999996</v>
      </c>
      <c r="K66" s="85" t="s">
        <v>1479</v>
      </c>
      <c r="L66" s="85"/>
      <c r="M66" s="246">
        <v>44757</v>
      </c>
      <c r="N66" s="29" t="s">
        <v>1034</v>
      </c>
      <c r="O66" s="29" t="s">
        <v>1382</v>
      </c>
      <c r="P66" s="29" t="s">
        <v>673</v>
      </c>
      <c r="Q66" s="29">
        <v>5.82</v>
      </c>
      <c r="R66" s="29">
        <v>-116.4</v>
      </c>
      <c r="S66" s="29" t="s">
        <v>416</v>
      </c>
      <c r="T66" t="s">
        <v>1557</v>
      </c>
      <c r="U66" t="s">
        <v>929</v>
      </c>
      <c r="X66" s="85">
        <f t="shared" si="0"/>
        <v>-20</v>
      </c>
      <c r="AA66" s="85" t="s">
        <v>418</v>
      </c>
      <c r="AB66" s="85" t="s">
        <v>418</v>
      </c>
    </row>
    <row r="67" spans="1:28">
      <c r="A67" s="67">
        <v>66</v>
      </c>
      <c r="B67" s="29" t="s">
        <v>927</v>
      </c>
      <c r="C67" s="29" t="s">
        <v>946</v>
      </c>
      <c r="D67" s="29" t="s">
        <v>1478</v>
      </c>
      <c r="E67" s="222">
        <v>44762</v>
      </c>
      <c r="F67" s="29" t="s">
        <v>1398</v>
      </c>
      <c r="G67" s="29" t="s">
        <v>515</v>
      </c>
      <c r="H67" s="221">
        <v>4</v>
      </c>
      <c r="I67" s="221">
        <v>2.1800000000000002</v>
      </c>
      <c r="J67" s="221">
        <v>5.0999999999999996</v>
      </c>
      <c r="K67" s="85" t="s">
        <v>1480</v>
      </c>
      <c r="L67" s="85"/>
      <c r="M67" s="246">
        <v>44757</v>
      </c>
      <c r="N67" s="29" t="s">
        <v>944</v>
      </c>
      <c r="O67" s="29" t="s">
        <v>1382</v>
      </c>
      <c r="P67" s="29" t="s">
        <v>673</v>
      </c>
      <c r="Q67" s="29">
        <v>5.82</v>
      </c>
      <c r="R67" s="29">
        <v>-116.4</v>
      </c>
      <c r="S67" s="29" t="s">
        <v>416</v>
      </c>
      <c r="T67" t="s">
        <v>1558</v>
      </c>
      <c r="U67" t="s">
        <v>929</v>
      </c>
      <c r="X67" s="85">
        <f t="shared" ref="X67:X130" si="1">IF(OR(Q67=0,Q67=""),0,R67/Q67)</f>
        <v>-20</v>
      </c>
      <c r="AA67" s="85" t="s">
        <v>418</v>
      </c>
      <c r="AB67" s="85" t="s">
        <v>418</v>
      </c>
    </row>
    <row r="68" spans="1:28">
      <c r="A68" s="67">
        <v>67</v>
      </c>
      <c r="B68" s="29" t="s">
        <v>927</v>
      </c>
      <c r="C68" s="29" t="s">
        <v>946</v>
      </c>
      <c r="D68" s="29" t="s">
        <v>1478</v>
      </c>
      <c r="E68" s="222">
        <v>44762</v>
      </c>
      <c r="F68" s="29" t="s">
        <v>1398</v>
      </c>
      <c r="G68" s="29" t="s">
        <v>632</v>
      </c>
      <c r="H68" s="221">
        <v>3</v>
      </c>
      <c r="I68" s="221">
        <v>1.56</v>
      </c>
      <c r="J68" s="221">
        <v>5.0999999999999996</v>
      </c>
      <c r="K68" s="85" t="s">
        <v>1481</v>
      </c>
      <c r="L68" s="85"/>
      <c r="M68" s="246">
        <v>44757</v>
      </c>
      <c r="N68" s="29" t="s">
        <v>1033</v>
      </c>
      <c r="O68" s="29" t="s">
        <v>1382</v>
      </c>
      <c r="P68" s="29" t="s">
        <v>673</v>
      </c>
      <c r="Q68" s="29">
        <v>5.82</v>
      </c>
      <c r="R68" s="29">
        <v>-116.4</v>
      </c>
      <c r="S68" s="29" t="s">
        <v>416</v>
      </c>
      <c r="T68" t="s">
        <v>1559</v>
      </c>
      <c r="U68" t="s">
        <v>929</v>
      </c>
      <c r="X68" s="85">
        <f t="shared" si="1"/>
        <v>-20</v>
      </c>
      <c r="AA68" s="85" t="s">
        <v>418</v>
      </c>
      <c r="AB68" s="85" t="s">
        <v>418</v>
      </c>
    </row>
    <row r="69" spans="1:28">
      <c r="A69" s="67">
        <v>68</v>
      </c>
      <c r="B69" s="29" t="s">
        <v>927</v>
      </c>
      <c r="C69" s="29" t="s">
        <v>946</v>
      </c>
      <c r="D69" s="29" t="s">
        <v>1478</v>
      </c>
      <c r="E69" s="222">
        <v>44762</v>
      </c>
      <c r="F69" s="29" t="s">
        <v>1398</v>
      </c>
      <c r="G69" s="29" t="s">
        <v>538</v>
      </c>
      <c r="H69" s="221">
        <v>5</v>
      </c>
      <c r="I69" s="221">
        <v>1.7599999999999998</v>
      </c>
      <c r="J69" s="221">
        <v>5.0999999999999996</v>
      </c>
      <c r="K69" s="85" t="s">
        <v>1482</v>
      </c>
      <c r="L69" s="85"/>
      <c r="M69" s="246">
        <v>44757</v>
      </c>
      <c r="N69" s="29" t="s">
        <v>1138</v>
      </c>
      <c r="O69" s="29" t="s">
        <v>1382</v>
      </c>
      <c r="P69" s="29" t="s">
        <v>673</v>
      </c>
      <c r="Q69" s="29">
        <v>5.82</v>
      </c>
      <c r="R69" s="29">
        <v>-87.300000000000011</v>
      </c>
      <c r="S69" s="29" t="s">
        <v>416</v>
      </c>
      <c r="T69" t="s">
        <v>1560</v>
      </c>
      <c r="U69" t="s">
        <v>929</v>
      </c>
      <c r="X69" s="85">
        <f t="shared" si="1"/>
        <v>-15.000000000000002</v>
      </c>
      <c r="AA69" s="85" t="s">
        <v>418</v>
      </c>
      <c r="AB69" s="85" t="s">
        <v>418</v>
      </c>
    </row>
    <row r="70" spans="1:28">
      <c r="A70" s="67">
        <v>69</v>
      </c>
      <c r="B70" s="29" t="s">
        <v>927</v>
      </c>
      <c r="C70" s="29" t="s">
        <v>946</v>
      </c>
      <c r="D70" s="29" t="s">
        <v>1478</v>
      </c>
      <c r="E70" s="222">
        <v>44762</v>
      </c>
      <c r="F70" s="29" t="s">
        <v>1398</v>
      </c>
      <c r="G70" s="29" t="s">
        <v>983</v>
      </c>
      <c r="H70" s="221">
        <v>4</v>
      </c>
      <c r="I70" s="221">
        <v>5.59</v>
      </c>
      <c r="J70" s="221">
        <v>5.0999999999999996</v>
      </c>
      <c r="K70" s="85" t="s">
        <v>1483</v>
      </c>
      <c r="L70" s="85"/>
      <c r="M70" s="246">
        <v>44757</v>
      </c>
      <c r="N70" s="29" t="s">
        <v>1124</v>
      </c>
      <c r="O70" s="29" t="s">
        <v>1382</v>
      </c>
      <c r="P70" s="29" t="s">
        <v>673</v>
      </c>
      <c r="Q70" s="29">
        <v>5.82</v>
      </c>
      <c r="R70" s="29">
        <v>-465.6</v>
      </c>
      <c r="S70" s="29" t="s">
        <v>416</v>
      </c>
      <c r="T70" t="s">
        <v>1561</v>
      </c>
      <c r="U70" t="s">
        <v>929</v>
      </c>
      <c r="X70" s="85">
        <f t="shared" si="1"/>
        <v>-80</v>
      </c>
      <c r="AA70" s="85" t="s">
        <v>418</v>
      </c>
      <c r="AB70" s="85" t="s">
        <v>418</v>
      </c>
    </row>
    <row r="71" spans="1:28">
      <c r="A71" s="67">
        <v>70</v>
      </c>
      <c r="B71" s="29" t="s">
        <v>927</v>
      </c>
      <c r="C71" s="29" t="s">
        <v>946</v>
      </c>
      <c r="D71" s="29" t="s">
        <v>1409</v>
      </c>
      <c r="E71" s="222">
        <v>44764</v>
      </c>
      <c r="F71" s="29" t="s">
        <v>1083</v>
      </c>
      <c r="G71" s="29" t="s">
        <v>983</v>
      </c>
      <c r="H71" s="221">
        <v>5</v>
      </c>
      <c r="I71" s="221">
        <v>5.59</v>
      </c>
      <c r="J71" s="221">
        <v>5.8599999999999994</v>
      </c>
      <c r="K71" s="85" t="s">
        <v>1192</v>
      </c>
      <c r="L71" s="85"/>
      <c r="M71" s="246">
        <v>44757</v>
      </c>
      <c r="N71" s="29" t="s">
        <v>1125</v>
      </c>
      <c r="O71" s="29" t="s">
        <v>1382</v>
      </c>
      <c r="P71" s="29" t="s">
        <v>673</v>
      </c>
      <c r="Q71" s="29">
        <v>5.82</v>
      </c>
      <c r="R71" s="29">
        <v>-29.1</v>
      </c>
      <c r="S71" s="29" t="s">
        <v>416</v>
      </c>
      <c r="T71" t="s">
        <v>1562</v>
      </c>
      <c r="U71" t="s">
        <v>929</v>
      </c>
      <c r="X71" s="85">
        <f t="shared" si="1"/>
        <v>-5</v>
      </c>
      <c r="AA71" s="85" t="s">
        <v>418</v>
      </c>
      <c r="AB71" s="85" t="s">
        <v>418</v>
      </c>
    </row>
    <row r="72" spans="1:28">
      <c r="A72" s="67">
        <v>71</v>
      </c>
      <c r="B72" s="29" t="s">
        <v>927</v>
      </c>
      <c r="C72" s="29" t="s">
        <v>946</v>
      </c>
      <c r="D72" s="29" t="s">
        <v>1405</v>
      </c>
      <c r="E72" s="222">
        <v>44764</v>
      </c>
      <c r="F72" s="29" t="s">
        <v>1065</v>
      </c>
      <c r="G72" s="29" t="s">
        <v>983</v>
      </c>
      <c r="H72" s="221">
        <v>15</v>
      </c>
      <c r="I72" s="221">
        <v>5.59</v>
      </c>
      <c r="J72" s="221">
        <v>5.86</v>
      </c>
      <c r="K72" s="85" t="s">
        <v>1484</v>
      </c>
      <c r="L72" s="85"/>
      <c r="M72" s="246">
        <v>44757</v>
      </c>
      <c r="N72" s="29" t="s">
        <v>1139</v>
      </c>
      <c r="O72" s="29" t="s">
        <v>1382</v>
      </c>
      <c r="P72" s="29" t="s">
        <v>673</v>
      </c>
      <c r="Q72" s="29">
        <v>5.82</v>
      </c>
      <c r="R72" s="29">
        <v>-58.2</v>
      </c>
      <c r="S72" s="29" t="s">
        <v>416</v>
      </c>
      <c r="T72" t="s">
        <v>1563</v>
      </c>
      <c r="U72" t="s">
        <v>929</v>
      </c>
      <c r="X72" s="85">
        <f t="shared" si="1"/>
        <v>-10</v>
      </c>
      <c r="AA72" s="85" t="s">
        <v>418</v>
      </c>
      <c r="AB72" s="85" t="s">
        <v>418</v>
      </c>
    </row>
    <row r="73" spans="1:28">
      <c r="A73" s="67">
        <v>72</v>
      </c>
      <c r="B73" s="29" t="s">
        <v>927</v>
      </c>
      <c r="C73" s="29" t="s">
        <v>946</v>
      </c>
      <c r="D73" s="29" t="s">
        <v>1485</v>
      </c>
      <c r="E73" s="222">
        <v>44764</v>
      </c>
      <c r="F73" s="29" t="s">
        <v>839</v>
      </c>
      <c r="G73" s="29" t="s">
        <v>707</v>
      </c>
      <c r="H73" s="221">
        <v>10</v>
      </c>
      <c r="I73" s="221">
        <v>4.16</v>
      </c>
      <c r="J73" s="221">
        <v>5.72</v>
      </c>
      <c r="K73" s="85" t="s">
        <v>1486</v>
      </c>
      <c r="L73" s="85"/>
      <c r="M73" s="246">
        <v>44757</v>
      </c>
      <c r="N73" s="29" t="s">
        <v>1033</v>
      </c>
      <c r="O73" s="29" t="s">
        <v>1383</v>
      </c>
      <c r="P73" s="29" t="s">
        <v>673</v>
      </c>
      <c r="Q73" s="29">
        <v>5.82</v>
      </c>
      <c r="R73" s="29">
        <v>-116.4</v>
      </c>
      <c r="S73" s="29" t="s">
        <v>416</v>
      </c>
      <c r="T73" t="s">
        <v>1564</v>
      </c>
      <c r="U73" t="s">
        <v>929</v>
      </c>
      <c r="X73" s="85">
        <f t="shared" si="1"/>
        <v>-20</v>
      </c>
      <c r="AA73" s="85" t="s">
        <v>418</v>
      </c>
      <c r="AB73" s="85" t="s">
        <v>418</v>
      </c>
    </row>
    <row r="74" spans="1:28">
      <c r="A74" s="67">
        <v>73</v>
      </c>
      <c r="B74" s="29" t="s">
        <v>927</v>
      </c>
      <c r="C74" s="29" t="s">
        <v>946</v>
      </c>
      <c r="D74" s="29" t="s">
        <v>1485</v>
      </c>
      <c r="E74" s="222">
        <v>44764</v>
      </c>
      <c r="F74" s="29" t="s">
        <v>839</v>
      </c>
      <c r="G74" s="29" t="s">
        <v>524</v>
      </c>
      <c r="H74" s="221">
        <v>50</v>
      </c>
      <c r="I74" s="221">
        <v>1.1499999999999999</v>
      </c>
      <c r="J74" s="221">
        <v>5.72</v>
      </c>
      <c r="K74" s="85" t="s">
        <v>1487</v>
      </c>
      <c r="L74" s="85"/>
      <c r="M74" s="246">
        <v>44757</v>
      </c>
      <c r="N74" s="29" t="s">
        <v>1384</v>
      </c>
      <c r="O74" s="29" t="s">
        <v>1385</v>
      </c>
      <c r="P74" s="29" t="s">
        <v>673</v>
      </c>
      <c r="Q74" s="29">
        <v>5.82</v>
      </c>
      <c r="R74" s="29">
        <v>-465.6</v>
      </c>
      <c r="S74" s="29" t="s">
        <v>416</v>
      </c>
      <c r="T74" t="s">
        <v>1565</v>
      </c>
      <c r="U74" t="s">
        <v>929</v>
      </c>
      <c r="X74" s="85">
        <f t="shared" si="1"/>
        <v>-80</v>
      </c>
      <c r="AA74" s="85" t="s">
        <v>418</v>
      </c>
      <c r="AB74" s="85" t="s">
        <v>418</v>
      </c>
    </row>
    <row r="75" spans="1:28">
      <c r="A75" s="67">
        <v>74</v>
      </c>
      <c r="B75" s="29" t="s">
        <v>927</v>
      </c>
      <c r="C75" s="29" t="s">
        <v>946</v>
      </c>
      <c r="D75" s="29" t="s">
        <v>1485</v>
      </c>
      <c r="E75" s="222">
        <v>44764</v>
      </c>
      <c r="F75" s="29" t="s">
        <v>839</v>
      </c>
      <c r="G75" s="29" t="s">
        <v>922</v>
      </c>
      <c r="H75" s="221">
        <v>20</v>
      </c>
      <c r="I75" s="221">
        <v>2.41</v>
      </c>
      <c r="J75" s="221">
        <v>5.72</v>
      </c>
      <c r="K75" s="85" t="s">
        <v>1488</v>
      </c>
      <c r="L75" s="85"/>
      <c r="M75" s="246">
        <v>44757</v>
      </c>
      <c r="N75" s="29" t="s">
        <v>1386</v>
      </c>
      <c r="O75" s="29" t="s">
        <v>1387</v>
      </c>
      <c r="P75" s="29" t="s">
        <v>673</v>
      </c>
      <c r="Q75" s="29">
        <v>5.82</v>
      </c>
      <c r="R75" s="29">
        <v>-87.300000000000011</v>
      </c>
      <c r="S75" s="29" t="s">
        <v>416</v>
      </c>
      <c r="T75" t="s">
        <v>1566</v>
      </c>
      <c r="U75" t="s">
        <v>929</v>
      </c>
      <c r="X75" s="85">
        <f t="shared" si="1"/>
        <v>-15.000000000000002</v>
      </c>
      <c r="AA75" s="85" t="s">
        <v>418</v>
      </c>
      <c r="AB75" s="85" t="s">
        <v>418</v>
      </c>
    </row>
    <row r="76" spans="1:28">
      <c r="A76" s="67">
        <v>75</v>
      </c>
      <c r="B76" s="29" t="s">
        <v>927</v>
      </c>
      <c r="C76" s="29" t="s">
        <v>946</v>
      </c>
      <c r="D76" s="29" t="s">
        <v>1485</v>
      </c>
      <c r="E76" s="222">
        <v>44764</v>
      </c>
      <c r="F76" s="29" t="s">
        <v>839</v>
      </c>
      <c r="G76" s="29" t="s">
        <v>76</v>
      </c>
      <c r="H76" s="221">
        <v>50</v>
      </c>
      <c r="I76" s="221">
        <v>1.2199999999999998</v>
      </c>
      <c r="J76" s="221">
        <v>5.72</v>
      </c>
      <c r="K76" s="85" t="s">
        <v>1489</v>
      </c>
      <c r="L76" s="85"/>
      <c r="M76" s="246">
        <v>44760</v>
      </c>
      <c r="N76" s="29" t="s">
        <v>1197</v>
      </c>
      <c r="O76" s="29" t="s">
        <v>1389</v>
      </c>
      <c r="P76" s="29" t="s">
        <v>673</v>
      </c>
      <c r="Q76" s="29">
        <v>5.82</v>
      </c>
      <c r="R76" s="29">
        <v>-93.12</v>
      </c>
      <c r="S76" s="29" t="s">
        <v>416</v>
      </c>
      <c r="T76" t="s">
        <v>1567</v>
      </c>
      <c r="U76" t="s">
        <v>929</v>
      </c>
      <c r="X76" s="85">
        <f t="shared" si="1"/>
        <v>-16</v>
      </c>
      <c r="AA76" s="85" t="s">
        <v>418</v>
      </c>
      <c r="AB76" s="85" t="s">
        <v>418</v>
      </c>
    </row>
    <row r="77" spans="1:28">
      <c r="A77" s="67">
        <v>76</v>
      </c>
      <c r="B77" s="29" t="s">
        <v>927</v>
      </c>
      <c r="C77" s="29" t="s">
        <v>946</v>
      </c>
      <c r="D77" s="29" t="s">
        <v>1485</v>
      </c>
      <c r="E77" s="222">
        <v>44764</v>
      </c>
      <c r="F77" s="29" t="s">
        <v>839</v>
      </c>
      <c r="G77" s="29" t="s">
        <v>983</v>
      </c>
      <c r="H77" s="221">
        <v>5</v>
      </c>
      <c r="I77" s="221">
        <v>5.59</v>
      </c>
      <c r="J77" s="221">
        <v>5.72</v>
      </c>
      <c r="K77" s="85" t="s">
        <v>1490</v>
      </c>
      <c r="L77" s="85"/>
      <c r="M77" s="246">
        <v>44761</v>
      </c>
      <c r="N77" s="29" t="s">
        <v>1290</v>
      </c>
      <c r="O77" s="29" t="s">
        <v>1316</v>
      </c>
      <c r="P77" s="29" t="s">
        <v>673</v>
      </c>
      <c r="Q77" s="29">
        <v>5.84</v>
      </c>
      <c r="R77" s="29">
        <v>1168</v>
      </c>
      <c r="S77" s="29" t="s">
        <v>416</v>
      </c>
      <c r="T77" t="s">
        <v>1568</v>
      </c>
      <c r="U77" t="s">
        <v>929</v>
      </c>
      <c r="X77" s="85">
        <f t="shared" si="1"/>
        <v>200</v>
      </c>
      <c r="AA77" s="85" t="s">
        <v>418</v>
      </c>
      <c r="AB77" s="85" t="s">
        <v>418</v>
      </c>
    </row>
    <row r="78" spans="1:28">
      <c r="A78" s="67">
        <v>77</v>
      </c>
      <c r="B78" s="29" t="s">
        <v>927</v>
      </c>
      <c r="C78" s="29" t="s">
        <v>946</v>
      </c>
      <c r="D78" s="29" t="s">
        <v>1485</v>
      </c>
      <c r="E78" s="222">
        <v>44764</v>
      </c>
      <c r="F78" s="29" t="s">
        <v>839</v>
      </c>
      <c r="G78" s="29" t="s">
        <v>548</v>
      </c>
      <c r="H78" s="221">
        <v>10</v>
      </c>
      <c r="I78" s="221">
        <v>1.2400000000000002</v>
      </c>
      <c r="J78" s="221">
        <v>5.72</v>
      </c>
      <c r="K78" s="85" t="s">
        <v>1491</v>
      </c>
      <c r="L78" s="85"/>
      <c r="M78" s="246">
        <v>44761</v>
      </c>
      <c r="N78" s="29" t="s">
        <v>1290</v>
      </c>
      <c r="O78" s="29" t="s">
        <v>1316</v>
      </c>
      <c r="P78" s="29" t="s">
        <v>673</v>
      </c>
      <c r="Q78" s="29">
        <v>5.84</v>
      </c>
      <c r="R78" s="29">
        <v>11.096</v>
      </c>
      <c r="S78" s="29" t="s">
        <v>416</v>
      </c>
      <c r="T78" t="s">
        <v>1568</v>
      </c>
      <c r="U78" t="s">
        <v>1032</v>
      </c>
      <c r="X78" s="85">
        <f t="shared" si="1"/>
        <v>1.9000000000000001</v>
      </c>
      <c r="AA78" s="85" t="s">
        <v>418</v>
      </c>
      <c r="AB78" s="85" t="s">
        <v>418</v>
      </c>
    </row>
    <row r="79" spans="1:28">
      <c r="A79" s="67">
        <v>78</v>
      </c>
      <c r="B79" s="29" t="s">
        <v>927</v>
      </c>
      <c r="C79" s="29" t="s">
        <v>946</v>
      </c>
      <c r="D79" s="29" t="s">
        <v>1492</v>
      </c>
      <c r="E79" s="222">
        <v>44768</v>
      </c>
      <c r="F79" s="29" t="s">
        <v>242</v>
      </c>
      <c r="G79" s="29" t="s">
        <v>838</v>
      </c>
      <c r="H79" s="221">
        <v>10</v>
      </c>
      <c r="I79" s="221">
        <v>4.2119999999999997</v>
      </c>
      <c r="J79" s="221">
        <v>5.0999999999999996</v>
      </c>
      <c r="K79" s="85" t="s">
        <v>1493</v>
      </c>
      <c r="L79" s="85"/>
      <c r="M79" s="246">
        <v>44761</v>
      </c>
      <c r="N79" s="29" t="s">
        <v>301</v>
      </c>
      <c r="O79" s="29" t="s">
        <v>1299</v>
      </c>
      <c r="P79" s="29" t="s">
        <v>673</v>
      </c>
      <c r="Q79" s="29">
        <v>5.85</v>
      </c>
      <c r="R79" s="29">
        <v>585</v>
      </c>
      <c r="S79" s="29" t="s">
        <v>416</v>
      </c>
      <c r="T79" t="s">
        <v>1569</v>
      </c>
      <c r="U79" t="s">
        <v>1032</v>
      </c>
      <c r="X79" s="85">
        <f t="shared" si="1"/>
        <v>100</v>
      </c>
      <c r="AA79" s="85" t="s">
        <v>418</v>
      </c>
      <c r="AB79" s="85" t="s">
        <v>418</v>
      </c>
    </row>
    <row r="80" spans="1:28">
      <c r="A80" s="67">
        <v>79</v>
      </c>
      <c r="B80" s="29" t="s">
        <v>927</v>
      </c>
      <c r="C80" s="29" t="s">
        <v>946</v>
      </c>
      <c r="D80" s="29" t="s">
        <v>1492</v>
      </c>
      <c r="E80" s="222">
        <v>44768</v>
      </c>
      <c r="F80" s="29" t="s">
        <v>242</v>
      </c>
      <c r="G80" s="29" t="s">
        <v>480</v>
      </c>
      <c r="H80" s="221">
        <v>15</v>
      </c>
      <c r="I80" s="221">
        <v>0.53625</v>
      </c>
      <c r="J80" s="221">
        <v>5.0999999999999996</v>
      </c>
      <c r="K80" s="85" t="s">
        <v>1494</v>
      </c>
      <c r="L80" s="85"/>
      <c r="M80" s="246">
        <v>44761</v>
      </c>
      <c r="N80" s="29" t="s">
        <v>1077</v>
      </c>
      <c r="O80" s="29" t="s">
        <v>1338</v>
      </c>
      <c r="P80" s="29" t="s">
        <v>673</v>
      </c>
      <c r="Q80" s="29">
        <v>5.85</v>
      </c>
      <c r="R80" s="29">
        <v>2224.1699999999996</v>
      </c>
      <c r="S80" s="29" t="s">
        <v>416</v>
      </c>
      <c r="T80" t="s">
        <v>1570</v>
      </c>
      <c r="U80" t="s">
        <v>929</v>
      </c>
      <c r="X80" s="85">
        <f t="shared" si="1"/>
        <v>380.19999999999993</v>
      </c>
      <c r="AA80" s="85" t="s">
        <v>418</v>
      </c>
      <c r="AB80" s="85" t="s">
        <v>418</v>
      </c>
    </row>
    <row r="81" spans="1:28">
      <c r="A81" s="67">
        <v>80</v>
      </c>
      <c r="B81" s="29" t="s">
        <v>927</v>
      </c>
      <c r="C81" s="29" t="s">
        <v>946</v>
      </c>
      <c r="D81" s="29" t="s">
        <v>1492</v>
      </c>
      <c r="E81" s="222">
        <v>44768</v>
      </c>
      <c r="F81" s="29" t="s">
        <v>242</v>
      </c>
      <c r="G81" s="29" t="s">
        <v>922</v>
      </c>
      <c r="H81" s="221">
        <v>95</v>
      </c>
      <c r="I81" s="221">
        <v>2.3497500000000002</v>
      </c>
      <c r="J81" s="221">
        <v>5.0999999999999996</v>
      </c>
      <c r="K81" s="85" t="s">
        <v>1495</v>
      </c>
      <c r="L81" s="85"/>
      <c r="M81" s="246">
        <v>44760</v>
      </c>
      <c r="N81" s="29" t="s">
        <v>1392</v>
      </c>
      <c r="O81" s="29" t="s">
        <v>1393</v>
      </c>
      <c r="P81" s="29" t="s">
        <v>673</v>
      </c>
      <c r="Q81" s="29">
        <v>5.85</v>
      </c>
      <c r="R81" s="29">
        <v>-1462.5</v>
      </c>
      <c r="S81" s="29" t="s">
        <v>416</v>
      </c>
      <c r="T81" t="s">
        <v>1571</v>
      </c>
      <c r="U81" t="s">
        <v>929</v>
      </c>
      <c r="X81" s="85">
        <f t="shared" si="1"/>
        <v>-250.00000000000003</v>
      </c>
      <c r="AA81" s="85" t="s">
        <v>418</v>
      </c>
      <c r="AB81" s="85" t="s">
        <v>418</v>
      </c>
    </row>
    <row r="82" spans="1:28">
      <c r="A82" s="67">
        <v>81</v>
      </c>
      <c r="B82" s="29" t="s">
        <v>927</v>
      </c>
      <c r="C82" s="29" t="s">
        <v>946</v>
      </c>
      <c r="D82" s="29" t="s">
        <v>1407</v>
      </c>
      <c r="E82" s="222">
        <v>44768</v>
      </c>
      <c r="F82" s="29" t="s">
        <v>1098</v>
      </c>
      <c r="G82" s="29" t="s">
        <v>983</v>
      </c>
      <c r="H82" s="221">
        <v>4</v>
      </c>
      <c r="I82" s="221">
        <v>5.59</v>
      </c>
      <c r="J82" s="221">
        <v>5.86</v>
      </c>
      <c r="K82" s="85" t="s">
        <v>1496</v>
      </c>
      <c r="L82" s="85"/>
      <c r="M82" s="246">
        <v>44761</v>
      </c>
      <c r="N82" s="29" t="s">
        <v>1392</v>
      </c>
      <c r="O82" s="29" t="s">
        <v>1394</v>
      </c>
      <c r="P82" s="29" t="s">
        <v>673</v>
      </c>
      <c r="Q82" s="29">
        <v>5.85</v>
      </c>
      <c r="R82" s="29">
        <v>-1170</v>
      </c>
      <c r="S82" s="29" t="s">
        <v>416</v>
      </c>
      <c r="T82" t="s">
        <v>1572</v>
      </c>
      <c r="U82" t="s">
        <v>929</v>
      </c>
      <c r="X82" s="85">
        <f t="shared" si="1"/>
        <v>-200</v>
      </c>
      <c r="AA82" s="85" t="s">
        <v>418</v>
      </c>
      <c r="AB82" s="85" t="s">
        <v>418</v>
      </c>
    </row>
    <row r="83" spans="1:28">
      <c r="A83" s="67">
        <v>82</v>
      </c>
      <c r="B83" s="29" t="s">
        <v>927</v>
      </c>
      <c r="C83" s="29" t="s">
        <v>946</v>
      </c>
      <c r="D83" s="29" t="s">
        <v>1410</v>
      </c>
      <c r="E83" s="222">
        <v>44769</v>
      </c>
      <c r="F83" s="29" t="s">
        <v>1110</v>
      </c>
      <c r="G83" s="29" t="s">
        <v>922</v>
      </c>
      <c r="H83" s="221">
        <v>20</v>
      </c>
      <c r="I83" s="221">
        <v>2.41</v>
      </c>
      <c r="J83" s="221">
        <v>5.74</v>
      </c>
      <c r="K83" s="85" t="s">
        <v>1497</v>
      </c>
      <c r="L83" s="85"/>
      <c r="M83" s="246">
        <v>44761</v>
      </c>
      <c r="N83" s="29" t="s">
        <v>110</v>
      </c>
      <c r="O83" s="29" t="s">
        <v>1388</v>
      </c>
      <c r="P83" s="29" t="s">
        <v>673</v>
      </c>
      <c r="Q83" s="29">
        <v>5.85</v>
      </c>
      <c r="R83" s="29">
        <v>263.25</v>
      </c>
      <c r="S83" s="29" t="s">
        <v>416</v>
      </c>
      <c r="T83" t="s">
        <v>1573</v>
      </c>
      <c r="U83" t="s">
        <v>929</v>
      </c>
      <c r="X83" s="85">
        <f t="shared" si="1"/>
        <v>45</v>
      </c>
      <c r="AA83" s="85" t="s">
        <v>418</v>
      </c>
      <c r="AB83" s="85" t="s">
        <v>418</v>
      </c>
    </row>
    <row r="84" spans="1:28">
      <c r="A84" s="67">
        <v>83</v>
      </c>
      <c r="B84" s="29" t="s">
        <v>927</v>
      </c>
      <c r="C84" s="29" t="s">
        <v>946</v>
      </c>
      <c r="D84" s="29" t="s">
        <v>1498</v>
      </c>
      <c r="E84" s="222">
        <v>44768</v>
      </c>
      <c r="F84" s="29" t="s">
        <v>617</v>
      </c>
      <c r="G84" s="29" t="s">
        <v>922</v>
      </c>
      <c r="H84" s="221">
        <v>20</v>
      </c>
      <c r="I84" s="221">
        <v>2.41</v>
      </c>
      <c r="J84" s="221">
        <v>5.74</v>
      </c>
      <c r="K84" s="85" t="s">
        <v>1499</v>
      </c>
      <c r="L84" s="85"/>
      <c r="M84" s="246">
        <v>44761</v>
      </c>
      <c r="N84" s="29" t="s">
        <v>110</v>
      </c>
      <c r="O84" s="29" t="s">
        <v>1388</v>
      </c>
      <c r="P84" s="29" t="s">
        <v>673</v>
      </c>
      <c r="Q84" s="29">
        <v>5.85</v>
      </c>
      <c r="R84" s="29">
        <v>26.909999999999997</v>
      </c>
      <c r="S84" s="29" t="s">
        <v>416</v>
      </c>
      <c r="T84" t="s">
        <v>1573</v>
      </c>
      <c r="U84" t="s">
        <v>1032</v>
      </c>
      <c r="X84" s="85">
        <f t="shared" si="1"/>
        <v>4.5999999999999996</v>
      </c>
      <c r="AA84" s="85" t="s">
        <v>418</v>
      </c>
      <c r="AB84" s="85" t="s">
        <v>418</v>
      </c>
    </row>
    <row r="85" spans="1:28">
      <c r="A85" s="67">
        <v>84</v>
      </c>
      <c r="B85" s="29" t="s">
        <v>1412</v>
      </c>
      <c r="C85" s="29" t="s">
        <v>946</v>
      </c>
      <c r="D85" s="29" t="s">
        <v>1498</v>
      </c>
      <c r="E85" s="222">
        <v>44768</v>
      </c>
      <c r="F85" s="29" t="s">
        <v>617</v>
      </c>
      <c r="G85" s="29" t="s">
        <v>76</v>
      </c>
      <c r="H85" s="221">
        <v>50</v>
      </c>
      <c r="I85" s="221">
        <v>1.2199999999999998</v>
      </c>
      <c r="J85" s="221">
        <v>5.74</v>
      </c>
      <c r="K85" s="85" t="s">
        <v>1500</v>
      </c>
      <c r="L85" s="85"/>
      <c r="M85" s="246">
        <v>44761</v>
      </c>
      <c r="N85" s="29" t="s">
        <v>1015</v>
      </c>
      <c r="O85" s="29" t="s">
        <v>1390</v>
      </c>
      <c r="P85" s="29" t="s">
        <v>673</v>
      </c>
      <c r="Q85" s="29">
        <v>5.85</v>
      </c>
      <c r="R85" s="29">
        <v>4680</v>
      </c>
      <c r="S85" s="29" t="s">
        <v>416</v>
      </c>
      <c r="T85" t="s">
        <v>1574</v>
      </c>
      <c r="U85" t="s">
        <v>929</v>
      </c>
      <c r="X85" s="85">
        <f t="shared" si="1"/>
        <v>800</v>
      </c>
      <c r="AA85" s="85" t="s">
        <v>418</v>
      </c>
      <c r="AB85" s="85" t="s">
        <v>418</v>
      </c>
    </row>
    <row r="86" spans="1:28">
      <c r="A86" s="67">
        <v>85</v>
      </c>
      <c r="B86" s="29" t="s">
        <v>1412</v>
      </c>
      <c r="C86" s="29" t="s">
        <v>946</v>
      </c>
      <c r="D86" s="29" t="s">
        <v>1498</v>
      </c>
      <c r="E86" s="222">
        <v>44768</v>
      </c>
      <c r="F86" s="29" t="s">
        <v>617</v>
      </c>
      <c r="G86" s="29" t="s">
        <v>538</v>
      </c>
      <c r="H86" s="221">
        <v>6</v>
      </c>
      <c r="I86" s="221">
        <v>1.7599999999999998</v>
      </c>
      <c r="J86" s="221">
        <v>5.74</v>
      </c>
      <c r="K86" s="85" t="s">
        <v>1501</v>
      </c>
      <c r="L86" s="85"/>
      <c r="M86" s="246">
        <v>44760</v>
      </c>
      <c r="N86" s="29" t="s">
        <v>1197</v>
      </c>
      <c r="O86" s="29" t="s">
        <v>1395</v>
      </c>
      <c r="P86" s="29" t="s">
        <v>673</v>
      </c>
      <c r="Q86" s="29">
        <v>5.85</v>
      </c>
      <c r="R86" s="29">
        <v>-93.6</v>
      </c>
      <c r="S86" s="29" t="s">
        <v>416</v>
      </c>
      <c r="T86" t="s">
        <v>1575</v>
      </c>
      <c r="U86" t="s">
        <v>929</v>
      </c>
      <c r="X86" s="85">
        <f t="shared" si="1"/>
        <v>-16</v>
      </c>
      <c r="AA86" s="85" t="s">
        <v>418</v>
      </c>
      <c r="AB86" s="85" t="s">
        <v>418</v>
      </c>
    </row>
    <row r="87" spans="1:28">
      <c r="A87" s="67">
        <v>86</v>
      </c>
      <c r="B87" s="29" t="s">
        <v>1412</v>
      </c>
      <c r="C87" s="29" t="s">
        <v>946</v>
      </c>
      <c r="D87" s="29" t="s">
        <v>1498</v>
      </c>
      <c r="E87" s="222">
        <v>44768</v>
      </c>
      <c r="F87" s="29" t="s">
        <v>617</v>
      </c>
      <c r="G87" s="29" t="s">
        <v>1232</v>
      </c>
      <c r="H87" s="221">
        <v>2</v>
      </c>
      <c r="I87" s="221">
        <v>1.5</v>
      </c>
      <c r="J87" s="221">
        <v>5.74</v>
      </c>
      <c r="K87" s="85" t="s">
        <v>1307</v>
      </c>
      <c r="L87" s="85"/>
      <c r="M87" s="246">
        <v>44761</v>
      </c>
      <c r="N87" s="29" t="s">
        <v>1217</v>
      </c>
      <c r="O87" s="29" t="s">
        <v>1391</v>
      </c>
      <c r="P87" s="29" t="s">
        <v>673</v>
      </c>
      <c r="Q87" s="29">
        <v>5.85</v>
      </c>
      <c r="R87" s="29">
        <v>228.91050000000001</v>
      </c>
      <c r="S87" s="29" t="s">
        <v>416</v>
      </c>
      <c r="T87" t="s">
        <v>1576</v>
      </c>
      <c r="U87" t="s">
        <v>1032</v>
      </c>
      <c r="X87" s="85">
        <f t="shared" si="1"/>
        <v>39.130000000000003</v>
      </c>
      <c r="AA87" s="85" t="s">
        <v>418</v>
      </c>
      <c r="AB87" s="85" t="s">
        <v>418</v>
      </c>
    </row>
    <row r="88" spans="1:28">
      <c r="A88" s="67">
        <v>87</v>
      </c>
      <c r="B88" s="29" t="s">
        <v>1412</v>
      </c>
      <c r="C88" s="29" t="s">
        <v>946</v>
      </c>
      <c r="D88" s="29" t="s">
        <v>1498</v>
      </c>
      <c r="E88" s="222">
        <v>44768</v>
      </c>
      <c r="F88" s="29" t="s">
        <v>617</v>
      </c>
      <c r="G88" s="29" t="s">
        <v>1233</v>
      </c>
      <c r="H88" s="221">
        <v>2</v>
      </c>
      <c r="I88" s="221">
        <v>1.5</v>
      </c>
      <c r="J88" s="221">
        <v>5.74</v>
      </c>
      <c r="K88" s="85" t="s">
        <v>1308</v>
      </c>
      <c r="L88" s="85"/>
      <c r="M88" s="246">
        <v>44761</v>
      </c>
      <c r="N88" s="29" t="s">
        <v>1332</v>
      </c>
      <c r="O88" s="29" t="s">
        <v>1396</v>
      </c>
      <c r="P88" s="29" t="s">
        <v>673</v>
      </c>
      <c r="Q88" s="29">
        <v>5.85</v>
      </c>
      <c r="R88" s="29">
        <v>117</v>
      </c>
      <c r="S88" s="29" t="s">
        <v>416</v>
      </c>
      <c r="T88" t="s">
        <v>1577</v>
      </c>
      <c r="U88" t="s">
        <v>929</v>
      </c>
      <c r="X88" s="85">
        <f t="shared" si="1"/>
        <v>20</v>
      </c>
      <c r="AA88" s="85" t="s">
        <v>418</v>
      </c>
      <c r="AB88" s="85" t="s">
        <v>418</v>
      </c>
    </row>
    <row r="89" spans="1:28">
      <c r="A89" s="67">
        <v>88</v>
      </c>
      <c r="B89" s="29" t="s">
        <v>927</v>
      </c>
      <c r="C89" s="29" t="s">
        <v>946</v>
      </c>
      <c r="D89" s="29" t="s">
        <v>1415</v>
      </c>
      <c r="E89" s="222">
        <v>44769</v>
      </c>
      <c r="F89" s="29" t="s">
        <v>617</v>
      </c>
      <c r="G89" s="29" t="s">
        <v>922</v>
      </c>
      <c r="H89" s="221">
        <v>80</v>
      </c>
      <c r="I89" s="221">
        <v>2.41</v>
      </c>
      <c r="J89" s="221">
        <v>5.74</v>
      </c>
      <c r="K89" s="85" t="s">
        <v>1502</v>
      </c>
      <c r="L89" s="85"/>
      <c r="M89" s="246">
        <v>44761</v>
      </c>
      <c r="N89" s="29" t="s">
        <v>1332</v>
      </c>
      <c r="O89" s="29" t="s">
        <v>1396</v>
      </c>
      <c r="P89" s="29" t="s">
        <v>673</v>
      </c>
      <c r="Q89" s="29">
        <v>5.85</v>
      </c>
      <c r="R89" s="29">
        <v>49.724999999999994</v>
      </c>
      <c r="S89" s="29" t="s">
        <v>416</v>
      </c>
      <c r="T89" t="s">
        <v>1577</v>
      </c>
      <c r="U89" t="s">
        <v>1032</v>
      </c>
      <c r="X89" s="85">
        <f t="shared" si="1"/>
        <v>8.5</v>
      </c>
      <c r="AA89" s="85" t="s">
        <v>418</v>
      </c>
      <c r="AB89" s="85" t="s">
        <v>418</v>
      </c>
    </row>
    <row r="90" spans="1:28">
      <c r="A90" s="67">
        <v>89</v>
      </c>
      <c r="B90" s="29" t="s">
        <v>927</v>
      </c>
      <c r="C90" s="29" t="s">
        <v>946</v>
      </c>
      <c r="D90" s="29" t="s">
        <v>1415</v>
      </c>
      <c r="E90" s="222">
        <v>44769</v>
      </c>
      <c r="F90" s="29" t="s">
        <v>617</v>
      </c>
      <c r="G90" s="29" t="s">
        <v>76</v>
      </c>
      <c r="H90" s="221">
        <v>150</v>
      </c>
      <c r="I90" s="221">
        <v>1.2199999999999998</v>
      </c>
      <c r="J90" s="221">
        <v>5.74</v>
      </c>
      <c r="K90" s="85" t="s">
        <v>1503</v>
      </c>
      <c r="L90" s="85"/>
      <c r="M90" s="246">
        <v>44761</v>
      </c>
      <c r="N90" s="29" t="s">
        <v>1024</v>
      </c>
      <c r="O90" s="29" t="s">
        <v>1317</v>
      </c>
      <c r="P90" s="29" t="s">
        <v>673</v>
      </c>
      <c r="Q90" s="29">
        <v>5.85</v>
      </c>
      <c r="R90" s="29">
        <v>234</v>
      </c>
      <c r="S90" s="29" t="s">
        <v>416</v>
      </c>
      <c r="T90" t="s">
        <v>1578</v>
      </c>
      <c r="U90" t="s">
        <v>929</v>
      </c>
      <c r="X90" s="85">
        <f t="shared" si="1"/>
        <v>40</v>
      </c>
      <c r="AA90" s="85" t="s">
        <v>418</v>
      </c>
      <c r="AB90" s="85" t="s">
        <v>418</v>
      </c>
    </row>
    <row r="91" spans="1:28">
      <c r="A91" s="67">
        <v>90</v>
      </c>
      <c r="B91" s="29" t="s">
        <v>927</v>
      </c>
      <c r="C91" s="29" t="s">
        <v>946</v>
      </c>
      <c r="D91" s="29" t="s">
        <v>1415</v>
      </c>
      <c r="E91" s="222">
        <v>44769</v>
      </c>
      <c r="F91" s="29" t="s">
        <v>617</v>
      </c>
      <c r="G91" s="29" t="s">
        <v>538</v>
      </c>
      <c r="H91" s="221">
        <v>14</v>
      </c>
      <c r="I91" s="221">
        <v>1.7599999999999998</v>
      </c>
      <c r="J91" s="221">
        <v>5.74</v>
      </c>
      <c r="K91" s="85" t="s">
        <v>1504</v>
      </c>
      <c r="L91" s="85"/>
      <c r="M91" s="246">
        <v>44761</v>
      </c>
      <c r="N91" s="29" t="s">
        <v>1024</v>
      </c>
      <c r="O91" s="29" t="s">
        <v>1317</v>
      </c>
      <c r="P91" s="29" t="s">
        <v>673</v>
      </c>
      <c r="Q91" s="29">
        <v>5.85</v>
      </c>
      <c r="R91" s="29">
        <v>96.408000000000001</v>
      </c>
      <c r="S91" s="29" t="s">
        <v>416</v>
      </c>
      <c r="T91" t="s">
        <v>1578</v>
      </c>
      <c r="U91" t="s">
        <v>1032</v>
      </c>
      <c r="X91" s="85">
        <f t="shared" si="1"/>
        <v>16.48</v>
      </c>
      <c r="AA91" s="85" t="s">
        <v>418</v>
      </c>
      <c r="AB91" s="85" t="s">
        <v>418</v>
      </c>
    </row>
    <row r="92" spans="1:28">
      <c r="A92" s="67">
        <v>91</v>
      </c>
      <c r="B92" s="29" t="s">
        <v>927</v>
      </c>
      <c r="C92" s="29" t="s">
        <v>946</v>
      </c>
      <c r="D92" s="29" t="s">
        <v>1413</v>
      </c>
      <c r="E92" s="222">
        <v>44770</v>
      </c>
      <c r="F92" s="29" t="s">
        <v>1065</v>
      </c>
      <c r="G92" s="29" t="s">
        <v>76</v>
      </c>
      <c r="H92" s="221">
        <v>100</v>
      </c>
      <c r="I92" s="221">
        <v>1.2199999999999998</v>
      </c>
      <c r="J92" s="221">
        <v>5.74</v>
      </c>
      <c r="K92" s="85" t="s">
        <v>1505</v>
      </c>
      <c r="L92" s="85"/>
      <c r="M92" s="246">
        <v>44761</v>
      </c>
      <c r="N92" s="29" t="s">
        <v>1109</v>
      </c>
      <c r="O92" s="29" t="s">
        <v>1205</v>
      </c>
      <c r="P92" s="29" t="s">
        <v>673</v>
      </c>
      <c r="Q92" s="29">
        <v>5.85</v>
      </c>
      <c r="R92" s="29">
        <v>87.75</v>
      </c>
      <c r="S92" s="29" t="s">
        <v>416</v>
      </c>
      <c r="T92" t="s">
        <v>1516</v>
      </c>
      <c r="U92" t="s">
        <v>929</v>
      </c>
      <c r="X92" s="85">
        <f t="shared" si="1"/>
        <v>15.000000000000002</v>
      </c>
      <c r="AA92" s="85" t="s">
        <v>418</v>
      </c>
      <c r="AB92" s="85" t="s">
        <v>418</v>
      </c>
    </row>
    <row r="93" spans="1:28">
      <c r="A93" s="67">
        <v>92</v>
      </c>
      <c r="B93" s="29" t="s">
        <v>927</v>
      </c>
      <c r="C93" s="29" t="s">
        <v>946</v>
      </c>
      <c r="D93" s="29" t="s">
        <v>1413</v>
      </c>
      <c r="E93" s="222">
        <v>44770</v>
      </c>
      <c r="F93" s="29" t="s">
        <v>1065</v>
      </c>
      <c r="G93" s="29" t="s">
        <v>480</v>
      </c>
      <c r="H93" s="221">
        <v>6</v>
      </c>
      <c r="I93" s="221">
        <v>0.55000000000000004</v>
      </c>
      <c r="J93" s="221">
        <v>5.74</v>
      </c>
      <c r="K93" s="85" t="s">
        <v>1506</v>
      </c>
      <c r="L93" s="85"/>
      <c r="M93" s="246">
        <v>44761</v>
      </c>
      <c r="N93" s="29" t="s">
        <v>1109</v>
      </c>
      <c r="O93" s="29" t="s">
        <v>1205</v>
      </c>
      <c r="P93" s="29" t="s">
        <v>673</v>
      </c>
      <c r="Q93" s="29">
        <v>5.85</v>
      </c>
      <c r="R93" s="29">
        <v>4.2704999999999993</v>
      </c>
      <c r="S93" s="29" t="s">
        <v>416</v>
      </c>
      <c r="T93" t="s">
        <v>1516</v>
      </c>
      <c r="U93" t="s">
        <v>1032</v>
      </c>
      <c r="X93" s="85">
        <f t="shared" si="1"/>
        <v>0.72999999999999987</v>
      </c>
      <c r="AA93" s="85" t="s">
        <v>418</v>
      </c>
      <c r="AB93" s="85" t="s">
        <v>418</v>
      </c>
    </row>
    <row r="94" spans="1:28">
      <c r="A94" s="67">
        <v>93</v>
      </c>
      <c r="B94" s="29" t="s">
        <v>927</v>
      </c>
      <c r="C94" s="29" t="s">
        <v>946</v>
      </c>
      <c r="D94" s="29" t="s">
        <v>1413</v>
      </c>
      <c r="E94" s="222">
        <v>44770</v>
      </c>
      <c r="F94" s="29" t="s">
        <v>1065</v>
      </c>
      <c r="G94" s="29" t="s">
        <v>515</v>
      </c>
      <c r="H94" s="221">
        <v>6</v>
      </c>
      <c r="I94" s="221">
        <v>2.1800000000000002</v>
      </c>
      <c r="J94" s="221">
        <v>5.74</v>
      </c>
      <c r="K94" s="85" t="s">
        <v>1507</v>
      </c>
      <c r="L94" s="85"/>
      <c r="M94" s="246">
        <v>44761</v>
      </c>
      <c r="N94" s="29" t="s">
        <v>1109</v>
      </c>
      <c r="O94" s="29" t="s">
        <v>1224</v>
      </c>
      <c r="P94" s="29" t="s">
        <v>673</v>
      </c>
      <c r="Q94" s="29">
        <v>5.85</v>
      </c>
      <c r="R94" s="29">
        <v>175.5</v>
      </c>
      <c r="S94" s="29" t="s">
        <v>416</v>
      </c>
      <c r="T94" t="s">
        <v>1579</v>
      </c>
      <c r="U94" t="s">
        <v>929</v>
      </c>
      <c r="X94" s="85">
        <f t="shared" si="1"/>
        <v>30.000000000000004</v>
      </c>
      <c r="AA94" s="85" t="s">
        <v>418</v>
      </c>
      <c r="AB94" s="85" t="s">
        <v>418</v>
      </c>
    </row>
    <row r="95" spans="1:28">
      <c r="A95" s="67">
        <v>94</v>
      </c>
      <c r="B95" s="29" t="s">
        <v>927</v>
      </c>
      <c r="C95" s="29" t="s">
        <v>946</v>
      </c>
      <c r="D95" s="29" t="s">
        <v>1413</v>
      </c>
      <c r="E95" s="222">
        <v>44770</v>
      </c>
      <c r="F95" s="29" t="s">
        <v>1065</v>
      </c>
      <c r="G95" s="29" t="s">
        <v>847</v>
      </c>
      <c r="H95" s="221">
        <v>3</v>
      </c>
      <c r="I95" s="221">
        <v>5.05</v>
      </c>
      <c r="J95" s="221">
        <v>5.74</v>
      </c>
      <c r="K95" s="85" t="s">
        <v>1508</v>
      </c>
      <c r="L95" s="85"/>
      <c r="M95" s="246">
        <v>44761</v>
      </c>
      <c r="N95" s="29" t="s">
        <v>1350</v>
      </c>
      <c r="O95" s="29" t="s">
        <v>1397</v>
      </c>
      <c r="P95" s="29" t="s">
        <v>673</v>
      </c>
      <c r="Q95" s="29">
        <v>5.85</v>
      </c>
      <c r="R95" s="29">
        <v>-146.25</v>
      </c>
      <c r="S95" s="29" t="s">
        <v>416</v>
      </c>
      <c r="T95" t="s">
        <v>1580</v>
      </c>
      <c r="U95" t="s">
        <v>929</v>
      </c>
      <c r="X95" s="85">
        <f t="shared" si="1"/>
        <v>-25</v>
      </c>
      <c r="AA95" s="85" t="s">
        <v>418</v>
      </c>
      <c r="AB95" s="85" t="s">
        <v>418</v>
      </c>
    </row>
    <row r="96" spans="1:28">
      <c r="A96" s="67">
        <v>95</v>
      </c>
      <c r="B96" s="29" t="s">
        <v>927</v>
      </c>
      <c r="C96" s="29" t="s">
        <v>946</v>
      </c>
      <c r="D96" s="29" t="s">
        <v>1413</v>
      </c>
      <c r="E96" s="222">
        <v>44770</v>
      </c>
      <c r="F96" s="29" t="s">
        <v>1065</v>
      </c>
      <c r="G96" s="29" t="s">
        <v>922</v>
      </c>
      <c r="H96" s="221">
        <v>20</v>
      </c>
      <c r="I96" s="221">
        <v>2.41</v>
      </c>
      <c r="J96" s="221">
        <v>5.74</v>
      </c>
      <c r="K96" s="85" t="s">
        <v>1509</v>
      </c>
      <c r="L96" s="85"/>
      <c r="M96" s="246">
        <v>44761</v>
      </c>
      <c r="N96" s="29" t="s">
        <v>1401</v>
      </c>
      <c r="O96" s="29" t="s">
        <v>1403</v>
      </c>
      <c r="P96" s="29" t="s">
        <v>673</v>
      </c>
      <c r="Q96" s="29">
        <v>5.85</v>
      </c>
      <c r="R96" s="29">
        <v>-438.75</v>
      </c>
      <c r="S96" s="29" t="s">
        <v>416</v>
      </c>
      <c r="T96" t="s">
        <v>1581</v>
      </c>
      <c r="U96" t="s">
        <v>929</v>
      </c>
      <c r="X96" s="85">
        <f t="shared" si="1"/>
        <v>-75</v>
      </c>
      <c r="AA96" s="85" t="s">
        <v>418</v>
      </c>
      <c r="AB96" s="85" t="s">
        <v>418</v>
      </c>
    </row>
    <row r="97" spans="1:28">
      <c r="A97" s="67">
        <v>96</v>
      </c>
      <c r="B97" s="29" t="s">
        <v>927</v>
      </c>
      <c r="C97" s="29" t="s">
        <v>946</v>
      </c>
      <c r="D97" s="29" t="s">
        <v>1430</v>
      </c>
      <c r="E97" s="222">
        <v>44770</v>
      </c>
      <c r="F97" s="29" t="s">
        <v>1109</v>
      </c>
      <c r="G97" s="29" t="s">
        <v>983</v>
      </c>
      <c r="H97" s="221">
        <v>10</v>
      </c>
      <c r="I97" s="221">
        <v>5.59</v>
      </c>
      <c r="J97" s="221">
        <v>5.0999999999999996</v>
      </c>
      <c r="K97" s="85" t="s">
        <v>1510</v>
      </c>
      <c r="L97" s="85"/>
      <c r="M97" s="246">
        <v>44764</v>
      </c>
      <c r="N97" s="29" t="s">
        <v>1034</v>
      </c>
      <c r="O97" s="29" t="s">
        <v>1402</v>
      </c>
      <c r="P97" s="29" t="s">
        <v>673</v>
      </c>
      <c r="Q97" s="29">
        <v>5.82</v>
      </c>
      <c r="R97" s="29">
        <v>-116.4</v>
      </c>
      <c r="S97" s="29" t="s">
        <v>416</v>
      </c>
      <c r="T97" t="s">
        <v>1582</v>
      </c>
      <c r="U97" t="s">
        <v>929</v>
      </c>
      <c r="X97" s="85">
        <f t="shared" si="1"/>
        <v>-20</v>
      </c>
      <c r="AA97" s="85" t="s">
        <v>418</v>
      </c>
      <c r="AB97" s="85" t="s">
        <v>418</v>
      </c>
    </row>
    <row r="98" spans="1:28">
      <c r="A98" s="67">
        <v>97</v>
      </c>
      <c r="B98" s="29" t="s">
        <v>927</v>
      </c>
      <c r="C98" s="29" t="s">
        <v>946</v>
      </c>
      <c r="D98" s="29" t="s">
        <v>1430</v>
      </c>
      <c r="E98" s="222">
        <v>44770</v>
      </c>
      <c r="F98" s="29" t="s">
        <v>1109</v>
      </c>
      <c r="G98" s="29" t="s">
        <v>758</v>
      </c>
      <c r="H98" s="221">
        <v>3</v>
      </c>
      <c r="I98" s="221">
        <v>2.91</v>
      </c>
      <c r="J98" s="221">
        <v>5.0999999999999996</v>
      </c>
      <c r="K98" s="85" t="s">
        <v>1511</v>
      </c>
      <c r="L98" s="85"/>
      <c r="M98" s="246">
        <v>44764</v>
      </c>
      <c r="N98" s="29" t="s">
        <v>944</v>
      </c>
      <c r="O98" s="29" t="s">
        <v>1402</v>
      </c>
      <c r="P98" s="29" t="s">
        <v>673</v>
      </c>
      <c r="Q98" s="29">
        <v>5.82</v>
      </c>
      <c r="R98" s="29">
        <v>-116.4</v>
      </c>
      <c r="S98" s="29" t="s">
        <v>416</v>
      </c>
      <c r="T98" t="s">
        <v>1583</v>
      </c>
      <c r="U98" t="s">
        <v>929</v>
      </c>
      <c r="X98" s="85">
        <f t="shared" si="1"/>
        <v>-20</v>
      </c>
      <c r="AA98" s="85" t="s">
        <v>418</v>
      </c>
      <c r="AB98" s="85" t="s">
        <v>418</v>
      </c>
    </row>
    <row r="99" spans="1:28">
      <c r="A99" s="67">
        <v>98</v>
      </c>
      <c r="B99" s="29" t="s">
        <v>927</v>
      </c>
      <c r="C99" s="29" t="s">
        <v>946</v>
      </c>
      <c r="D99" s="29" t="s">
        <v>1430</v>
      </c>
      <c r="E99" s="222">
        <v>44770</v>
      </c>
      <c r="F99" s="29" t="s">
        <v>1109</v>
      </c>
      <c r="G99" s="29" t="s">
        <v>923</v>
      </c>
      <c r="H99" s="221">
        <v>3</v>
      </c>
      <c r="I99" s="221">
        <v>3.45</v>
      </c>
      <c r="J99" s="221">
        <v>5.0999999999999996</v>
      </c>
      <c r="K99" s="85" t="s">
        <v>1512</v>
      </c>
      <c r="L99" s="85"/>
      <c r="M99" s="246">
        <v>44764</v>
      </c>
      <c r="N99" s="29" t="s">
        <v>1033</v>
      </c>
      <c r="O99" s="29" t="s">
        <v>1402</v>
      </c>
      <c r="P99" s="29" t="s">
        <v>673</v>
      </c>
      <c r="Q99" s="29">
        <v>5.82</v>
      </c>
      <c r="R99" s="29">
        <v>-116.4</v>
      </c>
      <c r="S99" s="29" t="s">
        <v>416</v>
      </c>
      <c r="T99" t="s">
        <v>1584</v>
      </c>
      <c r="U99" t="s">
        <v>929</v>
      </c>
      <c r="X99" s="85">
        <f t="shared" si="1"/>
        <v>-20</v>
      </c>
      <c r="AA99" s="85" t="s">
        <v>418</v>
      </c>
      <c r="AB99" s="85" t="s">
        <v>418</v>
      </c>
    </row>
    <row r="100" spans="1:28">
      <c r="A100" s="67">
        <v>99</v>
      </c>
      <c r="B100" s="29" t="s">
        <v>927</v>
      </c>
      <c r="C100" s="29" t="s">
        <v>946</v>
      </c>
      <c r="D100" s="29" t="s">
        <v>1430</v>
      </c>
      <c r="E100" s="222">
        <v>44770</v>
      </c>
      <c r="F100" s="29" t="s">
        <v>1109</v>
      </c>
      <c r="G100" s="29" t="s">
        <v>838</v>
      </c>
      <c r="H100" s="221">
        <v>5</v>
      </c>
      <c r="I100" s="221">
        <v>4.32</v>
      </c>
      <c r="J100" s="221">
        <v>5.0999999999999996</v>
      </c>
      <c r="K100" s="85" t="s">
        <v>1513</v>
      </c>
      <c r="L100" s="85"/>
      <c r="M100" s="246">
        <v>44764</v>
      </c>
      <c r="N100" s="29" t="s">
        <v>1138</v>
      </c>
      <c r="O100" s="29" t="s">
        <v>1402</v>
      </c>
      <c r="P100" s="29" t="s">
        <v>673</v>
      </c>
      <c r="Q100" s="29">
        <v>5.82</v>
      </c>
      <c r="R100" s="29">
        <v>-87.300000000000011</v>
      </c>
      <c r="S100" s="29" t="s">
        <v>416</v>
      </c>
      <c r="T100" t="s">
        <v>1585</v>
      </c>
      <c r="U100" t="s">
        <v>929</v>
      </c>
      <c r="X100" s="85">
        <f t="shared" si="1"/>
        <v>-15.000000000000002</v>
      </c>
      <c r="AA100" s="85" t="s">
        <v>418</v>
      </c>
      <c r="AB100" s="85" t="s">
        <v>418</v>
      </c>
    </row>
    <row r="101" spans="1:28">
      <c r="A101" s="67">
        <v>100</v>
      </c>
      <c r="B101" s="29" t="s">
        <v>927</v>
      </c>
      <c r="C101" s="29" t="s">
        <v>946</v>
      </c>
      <c r="D101" s="29" t="s">
        <v>1430</v>
      </c>
      <c r="E101" s="222">
        <v>44770</v>
      </c>
      <c r="F101" s="29" t="s">
        <v>1109</v>
      </c>
      <c r="G101" s="29" t="s">
        <v>922</v>
      </c>
      <c r="H101" s="221">
        <v>5</v>
      </c>
      <c r="I101" s="221">
        <v>2.41</v>
      </c>
      <c r="J101" s="221">
        <v>5.0999999999999996</v>
      </c>
      <c r="K101" s="85" t="s">
        <v>1514</v>
      </c>
      <c r="L101" s="85"/>
      <c r="M101" s="246">
        <v>44764</v>
      </c>
      <c r="N101" s="29" t="s">
        <v>1124</v>
      </c>
      <c r="O101" s="29" t="s">
        <v>1402</v>
      </c>
      <c r="P101" s="29" t="s">
        <v>673</v>
      </c>
      <c r="Q101" s="29">
        <v>5.82</v>
      </c>
      <c r="R101" s="29">
        <v>-465.6</v>
      </c>
      <c r="S101" s="29" t="s">
        <v>416</v>
      </c>
      <c r="T101" t="s">
        <v>1586</v>
      </c>
      <c r="U101" t="s">
        <v>929</v>
      </c>
      <c r="X101" s="85">
        <f t="shared" si="1"/>
        <v>-80</v>
      </c>
      <c r="AA101" s="85" t="s">
        <v>418</v>
      </c>
      <c r="AB101" s="85" t="s">
        <v>418</v>
      </c>
    </row>
    <row r="102" spans="1:28">
      <c r="A102" s="67">
        <v>101</v>
      </c>
      <c r="B102" s="29" t="s">
        <v>927</v>
      </c>
      <c r="C102" s="29" t="s">
        <v>946</v>
      </c>
      <c r="D102" s="29" t="s">
        <v>1430</v>
      </c>
      <c r="E102" s="222">
        <v>44770</v>
      </c>
      <c r="F102" s="29" t="s">
        <v>1109</v>
      </c>
      <c r="G102" s="29" t="s">
        <v>524</v>
      </c>
      <c r="H102" s="221">
        <v>5</v>
      </c>
      <c r="I102" s="221">
        <v>1.1499999999999999</v>
      </c>
      <c r="J102" s="221">
        <v>5.0999999999999996</v>
      </c>
      <c r="K102" s="85" t="s">
        <v>1515</v>
      </c>
      <c r="L102" s="85"/>
      <c r="M102" s="246">
        <v>44764</v>
      </c>
      <c r="N102" s="29" t="s">
        <v>1125</v>
      </c>
      <c r="O102" s="29" t="s">
        <v>1402</v>
      </c>
      <c r="P102" s="29" t="s">
        <v>673</v>
      </c>
      <c r="Q102" s="29">
        <v>5.82</v>
      </c>
      <c r="R102" s="29">
        <v>-29.1</v>
      </c>
      <c r="S102" s="29" t="s">
        <v>416</v>
      </c>
      <c r="T102" t="s">
        <v>1587</v>
      </c>
      <c r="U102" t="s">
        <v>929</v>
      </c>
      <c r="X102" s="85">
        <f t="shared" si="1"/>
        <v>-5</v>
      </c>
      <c r="AA102" s="85" t="s">
        <v>418</v>
      </c>
      <c r="AB102" s="85" t="s">
        <v>418</v>
      </c>
    </row>
    <row r="103" spans="1:28">
      <c r="A103" s="67">
        <v>102</v>
      </c>
      <c r="B103" s="29" t="s">
        <v>418</v>
      </c>
      <c r="C103" s="29" t="s">
        <v>418</v>
      </c>
      <c r="D103" s="29" t="s">
        <v>418</v>
      </c>
      <c r="E103" s="222" t="s">
        <v>418</v>
      </c>
      <c r="F103" s="29" t="s">
        <v>418</v>
      </c>
      <c r="G103" s="29" t="s">
        <v>418</v>
      </c>
      <c r="H103" s="221" t="s">
        <v>418</v>
      </c>
      <c r="I103" s="221" t="s">
        <v>418</v>
      </c>
      <c r="J103" s="221" t="s">
        <v>418</v>
      </c>
      <c r="K103" s="85" t="s">
        <v>418</v>
      </c>
      <c r="L103" s="85"/>
      <c r="M103" s="246">
        <v>44764</v>
      </c>
      <c r="N103" s="29" t="s">
        <v>1139</v>
      </c>
      <c r="O103" s="29" t="s">
        <v>1402</v>
      </c>
      <c r="P103" s="29" t="s">
        <v>673</v>
      </c>
      <c r="Q103" s="29">
        <v>5.82</v>
      </c>
      <c r="R103" s="29">
        <v>-58.2</v>
      </c>
      <c r="S103" s="29" t="s">
        <v>416</v>
      </c>
      <c r="T103" t="s">
        <v>1588</v>
      </c>
      <c r="U103" t="s">
        <v>929</v>
      </c>
      <c r="X103" s="85">
        <f t="shared" si="1"/>
        <v>-10</v>
      </c>
      <c r="AA103" s="85" t="s">
        <v>418</v>
      </c>
      <c r="AB103" s="85" t="s">
        <v>418</v>
      </c>
    </row>
    <row r="104" spans="1:28">
      <c r="A104" s="67">
        <v>103</v>
      </c>
      <c r="B104" s="29" t="s">
        <v>418</v>
      </c>
      <c r="C104" s="29" t="s">
        <v>418</v>
      </c>
      <c r="D104" s="29" t="s">
        <v>418</v>
      </c>
      <c r="E104" s="222" t="s">
        <v>418</v>
      </c>
      <c r="F104" s="29" t="s">
        <v>418</v>
      </c>
      <c r="G104" s="29" t="s">
        <v>418</v>
      </c>
      <c r="H104" s="221" t="s">
        <v>418</v>
      </c>
      <c r="I104" s="221" t="s">
        <v>418</v>
      </c>
      <c r="J104" s="221" t="s">
        <v>418</v>
      </c>
      <c r="K104" s="85" t="s">
        <v>418</v>
      </c>
      <c r="L104" s="85"/>
      <c r="M104" s="246">
        <v>44764</v>
      </c>
      <c r="N104" s="29" t="s">
        <v>1065</v>
      </c>
      <c r="O104" s="29" t="s">
        <v>1228</v>
      </c>
      <c r="P104" s="29" t="s">
        <v>673</v>
      </c>
      <c r="Q104" s="29">
        <v>5.86</v>
      </c>
      <c r="R104" s="29">
        <v>234.4</v>
      </c>
      <c r="S104" s="29" t="s">
        <v>416</v>
      </c>
      <c r="T104" t="s">
        <v>1544</v>
      </c>
      <c r="U104" t="s">
        <v>1032</v>
      </c>
      <c r="X104" s="85">
        <f t="shared" si="1"/>
        <v>40</v>
      </c>
      <c r="AA104" s="85" t="s">
        <v>418</v>
      </c>
      <c r="AB104" s="85" t="s">
        <v>418</v>
      </c>
    </row>
    <row r="105" spans="1:28">
      <c r="A105" s="67">
        <v>104</v>
      </c>
      <c r="B105" s="29" t="s">
        <v>418</v>
      </c>
      <c r="C105" s="29" t="s">
        <v>418</v>
      </c>
      <c r="D105" s="29" t="s">
        <v>418</v>
      </c>
      <c r="E105" s="222" t="s">
        <v>418</v>
      </c>
      <c r="F105" s="29" t="s">
        <v>418</v>
      </c>
      <c r="G105" s="29" t="s">
        <v>418</v>
      </c>
      <c r="H105" s="221" t="s">
        <v>418</v>
      </c>
      <c r="I105" s="221" t="s">
        <v>418</v>
      </c>
      <c r="J105" s="221" t="s">
        <v>418</v>
      </c>
      <c r="K105" s="85" t="s">
        <v>418</v>
      </c>
      <c r="L105" s="85"/>
      <c r="M105" s="246">
        <v>44764</v>
      </c>
      <c r="N105" s="29" t="s">
        <v>1065</v>
      </c>
      <c r="O105" s="29" t="s">
        <v>1404</v>
      </c>
      <c r="P105" s="29" t="s">
        <v>673</v>
      </c>
      <c r="Q105" s="29">
        <v>5.86</v>
      </c>
      <c r="R105" s="29">
        <v>351.6</v>
      </c>
      <c r="S105" s="29" t="s">
        <v>416</v>
      </c>
      <c r="T105" t="s">
        <v>1589</v>
      </c>
      <c r="U105" t="s">
        <v>1032</v>
      </c>
      <c r="X105" s="85">
        <f t="shared" si="1"/>
        <v>60</v>
      </c>
      <c r="AA105" s="85" t="s">
        <v>418</v>
      </c>
      <c r="AB105" s="85" t="s">
        <v>418</v>
      </c>
    </row>
    <row r="106" spans="1:28">
      <c r="A106" s="67">
        <v>105</v>
      </c>
      <c r="B106" s="29" t="s">
        <v>418</v>
      </c>
      <c r="C106" s="29" t="s">
        <v>418</v>
      </c>
      <c r="D106" s="29" t="s">
        <v>418</v>
      </c>
      <c r="E106" s="222" t="s">
        <v>418</v>
      </c>
      <c r="F106" s="29" t="s">
        <v>418</v>
      </c>
      <c r="G106" s="29" t="s">
        <v>418</v>
      </c>
      <c r="H106" s="221" t="s">
        <v>418</v>
      </c>
      <c r="I106" s="221" t="s">
        <v>418</v>
      </c>
      <c r="J106" s="221" t="s">
        <v>418</v>
      </c>
      <c r="K106" s="85" t="s">
        <v>418</v>
      </c>
      <c r="L106" s="85"/>
      <c r="M106" s="246">
        <v>44764</v>
      </c>
      <c r="N106" s="29" t="s">
        <v>1083</v>
      </c>
      <c r="O106" s="29" t="s">
        <v>1405</v>
      </c>
      <c r="P106" s="29" t="s">
        <v>673</v>
      </c>
      <c r="Q106" s="29">
        <v>5.86</v>
      </c>
      <c r="R106" s="29">
        <v>163.78700000000001</v>
      </c>
      <c r="S106" s="29" t="s">
        <v>416</v>
      </c>
      <c r="T106" t="s">
        <v>1590</v>
      </c>
      <c r="U106" t="s">
        <v>1032</v>
      </c>
      <c r="X106" s="85">
        <f t="shared" si="1"/>
        <v>27.95</v>
      </c>
      <c r="AA106" s="85" t="s">
        <v>418</v>
      </c>
      <c r="AB106" s="85" t="s">
        <v>418</v>
      </c>
    </row>
    <row r="107" spans="1:28">
      <c r="A107" s="67">
        <v>106</v>
      </c>
      <c r="B107" s="29" t="s">
        <v>418</v>
      </c>
      <c r="C107" s="29" t="s">
        <v>418</v>
      </c>
      <c r="D107" s="29" t="s">
        <v>418</v>
      </c>
      <c r="E107" s="222" t="s">
        <v>418</v>
      </c>
      <c r="F107" s="29" t="s">
        <v>418</v>
      </c>
      <c r="G107" s="29" t="s">
        <v>418</v>
      </c>
      <c r="H107" s="221" t="s">
        <v>418</v>
      </c>
      <c r="I107" s="221" t="s">
        <v>418</v>
      </c>
      <c r="J107" s="221" t="s">
        <v>418</v>
      </c>
      <c r="K107" s="85" t="s">
        <v>418</v>
      </c>
      <c r="L107" s="85"/>
      <c r="M107" s="246">
        <v>44767</v>
      </c>
      <c r="N107" s="29" t="s">
        <v>1015</v>
      </c>
      <c r="O107" s="29" t="s">
        <v>1406</v>
      </c>
      <c r="P107" s="29" t="s">
        <v>673</v>
      </c>
      <c r="Q107" s="29">
        <v>5.86</v>
      </c>
      <c r="R107" s="29">
        <v>152.7116</v>
      </c>
      <c r="S107" s="29" t="s">
        <v>416</v>
      </c>
      <c r="T107" t="s">
        <v>1591</v>
      </c>
      <c r="U107" t="s">
        <v>1032</v>
      </c>
      <c r="X107" s="85">
        <f t="shared" si="1"/>
        <v>26.06</v>
      </c>
      <c r="AA107" s="85" t="s">
        <v>418</v>
      </c>
      <c r="AB107" s="85" t="s">
        <v>418</v>
      </c>
    </row>
    <row r="108" spans="1:28">
      <c r="A108" s="67">
        <v>107</v>
      </c>
      <c r="B108" s="29" t="s">
        <v>418</v>
      </c>
      <c r="C108" s="29" t="s">
        <v>418</v>
      </c>
      <c r="D108" s="29" t="s">
        <v>418</v>
      </c>
      <c r="E108" s="222" t="s">
        <v>418</v>
      </c>
      <c r="F108" s="29" t="s">
        <v>418</v>
      </c>
      <c r="G108" s="29" t="s">
        <v>418</v>
      </c>
      <c r="H108" s="221" t="s">
        <v>418</v>
      </c>
      <c r="I108" s="221" t="s">
        <v>418</v>
      </c>
      <c r="J108" s="221" t="s">
        <v>418</v>
      </c>
      <c r="K108" s="85" t="s">
        <v>418</v>
      </c>
      <c r="L108" s="85"/>
      <c r="M108" s="246">
        <v>44767</v>
      </c>
      <c r="N108" s="29" t="s">
        <v>1015</v>
      </c>
      <c r="O108" s="29" t="s">
        <v>1390</v>
      </c>
      <c r="P108" s="29" t="s">
        <v>673</v>
      </c>
      <c r="Q108" s="29">
        <v>5.86</v>
      </c>
      <c r="R108" s="29">
        <v>2461.2000000000003</v>
      </c>
      <c r="S108" s="29" t="s">
        <v>416</v>
      </c>
      <c r="T108" t="s">
        <v>1574</v>
      </c>
      <c r="U108" t="s">
        <v>929</v>
      </c>
      <c r="X108" s="85">
        <f t="shared" si="1"/>
        <v>420</v>
      </c>
      <c r="AA108" s="85" t="s">
        <v>418</v>
      </c>
      <c r="AB108" s="85" t="s">
        <v>418</v>
      </c>
    </row>
    <row r="109" spans="1:28">
      <c r="A109" s="67">
        <v>108</v>
      </c>
      <c r="B109" s="29" t="s">
        <v>418</v>
      </c>
      <c r="C109" s="29" t="s">
        <v>418</v>
      </c>
      <c r="D109" s="29" t="s">
        <v>418</v>
      </c>
      <c r="E109" s="222" t="s">
        <v>418</v>
      </c>
      <c r="F109" s="29" t="s">
        <v>418</v>
      </c>
      <c r="G109" s="29" t="s">
        <v>418</v>
      </c>
      <c r="H109" s="221" t="s">
        <v>418</v>
      </c>
      <c r="I109" s="221" t="s">
        <v>418</v>
      </c>
      <c r="J109" s="221" t="s">
        <v>418</v>
      </c>
      <c r="K109" s="85" t="s">
        <v>418</v>
      </c>
      <c r="L109" s="85"/>
      <c r="M109" s="246">
        <v>44768</v>
      </c>
      <c r="N109" s="29" t="s">
        <v>470</v>
      </c>
      <c r="O109" s="29" t="s">
        <v>1408</v>
      </c>
      <c r="P109" s="29" t="s">
        <v>673</v>
      </c>
      <c r="Q109" s="29">
        <v>5.86</v>
      </c>
      <c r="R109" s="29">
        <v>1089.374</v>
      </c>
      <c r="S109" s="29" t="s">
        <v>416</v>
      </c>
      <c r="T109" t="s">
        <v>1592</v>
      </c>
      <c r="U109" t="s">
        <v>1032</v>
      </c>
      <c r="X109" s="85">
        <f t="shared" si="1"/>
        <v>185.9</v>
      </c>
      <c r="AA109" s="85" t="s">
        <v>418</v>
      </c>
      <c r="AB109" s="85" t="s">
        <v>418</v>
      </c>
    </row>
    <row r="110" spans="1:28">
      <c r="A110" s="67">
        <v>109</v>
      </c>
      <c r="B110" s="29" t="s">
        <v>418</v>
      </c>
      <c r="C110" s="29" t="s">
        <v>418</v>
      </c>
      <c r="D110" s="29" t="s">
        <v>418</v>
      </c>
      <c r="E110" s="222" t="s">
        <v>418</v>
      </c>
      <c r="F110" s="29" t="s">
        <v>418</v>
      </c>
      <c r="G110" s="29" t="s">
        <v>418</v>
      </c>
      <c r="H110" s="221" t="s">
        <v>418</v>
      </c>
      <c r="I110" s="221" t="s">
        <v>418</v>
      </c>
      <c r="J110" s="221" t="s">
        <v>418</v>
      </c>
      <c r="K110" s="85" t="s">
        <v>418</v>
      </c>
      <c r="L110" s="85"/>
      <c r="M110" s="246">
        <v>44768</v>
      </c>
      <c r="N110" s="29" t="s">
        <v>242</v>
      </c>
      <c r="O110" s="29" t="s">
        <v>1407</v>
      </c>
      <c r="P110" s="29" t="s">
        <v>673</v>
      </c>
      <c r="Q110" s="29">
        <v>5.86</v>
      </c>
      <c r="R110" s="29">
        <v>1582.2</v>
      </c>
      <c r="S110" s="29" t="s">
        <v>416</v>
      </c>
      <c r="T110" t="s">
        <v>1593</v>
      </c>
      <c r="U110" t="s">
        <v>929</v>
      </c>
      <c r="X110" s="85">
        <f t="shared" si="1"/>
        <v>270</v>
      </c>
      <c r="AA110" s="85" t="s">
        <v>418</v>
      </c>
      <c r="AB110" s="85" t="s">
        <v>418</v>
      </c>
    </row>
    <row r="111" spans="1:28">
      <c r="A111" s="67">
        <v>110</v>
      </c>
      <c r="B111" s="29" t="s">
        <v>418</v>
      </c>
      <c r="C111" s="29" t="s">
        <v>418</v>
      </c>
      <c r="D111" s="29" t="s">
        <v>418</v>
      </c>
      <c r="E111" s="222" t="s">
        <v>418</v>
      </c>
      <c r="F111" s="29" t="s">
        <v>418</v>
      </c>
      <c r="G111" s="29" t="s">
        <v>418</v>
      </c>
      <c r="H111" s="221" t="s">
        <v>418</v>
      </c>
      <c r="I111" s="221" t="s">
        <v>418</v>
      </c>
      <c r="J111" s="221" t="s">
        <v>418</v>
      </c>
      <c r="K111" s="85" t="s">
        <v>418</v>
      </c>
      <c r="L111" s="85"/>
      <c r="M111" s="246">
        <v>44768</v>
      </c>
      <c r="N111" s="29" t="s">
        <v>242</v>
      </c>
      <c r="O111" s="29" t="s">
        <v>1407</v>
      </c>
      <c r="P111" s="29" t="s">
        <v>673</v>
      </c>
      <c r="Q111" s="29">
        <v>5.86</v>
      </c>
      <c r="R111" s="29">
        <v>19.865400000000001</v>
      </c>
      <c r="S111" s="29" t="s">
        <v>416</v>
      </c>
      <c r="T111" t="s">
        <v>1593</v>
      </c>
      <c r="U111" t="s">
        <v>1032</v>
      </c>
      <c r="X111" s="85">
        <f t="shared" si="1"/>
        <v>3.39</v>
      </c>
      <c r="AA111" s="85" t="s">
        <v>418</v>
      </c>
      <c r="AB111" s="85" t="s">
        <v>418</v>
      </c>
    </row>
    <row r="112" spans="1:28">
      <c r="A112" s="67">
        <v>111</v>
      </c>
      <c r="B112" s="29" t="s">
        <v>418</v>
      </c>
      <c r="C112" s="29" t="s">
        <v>418</v>
      </c>
      <c r="D112" s="29" t="s">
        <v>418</v>
      </c>
      <c r="E112" s="222" t="s">
        <v>418</v>
      </c>
      <c r="F112" s="29" t="s">
        <v>418</v>
      </c>
      <c r="G112" s="29" t="s">
        <v>418</v>
      </c>
      <c r="H112" s="221" t="s">
        <v>418</v>
      </c>
      <c r="I112" s="221" t="s">
        <v>418</v>
      </c>
      <c r="J112" s="221" t="s">
        <v>418</v>
      </c>
      <c r="K112" s="85" t="s">
        <v>418</v>
      </c>
      <c r="L112" s="85"/>
      <c r="M112" s="246">
        <v>44768</v>
      </c>
      <c r="N112" s="29" t="s">
        <v>1398</v>
      </c>
      <c r="O112" s="29" t="s">
        <v>1409</v>
      </c>
      <c r="P112" s="29" t="s">
        <v>673</v>
      </c>
      <c r="Q112" s="29">
        <v>5.86</v>
      </c>
      <c r="R112" s="29">
        <v>234.4</v>
      </c>
      <c r="S112" s="29" t="s">
        <v>416</v>
      </c>
      <c r="T112" t="s">
        <v>1594</v>
      </c>
      <c r="U112" t="s">
        <v>929</v>
      </c>
      <c r="X112" s="85">
        <f t="shared" si="1"/>
        <v>40</v>
      </c>
      <c r="AA112" s="85" t="s">
        <v>418</v>
      </c>
      <c r="AB112" s="85" t="s">
        <v>418</v>
      </c>
    </row>
    <row r="113" spans="1:28">
      <c r="A113" s="67">
        <v>112</v>
      </c>
      <c r="B113" s="29" t="s">
        <v>418</v>
      </c>
      <c r="C113" s="29" t="s">
        <v>418</v>
      </c>
      <c r="D113" s="29" t="s">
        <v>418</v>
      </c>
      <c r="E113" s="222" t="s">
        <v>418</v>
      </c>
      <c r="F113" s="29" t="s">
        <v>418</v>
      </c>
      <c r="G113" s="29" t="s">
        <v>418</v>
      </c>
      <c r="H113" s="221" t="s">
        <v>418</v>
      </c>
      <c r="I113" s="221" t="s">
        <v>418</v>
      </c>
      <c r="J113" s="221" t="s">
        <v>418</v>
      </c>
      <c r="K113" s="85" t="s">
        <v>418</v>
      </c>
      <c r="L113" s="85"/>
      <c r="M113" s="246">
        <v>44768</v>
      </c>
      <c r="N113" s="29" t="s">
        <v>1398</v>
      </c>
      <c r="O113" s="29" t="s">
        <v>1409</v>
      </c>
      <c r="P113" s="29" t="s">
        <v>673</v>
      </c>
      <c r="Q113" s="29">
        <v>5.86</v>
      </c>
      <c r="R113" s="29">
        <v>36.390599999999999</v>
      </c>
      <c r="S113" s="29" t="s">
        <v>416</v>
      </c>
      <c r="T113" t="s">
        <v>1594</v>
      </c>
      <c r="U113" t="s">
        <v>1032</v>
      </c>
      <c r="X113" s="85">
        <f t="shared" si="1"/>
        <v>6.2099999999999991</v>
      </c>
      <c r="AA113" s="85" t="s">
        <v>418</v>
      </c>
      <c r="AB113" s="85" t="s">
        <v>418</v>
      </c>
    </row>
    <row r="114" spans="1:28">
      <c r="A114" s="67">
        <v>113</v>
      </c>
      <c r="B114" s="29" t="s">
        <v>418</v>
      </c>
      <c r="C114" s="29" t="s">
        <v>418</v>
      </c>
      <c r="D114" s="29" t="s">
        <v>418</v>
      </c>
      <c r="E114" s="222" t="s">
        <v>418</v>
      </c>
      <c r="F114" s="29" t="s">
        <v>418</v>
      </c>
      <c r="G114" s="29" t="s">
        <v>418</v>
      </c>
      <c r="H114" s="221" t="s">
        <v>418</v>
      </c>
      <c r="I114" s="221" t="s">
        <v>418</v>
      </c>
      <c r="J114" s="221" t="s">
        <v>418</v>
      </c>
      <c r="K114" s="85" t="s">
        <v>418</v>
      </c>
      <c r="L114" s="85"/>
      <c r="M114" s="246">
        <v>44768</v>
      </c>
      <c r="N114" s="29" t="s">
        <v>1098</v>
      </c>
      <c r="O114" s="29" t="s">
        <v>1410</v>
      </c>
      <c r="P114" s="29" t="s">
        <v>673</v>
      </c>
      <c r="Q114" s="29">
        <v>5.86</v>
      </c>
      <c r="R114" s="29">
        <v>131.02960000000002</v>
      </c>
      <c r="S114" s="29" t="s">
        <v>416</v>
      </c>
      <c r="T114" t="s">
        <v>1595</v>
      </c>
      <c r="U114" t="s">
        <v>1032</v>
      </c>
      <c r="X114" s="85">
        <f t="shared" si="1"/>
        <v>22.360000000000003</v>
      </c>
      <c r="AA114" s="85" t="s">
        <v>418</v>
      </c>
      <c r="AB114" s="85" t="s">
        <v>418</v>
      </c>
    </row>
    <row r="115" spans="1:28">
      <c r="A115" s="67">
        <v>114</v>
      </c>
      <c r="B115" s="29" t="s">
        <v>418</v>
      </c>
      <c r="C115" s="29" t="s">
        <v>418</v>
      </c>
      <c r="D115" s="29" t="s">
        <v>418</v>
      </c>
      <c r="E115" s="222" t="s">
        <v>418</v>
      </c>
      <c r="F115" s="29" t="s">
        <v>418</v>
      </c>
      <c r="G115" s="29" t="s">
        <v>418</v>
      </c>
      <c r="H115" s="221" t="s">
        <v>418</v>
      </c>
      <c r="I115" s="221" t="s">
        <v>418</v>
      </c>
      <c r="J115" s="221" t="s">
        <v>418</v>
      </c>
      <c r="K115" s="85" t="s">
        <v>418</v>
      </c>
      <c r="L115" s="85"/>
      <c r="M115" s="246">
        <v>44769</v>
      </c>
      <c r="N115" s="29" t="s">
        <v>1401</v>
      </c>
      <c r="O115" s="29" t="s">
        <v>1411</v>
      </c>
      <c r="P115" s="29" t="s">
        <v>673</v>
      </c>
      <c r="Q115" s="29">
        <v>5.86</v>
      </c>
      <c r="R115" s="29">
        <v>-234.4</v>
      </c>
      <c r="S115" s="29" t="s">
        <v>416</v>
      </c>
      <c r="T115" t="s">
        <v>1596</v>
      </c>
      <c r="U115" t="s">
        <v>929</v>
      </c>
      <c r="X115" s="85">
        <f t="shared" si="1"/>
        <v>-40</v>
      </c>
      <c r="AA115" s="85" t="s">
        <v>418</v>
      </c>
      <c r="AB115" s="85" t="s">
        <v>418</v>
      </c>
    </row>
    <row r="116" spans="1:28">
      <c r="A116" s="67">
        <v>115</v>
      </c>
      <c r="B116" s="29" t="s">
        <v>418</v>
      </c>
      <c r="C116" s="29" t="s">
        <v>418</v>
      </c>
      <c r="D116" s="29" t="s">
        <v>418</v>
      </c>
      <c r="E116" s="222" t="s">
        <v>418</v>
      </c>
      <c r="F116" s="29" t="s">
        <v>418</v>
      </c>
      <c r="G116" s="29" t="s">
        <v>418</v>
      </c>
      <c r="H116" s="221" t="s">
        <v>418</v>
      </c>
      <c r="I116" s="221" t="s">
        <v>418</v>
      </c>
      <c r="J116" s="221" t="s">
        <v>418</v>
      </c>
      <c r="K116" s="85" t="s">
        <v>418</v>
      </c>
      <c r="L116" s="85"/>
      <c r="M116" s="246">
        <v>44769</v>
      </c>
      <c r="N116" s="29" t="s">
        <v>1298</v>
      </c>
      <c r="O116" s="29" t="s">
        <v>1414</v>
      </c>
      <c r="P116" s="29" t="s">
        <v>673</v>
      </c>
      <c r="Q116" s="29">
        <v>5.86</v>
      </c>
      <c r="R116" s="29">
        <v>-117.2</v>
      </c>
      <c r="S116" s="29" t="s">
        <v>416</v>
      </c>
      <c r="T116" t="s">
        <v>1597</v>
      </c>
      <c r="U116" t="s">
        <v>929</v>
      </c>
      <c r="X116" s="85">
        <f t="shared" si="1"/>
        <v>-20</v>
      </c>
      <c r="AA116" s="85" t="s">
        <v>418</v>
      </c>
      <c r="AB116" s="85" t="s">
        <v>418</v>
      </c>
    </row>
    <row r="117" spans="1:28">
      <c r="A117" s="67">
        <v>116</v>
      </c>
      <c r="B117" s="29" t="s">
        <v>418</v>
      </c>
      <c r="C117" s="29" t="s">
        <v>418</v>
      </c>
      <c r="D117" s="29" t="s">
        <v>418</v>
      </c>
      <c r="E117" s="222" t="s">
        <v>418</v>
      </c>
      <c r="F117" s="29" t="s">
        <v>418</v>
      </c>
      <c r="G117" s="29" t="s">
        <v>418</v>
      </c>
      <c r="H117" s="221" t="s">
        <v>418</v>
      </c>
      <c r="I117" s="221" t="s">
        <v>418</v>
      </c>
      <c r="J117" s="221" t="s">
        <v>418</v>
      </c>
      <c r="K117" s="85" t="s">
        <v>418</v>
      </c>
      <c r="L117" s="85"/>
      <c r="M117" s="246">
        <v>44768</v>
      </c>
      <c r="N117" s="29" t="s">
        <v>617</v>
      </c>
      <c r="O117" s="29" t="s">
        <v>1415</v>
      </c>
      <c r="P117" s="29" t="s">
        <v>673</v>
      </c>
      <c r="Q117" s="29">
        <v>5.74</v>
      </c>
      <c r="R117" s="29">
        <v>721.86240000000009</v>
      </c>
      <c r="S117" s="29" t="s">
        <v>416</v>
      </c>
      <c r="T117" t="s">
        <v>1598</v>
      </c>
      <c r="U117" t="s">
        <v>929</v>
      </c>
      <c r="X117" s="85">
        <f t="shared" si="1"/>
        <v>125.76</v>
      </c>
      <c r="AA117" s="85" t="s">
        <v>418</v>
      </c>
      <c r="AB117" s="85" t="s">
        <v>418</v>
      </c>
    </row>
    <row r="118" spans="1:28">
      <c r="A118" s="67">
        <v>117</v>
      </c>
      <c r="B118" s="29" t="s">
        <v>418</v>
      </c>
      <c r="C118" s="29" t="s">
        <v>418</v>
      </c>
      <c r="D118" s="29" t="s">
        <v>418</v>
      </c>
      <c r="E118" s="222" t="s">
        <v>418</v>
      </c>
      <c r="F118" s="29" t="s">
        <v>418</v>
      </c>
      <c r="G118" s="29" t="s">
        <v>418</v>
      </c>
      <c r="H118" s="221" t="s">
        <v>418</v>
      </c>
      <c r="I118" s="221" t="s">
        <v>418</v>
      </c>
      <c r="J118" s="221" t="s">
        <v>418</v>
      </c>
      <c r="K118" s="85" t="s">
        <v>418</v>
      </c>
      <c r="L118" s="85"/>
      <c r="M118" s="246">
        <v>44769</v>
      </c>
      <c r="N118" s="29" t="s">
        <v>617</v>
      </c>
      <c r="O118" s="29" t="s">
        <v>1413</v>
      </c>
      <c r="P118" s="29" t="s">
        <v>673</v>
      </c>
      <c r="Q118" s="29">
        <v>5.74</v>
      </c>
      <c r="R118" s="29">
        <v>2298.5255999999999</v>
      </c>
      <c r="S118" s="29" t="s">
        <v>416</v>
      </c>
      <c r="T118" t="s">
        <v>1599</v>
      </c>
      <c r="U118" t="s">
        <v>929</v>
      </c>
      <c r="X118" s="85">
        <f t="shared" si="1"/>
        <v>400.44</v>
      </c>
      <c r="AA118" s="85" t="s">
        <v>418</v>
      </c>
      <c r="AB118" s="85" t="s">
        <v>418</v>
      </c>
    </row>
    <row r="119" spans="1:28">
      <c r="A119" s="67">
        <v>118</v>
      </c>
      <c r="B119" s="29" t="s">
        <v>418</v>
      </c>
      <c r="C119" s="29" t="s">
        <v>418</v>
      </c>
      <c r="D119" s="29" t="s">
        <v>418</v>
      </c>
      <c r="E119" s="222" t="s">
        <v>418</v>
      </c>
      <c r="F119" s="29" t="s">
        <v>418</v>
      </c>
      <c r="G119" s="29" t="s">
        <v>418</v>
      </c>
      <c r="H119" s="221" t="s">
        <v>418</v>
      </c>
      <c r="I119" s="221" t="s">
        <v>418</v>
      </c>
      <c r="J119" s="221" t="s">
        <v>418</v>
      </c>
      <c r="K119" s="85" t="s">
        <v>418</v>
      </c>
      <c r="L119" s="85"/>
      <c r="M119" s="246">
        <v>44770</v>
      </c>
      <c r="N119" s="29" t="s">
        <v>1416</v>
      </c>
      <c r="O119" s="29" t="s">
        <v>1417</v>
      </c>
      <c r="P119" s="29" t="s">
        <v>673</v>
      </c>
      <c r="Q119" s="29">
        <v>5.74</v>
      </c>
      <c r="R119" s="29">
        <v>-2296</v>
      </c>
      <c r="S119" s="29" t="s">
        <v>416</v>
      </c>
      <c r="T119" t="s">
        <v>1600</v>
      </c>
      <c r="U119" t="s">
        <v>929</v>
      </c>
      <c r="X119" s="85">
        <f t="shared" si="1"/>
        <v>-400</v>
      </c>
      <c r="AA119" s="85" t="s">
        <v>418</v>
      </c>
      <c r="AB119" s="85" t="s">
        <v>418</v>
      </c>
    </row>
    <row r="120" spans="1:28">
      <c r="A120" s="67">
        <v>119</v>
      </c>
      <c r="B120" s="29" t="s">
        <v>418</v>
      </c>
      <c r="C120" s="29" t="s">
        <v>418</v>
      </c>
      <c r="D120" s="29" t="s">
        <v>418</v>
      </c>
      <c r="E120" s="222" t="s">
        <v>418</v>
      </c>
      <c r="F120" s="29" t="s">
        <v>418</v>
      </c>
      <c r="G120" s="29" t="s">
        <v>418</v>
      </c>
      <c r="H120" s="221" t="s">
        <v>418</v>
      </c>
      <c r="I120" s="221" t="s">
        <v>418</v>
      </c>
      <c r="J120" s="221" t="s">
        <v>418</v>
      </c>
      <c r="K120" s="85" t="s">
        <v>418</v>
      </c>
      <c r="L120" s="85"/>
      <c r="M120" s="246">
        <v>44770</v>
      </c>
      <c r="N120" s="29" t="s">
        <v>1416</v>
      </c>
      <c r="O120" s="29" t="s">
        <v>1418</v>
      </c>
      <c r="P120" s="29" t="s">
        <v>673</v>
      </c>
      <c r="Q120" s="29">
        <v>5.74</v>
      </c>
      <c r="R120" s="29">
        <v>-229.60000000000002</v>
      </c>
      <c r="S120" s="29" t="s">
        <v>416</v>
      </c>
      <c r="T120" t="s">
        <v>1601</v>
      </c>
      <c r="U120" t="s">
        <v>929</v>
      </c>
      <c r="X120" s="85">
        <f t="shared" si="1"/>
        <v>-40</v>
      </c>
      <c r="AA120" s="85" t="s">
        <v>418</v>
      </c>
      <c r="AB120" s="85" t="s">
        <v>418</v>
      </c>
    </row>
    <row r="121" spans="1:28">
      <c r="A121" s="67">
        <v>120</v>
      </c>
      <c r="B121" s="29" t="s">
        <v>418</v>
      </c>
      <c r="C121" s="29" t="s">
        <v>418</v>
      </c>
      <c r="D121" s="29" t="s">
        <v>418</v>
      </c>
      <c r="E121" s="222" t="s">
        <v>418</v>
      </c>
      <c r="F121" s="29" t="s">
        <v>418</v>
      </c>
      <c r="G121" s="29" t="s">
        <v>418</v>
      </c>
      <c r="H121" s="221" t="s">
        <v>418</v>
      </c>
      <c r="I121" s="221" t="s">
        <v>418</v>
      </c>
      <c r="J121" s="221" t="s">
        <v>418</v>
      </c>
      <c r="K121" s="85" t="s">
        <v>418</v>
      </c>
      <c r="L121" s="85"/>
      <c r="M121" s="246">
        <v>44770</v>
      </c>
      <c r="N121" s="29" t="s">
        <v>693</v>
      </c>
      <c r="O121" s="29" t="s">
        <v>1419</v>
      </c>
      <c r="P121" s="29" t="s">
        <v>673</v>
      </c>
      <c r="Q121" s="29">
        <v>5.89</v>
      </c>
      <c r="R121" s="29">
        <v>294.5</v>
      </c>
      <c r="S121" s="29" t="s">
        <v>416</v>
      </c>
      <c r="T121" t="s">
        <v>1602</v>
      </c>
      <c r="U121" t="s">
        <v>929</v>
      </c>
      <c r="X121" s="85">
        <f t="shared" si="1"/>
        <v>50</v>
      </c>
      <c r="AA121" s="85" t="s">
        <v>418</v>
      </c>
      <c r="AB121" s="85" t="s">
        <v>418</v>
      </c>
    </row>
    <row r="122" spans="1:28">
      <c r="A122" s="67">
        <v>121</v>
      </c>
      <c r="B122" s="29" t="s">
        <v>418</v>
      </c>
      <c r="C122" s="29" t="s">
        <v>418</v>
      </c>
      <c r="D122" s="29" t="s">
        <v>418</v>
      </c>
      <c r="E122" s="222" t="s">
        <v>418</v>
      </c>
      <c r="F122" s="29" t="s">
        <v>418</v>
      </c>
      <c r="G122" s="29" t="s">
        <v>418</v>
      </c>
      <c r="H122" s="221" t="s">
        <v>418</v>
      </c>
      <c r="I122" s="221" t="s">
        <v>418</v>
      </c>
      <c r="J122" s="221" t="s">
        <v>418</v>
      </c>
      <c r="K122" s="85" t="s">
        <v>418</v>
      </c>
      <c r="L122" s="85"/>
      <c r="M122" s="246">
        <v>44770</v>
      </c>
      <c r="N122" s="29" t="s">
        <v>693</v>
      </c>
      <c r="O122" s="29" t="s">
        <v>1419</v>
      </c>
      <c r="P122" s="29" t="s">
        <v>673</v>
      </c>
      <c r="Q122" s="29">
        <v>5.89</v>
      </c>
      <c r="R122" s="29">
        <v>34.750999999999998</v>
      </c>
      <c r="S122" s="29" t="s">
        <v>416</v>
      </c>
      <c r="T122" t="s">
        <v>1602</v>
      </c>
      <c r="U122" t="s">
        <v>1032</v>
      </c>
      <c r="X122" s="85">
        <f t="shared" si="1"/>
        <v>5.9</v>
      </c>
      <c r="AA122" s="85" t="s">
        <v>418</v>
      </c>
      <c r="AB122" s="85" t="s">
        <v>418</v>
      </c>
    </row>
    <row r="123" spans="1:28">
      <c r="A123" s="67">
        <v>122</v>
      </c>
      <c r="B123" s="29" t="s">
        <v>418</v>
      </c>
      <c r="C123" s="29" t="s">
        <v>418</v>
      </c>
      <c r="D123" s="29" t="s">
        <v>418</v>
      </c>
      <c r="E123" s="222" t="s">
        <v>418</v>
      </c>
      <c r="F123" s="29" t="s">
        <v>418</v>
      </c>
      <c r="G123" s="29" t="s">
        <v>418</v>
      </c>
      <c r="H123" s="221" t="s">
        <v>418</v>
      </c>
      <c r="I123" s="221" t="s">
        <v>418</v>
      </c>
      <c r="J123" s="221" t="s">
        <v>418</v>
      </c>
      <c r="K123" s="85" t="s">
        <v>418</v>
      </c>
      <c r="L123" s="85"/>
      <c r="M123" s="246">
        <v>44771</v>
      </c>
      <c r="N123" s="29" t="s">
        <v>944</v>
      </c>
      <c r="O123" s="29" t="s">
        <v>1420</v>
      </c>
      <c r="P123" s="29" t="s">
        <v>673</v>
      </c>
      <c r="Q123" s="29">
        <v>5.89</v>
      </c>
      <c r="R123" s="29">
        <v>-117.8</v>
      </c>
      <c r="S123" s="29" t="s">
        <v>416</v>
      </c>
      <c r="T123" t="s">
        <v>1603</v>
      </c>
      <c r="U123" t="s">
        <v>929</v>
      </c>
      <c r="X123" s="85">
        <f t="shared" si="1"/>
        <v>-20</v>
      </c>
      <c r="AA123" s="85" t="s">
        <v>418</v>
      </c>
      <c r="AB123" s="85" t="s">
        <v>418</v>
      </c>
    </row>
    <row r="124" spans="1:28">
      <c r="A124" s="67">
        <v>123</v>
      </c>
      <c r="B124" s="29" t="s">
        <v>418</v>
      </c>
      <c r="C124" s="29" t="s">
        <v>418</v>
      </c>
      <c r="D124" s="29" t="s">
        <v>418</v>
      </c>
      <c r="E124" s="222" t="s">
        <v>418</v>
      </c>
      <c r="F124" s="29" t="s">
        <v>418</v>
      </c>
      <c r="G124" s="29" t="s">
        <v>418</v>
      </c>
      <c r="H124" s="221" t="s">
        <v>418</v>
      </c>
      <c r="I124" s="221" t="s">
        <v>418</v>
      </c>
      <c r="J124" s="221" t="s">
        <v>418</v>
      </c>
      <c r="K124" s="85" t="s">
        <v>418</v>
      </c>
      <c r="L124" s="85"/>
      <c r="M124" s="246">
        <v>44771</v>
      </c>
      <c r="N124" s="29" t="s">
        <v>944</v>
      </c>
      <c r="O124" s="29" t="s">
        <v>1421</v>
      </c>
      <c r="P124" s="29" t="s">
        <v>673</v>
      </c>
      <c r="Q124" s="29">
        <v>5.89</v>
      </c>
      <c r="R124" s="29">
        <v>-1060.2</v>
      </c>
      <c r="S124" s="29" t="s">
        <v>416</v>
      </c>
      <c r="T124" t="s">
        <v>1604</v>
      </c>
      <c r="U124" t="s">
        <v>929</v>
      </c>
      <c r="X124" s="85">
        <f t="shared" si="1"/>
        <v>-180.00000000000003</v>
      </c>
      <c r="AA124" s="85" t="s">
        <v>418</v>
      </c>
      <c r="AB124" s="85" t="s">
        <v>418</v>
      </c>
    </row>
    <row r="125" spans="1:28">
      <c r="A125" s="67">
        <v>124</v>
      </c>
      <c r="B125" s="29" t="s">
        <v>418</v>
      </c>
      <c r="C125" s="29" t="s">
        <v>418</v>
      </c>
      <c r="D125" s="29" t="s">
        <v>418</v>
      </c>
      <c r="E125" s="222" t="s">
        <v>418</v>
      </c>
      <c r="F125" s="29" t="s">
        <v>418</v>
      </c>
      <c r="G125" s="29" t="s">
        <v>418</v>
      </c>
      <c r="H125" s="221" t="s">
        <v>418</v>
      </c>
      <c r="I125" s="221" t="s">
        <v>418</v>
      </c>
      <c r="J125" s="221" t="s">
        <v>418</v>
      </c>
      <c r="K125" s="85" t="s">
        <v>418</v>
      </c>
      <c r="L125" s="85"/>
      <c r="M125" s="246">
        <v>44771</v>
      </c>
      <c r="N125" s="29" t="s">
        <v>1034</v>
      </c>
      <c r="O125" s="29" t="s">
        <v>1420</v>
      </c>
      <c r="P125" s="29" t="s">
        <v>673</v>
      </c>
      <c r="Q125" s="29">
        <v>5.89</v>
      </c>
      <c r="R125" s="29">
        <v>-117.8</v>
      </c>
      <c r="S125" s="29" t="s">
        <v>416</v>
      </c>
      <c r="T125" t="s">
        <v>1605</v>
      </c>
      <c r="U125" t="s">
        <v>929</v>
      </c>
      <c r="X125" s="85">
        <f t="shared" si="1"/>
        <v>-20</v>
      </c>
      <c r="AA125" s="85" t="s">
        <v>418</v>
      </c>
      <c r="AB125" s="85" t="s">
        <v>418</v>
      </c>
    </row>
    <row r="126" spans="1:28">
      <c r="A126" s="67">
        <v>125</v>
      </c>
      <c r="B126" s="29" t="s">
        <v>418</v>
      </c>
      <c r="C126" s="29" t="s">
        <v>418</v>
      </c>
      <c r="D126" s="29" t="s">
        <v>418</v>
      </c>
      <c r="E126" s="222" t="s">
        <v>418</v>
      </c>
      <c r="F126" s="29" t="s">
        <v>418</v>
      </c>
      <c r="G126" s="29" t="s">
        <v>418</v>
      </c>
      <c r="H126" s="221" t="s">
        <v>418</v>
      </c>
      <c r="I126" s="221" t="s">
        <v>418</v>
      </c>
      <c r="J126" s="221" t="s">
        <v>418</v>
      </c>
      <c r="K126" s="85" t="s">
        <v>418</v>
      </c>
      <c r="L126" s="85"/>
      <c r="M126" s="246">
        <v>44771</v>
      </c>
      <c r="N126" s="29" t="s">
        <v>1034</v>
      </c>
      <c r="O126" s="29" t="s">
        <v>1421</v>
      </c>
      <c r="P126" s="29" t="s">
        <v>673</v>
      </c>
      <c r="Q126" s="29">
        <v>5.89</v>
      </c>
      <c r="R126" s="29">
        <v>-1089.6499999999999</v>
      </c>
      <c r="S126" s="29" t="s">
        <v>416</v>
      </c>
      <c r="T126" t="s">
        <v>1606</v>
      </c>
      <c r="U126" t="s">
        <v>929</v>
      </c>
      <c r="X126" s="85">
        <f t="shared" si="1"/>
        <v>-185</v>
      </c>
      <c r="AA126" s="85" t="s">
        <v>418</v>
      </c>
      <c r="AB126" s="85" t="s">
        <v>418</v>
      </c>
    </row>
    <row r="127" spans="1:28">
      <c r="A127" s="67">
        <v>126</v>
      </c>
      <c r="B127" s="29" t="s">
        <v>418</v>
      </c>
      <c r="C127" s="29" t="s">
        <v>418</v>
      </c>
      <c r="D127" s="29" t="s">
        <v>418</v>
      </c>
      <c r="E127" s="222" t="s">
        <v>418</v>
      </c>
      <c r="F127" s="29" t="s">
        <v>418</v>
      </c>
      <c r="G127" s="29" t="s">
        <v>418</v>
      </c>
      <c r="H127" s="221" t="s">
        <v>418</v>
      </c>
      <c r="I127" s="221" t="s">
        <v>418</v>
      </c>
      <c r="J127" s="221" t="s">
        <v>418</v>
      </c>
      <c r="K127" s="85" t="s">
        <v>418</v>
      </c>
      <c r="L127" s="85"/>
      <c r="M127" s="246">
        <v>44771</v>
      </c>
      <c r="N127" s="29" t="s">
        <v>1034</v>
      </c>
      <c r="O127" s="29" t="s">
        <v>1422</v>
      </c>
      <c r="P127" s="29" t="s">
        <v>673</v>
      </c>
      <c r="Q127" s="29">
        <v>5.89</v>
      </c>
      <c r="R127" s="29">
        <v>-530.1</v>
      </c>
      <c r="S127" s="29" t="s">
        <v>416</v>
      </c>
      <c r="T127" t="s">
        <v>1607</v>
      </c>
      <c r="U127" t="s">
        <v>929</v>
      </c>
      <c r="X127" s="85">
        <f t="shared" si="1"/>
        <v>-90.000000000000014</v>
      </c>
      <c r="AA127" s="85" t="s">
        <v>418</v>
      </c>
      <c r="AB127" s="85" t="s">
        <v>418</v>
      </c>
    </row>
    <row r="128" spans="1:28">
      <c r="A128" s="67">
        <v>127</v>
      </c>
      <c r="B128" s="29" t="s">
        <v>418</v>
      </c>
      <c r="C128" s="29" t="s">
        <v>418</v>
      </c>
      <c r="D128" s="29" t="s">
        <v>418</v>
      </c>
      <c r="E128" s="222" t="s">
        <v>418</v>
      </c>
      <c r="F128" s="29" t="s">
        <v>418</v>
      </c>
      <c r="G128" s="29" t="s">
        <v>418</v>
      </c>
      <c r="H128" s="221" t="s">
        <v>418</v>
      </c>
      <c r="I128" s="221" t="s">
        <v>418</v>
      </c>
      <c r="J128" s="221" t="s">
        <v>418</v>
      </c>
      <c r="K128" s="85" t="s">
        <v>418</v>
      </c>
      <c r="L128" s="85"/>
      <c r="M128" s="246">
        <v>44771</v>
      </c>
      <c r="N128" s="29" t="s">
        <v>1033</v>
      </c>
      <c r="O128" s="29" t="s">
        <v>1420</v>
      </c>
      <c r="P128" s="29" t="s">
        <v>673</v>
      </c>
      <c r="Q128" s="29">
        <v>5.89</v>
      </c>
      <c r="R128" s="29">
        <v>-117.8</v>
      </c>
      <c r="S128" s="29" t="s">
        <v>416</v>
      </c>
      <c r="T128" t="s">
        <v>1608</v>
      </c>
      <c r="U128" t="s">
        <v>929</v>
      </c>
      <c r="X128" s="85">
        <f t="shared" si="1"/>
        <v>-20</v>
      </c>
      <c r="AA128" s="85" t="s">
        <v>418</v>
      </c>
      <c r="AB128" s="85" t="s">
        <v>418</v>
      </c>
    </row>
    <row r="129" spans="1:28">
      <c r="A129" s="67">
        <v>128</v>
      </c>
      <c r="B129" s="29" t="s">
        <v>418</v>
      </c>
      <c r="C129" s="29" t="s">
        <v>418</v>
      </c>
      <c r="D129" s="29" t="s">
        <v>418</v>
      </c>
      <c r="E129" s="222" t="s">
        <v>418</v>
      </c>
      <c r="F129" s="29" t="s">
        <v>418</v>
      </c>
      <c r="G129" s="29" t="s">
        <v>418</v>
      </c>
      <c r="H129" s="221" t="s">
        <v>418</v>
      </c>
      <c r="I129" s="221" t="s">
        <v>418</v>
      </c>
      <c r="J129" s="221" t="s">
        <v>418</v>
      </c>
      <c r="K129" s="85" t="s">
        <v>418</v>
      </c>
      <c r="L129" s="85"/>
      <c r="M129" s="246">
        <v>44771</v>
      </c>
      <c r="N129" s="29" t="s">
        <v>1033</v>
      </c>
      <c r="O129" s="29" t="s">
        <v>1421</v>
      </c>
      <c r="P129" s="29" t="s">
        <v>673</v>
      </c>
      <c r="Q129" s="29">
        <v>5.89</v>
      </c>
      <c r="R129" s="29">
        <v>-618.44999999999993</v>
      </c>
      <c r="S129" s="29" t="s">
        <v>416</v>
      </c>
      <c r="T129" t="s">
        <v>1609</v>
      </c>
      <c r="U129" t="s">
        <v>929</v>
      </c>
      <c r="X129" s="85">
        <f t="shared" si="1"/>
        <v>-105</v>
      </c>
      <c r="AA129" s="85" t="s">
        <v>418</v>
      </c>
      <c r="AB129" s="85" t="s">
        <v>418</v>
      </c>
    </row>
    <row r="130" spans="1:28">
      <c r="A130" s="67">
        <v>129</v>
      </c>
      <c r="B130" s="29" t="s">
        <v>418</v>
      </c>
      <c r="C130" s="29" t="s">
        <v>418</v>
      </c>
      <c r="D130" s="29" t="s">
        <v>418</v>
      </c>
      <c r="E130" s="222" t="s">
        <v>418</v>
      </c>
      <c r="F130" s="29" t="s">
        <v>418</v>
      </c>
      <c r="G130" s="29" t="s">
        <v>418</v>
      </c>
      <c r="H130" s="221" t="s">
        <v>418</v>
      </c>
      <c r="I130" s="221" t="s">
        <v>418</v>
      </c>
      <c r="J130" s="221" t="s">
        <v>418</v>
      </c>
      <c r="K130" s="85" t="s">
        <v>418</v>
      </c>
      <c r="L130" s="85"/>
      <c r="M130" s="246">
        <v>44771</v>
      </c>
      <c r="N130" s="29" t="s">
        <v>1033</v>
      </c>
      <c r="O130" s="29" t="s">
        <v>1423</v>
      </c>
      <c r="P130" s="29" t="s">
        <v>673</v>
      </c>
      <c r="Q130" s="29">
        <v>5.89</v>
      </c>
      <c r="R130" s="29">
        <v>-176.7</v>
      </c>
      <c r="S130" s="29" t="s">
        <v>416</v>
      </c>
      <c r="T130" t="s">
        <v>1610</v>
      </c>
      <c r="U130" t="s">
        <v>929</v>
      </c>
      <c r="X130" s="85">
        <f t="shared" si="1"/>
        <v>-30</v>
      </c>
      <c r="AA130" s="85" t="s">
        <v>418</v>
      </c>
      <c r="AB130" s="85" t="s">
        <v>418</v>
      </c>
    </row>
    <row r="131" spans="1:28">
      <c r="A131" s="67">
        <v>130</v>
      </c>
      <c r="B131" s="29" t="s">
        <v>418</v>
      </c>
      <c r="C131" s="29" t="s">
        <v>418</v>
      </c>
      <c r="D131" s="29" t="s">
        <v>418</v>
      </c>
      <c r="E131" s="222" t="s">
        <v>418</v>
      </c>
      <c r="F131" s="29" t="s">
        <v>418</v>
      </c>
      <c r="G131" s="29" t="s">
        <v>418</v>
      </c>
      <c r="H131" s="221" t="s">
        <v>418</v>
      </c>
      <c r="I131" s="221" t="s">
        <v>418</v>
      </c>
      <c r="J131" s="221" t="s">
        <v>418</v>
      </c>
      <c r="K131" s="85" t="s">
        <v>418</v>
      </c>
      <c r="L131" s="85"/>
      <c r="M131" s="246">
        <v>44771</v>
      </c>
      <c r="N131" s="29" t="s">
        <v>1138</v>
      </c>
      <c r="O131" s="29" t="s">
        <v>1420</v>
      </c>
      <c r="P131" s="29" t="s">
        <v>673</v>
      </c>
      <c r="Q131" s="29">
        <v>5.89</v>
      </c>
      <c r="R131" s="29">
        <v>-88.35</v>
      </c>
      <c r="S131" s="29" t="s">
        <v>416</v>
      </c>
      <c r="T131" t="s">
        <v>1611</v>
      </c>
      <c r="U131" t="s">
        <v>929</v>
      </c>
      <c r="X131" s="85">
        <f t="shared" ref="X131:X194" si="2">IF(OR(Q131=0,Q131=""),0,R131/Q131)</f>
        <v>-15</v>
      </c>
      <c r="AA131" s="85" t="s">
        <v>418</v>
      </c>
      <c r="AB131" s="85" t="s">
        <v>418</v>
      </c>
    </row>
    <row r="132" spans="1:28">
      <c r="A132" s="67">
        <v>131</v>
      </c>
      <c r="B132" s="29" t="s">
        <v>418</v>
      </c>
      <c r="C132" s="29" t="s">
        <v>418</v>
      </c>
      <c r="D132" s="29" t="s">
        <v>418</v>
      </c>
      <c r="E132" s="222" t="s">
        <v>418</v>
      </c>
      <c r="F132" s="29" t="s">
        <v>418</v>
      </c>
      <c r="G132" s="29" t="s">
        <v>418</v>
      </c>
      <c r="H132" s="221" t="s">
        <v>418</v>
      </c>
      <c r="I132" s="221" t="s">
        <v>418</v>
      </c>
      <c r="J132" s="221" t="s">
        <v>418</v>
      </c>
      <c r="K132" s="85" t="s">
        <v>418</v>
      </c>
      <c r="L132" s="85"/>
      <c r="M132" s="246">
        <v>44771</v>
      </c>
      <c r="N132" s="29" t="s">
        <v>1138</v>
      </c>
      <c r="O132" s="29" t="s">
        <v>1421</v>
      </c>
      <c r="P132" s="29" t="s">
        <v>673</v>
      </c>
      <c r="Q132" s="29">
        <v>5.89</v>
      </c>
      <c r="R132" s="29">
        <v>-1060.2</v>
      </c>
      <c r="S132" s="29" t="s">
        <v>416</v>
      </c>
      <c r="T132" t="s">
        <v>1612</v>
      </c>
      <c r="U132" t="s">
        <v>929</v>
      </c>
      <c r="X132" s="85">
        <f t="shared" si="2"/>
        <v>-180.00000000000003</v>
      </c>
      <c r="AA132" s="85" t="s">
        <v>418</v>
      </c>
      <c r="AB132" s="85" t="s">
        <v>418</v>
      </c>
    </row>
    <row r="133" spans="1:28">
      <c r="A133" s="67">
        <v>132</v>
      </c>
      <c r="B133" s="29" t="s">
        <v>418</v>
      </c>
      <c r="C133" s="29" t="s">
        <v>418</v>
      </c>
      <c r="D133" s="29" t="s">
        <v>418</v>
      </c>
      <c r="E133" s="222" t="s">
        <v>418</v>
      </c>
      <c r="F133" s="29" t="s">
        <v>418</v>
      </c>
      <c r="G133" s="29" t="s">
        <v>418</v>
      </c>
      <c r="H133" s="221" t="s">
        <v>418</v>
      </c>
      <c r="I133" s="221" t="s">
        <v>418</v>
      </c>
      <c r="J133" s="221" t="s">
        <v>418</v>
      </c>
      <c r="K133" s="85" t="s">
        <v>418</v>
      </c>
      <c r="L133" s="85"/>
      <c r="M133" s="246">
        <v>44771</v>
      </c>
      <c r="N133" s="29" t="s">
        <v>1138</v>
      </c>
      <c r="O133" s="29" t="s">
        <v>1423</v>
      </c>
      <c r="P133" s="29" t="s">
        <v>673</v>
      </c>
      <c r="Q133" s="29">
        <v>5.89</v>
      </c>
      <c r="R133" s="29">
        <v>-176.7</v>
      </c>
      <c r="S133" s="29" t="s">
        <v>416</v>
      </c>
      <c r="T133" t="s">
        <v>1613</v>
      </c>
      <c r="U133" t="s">
        <v>929</v>
      </c>
      <c r="X133" s="85">
        <f t="shared" si="2"/>
        <v>-30</v>
      </c>
      <c r="AA133" s="85" t="s">
        <v>418</v>
      </c>
      <c r="AB133" s="85" t="s">
        <v>418</v>
      </c>
    </row>
    <row r="134" spans="1:28">
      <c r="A134" s="67">
        <v>133</v>
      </c>
      <c r="B134" s="29" t="s">
        <v>418</v>
      </c>
      <c r="C134" s="29" t="s">
        <v>418</v>
      </c>
      <c r="D134" s="29" t="s">
        <v>418</v>
      </c>
      <c r="E134" s="222" t="s">
        <v>418</v>
      </c>
      <c r="F134" s="29" t="s">
        <v>418</v>
      </c>
      <c r="G134" s="29" t="s">
        <v>418</v>
      </c>
      <c r="H134" s="221" t="s">
        <v>418</v>
      </c>
      <c r="I134" s="221" t="s">
        <v>418</v>
      </c>
      <c r="J134" s="221" t="s">
        <v>418</v>
      </c>
      <c r="K134" s="85" t="s">
        <v>418</v>
      </c>
      <c r="L134" s="85"/>
      <c r="M134" s="246">
        <v>44771</v>
      </c>
      <c r="N134" s="29" t="s">
        <v>1139</v>
      </c>
      <c r="O134" s="29" t="s">
        <v>1420</v>
      </c>
      <c r="P134" s="29" t="s">
        <v>673</v>
      </c>
      <c r="Q134" s="29">
        <v>5.89</v>
      </c>
      <c r="R134" s="29">
        <v>-58.9</v>
      </c>
      <c r="S134" s="29" t="s">
        <v>416</v>
      </c>
      <c r="T134" t="s">
        <v>1614</v>
      </c>
      <c r="U134" t="s">
        <v>929</v>
      </c>
      <c r="X134" s="85">
        <f t="shared" si="2"/>
        <v>-10</v>
      </c>
      <c r="AA134" s="85" t="s">
        <v>418</v>
      </c>
      <c r="AB134" s="85" t="s">
        <v>418</v>
      </c>
    </row>
    <row r="135" spans="1:28">
      <c r="A135" s="67">
        <v>134</v>
      </c>
      <c r="B135" s="29" t="s">
        <v>418</v>
      </c>
      <c r="C135" s="29" t="s">
        <v>418</v>
      </c>
      <c r="D135" s="29" t="s">
        <v>418</v>
      </c>
      <c r="E135" s="222" t="s">
        <v>418</v>
      </c>
      <c r="F135" s="29" t="s">
        <v>418</v>
      </c>
      <c r="G135" s="29" t="s">
        <v>418</v>
      </c>
      <c r="H135" s="221" t="s">
        <v>418</v>
      </c>
      <c r="I135" s="221" t="s">
        <v>418</v>
      </c>
      <c r="J135" s="221" t="s">
        <v>418</v>
      </c>
      <c r="K135" s="85" t="s">
        <v>418</v>
      </c>
      <c r="L135" s="85"/>
      <c r="M135" s="246">
        <v>44771</v>
      </c>
      <c r="N135" s="29" t="s">
        <v>1139</v>
      </c>
      <c r="O135" s="29" t="s">
        <v>1421</v>
      </c>
      <c r="P135" s="29" t="s">
        <v>673</v>
      </c>
      <c r="Q135" s="29">
        <v>5.89</v>
      </c>
      <c r="R135" s="29">
        <v>-530.1</v>
      </c>
      <c r="S135" s="29" t="s">
        <v>416</v>
      </c>
      <c r="T135" t="s">
        <v>1615</v>
      </c>
      <c r="U135" t="s">
        <v>929</v>
      </c>
      <c r="X135" s="85">
        <f t="shared" si="2"/>
        <v>-90.000000000000014</v>
      </c>
      <c r="AA135" s="85" t="s">
        <v>418</v>
      </c>
      <c r="AB135" s="85" t="s">
        <v>418</v>
      </c>
    </row>
    <row r="136" spans="1:28">
      <c r="A136" s="67">
        <v>135</v>
      </c>
      <c r="B136" s="29" t="s">
        <v>418</v>
      </c>
      <c r="C136" s="29" t="s">
        <v>418</v>
      </c>
      <c r="D136" s="29" t="s">
        <v>418</v>
      </c>
      <c r="E136" s="222" t="s">
        <v>418</v>
      </c>
      <c r="F136" s="29" t="s">
        <v>418</v>
      </c>
      <c r="G136" s="29" t="s">
        <v>418</v>
      </c>
      <c r="H136" s="221" t="s">
        <v>418</v>
      </c>
      <c r="I136" s="221" t="s">
        <v>418</v>
      </c>
      <c r="J136" s="221" t="s">
        <v>418</v>
      </c>
      <c r="K136" s="85" t="s">
        <v>418</v>
      </c>
      <c r="L136" s="85"/>
      <c r="M136" s="246">
        <v>44771</v>
      </c>
      <c r="N136" s="29" t="s">
        <v>1139</v>
      </c>
      <c r="O136" s="29" t="s">
        <v>1423</v>
      </c>
      <c r="P136" s="29" t="s">
        <v>673</v>
      </c>
      <c r="Q136" s="29">
        <v>5.89</v>
      </c>
      <c r="R136" s="29">
        <v>-147.25</v>
      </c>
      <c r="S136" s="29" t="s">
        <v>416</v>
      </c>
      <c r="T136" t="s">
        <v>1616</v>
      </c>
      <c r="U136" t="s">
        <v>929</v>
      </c>
      <c r="X136" s="85">
        <f t="shared" si="2"/>
        <v>-25</v>
      </c>
      <c r="AA136" s="85" t="s">
        <v>418</v>
      </c>
      <c r="AB136" s="85" t="s">
        <v>418</v>
      </c>
    </row>
    <row r="137" spans="1:28">
      <c r="A137" s="67">
        <v>136</v>
      </c>
      <c r="B137" s="29" t="s">
        <v>418</v>
      </c>
      <c r="C137" s="29" t="s">
        <v>418</v>
      </c>
      <c r="D137" s="29" t="s">
        <v>418</v>
      </c>
      <c r="E137" s="222" t="s">
        <v>418</v>
      </c>
      <c r="F137" s="29" t="s">
        <v>418</v>
      </c>
      <c r="G137" s="29" t="s">
        <v>418</v>
      </c>
      <c r="H137" s="221" t="s">
        <v>418</v>
      </c>
      <c r="I137" s="221" t="s">
        <v>418</v>
      </c>
      <c r="J137" s="221" t="s">
        <v>418</v>
      </c>
      <c r="K137" s="85" t="s">
        <v>418</v>
      </c>
      <c r="L137" s="85"/>
      <c r="M137" s="246">
        <v>44771</v>
      </c>
      <c r="N137" s="29" t="s">
        <v>1125</v>
      </c>
      <c r="O137" s="29" t="s">
        <v>1420</v>
      </c>
      <c r="P137" s="29" t="s">
        <v>673</v>
      </c>
      <c r="Q137" s="29">
        <v>5.89</v>
      </c>
      <c r="R137" s="29">
        <v>-29.45</v>
      </c>
      <c r="S137" s="29" t="s">
        <v>416</v>
      </c>
      <c r="T137" t="s">
        <v>1617</v>
      </c>
      <c r="U137" t="s">
        <v>929</v>
      </c>
      <c r="X137" s="85">
        <f t="shared" si="2"/>
        <v>-5</v>
      </c>
      <c r="AA137" s="85" t="s">
        <v>418</v>
      </c>
      <c r="AB137" s="85" t="s">
        <v>418</v>
      </c>
    </row>
    <row r="138" spans="1:28">
      <c r="A138" s="67">
        <v>137</v>
      </c>
      <c r="B138" s="29" t="s">
        <v>418</v>
      </c>
      <c r="C138" s="29" t="s">
        <v>418</v>
      </c>
      <c r="D138" s="29" t="s">
        <v>418</v>
      </c>
      <c r="E138" s="222" t="s">
        <v>418</v>
      </c>
      <c r="F138" s="29" t="s">
        <v>418</v>
      </c>
      <c r="G138" s="29" t="s">
        <v>418</v>
      </c>
      <c r="H138" s="221" t="s">
        <v>418</v>
      </c>
      <c r="I138" s="221" t="s">
        <v>418</v>
      </c>
      <c r="J138" s="221" t="s">
        <v>418</v>
      </c>
      <c r="K138" s="85" t="s">
        <v>418</v>
      </c>
      <c r="L138" s="85"/>
      <c r="M138" s="246">
        <v>44771</v>
      </c>
      <c r="N138" s="29" t="s">
        <v>1125</v>
      </c>
      <c r="O138" s="29" t="s">
        <v>1421</v>
      </c>
      <c r="P138" s="29" t="s">
        <v>673</v>
      </c>
      <c r="Q138" s="29">
        <v>5.89</v>
      </c>
      <c r="R138" s="29">
        <v>-530.1</v>
      </c>
      <c r="S138" s="29" t="s">
        <v>416</v>
      </c>
      <c r="T138" t="s">
        <v>1618</v>
      </c>
      <c r="U138" t="s">
        <v>929</v>
      </c>
      <c r="X138" s="85">
        <f t="shared" si="2"/>
        <v>-90.000000000000014</v>
      </c>
      <c r="AA138" s="85" t="s">
        <v>418</v>
      </c>
      <c r="AB138" s="85" t="s">
        <v>418</v>
      </c>
    </row>
    <row r="139" spans="1:28">
      <c r="A139" s="67">
        <v>138</v>
      </c>
      <c r="B139" s="29" t="s">
        <v>418</v>
      </c>
      <c r="C139" s="29" t="s">
        <v>418</v>
      </c>
      <c r="D139" s="29" t="s">
        <v>418</v>
      </c>
      <c r="E139" s="222" t="s">
        <v>418</v>
      </c>
      <c r="F139" s="29" t="s">
        <v>418</v>
      </c>
      <c r="G139" s="29" t="s">
        <v>418</v>
      </c>
      <c r="H139" s="221" t="s">
        <v>418</v>
      </c>
      <c r="I139" s="221" t="s">
        <v>418</v>
      </c>
      <c r="J139" s="221" t="s">
        <v>418</v>
      </c>
      <c r="K139" s="85" t="s">
        <v>418</v>
      </c>
      <c r="L139" s="85"/>
      <c r="M139" s="246">
        <v>44771</v>
      </c>
      <c r="N139" s="29" t="s">
        <v>1125</v>
      </c>
      <c r="O139" s="29" t="s">
        <v>1423</v>
      </c>
      <c r="P139" s="29" t="s">
        <v>673</v>
      </c>
      <c r="Q139" s="29">
        <v>5.89</v>
      </c>
      <c r="R139" s="29">
        <v>-147.25</v>
      </c>
      <c r="S139" s="29" t="s">
        <v>416</v>
      </c>
      <c r="T139" t="s">
        <v>1619</v>
      </c>
      <c r="U139" t="s">
        <v>929</v>
      </c>
      <c r="X139" s="85">
        <f t="shared" si="2"/>
        <v>-25</v>
      </c>
      <c r="AA139" s="85" t="s">
        <v>418</v>
      </c>
      <c r="AB139" s="85" t="s">
        <v>418</v>
      </c>
    </row>
    <row r="140" spans="1:28">
      <c r="A140" s="67">
        <v>139</v>
      </c>
      <c r="B140" s="29" t="s">
        <v>418</v>
      </c>
      <c r="C140" s="29" t="s">
        <v>418</v>
      </c>
      <c r="D140" s="29" t="s">
        <v>418</v>
      </c>
      <c r="E140" s="222" t="s">
        <v>418</v>
      </c>
      <c r="F140" s="29" t="s">
        <v>418</v>
      </c>
      <c r="G140" s="29" t="s">
        <v>418</v>
      </c>
      <c r="H140" s="221" t="s">
        <v>418</v>
      </c>
      <c r="I140" s="221" t="s">
        <v>418</v>
      </c>
      <c r="J140" s="221" t="s">
        <v>418</v>
      </c>
      <c r="K140" s="85" t="s">
        <v>418</v>
      </c>
      <c r="L140" s="85"/>
      <c r="M140" s="246">
        <v>44771</v>
      </c>
      <c r="N140" s="29" t="s">
        <v>1124</v>
      </c>
      <c r="O140" s="29" t="s">
        <v>1420</v>
      </c>
      <c r="P140" s="29" t="s">
        <v>673</v>
      </c>
      <c r="Q140" s="29">
        <v>5.89</v>
      </c>
      <c r="R140" s="29">
        <v>-471.2</v>
      </c>
      <c r="S140" s="29" t="s">
        <v>416</v>
      </c>
      <c r="T140" t="s">
        <v>1620</v>
      </c>
      <c r="U140" t="s">
        <v>929</v>
      </c>
      <c r="X140" s="85">
        <f t="shared" si="2"/>
        <v>-80</v>
      </c>
      <c r="AA140" s="85" t="s">
        <v>418</v>
      </c>
      <c r="AB140" s="85" t="s">
        <v>418</v>
      </c>
    </row>
    <row r="141" spans="1:28">
      <c r="A141" s="67">
        <v>140</v>
      </c>
      <c r="B141" s="29" t="s">
        <v>418</v>
      </c>
      <c r="C141" s="29" t="s">
        <v>418</v>
      </c>
      <c r="D141" s="29" t="s">
        <v>418</v>
      </c>
      <c r="E141" s="222" t="s">
        <v>418</v>
      </c>
      <c r="F141" s="29" t="s">
        <v>418</v>
      </c>
      <c r="G141" s="29" t="s">
        <v>418</v>
      </c>
      <c r="H141" s="221" t="s">
        <v>418</v>
      </c>
      <c r="I141" s="221" t="s">
        <v>418</v>
      </c>
      <c r="J141" s="221" t="s">
        <v>418</v>
      </c>
      <c r="K141" s="85" t="s">
        <v>418</v>
      </c>
      <c r="L141" s="85"/>
      <c r="M141" s="246">
        <v>44771</v>
      </c>
      <c r="N141" s="29" t="s">
        <v>1033</v>
      </c>
      <c r="O141" s="29" t="s">
        <v>1427</v>
      </c>
      <c r="P141" s="29" t="s">
        <v>673</v>
      </c>
      <c r="Q141" s="29">
        <v>5.89</v>
      </c>
      <c r="R141" s="29">
        <v>-117.8</v>
      </c>
      <c r="S141" s="29" t="s">
        <v>416</v>
      </c>
      <c r="T141" t="s">
        <v>1621</v>
      </c>
      <c r="U141" t="s">
        <v>929</v>
      </c>
      <c r="X141" s="85">
        <f t="shared" si="2"/>
        <v>-20</v>
      </c>
      <c r="AA141" s="85" t="s">
        <v>418</v>
      </c>
      <c r="AB141" s="85" t="s">
        <v>418</v>
      </c>
    </row>
    <row r="142" spans="1:28">
      <c r="A142" s="67">
        <v>141</v>
      </c>
      <c r="B142" s="29" t="s">
        <v>418</v>
      </c>
      <c r="C142" s="29" t="s">
        <v>418</v>
      </c>
      <c r="D142" s="29" t="s">
        <v>418</v>
      </c>
      <c r="E142" s="222" t="s">
        <v>418</v>
      </c>
      <c r="F142" s="29" t="s">
        <v>418</v>
      </c>
      <c r="G142" s="29" t="s">
        <v>418</v>
      </c>
      <c r="H142" s="221" t="s">
        <v>418</v>
      </c>
      <c r="I142" s="221" t="s">
        <v>418</v>
      </c>
      <c r="J142" s="221" t="s">
        <v>418</v>
      </c>
      <c r="K142" s="85" t="s">
        <v>418</v>
      </c>
      <c r="L142" s="85"/>
      <c r="M142" s="246">
        <v>44771</v>
      </c>
      <c r="N142" s="29" t="s">
        <v>1109</v>
      </c>
      <c r="O142" s="29" t="s">
        <v>1224</v>
      </c>
      <c r="P142" s="29" t="s">
        <v>673</v>
      </c>
      <c r="Q142" s="29">
        <v>5.89</v>
      </c>
      <c r="R142" s="29">
        <v>129.57999999999998</v>
      </c>
      <c r="S142" s="29" t="s">
        <v>416</v>
      </c>
      <c r="T142" t="s">
        <v>1579</v>
      </c>
      <c r="U142" t="s">
        <v>929</v>
      </c>
      <c r="X142" s="85">
        <f t="shared" si="2"/>
        <v>22</v>
      </c>
      <c r="AA142" s="85" t="s">
        <v>418</v>
      </c>
      <c r="AB142" s="85" t="s">
        <v>418</v>
      </c>
    </row>
    <row r="143" spans="1:28">
      <c r="A143" s="67">
        <v>142</v>
      </c>
      <c r="B143" s="29" t="s">
        <v>418</v>
      </c>
      <c r="C143" s="29" t="s">
        <v>418</v>
      </c>
      <c r="D143" s="29" t="s">
        <v>418</v>
      </c>
      <c r="E143" s="222" t="s">
        <v>418</v>
      </c>
      <c r="F143" s="29" t="s">
        <v>418</v>
      </c>
      <c r="G143" s="29" t="s">
        <v>418</v>
      </c>
      <c r="H143" s="221" t="s">
        <v>418</v>
      </c>
      <c r="I143" s="221" t="s">
        <v>418</v>
      </c>
      <c r="J143" s="221" t="s">
        <v>418</v>
      </c>
      <c r="K143" s="85" t="s">
        <v>418</v>
      </c>
      <c r="L143" s="85"/>
      <c r="M143" s="246">
        <v>44771</v>
      </c>
      <c r="N143" s="29" t="s">
        <v>1109</v>
      </c>
      <c r="O143" s="29" t="s">
        <v>1428</v>
      </c>
      <c r="P143" s="29" t="s">
        <v>673</v>
      </c>
      <c r="Q143" s="29">
        <v>5.89</v>
      </c>
      <c r="R143" s="29">
        <v>294.5</v>
      </c>
      <c r="S143" s="29" t="s">
        <v>416</v>
      </c>
      <c r="T143" t="s">
        <v>1622</v>
      </c>
      <c r="U143" t="s">
        <v>929</v>
      </c>
      <c r="X143" s="85">
        <f t="shared" si="2"/>
        <v>50</v>
      </c>
      <c r="AA143" s="85" t="s">
        <v>418</v>
      </c>
      <c r="AB143" s="85" t="s">
        <v>418</v>
      </c>
    </row>
    <row r="144" spans="1:28">
      <c r="A144" s="67">
        <v>143</v>
      </c>
      <c r="B144" s="29" t="s">
        <v>418</v>
      </c>
      <c r="C144" s="29" t="s">
        <v>418</v>
      </c>
      <c r="D144" s="29" t="s">
        <v>418</v>
      </c>
      <c r="E144" s="222" t="s">
        <v>418</v>
      </c>
      <c r="F144" s="29" t="s">
        <v>418</v>
      </c>
      <c r="G144" s="29" t="s">
        <v>418</v>
      </c>
      <c r="H144" s="221" t="s">
        <v>418</v>
      </c>
      <c r="I144" s="221" t="s">
        <v>418</v>
      </c>
      <c r="J144" s="221" t="s">
        <v>418</v>
      </c>
      <c r="K144" s="85" t="s">
        <v>418</v>
      </c>
      <c r="L144" s="85"/>
      <c r="M144" s="246">
        <v>44771</v>
      </c>
      <c r="N144" s="29" t="s">
        <v>1109</v>
      </c>
      <c r="O144" s="29" t="s">
        <v>1428</v>
      </c>
      <c r="P144" s="29" t="s">
        <v>673</v>
      </c>
      <c r="Q144" s="29">
        <v>5.89</v>
      </c>
      <c r="R144" s="29">
        <v>11.190999999999999</v>
      </c>
      <c r="S144" s="29" t="s">
        <v>416</v>
      </c>
      <c r="T144" t="s">
        <v>1622</v>
      </c>
      <c r="U144" t="s">
        <v>1032</v>
      </c>
      <c r="X144" s="85">
        <f t="shared" si="2"/>
        <v>1.9</v>
      </c>
      <c r="AA144" s="85" t="s">
        <v>418</v>
      </c>
      <c r="AB144" s="85" t="s">
        <v>418</v>
      </c>
    </row>
    <row r="145" spans="1:28">
      <c r="A145" s="67">
        <v>144</v>
      </c>
      <c r="B145" s="29" t="s">
        <v>418</v>
      </c>
      <c r="C145" s="29" t="s">
        <v>418</v>
      </c>
      <c r="D145" s="29" t="s">
        <v>418</v>
      </c>
      <c r="E145" s="222" t="s">
        <v>418</v>
      </c>
      <c r="F145" s="29" t="s">
        <v>418</v>
      </c>
      <c r="G145" s="29" t="s">
        <v>418</v>
      </c>
      <c r="H145" s="221" t="s">
        <v>418</v>
      </c>
      <c r="I145" s="221" t="s">
        <v>418</v>
      </c>
      <c r="J145" s="221" t="s">
        <v>418</v>
      </c>
      <c r="K145" s="85" t="s">
        <v>418</v>
      </c>
      <c r="L145" s="85"/>
      <c r="M145" s="246">
        <v>44771</v>
      </c>
      <c r="N145" s="29" t="s">
        <v>1109</v>
      </c>
      <c r="O145" s="29" t="s">
        <v>1428</v>
      </c>
      <c r="P145" s="29" t="s">
        <v>673</v>
      </c>
      <c r="Q145" s="29">
        <v>5.89</v>
      </c>
      <c r="R145" s="29">
        <v>235.6</v>
      </c>
      <c r="S145" s="29" t="s">
        <v>416</v>
      </c>
      <c r="T145" t="s">
        <v>1622</v>
      </c>
      <c r="U145" t="s">
        <v>929</v>
      </c>
      <c r="X145" s="85">
        <f t="shared" si="2"/>
        <v>40</v>
      </c>
      <c r="AA145" s="85" t="s">
        <v>418</v>
      </c>
      <c r="AB145" s="85" t="s">
        <v>418</v>
      </c>
    </row>
    <row r="146" spans="1:28">
      <c r="A146" s="67">
        <v>145</v>
      </c>
      <c r="B146" s="29" t="s">
        <v>418</v>
      </c>
      <c r="C146" s="29" t="s">
        <v>418</v>
      </c>
      <c r="D146" s="29" t="s">
        <v>418</v>
      </c>
      <c r="E146" s="222" t="s">
        <v>418</v>
      </c>
      <c r="F146" s="29" t="s">
        <v>418</v>
      </c>
      <c r="G146" s="29" t="s">
        <v>418</v>
      </c>
      <c r="H146" s="221" t="s">
        <v>418</v>
      </c>
      <c r="I146" s="221" t="s">
        <v>418</v>
      </c>
      <c r="J146" s="221" t="s">
        <v>418</v>
      </c>
      <c r="K146" s="85" t="s">
        <v>418</v>
      </c>
      <c r="L146" s="85"/>
      <c r="M146" s="246">
        <v>44771</v>
      </c>
      <c r="N146" s="29" t="s">
        <v>1350</v>
      </c>
      <c r="O146" s="29" t="s">
        <v>1429</v>
      </c>
      <c r="P146" s="29" t="s">
        <v>673</v>
      </c>
      <c r="Q146" s="29">
        <v>5.89</v>
      </c>
      <c r="R146" s="29">
        <v>-294.5</v>
      </c>
      <c r="S146" s="29" t="s">
        <v>416</v>
      </c>
      <c r="T146" t="s">
        <v>1623</v>
      </c>
      <c r="U146" t="s">
        <v>929</v>
      </c>
      <c r="X146" s="85">
        <f t="shared" si="2"/>
        <v>-50</v>
      </c>
      <c r="AA146" s="85" t="s">
        <v>418</v>
      </c>
      <c r="AB146" s="85" t="s">
        <v>418</v>
      </c>
    </row>
    <row r="147" spans="1:28">
      <c r="A147" s="67">
        <v>146</v>
      </c>
      <c r="B147" s="29" t="s">
        <v>418</v>
      </c>
      <c r="C147" s="29" t="s">
        <v>418</v>
      </c>
      <c r="D147" s="29" t="s">
        <v>418</v>
      </c>
      <c r="E147" s="222" t="s">
        <v>418</v>
      </c>
      <c r="F147" s="29" t="s">
        <v>418</v>
      </c>
      <c r="G147" s="29" t="s">
        <v>418</v>
      </c>
      <c r="H147" s="221" t="s">
        <v>418</v>
      </c>
      <c r="I147" s="221" t="s">
        <v>418</v>
      </c>
      <c r="J147" s="221" t="s">
        <v>418</v>
      </c>
      <c r="K147" s="85" t="s">
        <v>418</v>
      </c>
      <c r="L147" s="85"/>
      <c r="M147" s="246">
        <v>44771</v>
      </c>
      <c r="N147" s="29" t="s">
        <v>1431</v>
      </c>
      <c r="O147" s="29" t="s">
        <v>1432</v>
      </c>
      <c r="P147" s="29" t="s">
        <v>673</v>
      </c>
      <c r="Q147" s="29">
        <v>5.89</v>
      </c>
      <c r="R147" s="29">
        <v>-176.7</v>
      </c>
      <c r="S147" s="29" t="s">
        <v>416</v>
      </c>
      <c r="T147" t="s">
        <v>1624</v>
      </c>
      <c r="U147" t="s">
        <v>929</v>
      </c>
      <c r="X147" s="85">
        <f t="shared" si="2"/>
        <v>-30</v>
      </c>
      <c r="AA147" s="85" t="s">
        <v>418</v>
      </c>
      <c r="AB147" s="85" t="s">
        <v>418</v>
      </c>
    </row>
    <row r="148" spans="1:28">
      <c r="A148" s="67">
        <v>147</v>
      </c>
      <c r="B148" s="29" t="s">
        <v>418</v>
      </c>
      <c r="C148" s="29" t="s">
        <v>418</v>
      </c>
      <c r="D148" s="29" t="s">
        <v>418</v>
      </c>
      <c r="E148" s="222" t="s">
        <v>418</v>
      </c>
      <c r="F148" s="29" t="s">
        <v>418</v>
      </c>
      <c r="G148" s="29" t="s">
        <v>418</v>
      </c>
      <c r="H148" s="221" t="s">
        <v>418</v>
      </c>
      <c r="I148" s="221" t="s">
        <v>418</v>
      </c>
      <c r="J148" s="221" t="s">
        <v>418</v>
      </c>
      <c r="K148" s="85" t="s">
        <v>418</v>
      </c>
      <c r="L148" s="85"/>
      <c r="M148" s="246">
        <v>44771</v>
      </c>
      <c r="N148" s="29" t="s">
        <v>1300</v>
      </c>
      <c r="O148" s="29" t="s">
        <v>1433</v>
      </c>
      <c r="P148" s="29" t="s">
        <v>673</v>
      </c>
      <c r="Q148" s="29">
        <v>5.89</v>
      </c>
      <c r="R148" s="29">
        <v>-647.9</v>
      </c>
      <c r="S148" s="29" t="s">
        <v>416</v>
      </c>
      <c r="T148" t="s">
        <v>1625</v>
      </c>
      <c r="U148" t="s">
        <v>929</v>
      </c>
      <c r="X148" s="85">
        <f t="shared" si="2"/>
        <v>-110</v>
      </c>
      <c r="AA148" s="85" t="s">
        <v>418</v>
      </c>
      <c r="AB148" s="85" t="s">
        <v>418</v>
      </c>
    </row>
    <row r="149" spans="1:28">
      <c r="A149" s="67">
        <v>148</v>
      </c>
      <c r="B149" s="29" t="s">
        <v>418</v>
      </c>
      <c r="C149" s="29" t="s">
        <v>418</v>
      </c>
      <c r="D149" s="29" t="s">
        <v>418</v>
      </c>
      <c r="E149" s="222" t="s">
        <v>418</v>
      </c>
      <c r="F149" s="29" t="s">
        <v>418</v>
      </c>
      <c r="G149" s="29" t="s">
        <v>418</v>
      </c>
      <c r="H149" s="221" t="s">
        <v>418</v>
      </c>
      <c r="I149" s="221" t="s">
        <v>418</v>
      </c>
      <c r="J149" s="221" t="s">
        <v>418</v>
      </c>
      <c r="K149" s="85" t="s">
        <v>418</v>
      </c>
      <c r="L149" s="85"/>
      <c r="M149" s="246" t="s">
        <v>418</v>
      </c>
      <c r="N149" s="29" t="s">
        <v>418</v>
      </c>
      <c r="O149" s="29" t="s">
        <v>418</v>
      </c>
      <c r="P149" s="29" t="s">
        <v>418</v>
      </c>
      <c r="Q149" s="29" t="s">
        <v>418</v>
      </c>
      <c r="R149" s="29" t="s">
        <v>418</v>
      </c>
      <c r="S149" s="29" t="s">
        <v>418</v>
      </c>
      <c r="T149" t="s">
        <v>418</v>
      </c>
      <c r="U149" t="s">
        <v>418</v>
      </c>
      <c r="X149" s="85">
        <f t="shared" si="2"/>
        <v>0</v>
      </c>
      <c r="AA149" s="85" t="s">
        <v>418</v>
      </c>
      <c r="AB149" s="85" t="s">
        <v>418</v>
      </c>
    </row>
    <row r="150" spans="1:28">
      <c r="A150" s="67">
        <v>149</v>
      </c>
      <c r="B150" s="29" t="s">
        <v>418</v>
      </c>
      <c r="C150" s="29" t="s">
        <v>418</v>
      </c>
      <c r="D150" s="29" t="s">
        <v>418</v>
      </c>
      <c r="E150" s="222" t="s">
        <v>418</v>
      </c>
      <c r="F150" s="29" t="s">
        <v>418</v>
      </c>
      <c r="G150" s="29" t="s">
        <v>418</v>
      </c>
      <c r="H150" s="221" t="s">
        <v>418</v>
      </c>
      <c r="I150" s="221" t="s">
        <v>418</v>
      </c>
      <c r="J150" s="221" t="s">
        <v>418</v>
      </c>
      <c r="K150" s="85" t="s">
        <v>418</v>
      </c>
      <c r="L150" s="85"/>
      <c r="M150" s="246" t="s">
        <v>418</v>
      </c>
      <c r="N150" s="29" t="s">
        <v>418</v>
      </c>
      <c r="O150" s="29" t="s">
        <v>418</v>
      </c>
      <c r="P150" s="29" t="s">
        <v>418</v>
      </c>
      <c r="Q150" s="29" t="s">
        <v>418</v>
      </c>
      <c r="R150" s="29" t="s">
        <v>418</v>
      </c>
      <c r="S150" s="29" t="s">
        <v>418</v>
      </c>
      <c r="T150" t="s">
        <v>418</v>
      </c>
      <c r="U150" t="s">
        <v>418</v>
      </c>
      <c r="X150" s="85">
        <f t="shared" si="2"/>
        <v>0</v>
      </c>
      <c r="AA150" s="85" t="s">
        <v>418</v>
      </c>
      <c r="AB150" s="85" t="s">
        <v>418</v>
      </c>
    </row>
    <row r="151" spans="1:28">
      <c r="A151" s="67">
        <v>150</v>
      </c>
      <c r="B151" s="29" t="s">
        <v>418</v>
      </c>
      <c r="C151" s="29" t="s">
        <v>418</v>
      </c>
      <c r="D151" s="29" t="s">
        <v>418</v>
      </c>
      <c r="E151" s="222" t="s">
        <v>418</v>
      </c>
      <c r="F151" s="29" t="s">
        <v>418</v>
      </c>
      <c r="G151" s="29" t="s">
        <v>418</v>
      </c>
      <c r="H151" s="221" t="s">
        <v>418</v>
      </c>
      <c r="I151" s="221" t="s">
        <v>418</v>
      </c>
      <c r="J151" s="221" t="s">
        <v>418</v>
      </c>
      <c r="K151" s="85" t="s">
        <v>418</v>
      </c>
      <c r="L151" s="85"/>
      <c r="M151" s="246" t="s">
        <v>418</v>
      </c>
      <c r="N151" s="29" t="s">
        <v>418</v>
      </c>
      <c r="O151" s="29" t="s">
        <v>418</v>
      </c>
      <c r="P151" s="29" t="s">
        <v>418</v>
      </c>
      <c r="Q151" s="29" t="s">
        <v>418</v>
      </c>
      <c r="R151" s="29" t="s">
        <v>418</v>
      </c>
      <c r="S151" s="29" t="s">
        <v>418</v>
      </c>
      <c r="T151" t="s">
        <v>418</v>
      </c>
      <c r="U151" t="s">
        <v>418</v>
      </c>
      <c r="X151" s="85">
        <f t="shared" si="2"/>
        <v>0</v>
      </c>
      <c r="AA151" s="85" t="s">
        <v>418</v>
      </c>
      <c r="AB151" s="85" t="s">
        <v>418</v>
      </c>
    </row>
    <row r="152" spans="1:28">
      <c r="A152" s="67">
        <v>151</v>
      </c>
      <c r="B152" s="29" t="s">
        <v>418</v>
      </c>
      <c r="C152" s="29" t="s">
        <v>418</v>
      </c>
      <c r="D152" s="29" t="s">
        <v>418</v>
      </c>
      <c r="E152" s="222" t="s">
        <v>418</v>
      </c>
      <c r="F152" s="29" t="s">
        <v>418</v>
      </c>
      <c r="G152" s="29" t="s">
        <v>418</v>
      </c>
      <c r="H152" s="221" t="s">
        <v>418</v>
      </c>
      <c r="I152" s="221" t="s">
        <v>418</v>
      </c>
      <c r="J152" s="221" t="s">
        <v>418</v>
      </c>
      <c r="K152" s="85" t="s">
        <v>418</v>
      </c>
      <c r="L152" s="85"/>
      <c r="M152" s="246" t="s">
        <v>418</v>
      </c>
      <c r="N152" s="29" t="s">
        <v>418</v>
      </c>
      <c r="O152" s="29" t="s">
        <v>418</v>
      </c>
      <c r="P152" s="29" t="s">
        <v>418</v>
      </c>
      <c r="Q152" s="29" t="s">
        <v>418</v>
      </c>
      <c r="R152" s="29" t="s">
        <v>418</v>
      </c>
      <c r="S152" s="29" t="s">
        <v>418</v>
      </c>
      <c r="T152" t="s">
        <v>418</v>
      </c>
      <c r="U152" t="s">
        <v>418</v>
      </c>
      <c r="X152" s="85">
        <f t="shared" si="2"/>
        <v>0</v>
      </c>
      <c r="AA152" s="85" t="s">
        <v>418</v>
      </c>
      <c r="AB152" s="85" t="s">
        <v>418</v>
      </c>
    </row>
    <row r="153" spans="1:28">
      <c r="A153" s="67">
        <v>152</v>
      </c>
      <c r="B153" s="29" t="s">
        <v>418</v>
      </c>
      <c r="C153" s="29" t="s">
        <v>418</v>
      </c>
      <c r="D153" s="29" t="s">
        <v>418</v>
      </c>
      <c r="E153" s="222" t="s">
        <v>418</v>
      </c>
      <c r="F153" s="29" t="s">
        <v>418</v>
      </c>
      <c r="G153" s="29" t="s">
        <v>418</v>
      </c>
      <c r="H153" s="221" t="s">
        <v>418</v>
      </c>
      <c r="I153" s="221" t="s">
        <v>418</v>
      </c>
      <c r="J153" s="221" t="s">
        <v>418</v>
      </c>
      <c r="K153" s="85" t="s">
        <v>418</v>
      </c>
      <c r="L153" s="85"/>
      <c r="M153" s="246" t="s">
        <v>418</v>
      </c>
      <c r="N153" s="29" t="s">
        <v>418</v>
      </c>
      <c r="O153" s="29" t="s">
        <v>418</v>
      </c>
      <c r="P153" s="29" t="s">
        <v>418</v>
      </c>
      <c r="Q153" s="29" t="s">
        <v>418</v>
      </c>
      <c r="R153" s="29" t="s">
        <v>418</v>
      </c>
      <c r="S153" s="29" t="s">
        <v>418</v>
      </c>
      <c r="T153" t="s">
        <v>418</v>
      </c>
      <c r="U153" t="s">
        <v>418</v>
      </c>
      <c r="X153" s="85">
        <f t="shared" si="2"/>
        <v>0</v>
      </c>
      <c r="AA153" s="85" t="s">
        <v>418</v>
      </c>
      <c r="AB153" s="85" t="s">
        <v>418</v>
      </c>
    </row>
    <row r="154" spans="1:28">
      <c r="A154" s="67">
        <v>153</v>
      </c>
      <c r="B154" s="29" t="s">
        <v>418</v>
      </c>
      <c r="C154" s="29" t="s">
        <v>418</v>
      </c>
      <c r="D154" s="29" t="s">
        <v>418</v>
      </c>
      <c r="E154" s="222" t="s">
        <v>418</v>
      </c>
      <c r="F154" s="29" t="s">
        <v>418</v>
      </c>
      <c r="G154" s="29" t="s">
        <v>418</v>
      </c>
      <c r="H154" s="221" t="s">
        <v>418</v>
      </c>
      <c r="I154" s="221" t="s">
        <v>418</v>
      </c>
      <c r="J154" s="221" t="s">
        <v>418</v>
      </c>
      <c r="K154" s="85" t="s">
        <v>418</v>
      </c>
      <c r="L154" s="85"/>
      <c r="M154" s="246" t="s">
        <v>418</v>
      </c>
      <c r="N154" s="29" t="s">
        <v>418</v>
      </c>
      <c r="O154" s="29" t="s">
        <v>418</v>
      </c>
      <c r="P154" s="29" t="s">
        <v>418</v>
      </c>
      <c r="Q154" s="29" t="s">
        <v>418</v>
      </c>
      <c r="R154" s="29" t="s">
        <v>418</v>
      </c>
      <c r="S154" s="29" t="s">
        <v>418</v>
      </c>
      <c r="T154" t="s">
        <v>418</v>
      </c>
      <c r="U154" t="s">
        <v>418</v>
      </c>
      <c r="X154" s="85">
        <f t="shared" si="2"/>
        <v>0</v>
      </c>
      <c r="AA154" s="85" t="s">
        <v>418</v>
      </c>
      <c r="AB154" s="85" t="s">
        <v>418</v>
      </c>
    </row>
    <row r="155" spans="1:28">
      <c r="A155" s="67">
        <v>154</v>
      </c>
      <c r="B155" s="29" t="s">
        <v>418</v>
      </c>
      <c r="C155" s="29" t="s">
        <v>418</v>
      </c>
      <c r="D155" s="29" t="s">
        <v>418</v>
      </c>
      <c r="E155" s="222" t="s">
        <v>418</v>
      </c>
      <c r="F155" s="29" t="s">
        <v>418</v>
      </c>
      <c r="G155" s="29" t="s">
        <v>418</v>
      </c>
      <c r="H155" s="221" t="s">
        <v>418</v>
      </c>
      <c r="I155" s="221" t="s">
        <v>418</v>
      </c>
      <c r="J155" s="221" t="s">
        <v>418</v>
      </c>
      <c r="K155" s="85" t="s">
        <v>418</v>
      </c>
      <c r="L155" s="85"/>
      <c r="M155" s="246" t="s">
        <v>418</v>
      </c>
      <c r="N155" s="29" t="s">
        <v>418</v>
      </c>
      <c r="O155" s="29" t="s">
        <v>418</v>
      </c>
      <c r="P155" s="29" t="s">
        <v>418</v>
      </c>
      <c r="Q155" s="29" t="s">
        <v>418</v>
      </c>
      <c r="R155" s="29" t="s">
        <v>418</v>
      </c>
      <c r="S155" s="29" t="s">
        <v>418</v>
      </c>
      <c r="T155" t="s">
        <v>418</v>
      </c>
      <c r="U155" t="s">
        <v>418</v>
      </c>
      <c r="X155" s="85">
        <f t="shared" si="2"/>
        <v>0</v>
      </c>
      <c r="AA155" s="85" t="s">
        <v>418</v>
      </c>
      <c r="AB155" s="85" t="s">
        <v>418</v>
      </c>
    </row>
    <row r="156" spans="1:28">
      <c r="A156" s="67">
        <v>155</v>
      </c>
      <c r="B156" s="29" t="s">
        <v>418</v>
      </c>
      <c r="C156" s="29" t="s">
        <v>418</v>
      </c>
      <c r="D156" s="29" t="s">
        <v>418</v>
      </c>
      <c r="E156" s="222" t="s">
        <v>418</v>
      </c>
      <c r="F156" s="29" t="s">
        <v>418</v>
      </c>
      <c r="G156" s="29" t="s">
        <v>418</v>
      </c>
      <c r="H156" s="221" t="s">
        <v>418</v>
      </c>
      <c r="I156" s="221" t="s">
        <v>418</v>
      </c>
      <c r="J156" s="221" t="s">
        <v>418</v>
      </c>
      <c r="K156" s="85" t="s">
        <v>418</v>
      </c>
      <c r="L156" s="85"/>
      <c r="M156" s="246" t="s">
        <v>418</v>
      </c>
      <c r="N156" s="29" t="s">
        <v>418</v>
      </c>
      <c r="O156" s="29" t="s">
        <v>418</v>
      </c>
      <c r="P156" s="29" t="s">
        <v>418</v>
      </c>
      <c r="Q156" s="29" t="s">
        <v>418</v>
      </c>
      <c r="R156" s="29" t="s">
        <v>418</v>
      </c>
      <c r="S156" s="29" t="s">
        <v>418</v>
      </c>
      <c r="T156" t="s">
        <v>418</v>
      </c>
      <c r="U156" t="s">
        <v>418</v>
      </c>
      <c r="X156" s="85">
        <f t="shared" si="2"/>
        <v>0</v>
      </c>
      <c r="AA156" s="85" t="s">
        <v>418</v>
      </c>
      <c r="AB156" s="85" t="s">
        <v>418</v>
      </c>
    </row>
    <row r="157" spans="1:28">
      <c r="A157" s="67">
        <v>156</v>
      </c>
      <c r="B157" s="29" t="s">
        <v>418</v>
      </c>
      <c r="C157" s="29" t="s">
        <v>418</v>
      </c>
      <c r="D157" s="29" t="s">
        <v>418</v>
      </c>
      <c r="E157" s="222" t="s">
        <v>418</v>
      </c>
      <c r="F157" s="29" t="s">
        <v>418</v>
      </c>
      <c r="G157" s="29" t="s">
        <v>418</v>
      </c>
      <c r="H157" s="221" t="s">
        <v>418</v>
      </c>
      <c r="I157" s="221" t="s">
        <v>418</v>
      </c>
      <c r="J157" s="221" t="s">
        <v>418</v>
      </c>
      <c r="K157" s="85" t="s">
        <v>418</v>
      </c>
      <c r="L157" s="85"/>
      <c r="M157" s="246" t="s">
        <v>418</v>
      </c>
      <c r="N157" s="29" t="s">
        <v>418</v>
      </c>
      <c r="O157" s="29" t="s">
        <v>418</v>
      </c>
      <c r="P157" s="29" t="s">
        <v>418</v>
      </c>
      <c r="Q157" s="29" t="s">
        <v>418</v>
      </c>
      <c r="R157" s="29" t="s">
        <v>418</v>
      </c>
      <c r="S157" s="29" t="s">
        <v>418</v>
      </c>
      <c r="T157" t="s">
        <v>418</v>
      </c>
      <c r="U157" t="s">
        <v>418</v>
      </c>
      <c r="X157" s="85">
        <f t="shared" si="2"/>
        <v>0</v>
      </c>
      <c r="AA157" s="85" t="s">
        <v>418</v>
      </c>
      <c r="AB157" s="85" t="s">
        <v>418</v>
      </c>
    </row>
    <row r="158" spans="1:28">
      <c r="A158" s="67">
        <v>157</v>
      </c>
      <c r="B158" s="29" t="s">
        <v>418</v>
      </c>
      <c r="C158" s="29" t="s">
        <v>418</v>
      </c>
      <c r="D158" s="29" t="s">
        <v>418</v>
      </c>
      <c r="E158" s="222" t="s">
        <v>418</v>
      </c>
      <c r="F158" s="29" t="s">
        <v>418</v>
      </c>
      <c r="G158" s="29" t="s">
        <v>418</v>
      </c>
      <c r="H158" s="221" t="s">
        <v>418</v>
      </c>
      <c r="I158" s="221" t="s">
        <v>418</v>
      </c>
      <c r="J158" s="221" t="s">
        <v>418</v>
      </c>
      <c r="K158" s="85" t="s">
        <v>418</v>
      </c>
      <c r="L158" s="85"/>
      <c r="M158" s="246" t="s">
        <v>418</v>
      </c>
      <c r="N158" s="29" t="s">
        <v>418</v>
      </c>
      <c r="O158" s="29" t="s">
        <v>418</v>
      </c>
      <c r="P158" s="29" t="s">
        <v>418</v>
      </c>
      <c r="Q158" s="29" t="s">
        <v>418</v>
      </c>
      <c r="R158" s="29" t="s">
        <v>418</v>
      </c>
      <c r="S158" s="29" t="s">
        <v>418</v>
      </c>
      <c r="T158" t="s">
        <v>418</v>
      </c>
      <c r="U158" t="s">
        <v>418</v>
      </c>
      <c r="X158" s="85">
        <f t="shared" si="2"/>
        <v>0</v>
      </c>
      <c r="AA158" s="85" t="s">
        <v>418</v>
      </c>
      <c r="AB158" s="85" t="s">
        <v>418</v>
      </c>
    </row>
    <row r="159" spans="1:28">
      <c r="A159" s="67">
        <v>158</v>
      </c>
      <c r="B159" s="29" t="s">
        <v>418</v>
      </c>
      <c r="C159" s="29" t="s">
        <v>418</v>
      </c>
      <c r="D159" s="29" t="s">
        <v>418</v>
      </c>
      <c r="E159" s="222" t="s">
        <v>418</v>
      </c>
      <c r="F159" s="29" t="s">
        <v>418</v>
      </c>
      <c r="G159" s="29" t="s">
        <v>418</v>
      </c>
      <c r="H159" s="221" t="s">
        <v>418</v>
      </c>
      <c r="I159" s="221" t="s">
        <v>418</v>
      </c>
      <c r="J159" s="221" t="s">
        <v>418</v>
      </c>
      <c r="K159" s="85" t="s">
        <v>418</v>
      </c>
      <c r="L159" s="85"/>
      <c r="M159" s="246" t="s">
        <v>418</v>
      </c>
      <c r="N159" s="29" t="s">
        <v>418</v>
      </c>
      <c r="O159" s="29" t="s">
        <v>418</v>
      </c>
      <c r="P159" s="29" t="s">
        <v>418</v>
      </c>
      <c r="Q159" s="29" t="s">
        <v>418</v>
      </c>
      <c r="R159" s="29" t="s">
        <v>418</v>
      </c>
      <c r="S159" s="29" t="s">
        <v>418</v>
      </c>
      <c r="T159" t="s">
        <v>418</v>
      </c>
      <c r="U159" t="s">
        <v>418</v>
      </c>
      <c r="X159" s="85">
        <f t="shared" si="2"/>
        <v>0</v>
      </c>
      <c r="AA159" s="85" t="s">
        <v>418</v>
      </c>
      <c r="AB159" s="85" t="s">
        <v>418</v>
      </c>
    </row>
    <row r="160" spans="1:28">
      <c r="A160" s="67">
        <v>159</v>
      </c>
      <c r="B160" s="29" t="s">
        <v>418</v>
      </c>
      <c r="C160" s="29" t="s">
        <v>418</v>
      </c>
      <c r="D160" s="29" t="s">
        <v>418</v>
      </c>
      <c r="E160" s="222" t="s">
        <v>418</v>
      </c>
      <c r="F160" s="29" t="s">
        <v>418</v>
      </c>
      <c r="G160" s="29" t="s">
        <v>418</v>
      </c>
      <c r="H160" s="221" t="s">
        <v>418</v>
      </c>
      <c r="I160" s="221" t="s">
        <v>418</v>
      </c>
      <c r="J160" s="221" t="s">
        <v>418</v>
      </c>
      <c r="K160" s="85" t="s">
        <v>418</v>
      </c>
      <c r="L160" s="85"/>
      <c r="M160" s="246" t="s">
        <v>418</v>
      </c>
      <c r="N160" s="29" t="s">
        <v>418</v>
      </c>
      <c r="O160" s="29" t="s">
        <v>418</v>
      </c>
      <c r="P160" s="29" t="s">
        <v>418</v>
      </c>
      <c r="Q160" s="29" t="s">
        <v>418</v>
      </c>
      <c r="R160" s="29" t="s">
        <v>418</v>
      </c>
      <c r="S160" s="29" t="s">
        <v>418</v>
      </c>
      <c r="T160" t="s">
        <v>418</v>
      </c>
      <c r="U160" t="s">
        <v>418</v>
      </c>
      <c r="X160" s="85">
        <f t="shared" si="2"/>
        <v>0</v>
      </c>
      <c r="AA160" s="85" t="s">
        <v>418</v>
      </c>
      <c r="AB160" s="85" t="s">
        <v>418</v>
      </c>
    </row>
    <row r="161" spans="1:28">
      <c r="A161" s="67">
        <v>160</v>
      </c>
      <c r="B161" s="29" t="s">
        <v>418</v>
      </c>
      <c r="C161" s="29" t="s">
        <v>418</v>
      </c>
      <c r="D161" s="29" t="s">
        <v>418</v>
      </c>
      <c r="E161" s="222" t="s">
        <v>418</v>
      </c>
      <c r="F161" s="29" t="s">
        <v>418</v>
      </c>
      <c r="G161" s="29" t="s">
        <v>418</v>
      </c>
      <c r="H161" s="221" t="s">
        <v>418</v>
      </c>
      <c r="I161" s="221" t="s">
        <v>418</v>
      </c>
      <c r="J161" s="221" t="s">
        <v>418</v>
      </c>
      <c r="K161" s="85" t="s">
        <v>418</v>
      </c>
      <c r="L161" s="85"/>
      <c r="M161" s="246" t="s">
        <v>418</v>
      </c>
      <c r="N161" s="29" t="s">
        <v>418</v>
      </c>
      <c r="O161" s="29" t="s">
        <v>418</v>
      </c>
      <c r="P161" s="29" t="s">
        <v>418</v>
      </c>
      <c r="Q161" s="29" t="s">
        <v>418</v>
      </c>
      <c r="R161" s="29" t="s">
        <v>418</v>
      </c>
      <c r="S161" s="29" t="s">
        <v>418</v>
      </c>
      <c r="T161" t="s">
        <v>418</v>
      </c>
      <c r="U161" t="s">
        <v>418</v>
      </c>
      <c r="X161" s="85">
        <f t="shared" si="2"/>
        <v>0</v>
      </c>
      <c r="AA161" s="85" t="s">
        <v>418</v>
      </c>
      <c r="AB161" s="85" t="s">
        <v>418</v>
      </c>
    </row>
    <row r="162" spans="1:28">
      <c r="A162" s="67">
        <v>161</v>
      </c>
      <c r="B162" s="29" t="s">
        <v>418</v>
      </c>
      <c r="C162" s="29" t="s">
        <v>418</v>
      </c>
      <c r="D162" s="29" t="s">
        <v>418</v>
      </c>
      <c r="E162" s="222" t="s">
        <v>418</v>
      </c>
      <c r="F162" s="29" t="s">
        <v>418</v>
      </c>
      <c r="G162" s="29" t="s">
        <v>418</v>
      </c>
      <c r="H162" s="221" t="s">
        <v>418</v>
      </c>
      <c r="I162" s="221" t="s">
        <v>418</v>
      </c>
      <c r="J162" s="221" t="s">
        <v>418</v>
      </c>
      <c r="K162" s="85" t="s">
        <v>418</v>
      </c>
      <c r="L162" s="85"/>
      <c r="M162" s="246" t="s">
        <v>418</v>
      </c>
      <c r="N162" s="29" t="s">
        <v>418</v>
      </c>
      <c r="O162" s="29" t="s">
        <v>418</v>
      </c>
      <c r="P162" s="29" t="s">
        <v>418</v>
      </c>
      <c r="Q162" s="29" t="s">
        <v>418</v>
      </c>
      <c r="R162" s="29" t="s">
        <v>418</v>
      </c>
      <c r="S162" s="29" t="s">
        <v>418</v>
      </c>
      <c r="T162" t="s">
        <v>418</v>
      </c>
      <c r="U162" t="s">
        <v>418</v>
      </c>
      <c r="X162" s="85">
        <f t="shared" si="2"/>
        <v>0</v>
      </c>
      <c r="AA162" s="85" t="s">
        <v>418</v>
      </c>
      <c r="AB162" s="85" t="s">
        <v>418</v>
      </c>
    </row>
    <row r="163" spans="1:28">
      <c r="A163" s="67">
        <v>162</v>
      </c>
      <c r="B163" s="29" t="s">
        <v>418</v>
      </c>
      <c r="C163" s="29" t="s">
        <v>418</v>
      </c>
      <c r="D163" s="29" t="s">
        <v>418</v>
      </c>
      <c r="E163" s="222" t="s">
        <v>418</v>
      </c>
      <c r="F163" s="29" t="s">
        <v>418</v>
      </c>
      <c r="G163" s="29" t="s">
        <v>418</v>
      </c>
      <c r="H163" s="221" t="s">
        <v>418</v>
      </c>
      <c r="I163" s="221" t="s">
        <v>418</v>
      </c>
      <c r="J163" s="221" t="s">
        <v>418</v>
      </c>
      <c r="K163" s="85" t="s">
        <v>418</v>
      </c>
      <c r="L163" s="85"/>
      <c r="M163" s="246" t="s">
        <v>418</v>
      </c>
      <c r="N163" s="29" t="s">
        <v>418</v>
      </c>
      <c r="O163" s="29" t="s">
        <v>418</v>
      </c>
      <c r="P163" s="29" t="s">
        <v>418</v>
      </c>
      <c r="Q163" s="29" t="s">
        <v>418</v>
      </c>
      <c r="R163" s="29" t="s">
        <v>418</v>
      </c>
      <c r="S163" s="29" t="s">
        <v>418</v>
      </c>
      <c r="T163" t="s">
        <v>418</v>
      </c>
      <c r="U163" t="s">
        <v>418</v>
      </c>
      <c r="X163" s="85">
        <f t="shared" si="2"/>
        <v>0</v>
      </c>
      <c r="AA163" s="85" t="s">
        <v>418</v>
      </c>
      <c r="AB163" s="85" t="s">
        <v>418</v>
      </c>
    </row>
    <row r="164" spans="1:28">
      <c r="A164" s="67">
        <v>163</v>
      </c>
      <c r="B164" s="29" t="s">
        <v>418</v>
      </c>
      <c r="C164" s="29" t="s">
        <v>418</v>
      </c>
      <c r="D164" s="29" t="s">
        <v>418</v>
      </c>
      <c r="E164" s="222" t="s">
        <v>418</v>
      </c>
      <c r="F164" s="29" t="s">
        <v>418</v>
      </c>
      <c r="G164" s="29" t="s">
        <v>418</v>
      </c>
      <c r="H164" s="221" t="s">
        <v>418</v>
      </c>
      <c r="I164" s="221" t="s">
        <v>418</v>
      </c>
      <c r="J164" s="221" t="s">
        <v>418</v>
      </c>
      <c r="K164" s="85" t="s">
        <v>418</v>
      </c>
      <c r="L164" s="85"/>
      <c r="M164" s="246" t="s">
        <v>418</v>
      </c>
      <c r="N164" s="29" t="s">
        <v>418</v>
      </c>
      <c r="O164" s="29" t="s">
        <v>418</v>
      </c>
      <c r="P164" s="29" t="s">
        <v>418</v>
      </c>
      <c r="Q164" s="29" t="s">
        <v>418</v>
      </c>
      <c r="R164" s="29" t="s">
        <v>418</v>
      </c>
      <c r="S164" s="29" t="s">
        <v>418</v>
      </c>
      <c r="T164" t="s">
        <v>418</v>
      </c>
      <c r="U164" t="s">
        <v>418</v>
      </c>
      <c r="X164" s="85">
        <f t="shared" si="2"/>
        <v>0</v>
      </c>
      <c r="AA164" s="85" t="s">
        <v>418</v>
      </c>
      <c r="AB164" s="85" t="s">
        <v>418</v>
      </c>
    </row>
    <row r="165" spans="1:28">
      <c r="A165" s="67">
        <v>164</v>
      </c>
      <c r="B165" s="29" t="s">
        <v>418</v>
      </c>
      <c r="C165" s="29" t="s">
        <v>418</v>
      </c>
      <c r="D165" s="29" t="s">
        <v>418</v>
      </c>
      <c r="E165" s="222" t="s">
        <v>418</v>
      </c>
      <c r="F165" s="29" t="s">
        <v>418</v>
      </c>
      <c r="G165" s="29" t="s">
        <v>418</v>
      </c>
      <c r="H165" s="221" t="s">
        <v>418</v>
      </c>
      <c r="I165" s="221" t="s">
        <v>418</v>
      </c>
      <c r="J165" s="221" t="s">
        <v>418</v>
      </c>
      <c r="K165" s="85" t="s">
        <v>418</v>
      </c>
      <c r="L165" s="85"/>
      <c r="M165" s="246" t="s">
        <v>418</v>
      </c>
      <c r="N165" s="29" t="s">
        <v>418</v>
      </c>
      <c r="O165" s="29" t="s">
        <v>418</v>
      </c>
      <c r="P165" s="29" t="s">
        <v>418</v>
      </c>
      <c r="Q165" s="29" t="s">
        <v>418</v>
      </c>
      <c r="R165" s="29" t="s">
        <v>418</v>
      </c>
      <c r="S165" s="29" t="s">
        <v>418</v>
      </c>
      <c r="T165" t="s">
        <v>418</v>
      </c>
      <c r="U165" t="s">
        <v>418</v>
      </c>
      <c r="X165" s="85">
        <f t="shared" si="2"/>
        <v>0</v>
      </c>
      <c r="AA165" s="85" t="s">
        <v>418</v>
      </c>
      <c r="AB165" s="85" t="s">
        <v>418</v>
      </c>
    </row>
    <row r="166" spans="1:28">
      <c r="A166" s="67">
        <v>165</v>
      </c>
      <c r="B166" s="29" t="s">
        <v>418</v>
      </c>
      <c r="C166" s="29" t="s">
        <v>418</v>
      </c>
      <c r="D166" s="29" t="s">
        <v>418</v>
      </c>
      <c r="E166" s="222" t="s">
        <v>418</v>
      </c>
      <c r="F166" s="29" t="s">
        <v>418</v>
      </c>
      <c r="G166" s="29" t="s">
        <v>418</v>
      </c>
      <c r="H166" s="221" t="s">
        <v>418</v>
      </c>
      <c r="I166" s="221" t="s">
        <v>418</v>
      </c>
      <c r="J166" s="221" t="s">
        <v>418</v>
      </c>
      <c r="K166" s="85" t="s">
        <v>418</v>
      </c>
      <c r="L166" s="85"/>
      <c r="M166" s="246" t="s">
        <v>418</v>
      </c>
      <c r="N166" s="29" t="s">
        <v>418</v>
      </c>
      <c r="O166" s="29" t="s">
        <v>418</v>
      </c>
      <c r="P166" s="29" t="s">
        <v>418</v>
      </c>
      <c r="Q166" s="29" t="s">
        <v>418</v>
      </c>
      <c r="R166" s="29" t="s">
        <v>418</v>
      </c>
      <c r="S166" s="29" t="s">
        <v>418</v>
      </c>
      <c r="T166" t="s">
        <v>418</v>
      </c>
      <c r="U166" t="s">
        <v>418</v>
      </c>
      <c r="X166" s="85">
        <f t="shared" si="2"/>
        <v>0</v>
      </c>
      <c r="AA166" s="85" t="s">
        <v>418</v>
      </c>
      <c r="AB166" s="85" t="s">
        <v>418</v>
      </c>
    </row>
    <row r="167" spans="1:28">
      <c r="A167" s="67">
        <v>166</v>
      </c>
      <c r="B167" s="29" t="s">
        <v>418</v>
      </c>
      <c r="C167" s="29" t="s">
        <v>418</v>
      </c>
      <c r="D167" s="29" t="s">
        <v>418</v>
      </c>
      <c r="E167" s="222" t="s">
        <v>418</v>
      </c>
      <c r="F167" s="29" t="s">
        <v>418</v>
      </c>
      <c r="G167" s="29" t="s">
        <v>418</v>
      </c>
      <c r="H167" s="221" t="s">
        <v>418</v>
      </c>
      <c r="I167" s="221" t="s">
        <v>418</v>
      </c>
      <c r="J167" s="221" t="s">
        <v>418</v>
      </c>
      <c r="K167" s="85" t="s">
        <v>418</v>
      </c>
      <c r="L167" s="85"/>
      <c r="M167" s="246" t="s">
        <v>418</v>
      </c>
      <c r="N167" s="29" t="s">
        <v>418</v>
      </c>
      <c r="O167" s="29" t="s">
        <v>418</v>
      </c>
      <c r="P167" s="29" t="s">
        <v>418</v>
      </c>
      <c r="Q167" s="29" t="s">
        <v>418</v>
      </c>
      <c r="R167" s="29" t="s">
        <v>418</v>
      </c>
      <c r="S167" s="29" t="s">
        <v>418</v>
      </c>
      <c r="T167" t="s">
        <v>418</v>
      </c>
      <c r="U167" t="s">
        <v>418</v>
      </c>
      <c r="X167" s="85">
        <f t="shared" si="2"/>
        <v>0</v>
      </c>
      <c r="AA167" s="85" t="s">
        <v>418</v>
      </c>
      <c r="AB167" s="85" t="s">
        <v>418</v>
      </c>
    </row>
    <row r="168" spans="1:28">
      <c r="A168" s="67">
        <v>167</v>
      </c>
      <c r="B168" s="29" t="s">
        <v>418</v>
      </c>
      <c r="C168" s="29" t="s">
        <v>418</v>
      </c>
      <c r="D168" s="29" t="s">
        <v>418</v>
      </c>
      <c r="E168" s="222" t="s">
        <v>418</v>
      </c>
      <c r="F168" s="29" t="s">
        <v>418</v>
      </c>
      <c r="G168" s="29" t="s">
        <v>418</v>
      </c>
      <c r="H168" s="221" t="s">
        <v>418</v>
      </c>
      <c r="I168" s="221" t="s">
        <v>418</v>
      </c>
      <c r="J168" s="221" t="s">
        <v>418</v>
      </c>
      <c r="K168" s="85" t="s">
        <v>418</v>
      </c>
      <c r="L168" s="85"/>
      <c r="M168" s="246" t="s">
        <v>418</v>
      </c>
      <c r="N168" s="29" t="s">
        <v>418</v>
      </c>
      <c r="O168" s="29" t="s">
        <v>418</v>
      </c>
      <c r="P168" s="29" t="s">
        <v>418</v>
      </c>
      <c r="Q168" s="29" t="s">
        <v>418</v>
      </c>
      <c r="R168" s="29" t="s">
        <v>418</v>
      </c>
      <c r="S168" s="29" t="s">
        <v>418</v>
      </c>
      <c r="T168" t="s">
        <v>418</v>
      </c>
      <c r="U168" t="s">
        <v>418</v>
      </c>
      <c r="X168" s="85">
        <f t="shared" si="2"/>
        <v>0</v>
      </c>
      <c r="AA168" s="85" t="s">
        <v>418</v>
      </c>
      <c r="AB168" s="85" t="s">
        <v>418</v>
      </c>
    </row>
    <row r="169" spans="1:28">
      <c r="A169" s="67">
        <v>168</v>
      </c>
      <c r="B169" s="29" t="s">
        <v>418</v>
      </c>
      <c r="C169" s="29" t="s">
        <v>418</v>
      </c>
      <c r="D169" s="29" t="s">
        <v>418</v>
      </c>
      <c r="E169" s="222" t="s">
        <v>418</v>
      </c>
      <c r="F169" s="29" t="s">
        <v>418</v>
      </c>
      <c r="G169" s="29" t="s">
        <v>418</v>
      </c>
      <c r="H169" s="221" t="s">
        <v>418</v>
      </c>
      <c r="I169" s="221" t="s">
        <v>418</v>
      </c>
      <c r="J169" s="221" t="s">
        <v>418</v>
      </c>
      <c r="K169" s="85" t="s">
        <v>418</v>
      </c>
      <c r="L169" s="85"/>
      <c r="M169" s="246" t="s">
        <v>418</v>
      </c>
      <c r="N169" s="29" t="s">
        <v>418</v>
      </c>
      <c r="O169" s="29" t="s">
        <v>418</v>
      </c>
      <c r="P169" s="29" t="s">
        <v>418</v>
      </c>
      <c r="Q169" s="29" t="s">
        <v>418</v>
      </c>
      <c r="R169" s="29" t="s">
        <v>418</v>
      </c>
      <c r="S169" s="29" t="s">
        <v>418</v>
      </c>
      <c r="T169" t="s">
        <v>418</v>
      </c>
      <c r="U169" t="s">
        <v>418</v>
      </c>
      <c r="X169" s="85">
        <f t="shared" si="2"/>
        <v>0</v>
      </c>
      <c r="AA169" s="85" t="s">
        <v>418</v>
      </c>
      <c r="AB169" s="85" t="s">
        <v>418</v>
      </c>
    </row>
    <row r="170" spans="1:28">
      <c r="A170" s="67">
        <v>169</v>
      </c>
      <c r="B170" s="29" t="s">
        <v>418</v>
      </c>
      <c r="C170" s="29" t="s">
        <v>418</v>
      </c>
      <c r="D170" s="29" t="s">
        <v>418</v>
      </c>
      <c r="E170" s="222" t="s">
        <v>418</v>
      </c>
      <c r="F170" s="29" t="s">
        <v>418</v>
      </c>
      <c r="G170" s="29" t="s">
        <v>418</v>
      </c>
      <c r="H170" s="221" t="s">
        <v>418</v>
      </c>
      <c r="I170" s="221" t="s">
        <v>418</v>
      </c>
      <c r="J170" s="221" t="s">
        <v>418</v>
      </c>
      <c r="K170" s="85" t="s">
        <v>418</v>
      </c>
      <c r="L170" s="85"/>
      <c r="M170" s="246" t="s">
        <v>418</v>
      </c>
      <c r="N170" s="29" t="s">
        <v>418</v>
      </c>
      <c r="O170" s="29" t="s">
        <v>418</v>
      </c>
      <c r="P170" s="29" t="s">
        <v>418</v>
      </c>
      <c r="Q170" s="29" t="s">
        <v>418</v>
      </c>
      <c r="R170" s="29" t="s">
        <v>418</v>
      </c>
      <c r="S170" s="29" t="s">
        <v>418</v>
      </c>
      <c r="T170" t="s">
        <v>418</v>
      </c>
      <c r="U170" t="s">
        <v>418</v>
      </c>
      <c r="X170" s="85">
        <f t="shared" si="2"/>
        <v>0</v>
      </c>
      <c r="AA170" s="85" t="s">
        <v>418</v>
      </c>
      <c r="AB170" s="85" t="s">
        <v>418</v>
      </c>
    </row>
    <row r="171" spans="1:28">
      <c r="A171" s="67">
        <v>170</v>
      </c>
      <c r="B171" s="29" t="s">
        <v>418</v>
      </c>
      <c r="C171" s="29" t="s">
        <v>418</v>
      </c>
      <c r="D171" s="29" t="s">
        <v>418</v>
      </c>
      <c r="E171" s="222" t="s">
        <v>418</v>
      </c>
      <c r="F171" s="29" t="s">
        <v>418</v>
      </c>
      <c r="G171" s="29" t="s">
        <v>418</v>
      </c>
      <c r="H171" s="221" t="s">
        <v>418</v>
      </c>
      <c r="I171" s="221" t="s">
        <v>418</v>
      </c>
      <c r="J171" s="221" t="s">
        <v>418</v>
      </c>
      <c r="K171" s="85" t="s">
        <v>418</v>
      </c>
      <c r="L171" s="85"/>
      <c r="M171" s="246" t="s">
        <v>418</v>
      </c>
      <c r="N171" s="29" t="s">
        <v>418</v>
      </c>
      <c r="O171" s="29" t="s">
        <v>418</v>
      </c>
      <c r="P171" s="29" t="s">
        <v>418</v>
      </c>
      <c r="Q171" s="29" t="s">
        <v>418</v>
      </c>
      <c r="R171" s="29" t="s">
        <v>418</v>
      </c>
      <c r="S171" s="29" t="s">
        <v>418</v>
      </c>
      <c r="T171" t="s">
        <v>418</v>
      </c>
      <c r="U171" t="s">
        <v>418</v>
      </c>
      <c r="X171" s="85">
        <f t="shared" si="2"/>
        <v>0</v>
      </c>
      <c r="AA171" s="85" t="s">
        <v>418</v>
      </c>
      <c r="AB171" s="85" t="s">
        <v>418</v>
      </c>
    </row>
    <row r="172" spans="1:28">
      <c r="A172" s="67">
        <v>171</v>
      </c>
      <c r="B172" s="29" t="s">
        <v>418</v>
      </c>
      <c r="C172" s="29" t="s">
        <v>418</v>
      </c>
      <c r="D172" s="29" t="s">
        <v>418</v>
      </c>
      <c r="E172" s="222" t="s">
        <v>418</v>
      </c>
      <c r="F172" s="29" t="s">
        <v>418</v>
      </c>
      <c r="G172" s="29" t="s">
        <v>418</v>
      </c>
      <c r="H172" s="221" t="s">
        <v>418</v>
      </c>
      <c r="I172" s="221" t="s">
        <v>418</v>
      </c>
      <c r="J172" s="221" t="s">
        <v>418</v>
      </c>
      <c r="K172" s="85" t="s">
        <v>418</v>
      </c>
      <c r="L172" s="85"/>
      <c r="M172" s="246" t="s">
        <v>418</v>
      </c>
      <c r="N172" s="29" t="s">
        <v>418</v>
      </c>
      <c r="O172" s="29" t="s">
        <v>418</v>
      </c>
      <c r="P172" s="29" t="s">
        <v>418</v>
      </c>
      <c r="Q172" s="29" t="s">
        <v>418</v>
      </c>
      <c r="R172" s="29" t="s">
        <v>418</v>
      </c>
      <c r="S172" s="29" t="s">
        <v>418</v>
      </c>
      <c r="T172" t="s">
        <v>418</v>
      </c>
      <c r="U172" t="s">
        <v>418</v>
      </c>
      <c r="X172" s="85">
        <f t="shared" si="2"/>
        <v>0</v>
      </c>
      <c r="AA172" s="85" t="s">
        <v>418</v>
      </c>
      <c r="AB172" s="85" t="s">
        <v>418</v>
      </c>
    </row>
    <row r="173" spans="1:28">
      <c r="A173" s="67">
        <v>172</v>
      </c>
      <c r="B173" s="29" t="s">
        <v>418</v>
      </c>
      <c r="C173" s="29" t="s">
        <v>418</v>
      </c>
      <c r="D173" s="29" t="s">
        <v>418</v>
      </c>
      <c r="E173" s="222" t="s">
        <v>418</v>
      </c>
      <c r="F173" s="29" t="s">
        <v>418</v>
      </c>
      <c r="G173" s="29" t="s">
        <v>418</v>
      </c>
      <c r="H173" s="221" t="s">
        <v>418</v>
      </c>
      <c r="I173" s="221" t="s">
        <v>418</v>
      </c>
      <c r="J173" s="221" t="s">
        <v>418</v>
      </c>
      <c r="K173" s="85" t="s">
        <v>418</v>
      </c>
      <c r="L173" s="85"/>
      <c r="M173" s="246" t="s">
        <v>418</v>
      </c>
      <c r="N173" s="29" t="s">
        <v>418</v>
      </c>
      <c r="O173" s="29" t="s">
        <v>418</v>
      </c>
      <c r="P173" s="29" t="s">
        <v>418</v>
      </c>
      <c r="Q173" s="29" t="s">
        <v>418</v>
      </c>
      <c r="R173" s="29" t="s">
        <v>418</v>
      </c>
      <c r="S173" s="29" t="s">
        <v>418</v>
      </c>
      <c r="T173" t="s">
        <v>418</v>
      </c>
      <c r="U173" t="s">
        <v>418</v>
      </c>
      <c r="X173" s="85">
        <f t="shared" si="2"/>
        <v>0</v>
      </c>
      <c r="AA173" s="85" t="s">
        <v>418</v>
      </c>
      <c r="AB173" s="85" t="s">
        <v>418</v>
      </c>
    </row>
    <row r="174" spans="1:28">
      <c r="A174" s="67">
        <v>173</v>
      </c>
      <c r="B174" s="29" t="s">
        <v>418</v>
      </c>
      <c r="C174" s="29" t="s">
        <v>418</v>
      </c>
      <c r="D174" s="29" t="s">
        <v>418</v>
      </c>
      <c r="E174" s="222" t="s">
        <v>418</v>
      </c>
      <c r="F174" s="29" t="s">
        <v>418</v>
      </c>
      <c r="G174" s="29" t="s">
        <v>418</v>
      </c>
      <c r="H174" s="221" t="s">
        <v>418</v>
      </c>
      <c r="I174" s="221" t="s">
        <v>418</v>
      </c>
      <c r="J174" s="221" t="s">
        <v>418</v>
      </c>
      <c r="K174" s="85" t="s">
        <v>418</v>
      </c>
      <c r="L174" s="85"/>
      <c r="M174" s="246" t="s">
        <v>418</v>
      </c>
      <c r="N174" s="29" t="s">
        <v>418</v>
      </c>
      <c r="O174" s="29" t="s">
        <v>418</v>
      </c>
      <c r="P174" s="29" t="s">
        <v>418</v>
      </c>
      <c r="Q174" s="29" t="s">
        <v>418</v>
      </c>
      <c r="R174" s="29" t="s">
        <v>418</v>
      </c>
      <c r="S174" s="29" t="s">
        <v>418</v>
      </c>
      <c r="T174" t="s">
        <v>418</v>
      </c>
      <c r="U174" t="s">
        <v>418</v>
      </c>
      <c r="X174" s="85">
        <f t="shared" si="2"/>
        <v>0</v>
      </c>
      <c r="AA174" s="85" t="s">
        <v>418</v>
      </c>
      <c r="AB174" s="85" t="s">
        <v>418</v>
      </c>
    </row>
    <row r="175" spans="1:28">
      <c r="A175" s="67">
        <v>174</v>
      </c>
      <c r="B175" s="29" t="s">
        <v>418</v>
      </c>
      <c r="C175" s="29" t="s">
        <v>418</v>
      </c>
      <c r="D175" s="29" t="s">
        <v>418</v>
      </c>
      <c r="E175" s="222" t="s">
        <v>418</v>
      </c>
      <c r="F175" s="29" t="s">
        <v>418</v>
      </c>
      <c r="G175" s="29" t="s">
        <v>418</v>
      </c>
      <c r="H175" s="221" t="s">
        <v>418</v>
      </c>
      <c r="I175" s="221" t="s">
        <v>418</v>
      </c>
      <c r="J175" s="221" t="s">
        <v>418</v>
      </c>
      <c r="K175" s="85" t="s">
        <v>418</v>
      </c>
      <c r="L175" s="85"/>
      <c r="M175" s="246" t="s">
        <v>418</v>
      </c>
      <c r="N175" s="29" t="s">
        <v>418</v>
      </c>
      <c r="O175" s="29" t="s">
        <v>418</v>
      </c>
      <c r="P175" s="29" t="s">
        <v>418</v>
      </c>
      <c r="Q175" s="29" t="s">
        <v>418</v>
      </c>
      <c r="R175" s="29" t="s">
        <v>418</v>
      </c>
      <c r="S175" s="29" t="s">
        <v>418</v>
      </c>
      <c r="T175" t="s">
        <v>418</v>
      </c>
      <c r="U175" t="s">
        <v>418</v>
      </c>
      <c r="X175" s="85">
        <f t="shared" si="2"/>
        <v>0</v>
      </c>
      <c r="AA175" s="85" t="s">
        <v>418</v>
      </c>
      <c r="AB175" s="85" t="s">
        <v>418</v>
      </c>
    </row>
    <row r="176" spans="1:28">
      <c r="A176" s="67">
        <v>175</v>
      </c>
      <c r="B176" s="29" t="s">
        <v>418</v>
      </c>
      <c r="C176" s="29" t="s">
        <v>418</v>
      </c>
      <c r="D176" s="29" t="s">
        <v>418</v>
      </c>
      <c r="E176" s="222" t="s">
        <v>418</v>
      </c>
      <c r="F176" s="29" t="s">
        <v>418</v>
      </c>
      <c r="G176" s="29" t="s">
        <v>418</v>
      </c>
      <c r="H176" s="221" t="s">
        <v>418</v>
      </c>
      <c r="I176" s="221" t="s">
        <v>418</v>
      </c>
      <c r="J176" s="221" t="s">
        <v>418</v>
      </c>
      <c r="K176" s="85" t="s">
        <v>418</v>
      </c>
      <c r="L176" s="85"/>
      <c r="M176" s="246" t="s">
        <v>418</v>
      </c>
      <c r="N176" s="29" t="s">
        <v>418</v>
      </c>
      <c r="O176" s="29" t="s">
        <v>418</v>
      </c>
      <c r="P176" s="29" t="s">
        <v>418</v>
      </c>
      <c r="Q176" s="29" t="s">
        <v>418</v>
      </c>
      <c r="R176" s="29" t="s">
        <v>418</v>
      </c>
      <c r="S176" s="29" t="s">
        <v>418</v>
      </c>
      <c r="T176" t="s">
        <v>418</v>
      </c>
      <c r="U176" t="s">
        <v>418</v>
      </c>
      <c r="X176" s="85">
        <f t="shared" si="2"/>
        <v>0</v>
      </c>
      <c r="AA176" s="85" t="s">
        <v>418</v>
      </c>
      <c r="AB176" s="85" t="s">
        <v>418</v>
      </c>
    </row>
    <row r="177" spans="1:28">
      <c r="A177" s="67">
        <v>176</v>
      </c>
      <c r="B177" s="29" t="s">
        <v>418</v>
      </c>
      <c r="C177" s="29" t="s">
        <v>418</v>
      </c>
      <c r="D177" s="29" t="s">
        <v>418</v>
      </c>
      <c r="E177" s="222" t="s">
        <v>418</v>
      </c>
      <c r="F177" s="29" t="s">
        <v>418</v>
      </c>
      <c r="G177" s="29" t="s">
        <v>418</v>
      </c>
      <c r="H177" s="221" t="s">
        <v>418</v>
      </c>
      <c r="I177" s="221" t="s">
        <v>418</v>
      </c>
      <c r="J177" s="221" t="s">
        <v>418</v>
      </c>
      <c r="K177" s="85" t="s">
        <v>418</v>
      </c>
      <c r="L177" s="85"/>
      <c r="M177" s="246" t="s">
        <v>418</v>
      </c>
      <c r="N177" s="29" t="s">
        <v>418</v>
      </c>
      <c r="O177" s="29" t="s">
        <v>418</v>
      </c>
      <c r="P177" s="29" t="s">
        <v>418</v>
      </c>
      <c r="Q177" s="29" t="s">
        <v>418</v>
      </c>
      <c r="R177" s="29" t="s">
        <v>418</v>
      </c>
      <c r="S177" s="29" t="s">
        <v>418</v>
      </c>
      <c r="T177" t="s">
        <v>418</v>
      </c>
      <c r="U177" t="s">
        <v>418</v>
      </c>
      <c r="X177" s="85">
        <f t="shared" si="2"/>
        <v>0</v>
      </c>
      <c r="AA177" s="85" t="s">
        <v>418</v>
      </c>
      <c r="AB177" s="85" t="s">
        <v>418</v>
      </c>
    </row>
    <row r="178" spans="1:28">
      <c r="A178" s="67">
        <v>177</v>
      </c>
      <c r="B178" s="29" t="s">
        <v>418</v>
      </c>
      <c r="C178" s="29" t="s">
        <v>418</v>
      </c>
      <c r="D178" s="29" t="s">
        <v>418</v>
      </c>
      <c r="E178" s="222" t="s">
        <v>418</v>
      </c>
      <c r="F178" s="29" t="s">
        <v>418</v>
      </c>
      <c r="G178" s="29" t="s">
        <v>418</v>
      </c>
      <c r="H178" s="221" t="s">
        <v>418</v>
      </c>
      <c r="I178" s="221" t="s">
        <v>418</v>
      </c>
      <c r="J178" s="221" t="s">
        <v>418</v>
      </c>
      <c r="K178" s="85" t="s">
        <v>418</v>
      </c>
      <c r="L178" s="85"/>
      <c r="M178" s="246" t="s">
        <v>418</v>
      </c>
      <c r="N178" s="29" t="s">
        <v>418</v>
      </c>
      <c r="O178" s="29" t="s">
        <v>418</v>
      </c>
      <c r="P178" s="29" t="s">
        <v>418</v>
      </c>
      <c r="Q178" s="29" t="s">
        <v>418</v>
      </c>
      <c r="R178" s="29" t="s">
        <v>418</v>
      </c>
      <c r="S178" s="29" t="s">
        <v>418</v>
      </c>
      <c r="T178" t="s">
        <v>418</v>
      </c>
      <c r="U178" t="s">
        <v>418</v>
      </c>
      <c r="X178" s="85">
        <f t="shared" si="2"/>
        <v>0</v>
      </c>
      <c r="AA178" s="85" t="s">
        <v>418</v>
      </c>
      <c r="AB178" s="85" t="s">
        <v>418</v>
      </c>
    </row>
    <row r="179" spans="1:28">
      <c r="A179" s="67">
        <v>178</v>
      </c>
      <c r="B179" s="29" t="s">
        <v>418</v>
      </c>
      <c r="C179" s="29" t="s">
        <v>418</v>
      </c>
      <c r="D179" s="29" t="s">
        <v>418</v>
      </c>
      <c r="E179" s="222" t="s">
        <v>418</v>
      </c>
      <c r="F179" s="29" t="s">
        <v>418</v>
      </c>
      <c r="G179" s="29" t="s">
        <v>418</v>
      </c>
      <c r="H179" s="221" t="s">
        <v>418</v>
      </c>
      <c r="I179" s="221" t="s">
        <v>418</v>
      </c>
      <c r="J179" s="221" t="s">
        <v>418</v>
      </c>
      <c r="K179" s="85" t="s">
        <v>418</v>
      </c>
      <c r="L179" s="85"/>
      <c r="M179" s="246" t="s">
        <v>418</v>
      </c>
      <c r="N179" s="29" t="s">
        <v>418</v>
      </c>
      <c r="O179" s="29" t="s">
        <v>418</v>
      </c>
      <c r="P179" s="29" t="s">
        <v>418</v>
      </c>
      <c r="Q179" s="29" t="s">
        <v>418</v>
      </c>
      <c r="R179" s="29" t="s">
        <v>418</v>
      </c>
      <c r="S179" s="29" t="s">
        <v>418</v>
      </c>
      <c r="T179" t="s">
        <v>418</v>
      </c>
      <c r="U179" t="s">
        <v>418</v>
      </c>
      <c r="X179" s="85">
        <f t="shared" si="2"/>
        <v>0</v>
      </c>
      <c r="AA179" s="85" t="s">
        <v>418</v>
      </c>
      <c r="AB179" s="85" t="s">
        <v>418</v>
      </c>
    </row>
    <row r="180" spans="1:28">
      <c r="A180" s="67">
        <v>179</v>
      </c>
      <c r="B180" s="29" t="s">
        <v>418</v>
      </c>
      <c r="C180" s="29" t="s">
        <v>418</v>
      </c>
      <c r="D180" s="29" t="s">
        <v>418</v>
      </c>
      <c r="E180" s="222" t="s">
        <v>418</v>
      </c>
      <c r="F180" s="29" t="s">
        <v>418</v>
      </c>
      <c r="G180" s="29" t="s">
        <v>418</v>
      </c>
      <c r="H180" s="221" t="s">
        <v>418</v>
      </c>
      <c r="I180" s="221" t="s">
        <v>418</v>
      </c>
      <c r="J180" s="221" t="s">
        <v>418</v>
      </c>
      <c r="K180" s="85" t="s">
        <v>418</v>
      </c>
      <c r="L180" s="85"/>
      <c r="M180" s="246" t="s">
        <v>418</v>
      </c>
      <c r="N180" s="29" t="s">
        <v>418</v>
      </c>
      <c r="O180" s="29" t="s">
        <v>418</v>
      </c>
      <c r="P180" s="29" t="s">
        <v>418</v>
      </c>
      <c r="Q180" s="29" t="s">
        <v>418</v>
      </c>
      <c r="R180" s="29" t="s">
        <v>418</v>
      </c>
      <c r="S180" s="29" t="s">
        <v>418</v>
      </c>
      <c r="T180" t="s">
        <v>418</v>
      </c>
      <c r="U180" t="s">
        <v>418</v>
      </c>
      <c r="X180" s="85">
        <f t="shared" si="2"/>
        <v>0</v>
      </c>
      <c r="AA180" s="85" t="s">
        <v>418</v>
      </c>
      <c r="AB180" s="85" t="s">
        <v>418</v>
      </c>
    </row>
    <row r="181" spans="1:28">
      <c r="A181" s="67">
        <v>180</v>
      </c>
      <c r="B181" s="29" t="s">
        <v>418</v>
      </c>
      <c r="C181" s="29" t="s">
        <v>418</v>
      </c>
      <c r="D181" s="29" t="s">
        <v>418</v>
      </c>
      <c r="E181" s="222" t="s">
        <v>418</v>
      </c>
      <c r="F181" s="29" t="s">
        <v>418</v>
      </c>
      <c r="G181" s="29" t="s">
        <v>418</v>
      </c>
      <c r="H181" s="221" t="s">
        <v>418</v>
      </c>
      <c r="I181" s="221" t="s">
        <v>418</v>
      </c>
      <c r="J181" s="221" t="s">
        <v>418</v>
      </c>
      <c r="K181" s="85" t="s">
        <v>418</v>
      </c>
      <c r="L181" s="85"/>
      <c r="M181" s="246" t="s">
        <v>418</v>
      </c>
      <c r="N181" s="29" t="s">
        <v>418</v>
      </c>
      <c r="O181" s="29" t="s">
        <v>418</v>
      </c>
      <c r="P181" s="29" t="s">
        <v>418</v>
      </c>
      <c r="Q181" s="29" t="s">
        <v>418</v>
      </c>
      <c r="R181" s="29" t="s">
        <v>418</v>
      </c>
      <c r="S181" s="29" t="s">
        <v>418</v>
      </c>
      <c r="T181" t="s">
        <v>418</v>
      </c>
      <c r="U181" t="s">
        <v>418</v>
      </c>
      <c r="X181" s="85">
        <f t="shared" si="2"/>
        <v>0</v>
      </c>
      <c r="AA181" s="85" t="s">
        <v>418</v>
      </c>
      <c r="AB181" s="85" t="s">
        <v>418</v>
      </c>
    </row>
    <row r="182" spans="1:28">
      <c r="A182" s="67">
        <v>181</v>
      </c>
      <c r="B182" s="29" t="s">
        <v>418</v>
      </c>
      <c r="C182" s="29" t="s">
        <v>418</v>
      </c>
      <c r="D182" s="29" t="s">
        <v>418</v>
      </c>
      <c r="E182" s="222" t="s">
        <v>418</v>
      </c>
      <c r="F182" s="29" t="s">
        <v>418</v>
      </c>
      <c r="G182" s="29" t="s">
        <v>418</v>
      </c>
      <c r="H182" s="221" t="s">
        <v>418</v>
      </c>
      <c r="I182" s="221" t="s">
        <v>418</v>
      </c>
      <c r="J182" s="221" t="s">
        <v>418</v>
      </c>
      <c r="K182" s="85" t="s">
        <v>418</v>
      </c>
      <c r="L182" s="85"/>
      <c r="M182" s="246" t="s">
        <v>418</v>
      </c>
      <c r="N182" s="29" t="s">
        <v>418</v>
      </c>
      <c r="O182" s="29" t="s">
        <v>418</v>
      </c>
      <c r="P182" s="29" t="s">
        <v>418</v>
      </c>
      <c r="Q182" s="29" t="s">
        <v>418</v>
      </c>
      <c r="R182" s="29" t="s">
        <v>418</v>
      </c>
      <c r="S182" s="29" t="s">
        <v>418</v>
      </c>
      <c r="T182" t="s">
        <v>418</v>
      </c>
      <c r="U182" t="s">
        <v>418</v>
      </c>
      <c r="X182" s="85">
        <f t="shared" si="2"/>
        <v>0</v>
      </c>
      <c r="AA182" s="85" t="s">
        <v>418</v>
      </c>
      <c r="AB182" s="85" t="s">
        <v>418</v>
      </c>
    </row>
    <row r="183" spans="1:28">
      <c r="A183" s="67">
        <v>182</v>
      </c>
      <c r="B183" s="29" t="s">
        <v>418</v>
      </c>
      <c r="C183" s="29" t="s">
        <v>418</v>
      </c>
      <c r="D183" s="29" t="s">
        <v>418</v>
      </c>
      <c r="E183" s="222" t="s">
        <v>418</v>
      </c>
      <c r="F183" s="29" t="s">
        <v>418</v>
      </c>
      <c r="G183" s="29" t="s">
        <v>418</v>
      </c>
      <c r="H183" s="221" t="s">
        <v>418</v>
      </c>
      <c r="I183" s="221" t="s">
        <v>418</v>
      </c>
      <c r="J183" s="221" t="s">
        <v>418</v>
      </c>
      <c r="K183" s="85" t="s">
        <v>418</v>
      </c>
      <c r="L183" s="85"/>
      <c r="M183" s="246" t="s">
        <v>418</v>
      </c>
      <c r="N183" s="29" t="s">
        <v>418</v>
      </c>
      <c r="O183" s="29" t="s">
        <v>418</v>
      </c>
      <c r="P183" s="29" t="s">
        <v>418</v>
      </c>
      <c r="Q183" s="29" t="s">
        <v>418</v>
      </c>
      <c r="R183" s="29" t="s">
        <v>418</v>
      </c>
      <c r="S183" s="29" t="s">
        <v>418</v>
      </c>
      <c r="T183" t="s">
        <v>418</v>
      </c>
      <c r="U183" t="s">
        <v>418</v>
      </c>
      <c r="X183" s="85">
        <f t="shared" si="2"/>
        <v>0</v>
      </c>
      <c r="AA183" s="85" t="s">
        <v>418</v>
      </c>
      <c r="AB183" s="85" t="s">
        <v>418</v>
      </c>
    </row>
    <row r="184" spans="1:28">
      <c r="A184" s="67">
        <v>183</v>
      </c>
      <c r="B184" s="29" t="s">
        <v>418</v>
      </c>
      <c r="C184" s="29" t="s">
        <v>418</v>
      </c>
      <c r="D184" s="29" t="s">
        <v>418</v>
      </c>
      <c r="E184" s="222" t="s">
        <v>418</v>
      </c>
      <c r="F184" s="29" t="s">
        <v>418</v>
      </c>
      <c r="G184" s="29" t="s">
        <v>418</v>
      </c>
      <c r="H184" s="221" t="s">
        <v>418</v>
      </c>
      <c r="I184" s="221" t="s">
        <v>418</v>
      </c>
      <c r="J184" s="221" t="s">
        <v>418</v>
      </c>
      <c r="K184" s="85" t="s">
        <v>418</v>
      </c>
      <c r="L184" s="85"/>
      <c r="M184" s="246" t="s">
        <v>418</v>
      </c>
      <c r="N184" s="29" t="s">
        <v>418</v>
      </c>
      <c r="O184" s="29" t="s">
        <v>418</v>
      </c>
      <c r="P184" s="29" t="s">
        <v>418</v>
      </c>
      <c r="Q184" s="29" t="s">
        <v>418</v>
      </c>
      <c r="R184" s="29" t="s">
        <v>418</v>
      </c>
      <c r="S184" s="29" t="s">
        <v>418</v>
      </c>
      <c r="T184" t="s">
        <v>418</v>
      </c>
      <c r="U184" t="s">
        <v>418</v>
      </c>
      <c r="X184" s="85">
        <f t="shared" si="2"/>
        <v>0</v>
      </c>
      <c r="AA184" s="85" t="s">
        <v>418</v>
      </c>
      <c r="AB184" s="85" t="s">
        <v>418</v>
      </c>
    </row>
    <row r="185" spans="1:28">
      <c r="A185" s="67">
        <v>184</v>
      </c>
      <c r="B185" s="29" t="s">
        <v>418</v>
      </c>
      <c r="C185" s="29" t="s">
        <v>418</v>
      </c>
      <c r="D185" s="29" t="s">
        <v>418</v>
      </c>
      <c r="E185" s="222" t="s">
        <v>418</v>
      </c>
      <c r="F185" s="29" t="s">
        <v>418</v>
      </c>
      <c r="G185" s="29" t="s">
        <v>418</v>
      </c>
      <c r="H185" s="221" t="s">
        <v>418</v>
      </c>
      <c r="I185" s="221" t="s">
        <v>418</v>
      </c>
      <c r="J185" s="221" t="s">
        <v>418</v>
      </c>
      <c r="K185" s="85" t="s">
        <v>418</v>
      </c>
      <c r="L185" s="85"/>
      <c r="M185" s="246" t="s">
        <v>418</v>
      </c>
      <c r="N185" s="29" t="s">
        <v>418</v>
      </c>
      <c r="O185" s="29" t="s">
        <v>418</v>
      </c>
      <c r="P185" s="29" t="s">
        <v>418</v>
      </c>
      <c r="Q185" s="29" t="s">
        <v>418</v>
      </c>
      <c r="R185" s="29" t="s">
        <v>418</v>
      </c>
      <c r="S185" s="29" t="s">
        <v>418</v>
      </c>
      <c r="T185" t="s">
        <v>418</v>
      </c>
      <c r="U185" t="s">
        <v>418</v>
      </c>
      <c r="X185" s="85">
        <f t="shared" si="2"/>
        <v>0</v>
      </c>
      <c r="AA185" s="85" t="s">
        <v>418</v>
      </c>
      <c r="AB185" s="85" t="s">
        <v>418</v>
      </c>
    </row>
    <row r="186" spans="1:28">
      <c r="A186" s="67">
        <v>185</v>
      </c>
      <c r="B186" s="29" t="s">
        <v>418</v>
      </c>
      <c r="C186" s="29" t="s">
        <v>418</v>
      </c>
      <c r="D186" s="29" t="s">
        <v>418</v>
      </c>
      <c r="E186" s="222" t="s">
        <v>418</v>
      </c>
      <c r="F186" s="29" t="s">
        <v>418</v>
      </c>
      <c r="G186" s="29" t="s">
        <v>418</v>
      </c>
      <c r="H186" s="221" t="s">
        <v>418</v>
      </c>
      <c r="I186" s="221" t="s">
        <v>418</v>
      </c>
      <c r="J186" s="221" t="s">
        <v>418</v>
      </c>
      <c r="K186" s="85" t="s">
        <v>418</v>
      </c>
      <c r="L186" s="85"/>
      <c r="M186" s="246" t="s">
        <v>418</v>
      </c>
      <c r="N186" s="29" t="s">
        <v>418</v>
      </c>
      <c r="O186" s="29" t="s">
        <v>418</v>
      </c>
      <c r="P186" s="29" t="s">
        <v>418</v>
      </c>
      <c r="Q186" s="29" t="s">
        <v>418</v>
      </c>
      <c r="R186" s="29" t="s">
        <v>418</v>
      </c>
      <c r="S186" s="29" t="s">
        <v>418</v>
      </c>
      <c r="T186" t="s">
        <v>418</v>
      </c>
      <c r="U186" t="s">
        <v>418</v>
      </c>
      <c r="X186" s="85">
        <f t="shared" si="2"/>
        <v>0</v>
      </c>
      <c r="AA186" s="85" t="s">
        <v>418</v>
      </c>
      <c r="AB186" s="85" t="s">
        <v>418</v>
      </c>
    </row>
    <row r="187" spans="1:28">
      <c r="A187" s="67">
        <v>186</v>
      </c>
      <c r="B187" s="29" t="s">
        <v>418</v>
      </c>
      <c r="C187" s="29" t="s">
        <v>418</v>
      </c>
      <c r="D187" s="29" t="s">
        <v>418</v>
      </c>
      <c r="E187" s="222" t="s">
        <v>418</v>
      </c>
      <c r="F187" s="29" t="s">
        <v>418</v>
      </c>
      <c r="G187" s="29" t="s">
        <v>418</v>
      </c>
      <c r="H187" s="221" t="s">
        <v>418</v>
      </c>
      <c r="I187" s="221" t="s">
        <v>418</v>
      </c>
      <c r="J187" s="221" t="s">
        <v>418</v>
      </c>
      <c r="K187" s="85" t="s">
        <v>418</v>
      </c>
      <c r="L187" s="85"/>
      <c r="M187" s="246" t="s">
        <v>418</v>
      </c>
      <c r="N187" s="29" t="s">
        <v>418</v>
      </c>
      <c r="O187" s="29" t="s">
        <v>418</v>
      </c>
      <c r="P187" s="29" t="s">
        <v>418</v>
      </c>
      <c r="Q187" s="29" t="s">
        <v>418</v>
      </c>
      <c r="R187" s="29" t="s">
        <v>418</v>
      </c>
      <c r="S187" s="29" t="s">
        <v>418</v>
      </c>
      <c r="T187" t="s">
        <v>418</v>
      </c>
      <c r="U187" t="s">
        <v>418</v>
      </c>
      <c r="X187" s="85">
        <f t="shared" si="2"/>
        <v>0</v>
      </c>
      <c r="AA187" s="85" t="s">
        <v>418</v>
      </c>
      <c r="AB187" s="85" t="s">
        <v>418</v>
      </c>
    </row>
    <row r="188" spans="1:28">
      <c r="A188" s="67">
        <v>187</v>
      </c>
      <c r="B188" s="29" t="s">
        <v>418</v>
      </c>
      <c r="C188" s="29" t="s">
        <v>418</v>
      </c>
      <c r="D188" s="29" t="s">
        <v>418</v>
      </c>
      <c r="E188" s="222" t="s">
        <v>418</v>
      </c>
      <c r="F188" s="29" t="s">
        <v>418</v>
      </c>
      <c r="G188" s="29" t="s">
        <v>418</v>
      </c>
      <c r="H188" s="221" t="s">
        <v>418</v>
      </c>
      <c r="I188" s="221" t="s">
        <v>418</v>
      </c>
      <c r="J188" s="221" t="s">
        <v>418</v>
      </c>
      <c r="K188" s="85" t="s">
        <v>418</v>
      </c>
      <c r="L188" s="85"/>
      <c r="M188" s="246" t="s">
        <v>418</v>
      </c>
      <c r="N188" s="29" t="s">
        <v>418</v>
      </c>
      <c r="O188" s="29" t="s">
        <v>418</v>
      </c>
      <c r="P188" s="29" t="s">
        <v>418</v>
      </c>
      <c r="Q188" s="29" t="s">
        <v>418</v>
      </c>
      <c r="R188" s="29" t="s">
        <v>418</v>
      </c>
      <c r="S188" s="29" t="s">
        <v>418</v>
      </c>
      <c r="T188" t="s">
        <v>418</v>
      </c>
      <c r="U188" t="s">
        <v>418</v>
      </c>
      <c r="X188" s="85">
        <f t="shared" si="2"/>
        <v>0</v>
      </c>
      <c r="AA188" s="85" t="s">
        <v>418</v>
      </c>
      <c r="AB188" s="85" t="s">
        <v>418</v>
      </c>
    </row>
    <row r="189" spans="1:28">
      <c r="A189" s="67">
        <v>188</v>
      </c>
      <c r="B189" s="29" t="s">
        <v>418</v>
      </c>
      <c r="C189" s="29" t="s">
        <v>418</v>
      </c>
      <c r="D189" s="29" t="s">
        <v>418</v>
      </c>
      <c r="E189" s="222" t="s">
        <v>418</v>
      </c>
      <c r="F189" s="29" t="s">
        <v>418</v>
      </c>
      <c r="G189" s="29" t="s">
        <v>418</v>
      </c>
      <c r="H189" s="221" t="s">
        <v>418</v>
      </c>
      <c r="I189" s="221" t="s">
        <v>418</v>
      </c>
      <c r="J189" s="221" t="s">
        <v>418</v>
      </c>
      <c r="K189" s="85" t="s">
        <v>418</v>
      </c>
      <c r="L189" s="85"/>
      <c r="M189" s="246" t="s">
        <v>418</v>
      </c>
      <c r="N189" s="29" t="s">
        <v>418</v>
      </c>
      <c r="O189" s="29" t="s">
        <v>418</v>
      </c>
      <c r="P189" s="29" t="s">
        <v>418</v>
      </c>
      <c r="Q189" s="29" t="s">
        <v>418</v>
      </c>
      <c r="R189" s="29" t="s">
        <v>418</v>
      </c>
      <c r="S189" s="29" t="s">
        <v>418</v>
      </c>
      <c r="T189" t="s">
        <v>418</v>
      </c>
      <c r="U189" t="s">
        <v>418</v>
      </c>
      <c r="X189" s="85">
        <f t="shared" si="2"/>
        <v>0</v>
      </c>
      <c r="AA189" s="85" t="s">
        <v>418</v>
      </c>
      <c r="AB189" s="85" t="s">
        <v>418</v>
      </c>
    </row>
    <row r="190" spans="1:28">
      <c r="A190" s="67">
        <v>189</v>
      </c>
      <c r="B190" s="29" t="s">
        <v>418</v>
      </c>
      <c r="C190" s="29" t="s">
        <v>418</v>
      </c>
      <c r="D190" s="29" t="s">
        <v>418</v>
      </c>
      <c r="E190" s="222" t="s">
        <v>418</v>
      </c>
      <c r="F190" s="29" t="s">
        <v>418</v>
      </c>
      <c r="G190" s="29" t="s">
        <v>418</v>
      </c>
      <c r="H190" s="221" t="s">
        <v>418</v>
      </c>
      <c r="I190" s="221" t="s">
        <v>418</v>
      </c>
      <c r="J190" s="221" t="s">
        <v>418</v>
      </c>
      <c r="K190" s="85" t="s">
        <v>418</v>
      </c>
      <c r="L190" s="85"/>
      <c r="M190" s="246" t="s">
        <v>418</v>
      </c>
      <c r="N190" s="29" t="s">
        <v>418</v>
      </c>
      <c r="O190" s="29" t="s">
        <v>418</v>
      </c>
      <c r="P190" s="29" t="s">
        <v>418</v>
      </c>
      <c r="Q190" s="29" t="s">
        <v>418</v>
      </c>
      <c r="R190" s="29" t="s">
        <v>418</v>
      </c>
      <c r="S190" s="29" t="s">
        <v>418</v>
      </c>
      <c r="T190" t="s">
        <v>418</v>
      </c>
      <c r="U190" t="s">
        <v>418</v>
      </c>
      <c r="X190" s="85">
        <f t="shared" si="2"/>
        <v>0</v>
      </c>
      <c r="AA190" s="85" t="s">
        <v>418</v>
      </c>
      <c r="AB190" s="85" t="s">
        <v>418</v>
      </c>
    </row>
    <row r="191" spans="1:28">
      <c r="A191" s="67">
        <v>190</v>
      </c>
      <c r="B191" s="29" t="s">
        <v>418</v>
      </c>
      <c r="C191" s="29" t="s">
        <v>418</v>
      </c>
      <c r="D191" s="29" t="s">
        <v>418</v>
      </c>
      <c r="E191" s="222" t="s">
        <v>418</v>
      </c>
      <c r="F191" s="29" t="s">
        <v>418</v>
      </c>
      <c r="G191" s="29" t="s">
        <v>418</v>
      </c>
      <c r="H191" s="221" t="s">
        <v>418</v>
      </c>
      <c r="I191" s="221" t="s">
        <v>418</v>
      </c>
      <c r="J191" s="221" t="s">
        <v>418</v>
      </c>
      <c r="K191" s="85" t="s">
        <v>418</v>
      </c>
      <c r="L191" s="85"/>
      <c r="M191" s="246" t="s">
        <v>418</v>
      </c>
      <c r="N191" s="29" t="s">
        <v>418</v>
      </c>
      <c r="O191" s="29" t="s">
        <v>418</v>
      </c>
      <c r="P191" s="29" t="s">
        <v>418</v>
      </c>
      <c r="Q191" s="29" t="s">
        <v>418</v>
      </c>
      <c r="R191" s="29" t="s">
        <v>418</v>
      </c>
      <c r="S191" s="29" t="s">
        <v>418</v>
      </c>
      <c r="T191" t="s">
        <v>418</v>
      </c>
      <c r="U191" t="s">
        <v>418</v>
      </c>
      <c r="X191" s="85">
        <f t="shared" si="2"/>
        <v>0</v>
      </c>
      <c r="AA191" s="85" t="s">
        <v>418</v>
      </c>
      <c r="AB191" s="85" t="s">
        <v>418</v>
      </c>
    </row>
    <row r="192" spans="1:28">
      <c r="A192" s="67">
        <v>191</v>
      </c>
      <c r="B192" s="29" t="s">
        <v>418</v>
      </c>
      <c r="C192" s="29" t="s">
        <v>418</v>
      </c>
      <c r="D192" s="29" t="s">
        <v>418</v>
      </c>
      <c r="E192" s="222" t="s">
        <v>418</v>
      </c>
      <c r="F192" s="29" t="s">
        <v>418</v>
      </c>
      <c r="G192" s="29" t="s">
        <v>418</v>
      </c>
      <c r="H192" s="221" t="s">
        <v>418</v>
      </c>
      <c r="I192" s="221" t="s">
        <v>418</v>
      </c>
      <c r="J192" s="221" t="s">
        <v>418</v>
      </c>
      <c r="K192" s="85" t="s">
        <v>418</v>
      </c>
      <c r="L192" s="85"/>
      <c r="M192" s="246" t="s">
        <v>418</v>
      </c>
      <c r="N192" s="29" t="s">
        <v>418</v>
      </c>
      <c r="O192" s="29" t="s">
        <v>418</v>
      </c>
      <c r="P192" s="29" t="s">
        <v>418</v>
      </c>
      <c r="Q192" s="29" t="s">
        <v>418</v>
      </c>
      <c r="R192" s="29" t="s">
        <v>418</v>
      </c>
      <c r="S192" s="29" t="s">
        <v>418</v>
      </c>
      <c r="T192" t="s">
        <v>418</v>
      </c>
      <c r="U192" t="s">
        <v>418</v>
      </c>
      <c r="X192" s="85">
        <f t="shared" si="2"/>
        <v>0</v>
      </c>
      <c r="AA192" s="85" t="s">
        <v>418</v>
      </c>
      <c r="AB192" s="85" t="s">
        <v>418</v>
      </c>
    </row>
    <row r="193" spans="1:28">
      <c r="A193" s="67">
        <v>192</v>
      </c>
      <c r="B193" s="29" t="s">
        <v>418</v>
      </c>
      <c r="C193" s="29" t="s">
        <v>418</v>
      </c>
      <c r="D193" s="29" t="s">
        <v>418</v>
      </c>
      <c r="E193" s="222" t="s">
        <v>418</v>
      </c>
      <c r="F193" s="29" t="s">
        <v>418</v>
      </c>
      <c r="G193" s="29" t="s">
        <v>418</v>
      </c>
      <c r="H193" s="221" t="s">
        <v>418</v>
      </c>
      <c r="I193" s="221" t="s">
        <v>418</v>
      </c>
      <c r="J193" s="221" t="s">
        <v>418</v>
      </c>
      <c r="K193" s="85" t="s">
        <v>418</v>
      </c>
      <c r="L193" s="85"/>
      <c r="M193" s="246" t="s">
        <v>418</v>
      </c>
      <c r="N193" s="29" t="s">
        <v>418</v>
      </c>
      <c r="O193" s="29" t="s">
        <v>418</v>
      </c>
      <c r="P193" s="29" t="s">
        <v>418</v>
      </c>
      <c r="Q193" s="29" t="s">
        <v>418</v>
      </c>
      <c r="R193" s="29" t="s">
        <v>418</v>
      </c>
      <c r="S193" s="29" t="s">
        <v>418</v>
      </c>
      <c r="T193" t="s">
        <v>418</v>
      </c>
      <c r="U193" t="s">
        <v>418</v>
      </c>
      <c r="X193" s="85">
        <f t="shared" si="2"/>
        <v>0</v>
      </c>
      <c r="AA193" s="85" t="s">
        <v>418</v>
      </c>
      <c r="AB193" s="85" t="s">
        <v>418</v>
      </c>
    </row>
    <row r="194" spans="1:28">
      <c r="A194" s="67">
        <v>193</v>
      </c>
      <c r="B194" s="29" t="s">
        <v>418</v>
      </c>
      <c r="C194" s="29" t="s">
        <v>418</v>
      </c>
      <c r="D194" s="29" t="s">
        <v>418</v>
      </c>
      <c r="E194" s="222" t="s">
        <v>418</v>
      </c>
      <c r="F194" s="29" t="s">
        <v>418</v>
      </c>
      <c r="G194" s="29" t="s">
        <v>418</v>
      </c>
      <c r="H194" s="221" t="s">
        <v>418</v>
      </c>
      <c r="I194" s="221" t="s">
        <v>418</v>
      </c>
      <c r="J194" s="221" t="s">
        <v>418</v>
      </c>
      <c r="K194" s="85" t="s">
        <v>418</v>
      </c>
      <c r="L194" s="85"/>
      <c r="M194" s="246" t="s">
        <v>418</v>
      </c>
      <c r="N194" s="29" t="s">
        <v>418</v>
      </c>
      <c r="O194" s="29" t="s">
        <v>418</v>
      </c>
      <c r="P194" s="29" t="s">
        <v>418</v>
      </c>
      <c r="Q194" s="29" t="s">
        <v>418</v>
      </c>
      <c r="R194" s="29" t="s">
        <v>418</v>
      </c>
      <c r="S194" s="29" t="s">
        <v>418</v>
      </c>
      <c r="T194" t="s">
        <v>418</v>
      </c>
      <c r="U194" t="s">
        <v>418</v>
      </c>
      <c r="X194" s="85">
        <f t="shared" si="2"/>
        <v>0</v>
      </c>
      <c r="AA194" s="85" t="s">
        <v>418</v>
      </c>
      <c r="AB194" s="85" t="s">
        <v>418</v>
      </c>
    </row>
    <row r="195" spans="1:28">
      <c r="A195" s="67">
        <v>194</v>
      </c>
      <c r="B195" s="29" t="s">
        <v>418</v>
      </c>
      <c r="C195" s="29" t="s">
        <v>418</v>
      </c>
      <c r="D195" s="29" t="s">
        <v>418</v>
      </c>
      <c r="E195" s="222" t="s">
        <v>418</v>
      </c>
      <c r="F195" s="29" t="s">
        <v>418</v>
      </c>
      <c r="G195" s="29" t="s">
        <v>418</v>
      </c>
      <c r="H195" s="221" t="s">
        <v>418</v>
      </c>
      <c r="I195" s="221" t="s">
        <v>418</v>
      </c>
      <c r="J195" s="221" t="s">
        <v>418</v>
      </c>
      <c r="K195" s="85" t="s">
        <v>418</v>
      </c>
      <c r="L195" s="85"/>
      <c r="M195" s="246" t="s">
        <v>418</v>
      </c>
      <c r="N195" s="29" t="s">
        <v>418</v>
      </c>
      <c r="O195" s="29" t="s">
        <v>418</v>
      </c>
      <c r="P195" s="29" t="s">
        <v>418</v>
      </c>
      <c r="Q195" s="29" t="s">
        <v>418</v>
      </c>
      <c r="R195" s="29" t="s">
        <v>418</v>
      </c>
      <c r="S195" s="29" t="s">
        <v>418</v>
      </c>
      <c r="T195" t="s">
        <v>418</v>
      </c>
      <c r="U195" t="s">
        <v>418</v>
      </c>
      <c r="X195" s="85">
        <f t="shared" ref="X195:X245" si="3">IF(OR(Q195=0,Q195=""),0,R195/Q195)</f>
        <v>0</v>
      </c>
      <c r="AA195" s="85" t="s">
        <v>418</v>
      </c>
      <c r="AB195" s="85" t="s">
        <v>418</v>
      </c>
    </row>
    <row r="196" spans="1:28">
      <c r="A196" s="67">
        <v>195</v>
      </c>
      <c r="B196" s="29" t="s">
        <v>418</v>
      </c>
      <c r="C196" s="29" t="s">
        <v>418</v>
      </c>
      <c r="D196" s="29" t="s">
        <v>418</v>
      </c>
      <c r="E196" s="222" t="s">
        <v>418</v>
      </c>
      <c r="F196" s="29" t="s">
        <v>418</v>
      </c>
      <c r="G196" s="29" t="s">
        <v>418</v>
      </c>
      <c r="H196" s="221" t="s">
        <v>418</v>
      </c>
      <c r="I196" s="221" t="s">
        <v>418</v>
      </c>
      <c r="J196" s="221" t="s">
        <v>418</v>
      </c>
      <c r="K196" s="85" t="s">
        <v>418</v>
      </c>
      <c r="L196" s="85"/>
      <c r="M196" s="246" t="s">
        <v>418</v>
      </c>
      <c r="N196" s="29" t="s">
        <v>418</v>
      </c>
      <c r="O196" s="29" t="s">
        <v>418</v>
      </c>
      <c r="P196" s="29" t="s">
        <v>418</v>
      </c>
      <c r="Q196" s="29" t="s">
        <v>418</v>
      </c>
      <c r="R196" s="29" t="s">
        <v>418</v>
      </c>
      <c r="S196" s="29" t="s">
        <v>418</v>
      </c>
      <c r="T196" t="s">
        <v>418</v>
      </c>
      <c r="U196" t="s">
        <v>418</v>
      </c>
      <c r="X196" s="85">
        <f t="shared" si="3"/>
        <v>0</v>
      </c>
      <c r="AA196" s="85" t="s">
        <v>418</v>
      </c>
      <c r="AB196" s="85" t="s">
        <v>418</v>
      </c>
    </row>
    <row r="197" spans="1:28">
      <c r="A197" s="67">
        <v>196</v>
      </c>
      <c r="B197" s="29" t="s">
        <v>418</v>
      </c>
      <c r="C197" s="29" t="s">
        <v>418</v>
      </c>
      <c r="D197" s="29" t="s">
        <v>418</v>
      </c>
      <c r="E197" s="222" t="s">
        <v>418</v>
      </c>
      <c r="F197" s="29" t="s">
        <v>418</v>
      </c>
      <c r="G197" s="29" t="s">
        <v>418</v>
      </c>
      <c r="H197" s="221" t="s">
        <v>418</v>
      </c>
      <c r="I197" s="221" t="s">
        <v>418</v>
      </c>
      <c r="J197" s="221" t="s">
        <v>418</v>
      </c>
      <c r="K197" s="85" t="s">
        <v>418</v>
      </c>
      <c r="L197" s="85"/>
      <c r="M197" s="246" t="s">
        <v>418</v>
      </c>
      <c r="N197" s="29" t="s">
        <v>418</v>
      </c>
      <c r="O197" s="29" t="s">
        <v>418</v>
      </c>
      <c r="P197" s="29" t="s">
        <v>418</v>
      </c>
      <c r="Q197" s="29" t="s">
        <v>418</v>
      </c>
      <c r="R197" s="29" t="s">
        <v>418</v>
      </c>
      <c r="S197" s="29" t="s">
        <v>418</v>
      </c>
      <c r="T197" t="s">
        <v>418</v>
      </c>
      <c r="U197" t="s">
        <v>418</v>
      </c>
      <c r="X197" s="85">
        <f t="shared" si="3"/>
        <v>0</v>
      </c>
      <c r="AA197" s="85" t="s">
        <v>418</v>
      </c>
      <c r="AB197" s="85" t="s">
        <v>418</v>
      </c>
    </row>
    <row r="198" spans="1:28">
      <c r="A198" s="67">
        <v>197</v>
      </c>
      <c r="B198" s="29" t="s">
        <v>418</v>
      </c>
      <c r="C198" s="29" t="s">
        <v>418</v>
      </c>
      <c r="D198" s="29" t="s">
        <v>418</v>
      </c>
      <c r="E198" s="222" t="s">
        <v>418</v>
      </c>
      <c r="F198" s="29" t="s">
        <v>418</v>
      </c>
      <c r="G198" s="29" t="s">
        <v>418</v>
      </c>
      <c r="H198" s="221" t="s">
        <v>418</v>
      </c>
      <c r="I198" s="221" t="s">
        <v>418</v>
      </c>
      <c r="J198" s="221" t="s">
        <v>418</v>
      </c>
      <c r="K198" s="85" t="s">
        <v>418</v>
      </c>
      <c r="L198" s="85"/>
      <c r="M198" s="246" t="s">
        <v>418</v>
      </c>
      <c r="N198" s="29" t="s">
        <v>418</v>
      </c>
      <c r="O198" s="29" t="s">
        <v>418</v>
      </c>
      <c r="P198" s="29" t="s">
        <v>418</v>
      </c>
      <c r="Q198" s="29" t="s">
        <v>418</v>
      </c>
      <c r="R198" s="29" t="s">
        <v>418</v>
      </c>
      <c r="S198" s="29" t="s">
        <v>418</v>
      </c>
      <c r="T198" t="s">
        <v>418</v>
      </c>
      <c r="U198" t="s">
        <v>418</v>
      </c>
      <c r="X198" s="85">
        <f t="shared" si="3"/>
        <v>0</v>
      </c>
      <c r="AA198" s="85" t="s">
        <v>418</v>
      </c>
      <c r="AB198" s="85" t="s">
        <v>418</v>
      </c>
    </row>
    <row r="199" spans="1:28">
      <c r="A199" s="67">
        <v>198</v>
      </c>
      <c r="B199" s="29" t="s">
        <v>418</v>
      </c>
      <c r="C199" s="29" t="s">
        <v>418</v>
      </c>
      <c r="D199" s="29" t="s">
        <v>418</v>
      </c>
      <c r="E199" s="222" t="s">
        <v>418</v>
      </c>
      <c r="F199" s="29" t="s">
        <v>418</v>
      </c>
      <c r="G199" s="29" t="s">
        <v>418</v>
      </c>
      <c r="H199" s="221" t="s">
        <v>418</v>
      </c>
      <c r="I199" s="221" t="s">
        <v>418</v>
      </c>
      <c r="J199" s="221" t="s">
        <v>418</v>
      </c>
      <c r="K199" s="85" t="s">
        <v>418</v>
      </c>
      <c r="L199" s="85"/>
      <c r="M199" s="246" t="s">
        <v>418</v>
      </c>
      <c r="N199" s="29" t="s">
        <v>418</v>
      </c>
      <c r="O199" s="29" t="s">
        <v>418</v>
      </c>
      <c r="P199" s="29" t="s">
        <v>418</v>
      </c>
      <c r="Q199" s="29" t="s">
        <v>418</v>
      </c>
      <c r="R199" s="29" t="s">
        <v>418</v>
      </c>
      <c r="S199" s="29" t="s">
        <v>418</v>
      </c>
      <c r="T199" t="s">
        <v>418</v>
      </c>
      <c r="U199" t="s">
        <v>418</v>
      </c>
      <c r="X199" s="85">
        <f t="shared" si="3"/>
        <v>0</v>
      </c>
      <c r="AA199" s="85" t="s">
        <v>418</v>
      </c>
      <c r="AB199" s="85" t="s">
        <v>418</v>
      </c>
    </row>
    <row r="200" spans="1:28">
      <c r="A200" s="67">
        <v>199</v>
      </c>
      <c r="B200" s="29" t="s">
        <v>418</v>
      </c>
      <c r="C200" s="29" t="s">
        <v>418</v>
      </c>
      <c r="D200" s="29" t="s">
        <v>418</v>
      </c>
      <c r="E200" s="222" t="s">
        <v>418</v>
      </c>
      <c r="F200" s="29" t="s">
        <v>418</v>
      </c>
      <c r="G200" s="29" t="s">
        <v>418</v>
      </c>
      <c r="H200" s="221" t="s">
        <v>418</v>
      </c>
      <c r="I200" s="221" t="s">
        <v>418</v>
      </c>
      <c r="J200" s="221" t="s">
        <v>418</v>
      </c>
      <c r="K200" s="85" t="s">
        <v>418</v>
      </c>
      <c r="L200" s="85"/>
      <c r="M200" s="246" t="s">
        <v>418</v>
      </c>
      <c r="N200" s="29" t="s">
        <v>418</v>
      </c>
      <c r="O200" s="29" t="s">
        <v>418</v>
      </c>
      <c r="P200" s="29" t="s">
        <v>418</v>
      </c>
      <c r="Q200" s="29" t="s">
        <v>418</v>
      </c>
      <c r="R200" s="29" t="s">
        <v>418</v>
      </c>
      <c r="S200" s="29" t="s">
        <v>418</v>
      </c>
      <c r="T200" t="s">
        <v>418</v>
      </c>
      <c r="U200" t="s">
        <v>418</v>
      </c>
      <c r="X200" s="85">
        <f t="shared" si="3"/>
        <v>0</v>
      </c>
      <c r="AA200" s="85" t="s">
        <v>418</v>
      </c>
      <c r="AB200" s="85" t="s">
        <v>418</v>
      </c>
    </row>
    <row r="201" spans="1:28">
      <c r="A201" s="67">
        <v>200</v>
      </c>
      <c r="B201" s="29" t="s">
        <v>418</v>
      </c>
      <c r="C201" s="29" t="s">
        <v>418</v>
      </c>
      <c r="D201" s="29" t="s">
        <v>418</v>
      </c>
      <c r="E201" s="222" t="s">
        <v>418</v>
      </c>
      <c r="F201" s="29" t="s">
        <v>418</v>
      </c>
      <c r="G201" s="29" t="s">
        <v>418</v>
      </c>
      <c r="H201" s="221" t="s">
        <v>418</v>
      </c>
      <c r="I201" s="221" t="s">
        <v>418</v>
      </c>
      <c r="J201" s="221" t="s">
        <v>418</v>
      </c>
      <c r="K201" s="85" t="s">
        <v>418</v>
      </c>
      <c r="L201" s="85"/>
      <c r="M201" s="246" t="s">
        <v>418</v>
      </c>
      <c r="N201" s="29" t="s">
        <v>418</v>
      </c>
      <c r="O201" s="29" t="s">
        <v>418</v>
      </c>
      <c r="P201" s="29" t="s">
        <v>418</v>
      </c>
      <c r="Q201" s="29" t="s">
        <v>418</v>
      </c>
      <c r="R201" s="29" t="s">
        <v>418</v>
      </c>
      <c r="S201" s="29" t="s">
        <v>418</v>
      </c>
      <c r="T201" t="s">
        <v>418</v>
      </c>
      <c r="U201" t="s">
        <v>418</v>
      </c>
      <c r="X201" s="85">
        <f t="shared" si="3"/>
        <v>0</v>
      </c>
      <c r="AA201" s="85" t="s">
        <v>418</v>
      </c>
      <c r="AB201" s="85" t="s">
        <v>418</v>
      </c>
    </row>
    <row r="202" spans="1:28">
      <c r="A202" s="67">
        <v>201</v>
      </c>
      <c r="B202" s="29" t="s">
        <v>418</v>
      </c>
      <c r="C202" s="29" t="s">
        <v>418</v>
      </c>
      <c r="D202" s="29" t="s">
        <v>418</v>
      </c>
      <c r="E202" s="222" t="s">
        <v>418</v>
      </c>
      <c r="F202" s="29" t="s">
        <v>418</v>
      </c>
      <c r="G202" s="29" t="s">
        <v>418</v>
      </c>
      <c r="H202" s="221" t="s">
        <v>418</v>
      </c>
      <c r="I202" s="221" t="s">
        <v>418</v>
      </c>
      <c r="J202" s="221" t="s">
        <v>418</v>
      </c>
      <c r="K202" s="85" t="s">
        <v>418</v>
      </c>
      <c r="L202" s="85"/>
      <c r="M202" s="246" t="s">
        <v>418</v>
      </c>
      <c r="N202" s="29" t="s">
        <v>418</v>
      </c>
      <c r="O202" s="29" t="s">
        <v>418</v>
      </c>
      <c r="P202" s="29" t="s">
        <v>418</v>
      </c>
      <c r="Q202" s="29" t="s">
        <v>418</v>
      </c>
      <c r="R202" s="29" t="s">
        <v>418</v>
      </c>
      <c r="S202" s="29" t="s">
        <v>418</v>
      </c>
      <c r="T202" t="s">
        <v>418</v>
      </c>
      <c r="U202" t="s">
        <v>418</v>
      </c>
      <c r="X202" s="85">
        <f t="shared" si="3"/>
        <v>0</v>
      </c>
      <c r="AA202" s="85" t="s">
        <v>418</v>
      </c>
      <c r="AB202" s="85" t="s">
        <v>418</v>
      </c>
    </row>
    <row r="203" spans="1:28">
      <c r="A203" s="67">
        <v>202</v>
      </c>
      <c r="B203" s="29" t="s">
        <v>418</v>
      </c>
      <c r="C203" s="29" t="s">
        <v>418</v>
      </c>
      <c r="D203" s="29" t="s">
        <v>418</v>
      </c>
      <c r="E203" s="222" t="s">
        <v>418</v>
      </c>
      <c r="F203" s="29" t="s">
        <v>418</v>
      </c>
      <c r="G203" s="29" t="s">
        <v>418</v>
      </c>
      <c r="H203" s="221" t="s">
        <v>418</v>
      </c>
      <c r="I203" s="221" t="s">
        <v>418</v>
      </c>
      <c r="J203" s="221" t="s">
        <v>418</v>
      </c>
      <c r="K203" s="85" t="s">
        <v>418</v>
      </c>
      <c r="L203" s="85"/>
      <c r="M203" s="246" t="s">
        <v>418</v>
      </c>
      <c r="N203" s="29" t="s">
        <v>418</v>
      </c>
      <c r="O203" s="29" t="s">
        <v>418</v>
      </c>
      <c r="P203" s="29" t="s">
        <v>418</v>
      </c>
      <c r="Q203" s="29" t="s">
        <v>418</v>
      </c>
      <c r="R203" s="29" t="s">
        <v>418</v>
      </c>
      <c r="S203" s="29" t="s">
        <v>418</v>
      </c>
      <c r="T203" t="s">
        <v>418</v>
      </c>
      <c r="U203" t="s">
        <v>418</v>
      </c>
      <c r="X203" s="85">
        <f t="shared" si="3"/>
        <v>0</v>
      </c>
      <c r="AA203" s="85" t="s">
        <v>418</v>
      </c>
      <c r="AB203" s="85" t="s">
        <v>418</v>
      </c>
    </row>
    <row r="204" spans="1:28">
      <c r="A204" s="67">
        <v>203</v>
      </c>
      <c r="B204" s="29" t="s">
        <v>418</v>
      </c>
      <c r="C204" s="29" t="s">
        <v>418</v>
      </c>
      <c r="D204" s="29" t="s">
        <v>418</v>
      </c>
      <c r="E204" s="222" t="s">
        <v>418</v>
      </c>
      <c r="F204" s="29" t="s">
        <v>418</v>
      </c>
      <c r="G204" s="29" t="s">
        <v>418</v>
      </c>
      <c r="H204" s="221" t="s">
        <v>418</v>
      </c>
      <c r="I204" s="221" t="s">
        <v>418</v>
      </c>
      <c r="J204" s="221" t="s">
        <v>418</v>
      </c>
      <c r="K204" s="85" t="s">
        <v>418</v>
      </c>
      <c r="L204" s="85"/>
      <c r="M204" s="246" t="s">
        <v>418</v>
      </c>
      <c r="N204" s="29" t="s">
        <v>418</v>
      </c>
      <c r="O204" s="29" t="s">
        <v>418</v>
      </c>
      <c r="P204" s="29" t="s">
        <v>418</v>
      </c>
      <c r="Q204" s="29" t="s">
        <v>418</v>
      </c>
      <c r="R204" s="29" t="s">
        <v>418</v>
      </c>
      <c r="S204" s="29" t="s">
        <v>418</v>
      </c>
      <c r="T204" t="s">
        <v>418</v>
      </c>
      <c r="U204" t="s">
        <v>418</v>
      </c>
      <c r="X204" s="85">
        <f t="shared" si="3"/>
        <v>0</v>
      </c>
      <c r="AA204" s="85" t="s">
        <v>418</v>
      </c>
      <c r="AB204" s="85" t="s">
        <v>418</v>
      </c>
    </row>
    <row r="205" spans="1:28">
      <c r="A205" s="67">
        <v>204</v>
      </c>
      <c r="B205" s="29" t="s">
        <v>418</v>
      </c>
      <c r="C205" s="29" t="s">
        <v>418</v>
      </c>
      <c r="D205" s="29" t="s">
        <v>418</v>
      </c>
      <c r="E205" s="222" t="s">
        <v>418</v>
      </c>
      <c r="F205" s="29" t="s">
        <v>418</v>
      </c>
      <c r="G205" s="29" t="s">
        <v>418</v>
      </c>
      <c r="H205" s="221" t="s">
        <v>418</v>
      </c>
      <c r="I205" s="221" t="s">
        <v>418</v>
      </c>
      <c r="J205" s="221" t="s">
        <v>418</v>
      </c>
      <c r="K205" s="85" t="s">
        <v>418</v>
      </c>
      <c r="L205" s="85"/>
      <c r="M205" s="246" t="s">
        <v>418</v>
      </c>
      <c r="N205" s="29" t="s">
        <v>418</v>
      </c>
      <c r="O205" s="29" t="s">
        <v>418</v>
      </c>
      <c r="P205" s="29" t="s">
        <v>418</v>
      </c>
      <c r="Q205" s="29" t="s">
        <v>418</v>
      </c>
      <c r="R205" s="29" t="s">
        <v>418</v>
      </c>
      <c r="S205" s="29" t="s">
        <v>418</v>
      </c>
      <c r="T205" t="s">
        <v>418</v>
      </c>
      <c r="U205" t="s">
        <v>418</v>
      </c>
      <c r="X205" s="85">
        <f t="shared" si="3"/>
        <v>0</v>
      </c>
      <c r="AA205" s="85" t="s">
        <v>418</v>
      </c>
      <c r="AB205" s="85" t="s">
        <v>418</v>
      </c>
    </row>
    <row r="206" spans="1:28">
      <c r="A206" s="67">
        <v>205</v>
      </c>
      <c r="B206" s="29" t="s">
        <v>418</v>
      </c>
      <c r="C206" s="29" t="s">
        <v>418</v>
      </c>
      <c r="D206" s="29" t="s">
        <v>418</v>
      </c>
      <c r="E206" s="222" t="s">
        <v>418</v>
      </c>
      <c r="F206" s="29" t="s">
        <v>418</v>
      </c>
      <c r="G206" s="29" t="s">
        <v>418</v>
      </c>
      <c r="H206" s="221" t="s">
        <v>418</v>
      </c>
      <c r="I206" s="221" t="s">
        <v>418</v>
      </c>
      <c r="J206" s="221" t="s">
        <v>418</v>
      </c>
      <c r="K206" s="85" t="s">
        <v>418</v>
      </c>
      <c r="L206" s="85"/>
      <c r="M206" s="246" t="s">
        <v>418</v>
      </c>
      <c r="N206" s="29" t="s">
        <v>418</v>
      </c>
      <c r="O206" s="29" t="s">
        <v>418</v>
      </c>
      <c r="P206" s="29" t="s">
        <v>418</v>
      </c>
      <c r="Q206" s="29" t="s">
        <v>418</v>
      </c>
      <c r="R206" s="29" t="s">
        <v>418</v>
      </c>
      <c r="S206" s="29" t="s">
        <v>418</v>
      </c>
      <c r="T206" t="s">
        <v>418</v>
      </c>
      <c r="U206" t="s">
        <v>418</v>
      </c>
      <c r="X206" s="85">
        <f t="shared" si="3"/>
        <v>0</v>
      </c>
      <c r="AA206" s="85" t="s">
        <v>418</v>
      </c>
      <c r="AB206" s="85" t="s">
        <v>418</v>
      </c>
    </row>
    <row r="207" spans="1:28">
      <c r="A207" s="67">
        <v>206</v>
      </c>
      <c r="B207" s="29" t="s">
        <v>418</v>
      </c>
      <c r="C207" s="29" t="s">
        <v>418</v>
      </c>
      <c r="D207" s="29" t="s">
        <v>418</v>
      </c>
      <c r="E207" s="222" t="s">
        <v>418</v>
      </c>
      <c r="F207" s="29" t="s">
        <v>418</v>
      </c>
      <c r="G207" s="29" t="s">
        <v>418</v>
      </c>
      <c r="H207" s="221" t="s">
        <v>418</v>
      </c>
      <c r="I207" s="221" t="s">
        <v>418</v>
      </c>
      <c r="J207" s="221" t="s">
        <v>418</v>
      </c>
      <c r="K207" s="85" t="s">
        <v>418</v>
      </c>
      <c r="L207" s="85"/>
      <c r="M207" s="246" t="s">
        <v>418</v>
      </c>
      <c r="N207" s="29" t="s">
        <v>418</v>
      </c>
      <c r="O207" s="29" t="s">
        <v>418</v>
      </c>
      <c r="P207" s="29" t="s">
        <v>418</v>
      </c>
      <c r="Q207" s="29" t="s">
        <v>418</v>
      </c>
      <c r="R207" s="29" t="s">
        <v>418</v>
      </c>
      <c r="S207" s="29" t="s">
        <v>418</v>
      </c>
      <c r="T207" t="s">
        <v>418</v>
      </c>
      <c r="U207" t="s">
        <v>418</v>
      </c>
      <c r="X207" s="85">
        <f t="shared" si="3"/>
        <v>0</v>
      </c>
      <c r="AA207" s="85" t="s">
        <v>418</v>
      </c>
      <c r="AB207" s="85" t="s">
        <v>418</v>
      </c>
    </row>
    <row r="208" spans="1:28">
      <c r="A208" s="67">
        <v>207</v>
      </c>
      <c r="B208" s="29" t="s">
        <v>418</v>
      </c>
      <c r="C208" s="29" t="s">
        <v>418</v>
      </c>
      <c r="D208" s="29" t="s">
        <v>418</v>
      </c>
      <c r="E208" s="222" t="s">
        <v>418</v>
      </c>
      <c r="F208" s="29" t="s">
        <v>418</v>
      </c>
      <c r="G208" s="29" t="s">
        <v>418</v>
      </c>
      <c r="H208" s="221" t="s">
        <v>418</v>
      </c>
      <c r="I208" s="221" t="s">
        <v>418</v>
      </c>
      <c r="J208" s="221" t="s">
        <v>418</v>
      </c>
      <c r="K208" s="85" t="s">
        <v>418</v>
      </c>
      <c r="L208" s="85"/>
      <c r="M208" s="246" t="s">
        <v>418</v>
      </c>
      <c r="N208" s="29" t="s">
        <v>418</v>
      </c>
      <c r="O208" s="29" t="s">
        <v>418</v>
      </c>
      <c r="P208" s="29" t="s">
        <v>418</v>
      </c>
      <c r="Q208" s="29" t="s">
        <v>418</v>
      </c>
      <c r="R208" s="29" t="s">
        <v>418</v>
      </c>
      <c r="S208" s="29" t="s">
        <v>418</v>
      </c>
      <c r="X208" s="85">
        <f t="shared" si="3"/>
        <v>0</v>
      </c>
      <c r="AA208" s="85" t="s">
        <v>418</v>
      </c>
      <c r="AB208" s="85" t="s">
        <v>418</v>
      </c>
    </row>
    <row r="209" spans="1:28">
      <c r="A209" s="67">
        <v>208</v>
      </c>
      <c r="B209" s="29" t="s">
        <v>418</v>
      </c>
      <c r="C209" s="29" t="s">
        <v>418</v>
      </c>
      <c r="D209" s="29" t="s">
        <v>418</v>
      </c>
      <c r="E209" s="222" t="s">
        <v>418</v>
      </c>
      <c r="F209" s="29" t="s">
        <v>418</v>
      </c>
      <c r="G209" s="29" t="s">
        <v>418</v>
      </c>
      <c r="H209" s="221" t="s">
        <v>418</v>
      </c>
      <c r="I209" s="221" t="s">
        <v>418</v>
      </c>
      <c r="J209" s="221" t="s">
        <v>418</v>
      </c>
      <c r="K209" s="85" t="s">
        <v>418</v>
      </c>
      <c r="L209" s="85"/>
      <c r="M209" s="246" t="s">
        <v>418</v>
      </c>
      <c r="N209" s="29" t="s">
        <v>418</v>
      </c>
      <c r="O209" s="29" t="s">
        <v>418</v>
      </c>
      <c r="P209" s="29" t="s">
        <v>418</v>
      </c>
      <c r="Q209" s="29" t="s">
        <v>418</v>
      </c>
      <c r="R209" s="29" t="s">
        <v>418</v>
      </c>
      <c r="S209" s="29" t="s">
        <v>418</v>
      </c>
      <c r="X209" s="85">
        <f t="shared" si="3"/>
        <v>0</v>
      </c>
      <c r="AA209" s="85" t="s">
        <v>418</v>
      </c>
      <c r="AB209" s="85" t="s">
        <v>418</v>
      </c>
    </row>
    <row r="210" spans="1:28">
      <c r="A210" s="67">
        <v>209</v>
      </c>
      <c r="B210" s="29" t="s">
        <v>418</v>
      </c>
      <c r="C210" s="29" t="s">
        <v>418</v>
      </c>
      <c r="D210" s="29" t="s">
        <v>418</v>
      </c>
      <c r="E210" s="222" t="s">
        <v>418</v>
      </c>
      <c r="F210" s="29" t="s">
        <v>418</v>
      </c>
      <c r="G210" s="29" t="s">
        <v>418</v>
      </c>
      <c r="H210" s="221" t="s">
        <v>418</v>
      </c>
      <c r="I210" s="221" t="s">
        <v>418</v>
      </c>
      <c r="J210" s="221" t="s">
        <v>418</v>
      </c>
      <c r="K210" s="85" t="s">
        <v>418</v>
      </c>
      <c r="L210" s="85"/>
      <c r="M210" s="246" t="s">
        <v>418</v>
      </c>
      <c r="N210" s="29" t="s">
        <v>418</v>
      </c>
      <c r="O210" s="29" t="s">
        <v>418</v>
      </c>
      <c r="P210" s="29" t="s">
        <v>418</v>
      </c>
      <c r="Q210" s="29" t="s">
        <v>418</v>
      </c>
      <c r="R210" s="29" t="s">
        <v>418</v>
      </c>
      <c r="S210" s="29" t="s">
        <v>418</v>
      </c>
      <c r="X210" s="85">
        <f t="shared" si="3"/>
        <v>0</v>
      </c>
      <c r="AA210" s="85" t="s">
        <v>418</v>
      </c>
      <c r="AB210" s="85" t="s">
        <v>418</v>
      </c>
    </row>
    <row r="211" spans="1:28">
      <c r="A211" s="67">
        <v>210</v>
      </c>
      <c r="B211" s="29" t="s">
        <v>418</v>
      </c>
      <c r="C211" s="29" t="s">
        <v>418</v>
      </c>
      <c r="D211" s="29" t="s">
        <v>418</v>
      </c>
      <c r="E211" s="222" t="s">
        <v>418</v>
      </c>
      <c r="F211" s="29" t="s">
        <v>418</v>
      </c>
      <c r="G211" s="29" t="s">
        <v>418</v>
      </c>
      <c r="H211" s="221" t="s">
        <v>418</v>
      </c>
      <c r="I211" s="221" t="s">
        <v>418</v>
      </c>
      <c r="J211" s="221" t="s">
        <v>418</v>
      </c>
      <c r="K211" s="85" t="s">
        <v>418</v>
      </c>
      <c r="L211" s="85"/>
      <c r="M211" s="246" t="s">
        <v>418</v>
      </c>
      <c r="N211" s="29" t="s">
        <v>418</v>
      </c>
      <c r="O211" s="29" t="s">
        <v>418</v>
      </c>
      <c r="P211" s="29" t="s">
        <v>418</v>
      </c>
      <c r="Q211" s="29" t="s">
        <v>418</v>
      </c>
      <c r="R211" s="29" t="s">
        <v>418</v>
      </c>
      <c r="S211" s="29" t="s">
        <v>418</v>
      </c>
      <c r="X211" s="85">
        <f t="shared" si="3"/>
        <v>0</v>
      </c>
      <c r="AA211" s="85" t="s">
        <v>418</v>
      </c>
      <c r="AB211" s="85" t="s">
        <v>418</v>
      </c>
    </row>
    <row r="212" spans="1:28">
      <c r="A212" s="67">
        <v>211</v>
      </c>
      <c r="B212" s="29" t="s">
        <v>418</v>
      </c>
      <c r="C212" s="29" t="s">
        <v>418</v>
      </c>
      <c r="D212" s="29" t="s">
        <v>418</v>
      </c>
      <c r="E212" s="222" t="s">
        <v>418</v>
      </c>
      <c r="F212" s="29" t="s">
        <v>418</v>
      </c>
      <c r="G212" s="29" t="s">
        <v>418</v>
      </c>
      <c r="H212" s="221" t="s">
        <v>418</v>
      </c>
      <c r="I212" s="221" t="s">
        <v>418</v>
      </c>
      <c r="J212" s="221" t="s">
        <v>418</v>
      </c>
      <c r="K212" s="85" t="s">
        <v>418</v>
      </c>
      <c r="L212" s="85"/>
      <c r="M212" s="29"/>
      <c r="N212" s="29"/>
      <c r="O212" s="29"/>
      <c r="P212" s="29"/>
      <c r="Q212" s="29"/>
      <c r="R212" s="29"/>
      <c r="S212" s="29"/>
      <c r="X212" s="85">
        <f t="shared" si="3"/>
        <v>0</v>
      </c>
      <c r="AA212" s="85" t="s">
        <v>418</v>
      </c>
      <c r="AB212" s="85" t="s">
        <v>418</v>
      </c>
    </row>
    <row r="213" spans="1:28">
      <c r="A213" s="67">
        <v>212</v>
      </c>
      <c r="B213" s="29" t="s">
        <v>418</v>
      </c>
      <c r="C213" s="29" t="s">
        <v>418</v>
      </c>
      <c r="D213" s="29" t="s">
        <v>418</v>
      </c>
      <c r="E213" s="222" t="s">
        <v>418</v>
      </c>
      <c r="F213" s="29" t="s">
        <v>418</v>
      </c>
      <c r="G213" s="29" t="s">
        <v>418</v>
      </c>
      <c r="H213" s="221" t="s">
        <v>418</v>
      </c>
      <c r="I213" s="221" t="s">
        <v>418</v>
      </c>
      <c r="J213" s="221" t="s">
        <v>418</v>
      </c>
      <c r="K213" s="85" t="s">
        <v>418</v>
      </c>
      <c r="L213" s="85"/>
      <c r="M213" s="29"/>
      <c r="N213" s="29"/>
      <c r="O213" s="29"/>
      <c r="P213" s="29"/>
      <c r="Q213" s="29"/>
      <c r="R213" s="29"/>
      <c r="S213" s="29"/>
      <c r="X213" s="85">
        <f t="shared" si="3"/>
        <v>0</v>
      </c>
      <c r="AA213" s="85" t="s">
        <v>418</v>
      </c>
      <c r="AB213" s="85" t="s">
        <v>418</v>
      </c>
    </row>
    <row r="214" spans="1:28">
      <c r="A214" s="67">
        <v>213</v>
      </c>
      <c r="B214" s="29" t="s">
        <v>418</v>
      </c>
      <c r="C214" s="29" t="s">
        <v>418</v>
      </c>
      <c r="D214" s="29" t="s">
        <v>418</v>
      </c>
      <c r="E214" s="222" t="s">
        <v>418</v>
      </c>
      <c r="F214" s="29" t="s">
        <v>418</v>
      </c>
      <c r="G214" s="29" t="s">
        <v>418</v>
      </c>
      <c r="H214" s="221" t="s">
        <v>418</v>
      </c>
      <c r="I214" s="221" t="s">
        <v>418</v>
      </c>
      <c r="J214" s="221" t="s">
        <v>418</v>
      </c>
      <c r="K214" s="85" t="s">
        <v>418</v>
      </c>
      <c r="L214" s="85"/>
      <c r="M214" s="29"/>
      <c r="N214" s="29"/>
      <c r="O214" s="29"/>
      <c r="P214" s="29"/>
      <c r="Q214" s="29"/>
      <c r="R214" s="29"/>
      <c r="S214" s="29"/>
      <c r="X214" s="85">
        <f t="shared" si="3"/>
        <v>0</v>
      </c>
      <c r="AA214" s="85" t="s">
        <v>418</v>
      </c>
      <c r="AB214" s="85" t="s">
        <v>418</v>
      </c>
    </row>
    <row r="215" spans="1:28">
      <c r="A215" s="67">
        <v>214</v>
      </c>
      <c r="B215" s="29" t="s">
        <v>418</v>
      </c>
      <c r="C215" s="29" t="s">
        <v>418</v>
      </c>
      <c r="D215" s="29" t="s">
        <v>418</v>
      </c>
      <c r="E215" s="222" t="s">
        <v>418</v>
      </c>
      <c r="F215" s="29" t="s">
        <v>418</v>
      </c>
      <c r="G215" s="29" t="s">
        <v>418</v>
      </c>
      <c r="H215" s="221" t="s">
        <v>418</v>
      </c>
      <c r="I215" s="221" t="s">
        <v>418</v>
      </c>
      <c r="J215" s="221" t="s">
        <v>418</v>
      </c>
      <c r="K215" s="85" t="s">
        <v>418</v>
      </c>
      <c r="L215" s="85"/>
      <c r="M215" s="29"/>
      <c r="N215" s="29"/>
      <c r="O215" s="29"/>
      <c r="P215" s="29"/>
      <c r="Q215" s="29"/>
      <c r="R215" s="29"/>
      <c r="S215" s="29"/>
      <c r="X215" s="85">
        <f t="shared" si="3"/>
        <v>0</v>
      </c>
      <c r="AA215" s="85" t="s">
        <v>418</v>
      </c>
      <c r="AB215" s="85" t="s">
        <v>418</v>
      </c>
    </row>
    <row r="216" spans="1:28">
      <c r="A216" s="67">
        <v>215</v>
      </c>
      <c r="B216" s="29" t="s">
        <v>418</v>
      </c>
      <c r="C216" s="29" t="s">
        <v>418</v>
      </c>
      <c r="D216" s="29" t="s">
        <v>418</v>
      </c>
      <c r="E216" s="222" t="s">
        <v>418</v>
      </c>
      <c r="F216" s="29" t="s">
        <v>418</v>
      </c>
      <c r="G216" s="29" t="s">
        <v>418</v>
      </c>
      <c r="H216" s="221" t="s">
        <v>418</v>
      </c>
      <c r="I216" s="221" t="s">
        <v>418</v>
      </c>
      <c r="J216" s="221" t="s">
        <v>418</v>
      </c>
      <c r="K216" s="85" t="s">
        <v>418</v>
      </c>
      <c r="L216" s="85"/>
      <c r="M216" s="29"/>
      <c r="N216" s="29"/>
      <c r="O216" s="29"/>
      <c r="P216" s="29"/>
      <c r="Q216" s="29"/>
      <c r="R216" s="29"/>
      <c r="S216" s="29"/>
      <c r="X216" s="85">
        <f t="shared" si="3"/>
        <v>0</v>
      </c>
      <c r="AA216" s="85" t="s">
        <v>418</v>
      </c>
      <c r="AB216" s="85" t="s">
        <v>418</v>
      </c>
    </row>
    <row r="217" spans="1:28">
      <c r="A217" s="67">
        <v>216</v>
      </c>
      <c r="B217" s="29" t="s">
        <v>418</v>
      </c>
      <c r="C217" s="29" t="s">
        <v>418</v>
      </c>
      <c r="D217" s="29" t="s">
        <v>418</v>
      </c>
      <c r="E217" s="222" t="s">
        <v>418</v>
      </c>
      <c r="F217" s="29" t="s">
        <v>418</v>
      </c>
      <c r="G217" s="29" t="s">
        <v>418</v>
      </c>
      <c r="H217" s="221" t="s">
        <v>418</v>
      </c>
      <c r="I217" s="221" t="s">
        <v>418</v>
      </c>
      <c r="J217" s="221" t="s">
        <v>418</v>
      </c>
      <c r="K217" s="85" t="s">
        <v>418</v>
      </c>
      <c r="L217" s="85"/>
      <c r="M217" s="29"/>
      <c r="N217" s="29"/>
      <c r="O217" s="29"/>
      <c r="P217" s="29"/>
      <c r="Q217" s="29"/>
      <c r="R217" s="29"/>
      <c r="S217" s="29"/>
      <c r="X217" s="85">
        <f t="shared" si="3"/>
        <v>0</v>
      </c>
      <c r="AA217" s="85" t="s">
        <v>418</v>
      </c>
      <c r="AB217" s="85" t="s">
        <v>418</v>
      </c>
    </row>
    <row r="218" spans="1:28">
      <c r="A218" s="67">
        <v>217</v>
      </c>
      <c r="B218" s="29" t="s">
        <v>418</v>
      </c>
      <c r="C218" s="29" t="s">
        <v>418</v>
      </c>
      <c r="D218" s="29" t="s">
        <v>418</v>
      </c>
      <c r="E218" s="222" t="s">
        <v>418</v>
      </c>
      <c r="F218" s="29" t="s">
        <v>418</v>
      </c>
      <c r="G218" s="29" t="s">
        <v>418</v>
      </c>
      <c r="H218" s="221" t="s">
        <v>418</v>
      </c>
      <c r="I218" s="221" t="s">
        <v>418</v>
      </c>
      <c r="J218" s="221" t="s">
        <v>418</v>
      </c>
      <c r="K218" s="85" t="s">
        <v>418</v>
      </c>
      <c r="L218" s="85"/>
      <c r="M218" s="29"/>
      <c r="N218" s="29"/>
      <c r="O218" s="29"/>
      <c r="P218" s="29"/>
      <c r="Q218" s="29"/>
      <c r="R218" s="29"/>
      <c r="S218" s="29"/>
      <c r="X218" s="85">
        <f t="shared" si="3"/>
        <v>0</v>
      </c>
      <c r="AA218" s="85" t="s">
        <v>418</v>
      </c>
      <c r="AB218" s="85" t="s">
        <v>418</v>
      </c>
    </row>
    <row r="219" spans="1:28">
      <c r="A219" s="67">
        <v>218</v>
      </c>
      <c r="B219" s="29" t="s">
        <v>418</v>
      </c>
      <c r="C219" s="29" t="s">
        <v>418</v>
      </c>
      <c r="D219" s="29" t="s">
        <v>418</v>
      </c>
      <c r="E219" s="222" t="s">
        <v>418</v>
      </c>
      <c r="F219" s="29" t="s">
        <v>418</v>
      </c>
      <c r="G219" s="29" t="s">
        <v>418</v>
      </c>
      <c r="H219" s="221" t="s">
        <v>418</v>
      </c>
      <c r="I219" s="221" t="s">
        <v>418</v>
      </c>
      <c r="J219" s="221" t="s">
        <v>418</v>
      </c>
      <c r="K219" s="85" t="s">
        <v>418</v>
      </c>
      <c r="L219" s="85"/>
      <c r="M219" s="29"/>
      <c r="N219" s="29"/>
      <c r="O219" s="29"/>
      <c r="P219" s="29"/>
      <c r="Q219" s="29"/>
      <c r="R219" s="29"/>
      <c r="S219" s="29"/>
      <c r="X219" s="85">
        <f t="shared" si="3"/>
        <v>0</v>
      </c>
      <c r="AA219" s="85" t="s">
        <v>418</v>
      </c>
      <c r="AB219" s="85" t="s">
        <v>418</v>
      </c>
    </row>
    <row r="220" spans="1:28">
      <c r="A220" s="67">
        <v>219</v>
      </c>
      <c r="B220" s="29" t="s">
        <v>418</v>
      </c>
      <c r="C220" s="29" t="s">
        <v>418</v>
      </c>
      <c r="D220" s="29" t="s">
        <v>418</v>
      </c>
      <c r="E220" s="222" t="s">
        <v>418</v>
      </c>
      <c r="F220" s="29" t="s">
        <v>418</v>
      </c>
      <c r="G220" s="29" t="s">
        <v>418</v>
      </c>
      <c r="H220" s="221" t="s">
        <v>418</v>
      </c>
      <c r="I220" s="221" t="s">
        <v>418</v>
      </c>
      <c r="J220" s="221" t="s">
        <v>418</v>
      </c>
      <c r="K220" s="85" t="s">
        <v>418</v>
      </c>
      <c r="L220" s="85"/>
      <c r="M220" s="29"/>
      <c r="N220" s="29"/>
      <c r="O220" s="29"/>
      <c r="P220" s="29"/>
      <c r="Q220" s="29"/>
      <c r="R220" s="29"/>
      <c r="S220" s="29"/>
      <c r="X220" s="85">
        <f t="shared" si="3"/>
        <v>0</v>
      </c>
      <c r="AA220" s="85" t="s">
        <v>418</v>
      </c>
      <c r="AB220" s="85" t="s">
        <v>418</v>
      </c>
    </row>
    <row r="221" spans="1:28">
      <c r="A221" s="67">
        <v>220</v>
      </c>
      <c r="B221" s="29" t="s">
        <v>418</v>
      </c>
      <c r="C221" s="29" t="s">
        <v>418</v>
      </c>
      <c r="D221" s="29" t="s">
        <v>418</v>
      </c>
      <c r="E221" s="222" t="s">
        <v>418</v>
      </c>
      <c r="F221" s="29" t="s">
        <v>418</v>
      </c>
      <c r="G221" s="29" t="s">
        <v>418</v>
      </c>
      <c r="H221" s="221" t="s">
        <v>418</v>
      </c>
      <c r="I221" s="221" t="s">
        <v>418</v>
      </c>
      <c r="J221" s="221" t="s">
        <v>418</v>
      </c>
      <c r="K221" s="85" t="s">
        <v>418</v>
      </c>
      <c r="L221" s="85"/>
      <c r="M221" s="29"/>
      <c r="N221" s="29"/>
      <c r="O221" s="29"/>
      <c r="P221" s="29"/>
      <c r="Q221" s="29"/>
      <c r="R221" s="29"/>
      <c r="S221" s="29"/>
      <c r="X221" s="85">
        <f t="shared" si="3"/>
        <v>0</v>
      </c>
      <c r="AA221" s="85" t="s">
        <v>418</v>
      </c>
      <c r="AB221" s="85" t="s">
        <v>418</v>
      </c>
    </row>
    <row r="222" spans="1:28">
      <c r="A222" s="67">
        <v>221</v>
      </c>
      <c r="B222" s="29" t="s">
        <v>418</v>
      </c>
      <c r="C222" s="29" t="s">
        <v>418</v>
      </c>
      <c r="D222" s="29" t="s">
        <v>418</v>
      </c>
      <c r="E222" s="222" t="s">
        <v>418</v>
      </c>
      <c r="F222" s="29" t="s">
        <v>418</v>
      </c>
      <c r="G222" s="29" t="s">
        <v>418</v>
      </c>
      <c r="H222" s="221" t="s">
        <v>418</v>
      </c>
      <c r="I222" s="221" t="s">
        <v>418</v>
      </c>
      <c r="J222" s="221" t="s">
        <v>418</v>
      </c>
      <c r="K222" s="85" t="s">
        <v>418</v>
      </c>
      <c r="L222" s="85"/>
      <c r="M222" s="29"/>
      <c r="N222" s="29"/>
      <c r="O222" s="29"/>
      <c r="P222" s="29"/>
      <c r="Q222" s="29"/>
      <c r="R222" s="29"/>
      <c r="S222" s="29"/>
      <c r="X222" s="85">
        <f t="shared" si="3"/>
        <v>0</v>
      </c>
      <c r="AA222" s="85" t="s">
        <v>418</v>
      </c>
      <c r="AB222" s="85" t="s">
        <v>418</v>
      </c>
    </row>
    <row r="223" spans="1:28">
      <c r="A223" s="67">
        <v>222</v>
      </c>
      <c r="B223" s="29" t="s">
        <v>418</v>
      </c>
      <c r="C223" s="29" t="s">
        <v>418</v>
      </c>
      <c r="D223" s="29" t="s">
        <v>418</v>
      </c>
      <c r="E223" s="222" t="s">
        <v>418</v>
      </c>
      <c r="F223" s="29" t="s">
        <v>418</v>
      </c>
      <c r="G223" s="29" t="s">
        <v>418</v>
      </c>
      <c r="H223" s="221" t="s">
        <v>418</v>
      </c>
      <c r="I223" s="221" t="s">
        <v>418</v>
      </c>
      <c r="J223" s="221" t="s">
        <v>418</v>
      </c>
      <c r="K223" s="85" t="s">
        <v>418</v>
      </c>
      <c r="L223" s="85"/>
      <c r="M223" s="29"/>
      <c r="N223" s="29"/>
      <c r="O223" s="29"/>
      <c r="P223" s="29"/>
      <c r="Q223" s="29"/>
      <c r="R223" s="29"/>
      <c r="S223" s="29"/>
      <c r="X223" s="85">
        <f t="shared" si="3"/>
        <v>0</v>
      </c>
      <c r="AA223" s="85" t="s">
        <v>418</v>
      </c>
      <c r="AB223" s="85" t="s">
        <v>418</v>
      </c>
    </row>
    <row r="224" spans="1:28">
      <c r="A224" s="67">
        <v>223</v>
      </c>
      <c r="B224" s="29" t="s">
        <v>418</v>
      </c>
      <c r="C224" s="29" t="s">
        <v>418</v>
      </c>
      <c r="D224" s="29" t="s">
        <v>418</v>
      </c>
      <c r="E224" s="222" t="s">
        <v>418</v>
      </c>
      <c r="F224" s="29" t="s">
        <v>418</v>
      </c>
      <c r="G224" s="29" t="s">
        <v>418</v>
      </c>
      <c r="H224" s="221" t="s">
        <v>418</v>
      </c>
      <c r="I224" s="221" t="s">
        <v>418</v>
      </c>
      <c r="J224" s="221" t="s">
        <v>418</v>
      </c>
      <c r="K224" s="85" t="s">
        <v>418</v>
      </c>
      <c r="L224" s="85"/>
      <c r="M224" s="29"/>
      <c r="N224" s="29"/>
      <c r="O224" s="29"/>
      <c r="P224" s="29"/>
      <c r="Q224" s="29"/>
      <c r="R224" s="29"/>
      <c r="S224" s="29"/>
      <c r="X224" s="85">
        <f t="shared" si="3"/>
        <v>0</v>
      </c>
      <c r="AA224" s="85" t="s">
        <v>418</v>
      </c>
      <c r="AB224" s="85" t="s">
        <v>418</v>
      </c>
    </row>
    <row r="225" spans="1:28">
      <c r="A225" s="67">
        <v>224</v>
      </c>
      <c r="B225" s="29" t="s">
        <v>418</v>
      </c>
      <c r="C225" s="29" t="s">
        <v>418</v>
      </c>
      <c r="D225" s="29" t="s">
        <v>418</v>
      </c>
      <c r="E225" s="222" t="s">
        <v>418</v>
      </c>
      <c r="F225" s="29" t="s">
        <v>418</v>
      </c>
      <c r="G225" s="29" t="s">
        <v>418</v>
      </c>
      <c r="H225" s="221" t="s">
        <v>418</v>
      </c>
      <c r="I225" s="221" t="s">
        <v>418</v>
      </c>
      <c r="J225" s="221" t="s">
        <v>418</v>
      </c>
      <c r="K225" s="85" t="s">
        <v>418</v>
      </c>
      <c r="L225" s="85"/>
      <c r="M225" s="29"/>
      <c r="N225" s="29"/>
      <c r="O225" s="29"/>
      <c r="P225" s="29"/>
      <c r="Q225" s="29"/>
      <c r="R225" s="29"/>
      <c r="S225" s="29"/>
      <c r="X225" s="85">
        <f t="shared" si="3"/>
        <v>0</v>
      </c>
      <c r="AA225" s="85" t="s">
        <v>418</v>
      </c>
      <c r="AB225" s="85" t="s">
        <v>418</v>
      </c>
    </row>
    <row r="226" spans="1:28">
      <c r="A226" s="67">
        <v>225</v>
      </c>
      <c r="B226" s="29" t="s">
        <v>418</v>
      </c>
      <c r="C226" s="29" t="s">
        <v>418</v>
      </c>
      <c r="D226" s="29" t="s">
        <v>418</v>
      </c>
      <c r="E226" s="222" t="s">
        <v>418</v>
      </c>
      <c r="F226" s="29" t="s">
        <v>418</v>
      </c>
      <c r="G226" s="29" t="s">
        <v>418</v>
      </c>
      <c r="H226" s="221" t="s">
        <v>418</v>
      </c>
      <c r="I226" s="221" t="s">
        <v>418</v>
      </c>
      <c r="J226" s="221" t="s">
        <v>418</v>
      </c>
      <c r="K226" s="85" t="s">
        <v>418</v>
      </c>
      <c r="L226" s="85"/>
      <c r="M226" s="29"/>
      <c r="N226" s="29"/>
      <c r="O226" s="29"/>
      <c r="P226" s="29"/>
      <c r="Q226" s="29"/>
      <c r="R226" s="29"/>
      <c r="S226" s="29"/>
      <c r="X226" s="85">
        <f t="shared" si="3"/>
        <v>0</v>
      </c>
      <c r="AA226" s="85" t="s">
        <v>418</v>
      </c>
      <c r="AB226" s="85" t="s">
        <v>418</v>
      </c>
    </row>
    <row r="227" spans="1:28">
      <c r="A227" s="67">
        <v>226</v>
      </c>
      <c r="B227" s="29" t="s">
        <v>418</v>
      </c>
      <c r="C227" s="29" t="s">
        <v>418</v>
      </c>
      <c r="D227" s="29" t="s">
        <v>418</v>
      </c>
      <c r="E227" s="222" t="s">
        <v>418</v>
      </c>
      <c r="F227" s="29" t="s">
        <v>418</v>
      </c>
      <c r="G227" s="29" t="s">
        <v>418</v>
      </c>
      <c r="H227" s="221" t="s">
        <v>418</v>
      </c>
      <c r="I227" s="221" t="s">
        <v>418</v>
      </c>
      <c r="J227" s="221" t="s">
        <v>418</v>
      </c>
      <c r="K227" s="85" t="s">
        <v>418</v>
      </c>
      <c r="L227" s="85"/>
      <c r="M227" s="29"/>
      <c r="N227" s="29"/>
      <c r="O227" s="29"/>
      <c r="P227" s="29"/>
      <c r="Q227" s="29"/>
      <c r="R227" s="29"/>
      <c r="S227" s="29"/>
      <c r="X227" s="85">
        <f t="shared" si="3"/>
        <v>0</v>
      </c>
      <c r="AA227" s="85" t="s">
        <v>418</v>
      </c>
      <c r="AB227" s="85" t="s">
        <v>418</v>
      </c>
    </row>
    <row r="228" spans="1:28">
      <c r="A228" s="67">
        <v>227</v>
      </c>
      <c r="B228" s="29" t="s">
        <v>418</v>
      </c>
      <c r="C228" s="29" t="s">
        <v>418</v>
      </c>
      <c r="D228" s="29" t="s">
        <v>418</v>
      </c>
      <c r="E228" s="222" t="s">
        <v>418</v>
      </c>
      <c r="F228" s="29" t="s">
        <v>418</v>
      </c>
      <c r="G228" s="29" t="s">
        <v>418</v>
      </c>
      <c r="H228" s="221" t="s">
        <v>418</v>
      </c>
      <c r="I228" s="221" t="s">
        <v>418</v>
      </c>
      <c r="J228" s="221" t="s">
        <v>418</v>
      </c>
      <c r="K228" s="85" t="s">
        <v>418</v>
      </c>
      <c r="L228" s="85"/>
      <c r="M228" s="29"/>
      <c r="N228" s="29"/>
      <c r="O228" s="29"/>
      <c r="P228" s="29"/>
      <c r="Q228" s="29"/>
      <c r="R228" s="29"/>
      <c r="S228" s="29"/>
      <c r="X228" s="85">
        <f t="shared" si="3"/>
        <v>0</v>
      </c>
      <c r="AA228" s="85" t="s">
        <v>418</v>
      </c>
      <c r="AB228" s="85" t="s">
        <v>418</v>
      </c>
    </row>
    <row r="229" spans="1:28">
      <c r="A229" s="67">
        <v>228</v>
      </c>
      <c r="B229" s="29" t="s">
        <v>418</v>
      </c>
      <c r="C229" s="29" t="s">
        <v>418</v>
      </c>
      <c r="D229" s="29" t="s">
        <v>418</v>
      </c>
      <c r="E229" s="222" t="s">
        <v>418</v>
      </c>
      <c r="F229" s="29" t="s">
        <v>418</v>
      </c>
      <c r="G229" s="29" t="s">
        <v>418</v>
      </c>
      <c r="H229" s="221" t="s">
        <v>418</v>
      </c>
      <c r="I229" s="221" t="s">
        <v>418</v>
      </c>
      <c r="J229" s="221" t="s">
        <v>418</v>
      </c>
      <c r="K229" s="85" t="s">
        <v>418</v>
      </c>
      <c r="L229" s="85"/>
      <c r="M229" s="29"/>
      <c r="N229" s="29"/>
      <c r="O229" s="29"/>
      <c r="P229" s="29"/>
      <c r="Q229" s="29"/>
      <c r="R229" s="29"/>
      <c r="S229" s="29"/>
      <c r="X229" s="85">
        <f t="shared" si="3"/>
        <v>0</v>
      </c>
      <c r="AA229" s="85" t="s">
        <v>418</v>
      </c>
      <c r="AB229" s="85" t="s">
        <v>418</v>
      </c>
    </row>
    <row r="230" spans="1:28">
      <c r="A230" s="67">
        <v>229</v>
      </c>
      <c r="B230" s="29" t="s">
        <v>418</v>
      </c>
      <c r="C230" s="29" t="s">
        <v>418</v>
      </c>
      <c r="D230" s="29" t="s">
        <v>418</v>
      </c>
      <c r="E230" s="222" t="s">
        <v>418</v>
      </c>
      <c r="F230" s="29" t="s">
        <v>418</v>
      </c>
      <c r="G230" s="29" t="s">
        <v>418</v>
      </c>
      <c r="H230" s="221" t="s">
        <v>418</v>
      </c>
      <c r="I230" s="221" t="s">
        <v>418</v>
      </c>
      <c r="J230" s="221" t="s">
        <v>418</v>
      </c>
      <c r="K230" s="85" t="s">
        <v>418</v>
      </c>
      <c r="L230" s="85"/>
      <c r="M230" s="29"/>
      <c r="N230" s="29"/>
      <c r="O230" s="29"/>
      <c r="P230" s="29"/>
      <c r="Q230" s="29"/>
      <c r="R230" s="29"/>
      <c r="S230" s="29"/>
      <c r="X230" s="85">
        <f t="shared" si="3"/>
        <v>0</v>
      </c>
      <c r="AA230" s="85" t="s">
        <v>418</v>
      </c>
      <c r="AB230" s="85" t="s">
        <v>418</v>
      </c>
    </row>
    <row r="231" spans="1:28">
      <c r="A231" s="67">
        <v>230</v>
      </c>
      <c r="B231" s="29" t="s">
        <v>418</v>
      </c>
      <c r="C231" s="29" t="s">
        <v>418</v>
      </c>
      <c r="D231" s="29" t="s">
        <v>418</v>
      </c>
      <c r="E231" s="222" t="s">
        <v>418</v>
      </c>
      <c r="F231" s="29" t="s">
        <v>418</v>
      </c>
      <c r="G231" s="29" t="s">
        <v>418</v>
      </c>
      <c r="H231" s="221" t="s">
        <v>418</v>
      </c>
      <c r="I231" s="221" t="s">
        <v>418</v>
      </c>
      <c r="J231" s="221" t="s">
        <v>418</v>
      </c>
      <c r="K231" s="85" t="s">
        <v>418</v>
      </c>
      <c r="L231" s="85"/>
      <c r="M231" s="29"/>
      <c r="N231" s="29"/>
      <c r="O231" s="29"/>
      <c r="P231" s="29"/>
      <c r="Q231" s="29"/>
      <c r="R231" s="29"/>
      <c r="S231" s="29"/>
      <c r="X231" s="85">
        <f t="shared" si="3"/>
        <v>0</v>
      </c>
      <c r="AA231" s="85" t="s">
        <v>418</v>
      </c>
      <c r="AB231" s="85" t="s">
        <v>418</v>
      </c>
    </row>
    <row r="232" spans="1:28">
      <c r="A232" s="67">
        <v>231</v>
      </c>
      <c r="B232" s="29" t="s">
        <v>418</v>
      </c>
      <c r="C232" s="29" t="s">
        <v>418</v>
      </c>
      <c r="D232" s="29" t="s">
        <v>418</v>
      </c>
      <c r="E232" s="222" t="s">
        <v>418</v>
      </c>
      <c r="F232" s="29" t="s">
        <v>418</v>
      </c>
      <c r="G232" s="29" t="s">
        <v>418</v>
      </c>
      <c r="H232" s="221" t="s">
        <v>418</v>
      </c>
      <c r="I232" s="221" t="s">
        <v>418</v>
      </c>
      <c r="J232" s="221" t="s">
        <v>418</v>
      </c>
      <c r="K232" s="85" t="s">
        <v>418</v>
      </c>
      <c r="L232" s="85"/>
      <c r="M232" s="29"/>
      <c r="N232" s="29"/>
      <c r="O232" s="29"/>
      <c r="P232" s="29"/>
      <c r="Q232" s="29"/>
      <c r="R232" s="29"/>
      <c r="S232" s="29"/>
      <c r="X232" s="85">
        <f t="shared" si="3"/>
        <v>0</v>
      </c>
      <c r="AA232" s="85" t="s">
        <v>418</v>
      </c>
      <c r="AB232" s="85" t="s">
        <v>418</v>
      </c>
    </row>
    <row r="233" spans="1:28">
      <c r="A233" s="67">
        <v>232</v>
      </c>
      <c r="B233" s="29" t="s">
        <v>418</v>
      </c>
      <c r="C233" s="29" t="s">
        <v>418</v>
      </c>
      <c r="D233" s="29" t="s">
        <v>418</v>
      </c>
      <c r="E233" s="222" t="s">
        <v>418</v>
      </c>
      <c r="F233" s="29" t="s">
        <v>418</v>
      </c>
      <c r="G233" s="29" t="s">
        <v>418</v>
      </c>
      <c r="H233" s="221" t="s">
        <v>418</v>
      </c>
      <c r="I233" s="221" t="s">
        <v>418</v>
      </c>
      <c r="J233" s="221" t="s">
        <v>418</v>
      </c>
      <c r="K233" s="85" t="s">
        <v>418</v>
      </c>
      <c r="L233" s="85"/>
      <c r="M233" s="29"/>
      <c r="N233" s="29"/>
      <c r="O233" s="29"/>
      <c r="P233" s="29"/>
      <c r="Q233" s="29"/>
      <c r="R233" s="29"/>
      <c r="S233" s="29"/>
      <c r="X233" s="85">
        <f t="shared" si="3"/>
        <v>0</v>
      </c>
      <c r="AA233" s="85" t="s">
        <v>418</v>
      </c>
      <c r="AB233" s="85" t="s">
        <v>418</v>
      </c>
    </row>
    <row r="234" spans="1:28">
      <c r="A234" s="67">
        <v>233</v>
      </c>
      <c r="B234" s="29" t="s">
        <v>418</v>
      </c>
      <c r="C234" s="29" t="s">
        <v>418</v>
      </c>
      <c r="D234" s="29" t="s">
        <v>418</v>
      </c>
      <c r="E234" s="222" t="s">
        <v>418</v>
      </c>
      <c r="F234" s="29" t="s">
        <v>418</v>
      </c>
      <c r="G234" s="29" t="s">
        <v>418</v>
      </c>
      <c r="H234" s="221" t="s">
        <v>418</v>
      </c>
      <c r="I234" s="221" t="s">
        <v>418</v>
      </c>
      <c r="J234" s="221" t="s">
        <v>418</v>
      </c>
      <c r="K234" s="85" t="s">
        <v>418</v>
      </c>
      <c r="L234" s="85"/>
      <c r="M234" s="29"/>
      <c r="N234" s="29"/>
      <c r="O234" s="29"/>
      <c r="P234" s="29"/>
      <c r="Q234" s="29"/>
      <c r="R234" s="29"/>
      <c r="S234" s="29"/>
      <c r="X234" s="85">
        <f t="shared" si="3"/>
        <v>0</v>
      </c>
      <c r="AA234" s="85" t="s">
        <v>418</v>
      </c>
      <c r="AB234" s="85" t="s">
        <v>418</v>
      </c>
    </row>
    <row r="235" spans="1:28">
      <c r="A235" s="67">
        <v>234</v>
      </c>
      <c r="B235" s="29" t="s">
        <v>418</v>
      </c>
      <c r="C235" s="29" t="s">
        <v>418</v>
      </c>
      <c r="D235" s="29" t="s">
        <v>418</v>
      </c>
      <c r="E235" s="222" t="s">
        <v>418</v>
      </c>
      <c r="F235" s="29" t="s">
        <v>418</v>
      </c>
      <c r="G235" s="29" t="s">
        <v>418</v>
      </c>
      <c r="H235" s="221" t="s">
        <v>418</v>
      </c>
      <c r="I235" s="221" t="s">
        <v>418</v>
      </c>
      <c r="J235" s="221" t="s">
        <v>418</v>
      </c>
      <c r="K235" s="85" t="s">
        <v>418</v>
      </c>
      <c r="L235" s="85"/>
      <c r="M235" s="29"/>
      <c r="N235" s="29"/>
      <c r="O235" s="29"/>
      <c r="P235" s="29"/>
      <c r="Q235" s="29"/>
      <c r="R235" s="29"/>
      <c r="S235" s="29"/>
      <c r="X235" s="85">
        <f t="shared" si="3"/>
        <v>0</v>
      </c>
      <c r="AA235" s="85" t="s">
        <v>418</v>
      </c>
      <c r="AB235" s="85" t="s">
        <v>418</v>
      </c>
    </row>
    <row r="236" spans="1:28">
      <c r="A236" s="67">
        <v>235</v>
      </c>
      <c r="B236" s="29" t="s">
        <v>418</v>
      </c>
      <c r="C236" s="29" t="s">
        <v>418</v>
      </c>
      <c r="D236" s="29" t="s">
        <v>418</v>
      </c>
      <c r="E236" s="222" t="s">
        <v>418</v>
      </c>
      <c r="F236" s="29" t="s">
        <v>418</v>
      </c>
      <c r="G236" s="29" t="s">
        <v>418</v>
      </c>
      <c r="H236" s="221" t="s">
        <v>418</v>
      </c>
      <c r="I236" s="221" t="s">
        <v>418</v>
      </c>
      <c r="J236" s="221" t="s">
        <v>418</v>
      </c>
      <c r="K236" s="85" t="s">
        <v>418</v>
      </c>
      <c r="L236" s="85"/>
      <c r="M236" s="29"/>
      <c r="N236" s="29"/>
      <c r="O236" s="29"/>
      <c r="P236" s="29"/>
      <c r="Q236" s="29"/>
      <c r="R236" s="29"/>
      <c r="S236" s="29"/>
      <c r="X236" s="85">
        <f t="shared" si="3"/>
        <v>0</v>
      </c>
      <c r="AA236" s="85" t="s">
        <v>418</v>
      </c>
      <c r="AB236" s="85" t="s">
        <v>418</v>
      </c>
    </row>
    <row r="237" spans="1:28">
      <c r="A237" s="67">
        <v>236</v>
      </c>
      <c r="B237" s="29" t="s">
        <v>418</v>
      </c>
      <c r="C237" s="29" t="s">
        <v>418</v>
      </c>
      <c r="D237" s="29" t="s">
        <v>418</v>
      </c>
      <c r="E237" s="222" t="s">
        <v>418</v>
      </c>
      <c r="F237" s="29" t="s">
        <v>418</v>
      </c>
      <c r="G237" s="29" t="s">
        <v>418</v>
      </c>
      <c r="H237" s="221" t="s">
        <v>418</v>
      </c>
      <c r="I237" s="221" t="s">
        <v>418</v>
      </c>
      <c r="J237" s="221" t="s">
        <v>418</v>
      </c>
      <c r="K237" s="85" t="s">
        <v>418</v>
      </c>
      <c r="L237" s="85"/>
      <c r="M237" s="29"/>
      <c r="N237" s="29"/>
      <c r="O237" s="29"/>
      <c r="P237" s="29"/>
      <c r="Q237" s="29"/>
      <c r="R237" s="29"/>
      <c r="S237" s="29"/>
      <c r="X237" s="85">
        <f t="shared" si="3"/>
        <v>0</v>
      </c>
      <c r="AA237" s="85" t="s">
        <v>418</v>
      </c>
      <c r="AB237" s="85" t="s">
        <v>418</v>
      </c>
    </row>
    <row r="238" spans="1:28">
      <c r="A238" s="67">
        <v>237</v>
      </c>
      <c r="B238" s="29" t="s">
        <v>418</v>
      </c>
      <c r="C238" s="29" t="s">
        <v>418</v>
      </c>
      <c r="D238" s="29" t="s">
        <v>418</v>
      </c>
      <c r="E238" s="222" t="s">
        <v>418</v>
      </c>
      <c r="F238" s="29" t="s">
        <v>418</v>
      </c>
      <c r="G238" s="29" t="s">
        <v>418</v>
      </c>
      <c r="H238" s="221" t="s">
        <v>418</v>
      </c>
      <c r="I238" s="221" t="s">
        <v>418</v>
      </c>
      <c r="J238" s="221" t="s">
        <v>418</v>
      </c>
      <c r="K238" s="85" t="s">
        <v>418</v>
      </c>
      <c r="L238" s="85"/>
      <c r="M238" s="29"/>
      <c r="N238" s="29"/>
      <c r="O238" s="29"/>
      <c r="P238" s="29"/>
      <c r="Q238" s="29"/>
      <c r="R238" s="29"/>
      <c r="S238" s="29"/>
      <c r="X238" s="85">
        <f t="shared" si="3"/>
        <v>0</v>
      </c>
      <c r="AA238" s="85" t="s">
        <v>418</v>
      </c>
      <c r="AB238" s="85" t="s">
        <v>418</v>
      </c>
    </row>
    <row r="239" spans="1:28">
      <c r="A239" s="67">
        <v>238</v>
      </c>
      <c r="B239" s="29" t="s">
        <v>418</v>
      </c>
      <c r="C239" s="29" t="s">
        <v>418</v>
      </c>
      <c r="D239" s="29" t="s">
        <v>418</v>
      </c>
      <c r="E239" s="222" t="s">
        <v>418</v>
      </c>
      <c r="F239" s="29" t="s">
        <v>418</v>
      </c>
      <c r="G239" s="29" t="s">
        <v>418</v>
      </c>
      <c r="H239" s="221" t="s">
        <v>418</v>
      </c>
      <c r="I239" s="221" t="s">
        <v>418</v>
      </c>
      <c r="J239" s="221" t="s">
        <v>418</v>
      </c>
      <c r="K239" s="85" t="s">
        <v>418</v>
      </c>
      <c r="L239" s="85"/>
      <c r="M239" s="29"/>
      <c r="N239" s="29"/>
      <c r="O239" s="29"/>
      <c r="P239" s="29"/>
      <c r="Q239" s="29"/>
      <c r="R239" s="29"/>
      <c r="S239" s="29"/>
      <c r="X239" s="85">
        <f t="shared" si="3"/>
        <v>0</v>
      </c>
      <c r="AA239" s="85" t="s">
        <v>418</v>
      </c>
      <c r="AB239" s="85" t="s">
        <v>418</v>
      </c>
    </row>
    <row r="240" spans="1:28">
      <c r="A240" s="67">
        <v>239</v>
      </c>
      <c r="B240" s="29" t="s">
        <v>418</v>
      </c>
      <c r="C240" s="29" t="s">
        <v>418</v>
      </c>
      <c r="D240" s="29" t="s">
        <v>418</v>
      </c>
      <c r="E240" s="222" t="s">
        <v>418</v>
      </c>
      <c r="F240" s="29" t="s">
        <v>418</v>
      </c>
      <c r="G240" s="29" t="s">
        <v>418</v>
      </c>
      <c r="H240" s="221" t="s">
        <v>418</v>
      </c>
      <c r="I240" s="221" t="s">
        <v>418</v>
      </c>
      <c r="J240" s="221" t="s">
        <v>418</v>
      </c>
      <c r="K240" s="85" t="s">
        <v>418</v>
      </c>
      <c r="L240" s="85"/>
      <c r="M240" s="29"/>
      <c r="N240" s="29"/>
      <c r="O240" s="29"/>
      <c r="P240" s="29"/>
      <c r="Q240" s="29"/>
      <c r="R240" s="29"/>
      <c r="S240" s="29"/>
      <c r="X240" s="85">
        <f t="shared" si="3"/>
        <v>0</v>
      </c>
      <c r="AA240" s="85" t="s">
        <v>418</v>
      </c>
      <c r="AB240" s="85" t="s">
        <v>418</v>
      </c>
    </row>
    <row r="241" spans="1:28">
      <c r="A241" s="67">
        <v>240</v>
      </c>
      <c r="B241" s="29" t="s">
        <v>418</v>
      </c>
      <c r="C241" s="29" t="s">
        <v>418</v>
      </c>
      <c r="D241" s="29" t="s">
        <v>418</v>
      </c>
      <c r="E241" s="222" t="s">
        <v>418</v>
      </c>
      <c r="F241" s="29" t="s">
        <v>418</v>
      </c>
      <c r="G241" s="29" t="s">
        <v>418</v>
      </c>
      <c r="H241" s="221" t="s">
        <v>418</v>
      </c>
      <c r="I241" s="221" t="s">
        <v>418</v>
      </c>
      <c r="J241" s="221" t="s">
        <v>418</v>
      </c>
      <c r="K241" s="85" t="s">
        <v>418</v>
      </c>
      <c r="L241" s="85"/>
      <c r="M241" s="29"/>
      <c r="N241" s="29"/>
      <c r="O241" s="29"/>
      <c r="P241" s="29"/>
      <c r="Q241" s="29"/>
      <c r="R241" s="29"/>
      <c r="S241" s="29"/>
      <c r="X241" s="85">
        <f t="shared" si="3"/>
        <v>0</v>
      </c>
      <c r="AA241" s="85" t="s">
        <v>418</v>
      </c>
      <c r="AB241" s="85" t="s">
        <v>418</v>
      </c>
    </row>
    <row r="242" spans="1:28">
      <c r="A242" s="67">
        <v>241</v>
      </c>
      <c r="B242" s="29" t="s">
        <v>418</v>
      </c>
      <c r="C242" s="29" t="s">
        <v>418</v>
      </c>
      <c r="D242" s="29" t="s">
        <v>418</v>
      </c>
      <c r="E242" s="222" t="s">
        <v>418</v>
      </c>
      <c r="F242" s="29" t="s">
        <v>418</v>
      </c>
      <c r="G242" s="29" t="s">
        <v>418</v>
      </c>
      <c r="H242" s="221" t="s">
        <v>418</v>
      </c>
      <c r="I242" s="221" t="s">
        <v>418</v>
      </c>
      <c r="J242" s="221" t="s">
        <v>418</v>
      </c>
      <c r="K242" s="85" t="s">
        <v>418</v>
      </c>
      <c r="L242" s="85"/>
      <c r="M242" s="29"/>
      <c r="N242" s="29"/>
      <c r="O242" s="29"/>
      <c r="P242" s="29"/>
      <c r="Q242" s="29"/>
      <c r="R242" s="29"/>
      <c r="S242" s="29"/>
      <c r="X242" s="85">
        <f t="shared" si="3"/>
        <v>0</v>
      </c>
      <c r="AA242" s="85" t="s">
        <v>418</v>
      </c>
      <c r="AB242" s="85" t="s">
        <v>418</v>
      </c>
    </row>
    <row r="243" spans="1:28">
      <c r="A243" s="67">
        <v>242</v>
      </c>
      <c r="B243" s="29" t="s">
        <v>418</v>
      </c>
      <c r="C243" s="29" t="s">
        <v>418</v>
      </c>
      <c r="D243" s="29" t="s">
        <v>418</v>
      </c>
      <c r="E243" s="222" t="s">
        <v>418</v>
      </c>
      <c r="F243" s="29" t="s">
        <v>418</v>
      </c>
      <c r="G243" s="29" t="s">
        <v>418</v>
      </c>
      <c r="H243" s="221" t="s">
        <v>418</v>
      </c>
      <c r="I243" s="221" t="s">
        <v>418</v>
      </c>
      <c r="J243" s="221" t="s">
        <v>418</v>
      </c>
      <c r="K243" s="85" t="s">
        <v>418</v>
      </c>
      <c r="L243" s="85"/>
      <c r="M243" s="29"/>
      <c r="N243" s="29"/>
      <c r="O243" s="29"/>
      <c r="P243" s="29"/>
      <c r="Q243" s="29"/>
      <c r="R243" s="29"/>
      <c r="S243" s="29"/>
      <c r="X243" s="85">
        <f t="shared" si="3"/>
        <v>0</v>
      </c>
      <c r="AA243" s="85" t="s">
        <v>418</v>
      </c>
      <c r="AB243" s="85" t="s">
        <v>418</v>
      </c>
    </row>
    <row r="244" spans="1:28">
      <c r="A244" s="67">
        <v>243</v>
      </c>
      <c r="B244" s="29" t="s">
        <v>418</v>
      </c>
      <c r="C244" s="29" t="s">
        <v>418</v>
      </c>
      <c r="D244" s="29" t="s">
        <v>418</v>
      </c>
      <c r="E244" s="222" t="s">
        <v>418</v>
      </c>
      <c r="F244" s="29" t="s">
        <v>418</v>
      </c>
      <c r="G244" s="29" t="s">
        <v>418</v>
      </c>
      <c r="H244" s="221" t="s">
        <v>418</v>
      </c>
      <c r="I244" s="221" t="s">
        <v>418</v>
      </c>
      <c r="J244" s="221" t="s">
        <v>418</v>
      </c>
      <c r="K244" s="85" t="s">
        <v>418</v>
      </c>
      <c r="L244" s="85"/>
      <c r="M244" s="29"/>
      <c r="N244" s="29"/>
      <c r="O244" s="29"/>
      <c r="P244" s="29"/>
      <c r="Q244" s="29"/>
      <c r="R244" s="29"/>
      <c r="S244" s="29"/>
      <c r="X244" s="85">
        <f t="shared" si="3"/>
        <v>0</v>
      </c>
      <c r="AA244" s="85" t="s">
        <v>418</v>
      </c>
      <c r="AB244" s="85" t="s">
        <v>418</v>
      </c>
    </row>
    <row r="245" spans="1:28">
      <c r="A245" s="67">
        <v>244</v>
      </c>
      <c r="B245" s="29" t="s">
        <v>418</v>
      </c>
      <c r="C245" s="29" t="s">
        <v>418</v>
      </c>
      <c r="D245" s="29" t="s">
        <v>418</v>
      </c>
      <c r="E245" s="222" t="s">
        <v>418</v>
      </c>
      <c r="F245" s="29" t="s">
        <v>418</v>
      </c>
      <c r="G245" s="29" t="s">
        <v>418</v>
      </c>
      <c r="H245" s="221" t="s">
        <v>418</v>
      </c>
      <c r="I245" s="221" t="s">
        <v>418</v>
      </c>
      <c r="J245" s="221" t="s">
        <v>418</v>
      </c>
      <c r="K245" s="85" t="s">
        <v>418</v>
      </c>
      <c r="L245" s="85"/>
      <c r="M245" s="29"/>
      <c r="N245" s="29"/>
      <c r="O245" s="29"/>
      <c r="P245" s="29"/>
      <c r="Q245" s="29"/>
      <c r="R245" s="29"/>
      <c r="S245" s="29"/>
      <c r="X245" s="85">
        <f t="shared" si="3"/>
        <v>0</v>
      </c>
      <c r="AA245" s="85" t="s">
        <v>418</v>
      </c>
      <c r="AB245" s="85" t="s">
        <v>418</v>
      </c>
    </row>
    <row r="246" spans="1:28">
      <c r="AA246" s="85"/>
    </row>
    <row r="247" spans="1:28">
      <c r="B247" s="223" t="str">
        <f>IF(ISERROR(VLOOKUP($A247,'RELACION VTAS - CHS'!$X$7:$AG$250,2,FALSE))=FALSE,VLOOKUP($A247,'RELACION VTAS - CHS'!$X$7:$AG$250,2,FALSE),"")</f>
        <v/>
      </c>
      <c r="C247" s="223" t="str">
        <f>IF(ISERROR(VLOOKUP($A247,'RELACION VTAS - CHS'!$X$7:$AG$250,2,FALSE))=FALSE,VLOOKUP($A247,'RELACION VTAS - CHS'!$X$7:$AG$250,3,FALSE),"")</f>
        <v/>
      </c>
      <c r="D247" s="223" t="str">
        <f>IF(ISERROR(VLOOKUP($A247,'RELACION VTAS - CHS'!$X$7:$AG$250,2,FALSE))=FALSE,VLOOKUP($A247,'RELACION VTAS - CHS'!$X$7:$AG$250,4,FALSE),"")</f>
        <v/>
      </c>
      <c r="E247" s="223" t="str">
        <f>IF(ISERROR(VLOOKUP($A247,'RELACION VTAS - CHS'!$X$7:$AG$250,2,FALSE))=FALSE,VLOOKUP($A247,'RELACION VTAS - CHS'!$X$7:$AG$250,5,FALSE),"")</f>
        <v/>
      </c>
      <c r="F247" s="223" t="str">
        <f>IF(ISERROR(VLOOKUP($A247,'RELACION VTAS - CHS'!$X$7:$AG$250,2,FALSE))=FALSE,VLOOKUP($A247,'RELACION VTAS - CHS'!$X$7:$AG$250,6,FALSE),"")</f>
        <v/>
      </c>
      <c r="G247" s="223" t="str">
        <f>IF(ISERROR(VLOOKUP($A247,'RELACION VTAS - CHS'!$X$7:$AG$250,2,FALSE))=FALSE,VLOOKUP($A247,'RELACION VTAS - CHS'!$X$7:$AG$250,7,FALSE),"")</f>
        <v/>
      </c>
      <c r="H247" s="223" t="str">
        <f>IF(ISERROR(VLOOKUP($A247,'RELACION VTAS - CHS'!$X$7:$AG$250,2,FALSE))=FALSE,VLOOKUP($A247,'RELACION VTAS - CHS'!$X$7:$AG$250,8,FALSE),"")</f>
        <v/>
      </c>
      <c r="I247" s="223" t="str">
        <f>IF(ISERROR(VLOOKUP($A247,'RELACION VTAS - CHS'!$X$7:$AG$250,2,FALSE))=FALSE,VLOOKUP($A247,'RELACION VTAS - CHS'!$X$7:$AG$250,9,FALSE),"")</f>
        <v/>
      </c>
      <c r="J247" s="223" t="str">
        <f>IF(ISERROR(VLOOKUP($A247,'RELACION VTAS - CHS'!$X$7:$AG$250,2,FALSE))=FALSE,VLOOKUP($A247,'RELACION VTAS - CHS'!$X$7:$AG$250,10,FALSE),"")</f>
        <v/>
      </c>
      <c r="K247" s="223" t="str">
        <f>CONCATENATE(AA247,AB247)</f>
        <v/>
      </c>
      <c r="AA247" s="73" t="str">
        <f>IF(B247="","",COUNTIF(AB$1:AB247,CONCATENATE(F247,G247)))</f>
        <v/>
      </c>
      <c r="AB247" s="73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  <c r="AA248" s="85"/>
    </row>
    <row r="249" spans="1:28">
      <c r="AA249" s="85"/>
    </row>
  </sheetData>
  <autoFilter ref="A1:AB24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8</vt:i4>
      </vt:variant>
    </vt:vector>
  </HeadingPairs>
  <TitlesOfParts>
    <vt:vector size="21" baseType="lpstr">
      <vt:lpstr>GUIA DE TRASLADO BARQUISIMETO</vt:lpstr>
      <vt:lpstr>GUIA DE TRASLADO  MARACAIBO)</vt:lpstr>
      <vt:lpstr>GUIA DE TRASLADO formato</vt:lpstr>
      <vt:lpstr>GUIA DE TRASLADO blanco</vt:lpstr>
      <vt:lpstr>NOTA DE ENTREGA FORMATO</vt:lpstr>
      <vt:lpstr>NOTA DE ENTREGA</vt:lpstr>
      <vt:lpstr>LISTA DE PRECIOS</vt:lpstr>
      <vt:lpstr>DATOS CLIENTES</vt:lpstr>
      <vt:lpstr>FACTURAS</vt:lpstr>
      <vt:lpstr>RELACION VTAS - CHS</vt:lpstr>
      <vt:lpstr>COBRANZA</vt:lpstr>
      <vt:lpstr>REPORTE GASTOS</vt:lpstr>
      <vt:lpstr>REPORTE-CORO</vt:lpstr>
      <vt:lpstr>FACTURAS!Área_de_impresión</vt:lpstr>
      <vt:lpstr>'GUIA DE TRASLADO  MARACAIBO)'!Área_de_impresión</vt:lpstr>
      <vt:lpstr>'GUIA DE TRASLADO BARQUISIMETO'!Área_de_impresión</vt:lpstr>
      <vt:lpstr>'GUIA DE TRASLADO blanco'!Área_de_impresión</vt:lpstr>
      <vt:lpstr>'GUIA DE TRASLADO formato'!Área_de_impresión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2023-01-10T11:52:44Z</cp:lastPrinted>
  <dcterms:created xsi:type="dcterms:W3CDTF">2013-08-09T10:12:21Z</dcterms:created>
  <dcterms:modified xsi:type="dcterms:W3CDTF">2023-01-10T11:54:06Z</dcterms:modified>
</cp:coreProperties>
</file>